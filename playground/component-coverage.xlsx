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>
    <definedName name="_xlnm._FilterDatabase" localSheetId="0" hidden="1">'Index'!$A$6:$I$71</definedName>
    <definedName name="_xlnm._FilterDatabase" localSheetId="1" hidden="1">'Accordion'!$A$8:$K$113</definedName>
    <definedName name="_xlnm._FilterDatabase" localSheetId="2" hidden="1">'AlertDialog'!$A$8:$K$174</definedName>
    <definedName name="_xlnm._FilterDatabase" localSheetId="3" hidden="1">'AppBar'!$A$8:$K$93</definedName>
    <definedName name="_xlnm._FilterDatabase" localSheetId="4" hidden="1">'AspectRatio'!$A$8:$K$34</definedName>
    <definedName name="_xlnm._FilterDatabase" localSheetId="5" hidden="1">'Avatar'!$A$8:$K$64</definedName>
    <definedName name="_xlnm._FilterDatabase" localSheetId="6" hidden="1">'Badge'!$A$8:$K$31</definedName>
    <definedName name="_xlnm._FilterDatabase" localSheetId="7" hidden="1">'BottomNavigation'!$A$8:$K$78</definedName>
    <definedName name="_xlnm._FilterDatabase" localSheetId="8" hidden="1">'Breadcrumb'!$A$8:$K$95</definedName>
    <definedName name="_xlnm._FilterDatabase" localSheetId="9" hidden="1">'Button'!$A$8:$K$55</definedName>
    <definedName name="_xlnm._FilterDatabase" localSheetId="10" hidden="1">'Checkbox'!$A$8:$K$80</definedName>
    <definedName name="_xlnm._FilterDatabase" localSheetId="11" hidden="1">'CheckboxGroup'!$A$8:$K$104</definedName>
    <definedName name="_xlnm._FilterDatabase" localSheetId="12" hidden="1">'Collapsible'!$A$8:$K$75</definedName>
    <definedName name="_xlnm._FilterDatabase" localSheetId="13" hidden="1">'Collection'!$A$8:$K$31</definedName>
    <definedName name="_xlnm._FilterDatabase" localSheetId="14" hidden="1">'Combobox'!$A$8:$K$181</definedName>
    <definedName name="_xlnm._FilterDatabase" localSheetId="15" hidden="1">'ContextMenu'!$A$8:$K$195</definedName>
    <definedName name="_xlnm._FilterDatabase" localSheetId="16" hidden="1">'DataGrid'!$A$8:$K$191</definedName>
    <definedName name="_xlnm._FilterDatabase" localSheetId="17" hidden="1">'Dialog'!$A$8:$K$101</definedName>
    <definedName name="_xlnm._FilterDatabase" localSheetId="18" hidden="1">'Direction'!$A$8:$K$32</definedName>
    <definedName name="_xlnm._FilterDatabase" localSheetId="19" hidden="1">'Divider'!$A$8:$K$33</definedName>
    <definedName name="_xlnm._FilterDatabase" localSheetId="20" hidden="1">'Drawer'!$A$8:$K$125</definedName>
    <definedName name="_xlnm._FilterDatabase" localSheetId="21" hidden="1">'DropdownMenu'!$A$8:$K$236</definedName>
    <definedName name="_xlnm._FilterDatabase" localSheetId="22" hidden="1">'Feed'!$A$8:$K$64</definedName>
    <definedName name="_xlnm._FilterDatabase" localSheetId="23" hidden="1">'Field'!$A$8:$K$104</definedName>
    <definedName name="_xlnm._FilterDatabase" localSheetId="24" hidden="1">'Fieldset'!$A$8:$K$83</definedName>
    <definedName name="_xlnm._FilterDatabase" localSheetId="25" hidden="1">'FileUpload'!$A$8:$K$222</definedName>
    <definedName name="_xlnm._FilterDatabase" localSheetId="26" hidden="1">'Form'!$A$8:$K$52</definedName>
    <definedName name="_xlnm._FilterDatabase" localSheetId="27" hidden="1">'HoverCard'!$A$8:$K$123</definedName>
    <definedName name="_xlnm._FilterDatabase" localSheetId="28" hidden="1">'Input'!$A$8:$K$79</definedName>
    <definedName name="_xlnm._FilterDatabase" localSheetId="29" hidden="1">'Label'!$A$8:$K$35</definedName>
    <definedName name="_xlnm._FilterDatabase" localSheetId="30" hidden="1">'List'!$A$8:$K$48</definedName>
    <definedName name="_xlnm._FilterDatabase" localSheetId="31" hidden="1">'Listbox'!$A$8:$K$126</definedName>
    <definedName name="_xlnm._FilterDatabase" localSheetId="32" hidden="1">'Menu'!$A$8:$K$179</definedName>
    <definedName name="_xlnm._FilterDatabase" localSheetId="33" hidden="1">'Menubar'!$A$8:$K$144</definedName>
    <definedName name="_xlnm._FilterDatabase" localSheetId="34" hidden="1">'Modal'!$A$8:$K$110</definedName>
    <definedName name="_xlnm._FilterDatabase" localSheetId="35" hidden="1">'NavList'!$A$8:$K$153</definedName>
    <definedName name="_xlnm._FilterDatabase" localSheetId="36" hidden="1">'NavigationMenu'!$A$8:$K$204</definedName>
    <definedName name="_xlnm._FilterDatabase" localSheetId="37" hidden="1">'NumberInput'!$A$8:$K$72</definedName>
    <definedName name="_xlnm._FilterDatabase" localSheetId="38" hidden="1">'OTPField'!$A$8:$K$113</definedName>
    <definedName name="_xlnm._FilterDatabase" localSheetId="39" hidden="1">'Pagination'!$A$8:$K$118</definedName>
    <definedName name="_xlnm._FilterDatabase" localSheetId="40" hidden="1">'PasswordToggleField'!$A$8:$K$113</definedName>
    <definedName name="_xlnm._FilterDatabase" localSheetId="41" hidden="1">'Popover'!$A$8:$K$137</definedName>
    <definedName name="_xlnm._FilterDatabase" localSheetId="42" hidden="1">'Portal'!$A$8:$K$29</definedName>
    <definedName name="_xlnm._FilterDatabase" localSheetId="43" hidden="1">'Pressable'!$A$8:$K$48</definedName>
    <definedName name="_xlnm._FilterDatabase" localSheetId="44" hidden="1">'Progress'!$A$8:$K$65</definedName>
    <definedName name="_xlnm._FilterDatabase" localSheetId="45" hidden="1">'RadioGroup'!$A$8:$K$94</definedName>
    <definedName name="_xlnm._FilterDatabase" localSheetId="46" hidden="1">'Rating'!$A$8:$K$105</definedName>
    <definedName name="_xlnm._FilterDatabase" localSheetId="47" hidden="1">'ScrollArea'!$A$8:$K$52</definedName>
    <definedName name="_xlnm._FilterDatabase" localSheetId="48" hidden="1">'Select'!$A$8:$K$169</definedName>
    <definedName name="_xlnm._FilterDatabase" localSheetId="49" hidden="1">'Sidebar'!$A$8:$K$96</definedName>
    <definedName name="_xlnm._FilterDatabase" localSheetId="50" hidden="1">'SkipLink'!$A$8:$K$48</definedName>
    <definedName name="_xlnm._FilterDatabase" localSheetId="51" hidden="1">'Slider'!$A$8:$K$110</definedName>
    <definedName name="_xlnm._FilterDatabase" localSheetId="52" hidden="1">'SwipeableItem'!$A$8:$K$111</definedName>
    <definedName name="_xlnm._FilterDatabase" localSheetId="53" hidden="1">'Switch'!$A$8:$K$83</definedName>
    <definedName name="_xlnm._FilterDatabase" localSheetId="54" hidden="1">'Table'!$A$8:$K$84</definedName>
    <definedName name="_xlnm._FilterDatabase" localSheetId="55" hidden="1">'Tabs'!$A$8:$K$108</definedName>
    <definedName name="_xlnm._FilterDatabase" localSheetId="56" hidden="1">'Textarea'!$A$8:$K$85</definedName>
    <definedName name="_xlnm._FilterDatabase" localSheetId="57" hidden="1">'Toast'!$A$8:$K$142</definedName>
    <definedName name="_xlnm._FilterDatabase" localSheetId="58" hidden="1">'Toggle'!$A$8:$K$56</definedName>
    <definedName name="_xlnm._FilterDatabase" localSheetId="59" hidden="1">'ToggleGroup'!$A$8:$K$60</definedName>
    <definedName name="_xlnm._FilterDatabase" localSheetId="60" hidden="1">'Toolbar'!$A$8:$K$116</definedName>
    <definedName name="_xlnm._FilterDatabase" localSheetId="61" hidden="1">'Tooltip'!$A$8:$K$113</definedName>
    <definedName name="_xlnm._FilterDatabase" localSheetId="62" hidden="1">'Tree'!$A$8:$K$109</definedName>
    <definedName name="_xlnm._FilterDatabase" localSheetId="63" hidden="1">'TreeGrid'!$A$8:$K$192</definedName>
    <definedName name="_xlnm._FilterDatabase" localSheetId="64" hidden="1">'Virtualizer'!$A$8:$K$33</definedName>
    <definedName name="_xlnm._FilterDatabase" localSheetId="65" hidden="1">'VisuallyHidden'!$A$8:$K$33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3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111827"/>
      <sz val="18"/>
    </font>
    <font>
      <name val="Carlito"/>
      <b val="1"/>
      <color rgb="FF64748B"/>
      <sz val="11"/>
    </font>
    <font>
      <b val="1"/>
      <color rgb="00991B1B"/>
    </font>
    <font>
      <b val="1"/>
      <color rgb="00166534"/>
    </font>
    <font>
      <b val="1"/>
    </font>
  </fonts>
  <fills count="10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</fills>
  <borders count="3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9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164" fontId="5" fillId="2" borderId="0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5" fontId="7" fillId="0" borderId="2" applyAlignment="1" pivotButton="0" quotePrefix="0" xfId="0">
      <alignment horizontal="center" vertical="top" wrapText="1"/>
    </xf>
    <xf numFmtId="0" fontId="0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8" fillId="0" borderId="0" pivotButton="0" quotePrefix="0" xfId="0"/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0" fillId="8" borderId="2" applyAlignment="1" pivotButton="0" quotePrefix="0" xfId="0">
      <alignment horizontal="center"/>
    </xf>
    <xf numFmtId="0" fontId="11" fillId="9" borderId="2" applyAlignment="1" pivotButton="0" quotePrefix="0" xfId="0">
      <alignment horizontal="center"/>
    </xf>
    <xf numFmtId="0" fontId="12" fillId="8" borderId="2" applyAlignment="1" pivotButton="0" quotePrefix="0" xfId="0">
      <alignment horizontal="center"/>
    </xf>
    <xf numFmtId="0" fontId="12" fillId="9" borderId="2" applyAlignment="1" pivotButton="0" quotePrefix="0" xfId="0">
      <alignment horizontal="center"/>
    </xf>
  </cellXfs>
  <cellStyles count="1">
    <cellStyle name="Normal" xfId="0" builtinId="0"/>
  </cellStyles>
  <dxfs count="8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374151"/>
      </font>
      <fill>
        <patternFill patternType="solid">
          <fgColor rgb="00E5E7EB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zoomScale="140" zoomScaleNormal="140" workbookViewId="0">
      <pane ySplit="6" topLeftCell="A7" activePane="bottomLeft" state="frozen"/>
      <selection pane="bottomLeft" activeCell="A9" sqref="A9"/>
    </sheetView>
  </sheetViews>
  <sheetFormatPr baseColWidth="10" defaultColWidth="8.83203125" defaultRowHeight="14"/>
  <cols>
    <col width="24" customWidth="1" style="24" min="1" max="1"/>
    <col width="12" customWidth="1" style="24" min="2" max="6"/>
    <col width="14" customWidth="1" style="24" min="7" max="7"/>
    <col width="16" customWidth="1" style="24" min="8" max="8"/>
    <col width="12" customWidth="1" style="24" min="9" max="9"/>
  </cols>
  <sheetData>
    <row r="1" ht="23" customHeight="1" s="24">
      <c r="A1" s="23" t="inlineStr">
        <is>
          <t>Atom Playground Coverage Index</t>
        </is>
      </c>
    </row>
    <row r="2">
      <c r="A2" s="25" t="inlineStr">
        <is>
          <t>Formula-driven summary of component playground coverage. Component tabs are alphabetical; completion updates when each component table changes.</t>
        </is>
      </c>
    </row>
    <row r="4" ht="15" customHeight="1" s="24">
      <c r="A4" s="1" t="inlineStr">
        <is>
          <t>Components</t>
        </is>
      </c>
      <c r="B4" s="2">
        <f>COUNTA(A7:A71)</f>
        <v/>
      </c>
      <c r="C4" s="1" t="inlineStr">
        <is>
          <t>Overall</t>
        </is>
      </c>
      <c r="D4" s="3">
        <f>IFERROR(SUMPRODUCT(B7:B71,G7:G71)/SUM(B7:B71),0)</f>
        <v/>
      </c>
      <c r="E4" s="1" t="inlineStr">
        <is>
          <t>Done</t>
        </is>
      </c>
      <c r="F4" s="2">
        <f>COUNTIF(H7:H71,"Done")</f>
        <v/>
      </c>
      <c r="G4" s="1" t="inlineStr">
        <is>
          <t>Open Rows</t>
        </is>
      </c>
      <c r="H4" s="2">
        <f>SUM(E7:E71)+SUM(F7:F71)</f>
        <v/>
      </c>
    </row>
    <row r="6" ht="15" customHeight="1" s="24">
      <c r="A6" s="4" t="inlineStr">
        <is>
          <t>Component</t>
        </is>
      </c>
      <c r="B6" s="4" t="inlineStr">
        <is>
          <t>Total Tests</t>
        </is>
      </c>
      <c r="C6" s="4" t="inlineStr">
        <is>
          <t>Covered</t>
        </is>
      </c>
      <c r="D6" s="4" t="inlineStr">
        <is>
          <t>Partial</t>
        </is>
      </c>
      <c r="E6" s="4" t="inlineStr">
        <is>
          <t>Missing</t>
        </is>
      </c>
      <c r="F6" s="4" t="inlineStr">
        <is>
          <t>Untested</t>
        </is>
      </c>
      <c r="G6" s="4" t="inlineStr">
        <is>
          <t>Completion</t>
        </is>
      </c>
      <c r="H6" s="4" t="inlineStr">
        <is>
          <t>Status</t>
        </is>
      </c>
      <c r="I6" s="4" t="inlineStr">
        <is>
          <t>Open</t>
        </is>
      </c>
    </row>
    <row r="7">
      <c r="A7" s="5" t="inlineStr">
        <is>
          <t>Accordion</t>
        </is>
      </c>
      <c r="B7" s="6">
        <f>ROWS('Accordion'!A9:A113)</f>
        <v/>
      </c>
      <c r="C7" s="6">
        <f>'Accordion'!D4</f>
        <v/>
      </c>
      <c r="D7" s="6">
        <f>'Accordion'!F4</f>
        <v/>
      </c>
      <c r="E7" s="6">
        <f>'Accordion'!H4</f>
        <v/>
      </c>
      <c r="F7" s="6">
        <f>'Accordion'!J4</f>
        <v/>
      </c>
      <c r="G7" s="7">
        <f>'Accordion'!B4</f>
        <v/>
      </c>
      <c r="H7" s="31">
        <f>IF(G7&gt;=1,"Done",IF(B7=0,"No tests",IF(F7+E7&gt;0,"Needs work","In progress")))</f>
        <v/>
      </c>
      <c r="I7" s="29">
        <f>E7+F7</f>
        <v/>
      </c>
    </row>
    <row r="8">
      <c r="A8" s="5" t="inlineStr">
        <is>
          <t>AlertDialog</t>
        </is>
      </c>
      <c r="B8" s="6">
        <f>ROWS('AlertDialog'!A9:A174)</f>
        <v/>
      </c>
      <c r="C8" s="6">
        <f>'AlertDialog'!D4</f>
        <v/>
      </c>
      <c r="D8" s="6">
        <f>'AlertDialog'!F4</f>
        <v/>
      </c>
      <c r="E8" s="6">
        <f>'AlertDialog'!H4</f>
        <v/>
      </c>
      <c r="F8" s="6">
        <f>'AlertDialog'!J4</f>
        <v/>
      </c>
      <c r="G8" s="7">
        <f>'AlertDialog'!B4</f>
        <v/>
      </c>
      <c r="H8" s="31">
        <f>IF(G8&gt;=1,"Done",IF(B8=0,"No tests",IF(F8+E8&gt;0,"Needs work","In progress")))</f>
        <v/>
      </c>
      <c r="I8" s="29">
        <f>E8+F8</f>
        <v/>
      </c>
    </row>
    <row r="9">
      <c r="A9" s="5" t="inlineStr">
        <is>
          <t>AppBar</t>
        </is>
      </c>
      <c r="B9" s="6">
        <f>ROWS('AppBar'!A9:A93)</f>
        <v/>
      </c>
      <c r="C9" s="6">
        <f>'AppBar'!D4</f>
        <v/>
      </c>
      <c r="D9" s="6">
        <f>'AppBar'!F4</f>
        <v/>
      </c>
      <c r="E9" s="6">
        <f>'AppBar'!H4</f>
        <v/>
      </c>
      <c r="F9" s="6">
        <f>'AppBar'!J4</f>
        <v/>
      </c>
      <c r="G9" s="7">
        <f>'AppBar'!B4</f>
        <v/>
      </c>
      <c r="H9" s="31">
        <f>IF(G9&gt;=1,"Done",IF(B9=0,"No tests",IF(F9+E9&gt;0,"Needs work","In progress")))</f>
        <v/>
      </c>
      <c r="I9" s="29">
        <f>E9+F9</f>
        <v/>
      </c>
    </row>
    <row r="10">
      <c r="A10" s="5" t="inlineStr">
        <is>
          <t>AspectRatio</t>
        </is>
      </c>
      <c r="B10" s="6">
        <f>ROWS('AspectRatio'!A9:A34)</f>
        <v/>
      </c>
      <c r="C10" s="6">
        <f>'AspectRatio'!D4</f>
        <v/>
      </c>
      <c r="D10" s="6">
        <f>'AspectRatio'!F4</f>
        <v/>
      </c>
      <c r="E10" s="6">
        <f>'AspectRatio'!H4</f>
        <v/>
      </c>
      <c r="F10" s="6">
        <f>'AspectRatio'!J4</f>
        <v/>
      </c>
      <c r="G10" s="7">
        <f>'AspectRatio'!B4</f>
        <v/>
      </c>
      <c r="H10" s="32">
        <f>IF(G10&gt;=1,"Done",IF(B10=0,"No tests",IF(F10+E10&gt;0,"Needs work","In progress")))</f>
        <v/>
      </c>
      <c r="I10" s="30">
        <f>E10+F10</f>
        <v/>
      </c>
    </row>
    <row r="11">
      <c r="A11" s="5" t="inlineStr">
        <is>
          <t>Avatar</t>
        </is>
      </c>
      <c r="B11" s="6">
        <f>ROWS('Avatar'!A9:A64)</f>
        <v/>
      </c>
      <c r="C11" s="6">
        <f>'Avatar'!D4</f>
        <v/>
      </c>
      <c r="D11" s="6">
        <f>'Avatar'!F4</f>
        <v/>
      </c>
      <c r="E11" s="6">
        <f>'Avatar'!H4</f>
        <v/>
      </c>
      <c r="F11" s="6">
        <f>'Avatar'!J4</f>
        <v/>
      </c>
      <c r="G11" s="7">
        <f>'Avatar'!B4</f>
        <v/>
      </c>
      <c r="H11" s="32">
        <f>IF(G11&gt;=1,"Done",IF(B11=0,"No tests",IF(F11+E11&gt;0,"Needs work","In progress")))</f>
        <v/>
      </c>
      <c r="I11" s="30">
        <f>E11+F11</f>
        <v/>
      </c>
    </row>
    <row r="12">
      <c r="A12" s="5" t="inlineStr">
        <is>
          <t>Badge</t>
        </is>
      </c>
      <c r="B12" s="6">
        <f>ROWS('Badge'!A9:A31)</f>
        <v/>
      </c>
      <c r="C12" s="6">
        <f>'Badge'!D4</f>
        <v/>
      </c>
      <c r="D12" s="6">
        <f>'Badge'!F4</f>
        <v/>
      </c>
      <c r="E12" s="6">
        <f>'Badge'!H4</f>
        <v/>
      </c>
      <c r="F12" s="6">
        <f>'Badge'!J4</f>
        <v/>
      </c>
      <c r="G12" s="7">
        <f>'Badge'!B4</f>
        <v/>
      </c>
      <c r="H12" s="32">
        <f>IF(G12&gt;=1,"Done",IF(B12=0,"No tests",IF(F12+E12&gt;0,"Needs work","In progress")))</f>
        <v/>
      </c>
      <c r="I12" s="30">
        <f>E12+F12</f>
        <v/>
      </c>
    </row>
    <row r="13">
      <c r="A13" s="5" t="inlineStr">
        <is>
          <t>BottomNavigation</t>
        </is>
      </c>
      <c r="B13" s="6">
        <f>ROWS('BottomNavigation'!A9:A78)</f>
        <v/>
      </c>
      <c r="C13" s="6">
        <f>'BottomNavigation'!D4</f>
        <v/>
      </c>
      <c r="D13" s="6">
        <f>'BottomNavigation'!F4</f>
        <v/>
      </c>
      <c r="E13" s="6">
        <f>'BottomNavigation'!H4</f>
        <v/>
      </c>
      <c r="F13" s="6">
        <f>'BottomNavigation'!J4</f>
        <v/>
      </c>
      <c r="G13" s="7">
        <f>'BottomNavigation'!B4</f>
        <v/>
      </c>
      <c r="H13" s="31">
        <f>IF(G13&gt;=1,"Done",IF(B13=0,"No tests",IF(F13+E13&gt;0,"Needs work","In progress")))</f>
        <v/>
      </c>
      <c r="I13" s="29">
        <f>E13+F13</f>
        <v/>
      </c>
    </row>
    <row r="14">
      <c r="A14" s="5" t="inlineStr">
        <is>
          <t>Breadcrumb</t>
        </is>
      </c>
      <c r="B14" s="6">
        <f>ROWS('Breadcrumb'!A9:A95)</f>
        <v/>
      </c>
      <c r="C14" s="6">
        <f>'Breadcrumb'!D4</f>
        <v/>
      </c>
      <c r="D14" s="6">
        <f>'Breadcrumb'!F4</f>
        <v/>
      </c>
      <c r="E14" s="6">
        <f>'Breadcrumb'!H4</f>
        <v/>
      </c>
      <c r="F14" s="6">
        <f>'Breadcrumb'!J4</f>
        <v/>
      </c>
      <c r="G14" s="7">
        <f>'Breadcrumb'!B4</f>
        <v/>
      </c>
      <c r="H14" s="31">
        <f>IF(G14&gt;=1,"Done",IF(B14=0,"No tests",IF(F14+E14&gt;0,"Needs work","In progress")))</f>
        <v/>
      </c>
      <c r="I14" s="29">
        <f>E14+F14</f>
        <v/>
      </c>
    </row>
    <row r="15">
      <c r="A15" s="5" t="inlineStr">
        <is>
          <t>Button</t>
        </is>
      </c>
      <c r="B15" s="6">
        <f>ROWS('Button'!A9:A52)</f>
        <v/>
      </c>
      <c r="C15" s="6">
        <f>'Button'!D4</f>
        <v/>
      </c>
      <c r="D15" s="6">
        <f>'Button'!F4</f>
        <v/>
      </c>
      <c r="E15" s="6">
        <f>'Button'!H4</f>
        <v/>
      </c>
      <c r="F15" s="6">
        <f>'Button'!J4</f>
        <v/>
      </c>
      <c r="G15" s="7">
        <f>'Button'!B4</f>
        <v/>
      </c>
      <c r="H15" s="32">
        <f>IF(G15&gt;=1,"Done",IF(B15=0,"No tests",IF(F15+E15&gt;0,"Needs work","In progress")))</f>
        <v/>
      </c>
      <c r="I15" s="30">
        <f>E15+F15</f>
        <v/>
      </c>
    </row>
    <row r="16">
      <c r="A16" s="5" t="inlineStr">
        <is>
          <t>Checkbox</t>
        </is>
      </c>
      <c r="B16" s="6">
        <f>ROWS('Checkbox'!A9:A80)</f>
        <v/>
      </c>
      <c r="C16" s="6">
        <f>'Checkbox'!D4</f>
        <v/>
      </c>
      <c r="D16" s="6">
        <f>'Checkbox'!F4</f>
        <v/>
      </c>
      <c r="E16" s="6">
        <f>'Checkbox'!H4</f>
        <v/>
      </c>
      <c r="F16" s="6">
        <f>'Checkbox'!J4</f>
        <v/>
      </c>
      <c r="G16" s="7">
        <f>'Checkbox'!B4</f>
        <v/>
      </c>
      <c r="H16" s="31">
        <f>IF(G16&gt;=1,"Done",IF(B16=0,"No tests",IF(F16+E16&gt;0,"Needs work","In progress")))</f>
        <v/>
      </c>
      <c r="I16" s="29">
        <f>E16+F16</f>
        <v/>
      </c>
    </row>
    <row r="17">
      <c r="A17" s="5" t="inlineStr">
        <is>
          <t>CheckboxGroup</t>
        </is>
      </c>
      <c r="B17" s="6">
        <f>ROWS('CheckboxGroup'!A9:A104)</f>
        <v/>
      </c>
      <c r="C17" s="6">
        <f>'CheckboxGroup'!D4</f>
        <v/>
      </c>
      <c r="D17" s="6">
        <f>'CheckboxGroup'!F4</f>
        <v/>
      </c>
      <c r="E17" s="6">
        <f>'CheckboxGroup'!H4</f>
        <v/>
      </c>
      <c r="F17" s="6">
        <f>'CheckboxGroup'!J4</f>
        <v/>
      </c>
      <c r="G17" s="7">
        <f>'CheckboxGroup'!B4</f>
        <v/>
      </c>
      <c r="H17" s="31">
        <f>IF(G17&gt;=1,"Done",IF(B17=0,"No tests",IF(F17+E17&gt;0,"Needs work","In progress")))</f>
        <v/>
      </c>
      <c r="I17" s="29">
        <f>E17+F17</f>
        <v/>
      </c>
    </row>
    <row r="18">
      <c r="A18" s="5" t="inlineStr">
        <is>
          <t>Collapsible</t>
        </is>
      </c>
      <c r="B18" s="6">
        <f>ROWS('Collapsible'!A9:A75)</f>
        <v/>
      </c>
      <c r="C18" s="6">
        <f>'Collapsible'!D4</f>
        <v/>
      </c>
      <c r="D18" s="6">
        <f>'Collapsible'!F4</f>
        <v/>
      </c>
      <c r="E18" s="6">
        <f>'Collapsible'!H4</f>
        <v/>
      </c>
      <c r="F18" s="6">
        <f>'Collapsible'!J4</f>
        <v/>
      </c>
      <c r="G18" s="7">
        <f>'Collapsible'!B4</f>
        <v/>
      </c>
      <c r="H18" s="31">
        <f>IF(G18&gt;=1,"Done",IF(B18=0,"No tests",IF(F18+E18&gt;0,"Needs work","In progress")))</f>
        <v/>
      </c>
      <c r="I18" s="29">
        <f>E18+F18</f>
        <v/>
      </c>
    </row>
    <row r="19">
      <c r="A19" s="5" t="inlineStr">
        <is>
          <t>Collection</t>
        </is>
      </c>
      <c r="B19" s="6">
        <f>ROWS('Collection'!A9:A31)</f>
        <v/>
      </c>
      <c r="C19" s="6">
        <f>'Collection'!D4</f>
        <v/>
      </c>
      <c r="D19" s="6">
        <f>'Collection'!F4</f>
        <v/>
      </c>
      <c r="E19" s="6">
        <f>'Collection'!H4</f>
        <v/>
      </c>
      <c r="F19" s="6">
        <f>'Collection'!J4</f>
        <v/>
      </c>
      <c r="G19" s="7">
        <f>'Collection'!B4</f>
        <v/>
      </c>
      <c r="H19" s="32">
        <f>IF(G19&gt;=1,"Done",IF(B19=0,"No tests",IF(F19+E19&gt;0,"Needs work","In progress")))</f>
        <v/>
      </c>
      <c r="I19" s="30">
        <f>E19+F19</f>
        <v/>
      </c>
    </row>
    <row r="20">
      <c r="A20" s="5" t="inlineStr">
        <is>
          <t>Combobox</t>
        </is>
      </c>
      <c r="B20" s="6">
        <f>ROWS('Combobox'!A9:A181)</f>
        <v/>
      </c>
      <c r="C20" s="6">
        <f>'Combobox'!D4</f>
        <v/>
      </c>
      <c r="D20" s="6">
        <f>'Combobox'!F4</f>
        <v/>
      </c>
      <c r="E20" s="6">
        <f>'Combobox'!H4</f>
        <v/>
      </c>
      <c r="F20" s="6">
        <f>'Combobox'!J4</f>
        <v/>
      </c>
      <c r="G20" s="7">
        <f>'Combobox'!B4</f>
        <v/>
      </c>
      <c r="H20" s="31">
        <f>IF(G20&gt;=1,"Done",IF(B20=0,"No tests",IF(F20+E20&gt;0,"Needs work","In progress")))</f>
        <v/>
      </c>
      <c r="I20" s="29">
        <f>E20+F20</f>
        <v/>
      </c>
    </row>
    <row r="21">
      <c r="A21" s="5" t="inlineStr">
        <is>
          <t>ContextMenu</t>
        </is>
      </c>
      <c r="B21" s="6">
        <f>ROWS('ContextMenu'!A9:A195)</f>
        <v/>
      </c>
      <c r="C21" s="6">
        <f>'ContextMenu'!D4</f>
        <v/>
      </c>
      <c r="D21" s="6">
        <f>'ContextMenu'!F4</f>
        <v/>
      </c>
      <c r="E21" s="6">
        <f>'ContextMenu'!H4</f>
        <v/>
      </c>
      <c r="F21" s="6">
        <f>'ContextMenu'!J4</f>
        <v/>
      </c>
      <c r="G21" s="7">
        <f>'ContextMenu'!B4</f>
        <v/>
      </c>
      <c r="H21" s="31">
        <f>IF(G21&gt;=1,"Done",IF(B21=0,"No tests",IF(F21+E21&gt;0,"Needs work","In progress")))</f>
        <v/>
      </c>
      <c r="I21" s="29">
        <f>E21+F21</f>
        <v/>
      </c>
    </row>
    <row r="22">
      <c r="A22" s="5" t="inlineStr">
        <is>
          <t>DataGrid</t>
        </is>
      </c>
      <c r="B22" s="6">
        <f>ROWS('DataGrid'!A9:A191)</f>
        <v/>
      </c>
      <c r="C22" s="6">
        <f>'DataGrid'!D4</f>
        <v/>
      </c>
      <c r="D22" s="6">
        <f>'DataGrid'!F4</f>
        <v/>
      </c>
      <c r="E22" s="6">
        <f>'DataGrid'!H4</f>
        <v/>
      </c>
      <c r="F22" s="6">
        <f>'DataGrid'!J4</f>
        <v/>
      </c>
      <c r="G22" s="7">
        <f>'DataGrid'!B4</f>
        <v/>
      </c>
      <c r="H22" s="31">
        <f>IF(G22&gt;=1,"Done",IF(B22=0,"No tests",IF(F22+E22&gt;0,"Needs work","In progress")))</f>
        <v/>
      </c>
      <c r="I22" s="29">
        <f>E22+F22</f>
        <v/>
      </c>
    </row>
    <row r="23">
      <c r="A23" s="5" t="inlineStr">
        <is>
          <t>Dialog</t>
        </is>
      </c>
      <c r="B23" s="6">
        <f>ROWS('Dialog'!A9:A101)</f>
        <v/>
      </c>
      <c r="C23" s="6">
        <f>'Dialog'!D4</f>
        <v/>
      </c>
      <c r="D23" s="6">
        <f>'Dialog'!F4</f>
        <v/>
      </c>
      <c r="E23" s="6">
        <f>'Dialog'!H4</f>
        <v/>
      </c>
      <c r="F23" s="6">
        <f>'Dialog'!J4</f>
        <v/>
      </c>
      <c r="G23" s="7">
        <f>'Dialog'!B4</f>
        <v/>
      </c>
      <c r="H23" s="32">
        <f>IF(G23&gt;=1,"Done",IF(B23=0,"No tests",IF(F23+E23&gt;0,"Needs work","In progress")))</f>
        <v/>
      </c>
      <c r="I23" s="30">
        <f>E23+F23</f>
        <v/>
      </c>
    </row>
    <row r="24">
      <c r="A24" s="5" t="inlineStr">
        <is>
          <t>Direction</t>
        </is>
      </c>
      <c r="B24" s="6">
        <f>ROWS('Direction'!A9:A32)</f>
        <v/>
      </c>
      <c r="C24" s="6">
        <f>'Direction'!D4</f>
        <v/>
      </c>
      <c r="D24" s="6">
        <f>'Direction'!F4</f>
        <v/>
      </c>
      <c r="E24" s="6">
        <f>'Direction'!H4</f>
        <v/>
      </c>
      <c r="F24" s="6">
        <f>'Direction'!J4</f>
        <v/>
      </c>
      <c r="G24" s="7">
        <f>'Direction'!B4</f>
        <v/>
      </c>
      <c r="H24" s="32">
        <f>IF(G24&gt;=1,"Done",IF(B24=0,"No tests",IF(F24+E24&gt;0,"Needs work","In progress")))</f>
        <v/>
      </c>
      <c r="I24" s="30">
        <f>E24+F24</f>
        <v/>
      </c>
    </row>
    <row r="25">
      <c r="A25" s="5" t="inlineStr">
        <is>
          <t>Divider</t>
        </is>
      </c>
      <c r="B25" s="6">
        <f>ROWS('Divider'!A9:A33)</f>
        <v/>
      </c>
      <c r="C25" s="6">
        <f>'Divider'!D4</f>
        <v/>
      </c>
      <c r="D25" s="6">
        <f>'Divider'!F4</f>
        <v/>
      </c>
      <c r="E25" s="6">
        <f>'Divider'!H4</f>
        <v/>
      </c>
      <c r="F25" s="6">
        <f>'Divider'!J4</f>
        <v/>
      </c>
      <c r="G25" s="7">
        <f>'Divider'!B4</f>
        <v/>
      </c>
      <c r="H25" s="32">
        <f>IF(G25&gt;=1,"Done",IF(B25=0,"No tests",IF(F25+E25&gt;0,"Needs work","In progress")))</f>
        <v/>
      </c>
      <c r="I25" s="30">
        <f>E25+F25</f>
        <v/>
      </c>
    </row>
    <row r="26">
      <c r="A26" s="5" t="inlineStr">
        <is>
          <t>Drawer</t>
        </is>
      </c>
      <c r="B26" s="6">
        <f>ROWS('Drawer'!A9:A125)</f>
        <v/>
      </c>
      <c r="C26" s="6">
        <f>'Drawer'!D4</f>
        <v/>
      </c>
      <c r="D26" s="6">
        <f>'Drawer'!F4</f>
        <v/>
      </c>
      <c r="E26" s="6">
        <f>'Drawer'!H4</f>
        <v/>
      </c>
      <c r="F26" s="6">
        <f>'Drawer'!J4</f>
        <v/>
      </c>
      <c r="G26" s="7">
        <f>'Drawer'!B4</f>
        <v/>
      </c>
      <c r="H26" s="31">
        <f>IF(G26&gt;=1,"Done",IF(B26=0,"No tests",IF(F26+E26&gt;0,"Needs work","In progress")))</f>
        <v/>
      </c>
      <c r="I26" s="29">
        <f>E26+F26</f>
        <v/>
      </c>
    </row>
    <row r="27">
      <c r="A27" s="5" t="inlineStr">
        <is>
          <t>DropdownMenu</t>
        </is>
      </c>
      <c r="B27" s="6">
        <f>ROWS('DropdownMenu'!A9:A236)</f>
        <v/>
      </c>
      <c r="C27" s="6">
        <f>'DropdownMenu'!D4</f>
        <v/>
      </c>
      <c r="D27" s="6">
        <f>'DropdownMenu'!F4</f>
        <v/>
      </c>
      <c r="E27" s="6">
        <f>'DropdownMenu'!H4</f>
        <v/>
      </c>
      <c r="F27" s="6">
        <f>'DropdownMenu'!J4</f>
        <v/>
      </c>
      <c r="G27" s="7">
        <f>'DropdownMenu'!B4</f>
        <v/>
      </c>
      <c r="H27" s="31">
        <f>IF(G27&gt;=1,"Done",IF(B27=0,"No tests",IF(F27+E27&gt;0,"Needs work","In progress")))</f>
        <v/>
      </c>
      <c r="I27" s="29">
        <f>E27+F27</f>
        <v/>
      </c>
    </row>
    <row r="28">
      <c r="A28" s="5" t="inlineStr">
        <is>
          <t>Feed</t>
        </is>
      </c>
      <c r="B28" s="6">
        <f>ROWS('Feed'!A9:A64)</f>
        <v/>
      </c>
      <c r="C28" s="6">
        <f>'Feed'!D4</f>
        <v/>
      </c>
      <c r="D28" s="6">
        <f>'Feed'!F4</f>
        <v/>
      </c>
      <c r="E28" s="6">
        <f>'Feed'!H4</f>
        <v/>
      </c>
      <c r="F28" s="6">
        <f>'Feed'!J4</f>
        <v/>
      </c>
      <c r="G28" s="7">
        <f>'Feed'!B4</f>
        <v/>
      </c>
      <c r="H28" s="31">
        <f>IF(G28&gt;=1,"Done",IF(B28=0,"No tests",IF(F28+E28&gt;0,"Needs work","In progress")))</f>
        <v/>
      </c>
      <c r="I28" s="29">
        <f>E28+F28</f>
        <v/>
      </c>
    </row>
    <row r="29">
      <c r="A29" s="5" t="inlineStr">
        <is>
          <t>Field</t>
        </is>
      </c>
      <c r="B29" s="6">
        <f>ROWS('Field'!A9:A104)</f>
        <v/>
      </c>
      <c r="C29" s="6">
        <f>'Field'!D4</f>
        <v/>
      </c>
      <c r="D29" s="6">
        <f>'Field'!F4</f>
        <v/>
      </c>
      <c r="E29" s="6">
        <f>'Field'!H4</f>
        <v/>
      </c>
      <c r="F29" s="6">
        <f>'Field'!J4</f>
        <v/>
      </c>
      <c r="G29" s="7">
        <f>'Field'!B4</f>
        <v/>
      </c>
      <c r="H29" s="31">
        <f>IF(G29&gt;=1,"Done",IF(B29=0,"No tests",IF(F29+E29&gt;0,"Needs work","In progress")))</f>
        <v/>
      </c>
      <c r="I29" s="29">
        <f>E29+F29</f>
        <v/>
      </c>
    </row>
    <row r="30">
      <c r="A30" s="5" t="inlineStr">
        <is>
          <t>Fieldset</t>
        </is>
      </c>
      <c r="B30" s="6">
        <f>ROWS('Fieldset'!A9:A83)</f>
        <v/>
      </c>
      <c r="C30" s="6">
        <f>'Fieldset'!D4</f>
        <v/>
      </c>
      <c r="D30" s="6">
        <f>'Fieldset'!F4</f>
        <v/>
      </c>
      <c r="E30" s="6">
        <f>'Fieldset'!H4</f>
        <v/>
      </c>
      <c r="F30" s="6">
        <f>'Fieldset'!J4</f>
        <v/>
      </c>
      <c r="G30" s="7">
        <f>'Fieldset'!B4</f>
        <v/>
      </c>
      <c r="H30" s="31">
        <f>IF(G30&gt;=1,"Done",IF(B30=0,"No tests",IF(F30+E30&gt;0,"Needs work","In progress")))</f>
        <v/>
      </c>
      <c r="I30" s="29">
        <f>E30+F30</f>
        <v/>
      </c>
    </row>
    <row r="31">
      <c r="A31" s="5" t="inlineStr">
        <is>
          <t>FileUpload</t>
        </is>
      </c>
      <c r="B31" s="6">
        <f>ROWS('FileUpload'!A9:A222)</f>
        <v/>
      </c>
      <c r="C31" s="6">
        <f>'FileUpload'!D4</f>
        <v/>
      </c>
      <c r="D31" s="6">
        <f>'FileUpload'!F4</f>
        <v/>
      </c>
      <c r="E31" s="6">
        <f>'FileUpload'!H4</f>
        <v/>
      </c>
      <c r="F31" s="6">
        <f>'FileUpload'!J4</f>
        <v/>
      </c>
      <c r="G31" s="7">
        <f>'FileUpload'!B4</f>
        <v/>
      </c>
      <c r="H31" s="31">
        <f>IF(G31&gt;=1,"Done",IF(B31=0,"No tests",IF(F31+E31&gt;0,"Needs work","In progress")))</f>
        <v/>
      </c>
      <c r="I31" s="29">
        <f>E31+F31</f>
        <v/>
      </c>
    </row>
    <row r="32">
      <c r="A32" s="5" t="inlineStr">
        <is>
          <t>Form</t>
        </is>
      </c>
      <c r="B32" s="6">
        <f>ROWS('Form'!A9:A45)</f>
        <v/>
      </c>
      <c r="C32" s="6">
        <f>'Form'!D4</f>
        <v/>
      </c>
      <c r="D32" s="6">
        <f>'Form'!F4</f>
        <v/>
      </c>
      <c r="E32" s="6">
        <f>'Form'!H4</f>
        <v/>
      </c>
      <c r="F32" s="6">
        <f>'Form'!J4</f>
        <v/>
      </c>
      <c r="G32" s="7">
        <f>'Form'!B4</f>
        <v/>
      </c>
      <c r="H32" s="32">
        <f>IF(G32&gt;=1,"Done",IF(B32=0,"No tests",IF(F32+E32&gt;0,"Needs work","In progress")))</f>
        <v/>
      </c>
      <c r="I32" s="30">
        <f>E32+F32</f>
        <v/>
      </c>
    </row>
    <row r="33">
      <c r="A33" s="5" t="inlineStr">
        <is>
          <t>HoverCard</t>
        </is>
      </c>
      <c r="B33" s="6">
        <f>ROWS('HoverCard'!A9:A123)</f>
        <v/>
      </c>
      <c r="C33" s="6">
        <f>'HoverCard'!D4</f>
        <v/>
      </c>
      <c r="D33" s="6">
        <f>'HoverCard'!F4</f>
        <v/>
      </c>
      <c r="E33" s="6">
        <f>'HoverCard'!H4</f>
        <v/>
      </c>
      <c r="F33" s="6">
        <f>'HoverCard'!J4</f>
        <v/>
      </c>
      <c r="G33" s="7">
        <f>'HoverCard'!B4</f>
        <v/>
      </c>
      <c r="H33" s="31">
        <f>IF(G33&gt;=1,"Done",IF(B33=0,"No tests",IF(F33+E33&gt;0,"Needs work","In progress")))</f>
        <v/>
      </c>
      <c r="I33" s="29">
        <f>E33+F33</f>
        <v/>
      </c>
    </row>
    <row r="34">
      <c r="A34" s="5" t="inlineStr">
        <is>
          <t>Input</t>
        </is>
      </c>
      <c r="B34" s="6">
        <f>ROWS('Input'!A9:A79)</f>
        <v/>
      </c>
      <c r="C34" s="6">
        <f>'Input'!D4</f>
        <v/>
      </c>
      <c r="D34" s="6">
        <f>'Input'!F4</f>
        <v/>
      </c>
      <c r="E34" s="6">
        <f>'Input'!H4</f>
        <v/>
      </c>
      <c r="F34" s="6">
        <f>'Input'!J4</f>
        <v/>
      </c>
      <c r="G34" s="7">
        <f>'Input'!B4</f>
        <v/>
      </c>
      <c r="H34" s="31">
        <f>IF(G34&gt;=1,"Done",IF(B34=0,"No tests",IF(F34+E34&gt;0,"Needs work","In progress")))</f>
        <v/>
      </c>
      <c r="I34" s="29">
        <f>E34+F34</f>
        <v/>
      </c>
    </row>
    <row r="35">
      <c r="A35" s="5" t="inlineStr">
        <is>
          <t>Label</t>
        </is>
      </c>
      <c r="B35" s="6">
        <f>ROWS('Label'!A9:A35)</f>
        <v/>
      </c>
      <c r="C35" s="6">
        <f>'Label'!D4</f>
        <v/>
      </c>
      <c r="D35" s="6">
        <f>'Label'!F4</f>
        <v/>
      </c>
      <c r="E35" s="6">
        <f>'Label'!H4</f>
        <v/>
      </c>
      <c r="F35" s="6">
        <f>'Label'!J4</f>
        <v/>
      </c>
      <c r="G35" s="7">
        <f>'Label'!B4</f>
        <v/>
      </c>
      <c r="H35" s="32">
        <f>IF(G35&gt;=1,"Done",IF(B35=0,"No tests",IF(F35+E35&gt;0,"Needs work","In progress")))</f>
        <v/>
      </c>
      <c r="I35" s="30">
        <f>E35+F35</f>
        <v/>
      </c>
    </row>
    <row r="36">
      <c r="A36" s="5" t="inlineStr">
        <is>
          <t>List</t>
        </is>
      </c>
      <c r="B36" s="6">
        <f>ROWS('List'!A9:A48)</f>
        <v/>
      </c>
      <c r="C36" s="6">
        <f>'List'!D4</f>
        <v/>
      </c>
      <c r="D36" s="6">
        <f>'List'!F4</f>
        <v/>
      </c>
      <c r="E36" s="6">
        <f>'List'!H4</f>
        <v/>
      </c>
      <c r="F36" s="6">
        <f>'List'!J4</f>
        <v/>
      </c>
      <c r="G36" s="7">
        <f>'List'!B4</f>
        <v/>
      </c>
      <c r="H36" s="32">
        <f>IF(G36&gt;=1,"Done",IF(B36=0,"No tests",IF(F36+E36&gt;0,"Needs work","In progress")))</f>
        <v/>
      </c>
      <c r="I36" s="30">
        <f>E36+F36</f>
        <v/>
      </c>
    </row>
    <row r="37">
      <c r="A37" s="5" t="inlineStr">
        <is>
          <t>Listbox</t>
        </is>
      </c>
      <c r="B37" s="6">
        <f>ROWS('Listbox'!A9:A126)</f>
        <v/>
      </c>
      <c r="C37" s="6">
        <f>'Listbox'!D4</f>
        <v/>
      </c>
      <c r="D37" s="6">
        <f>'Listbox'!F4</f>
        <v/>
      </c>
      <c r="E37" s="6">
        <f>'Listbox'!H4</f>
        <v/>
      </c>
      <c r="F37" s="6">
        <f>'Listbox'!J4</f>
        <v/>
      </c>
      <c r="G37" s="7">
        <f>'Listbox'!B4</f>
        <v/>
      </c>
      <c r="H37" s="31">
        <f>IF(G37&gt;=1,"Done",IF(B37=0,"No tests",IF(F37+E37&gt;0,"Needs work","In progress")))</f>
        <v/>
      </c>
      <c r="I37" s="29">
        <f>E37+F37</f>
        <v/>
      </c>
    </row>
    <row r="38">
      <c r="A38" s="5" t="inlineStr">
        <is>
          <t>Menu</t>
        </is>
      </c>
      <c r="B38" s="6">
        <f>ROWS('Menu'!A9:A179)</f>
        <v/>
      </c>
      <c r="C38" s="6">
        <f>'Menu'!D4</f>
        <v/>
      </c>
      <c r="D38" s="6">
        <f>'Menu'!F4</f>
        <v/>
      </c>
      <c r="E38" s="6">
        <f>'Menu'!H4</f>
        <v/>
      </c>
      <c r="F38" s="6">
        <f>'Menu'!J4</f>
        <v/>
      </c>
      <c r="G38" s="7">
        <f>'Menu'!B4</f>
        <v/>
      </c>
      <c r="H38" s="31">
        <f>IF(G38&gt;=1,"Done",IF(B38=0,"No tests",IF(F38+E38&gt;0,"Needs work","In progress")))</f>
        <v/>
      </c>
      <c r="I38" s="29">
        <f>E38+F38</f>
        <v/>
      </c>
    </row>
    <row r="39">
      <c r="A39" s="5" t="inlineStr">
        <is>
          <t>Menubar</t>
        </is>
      </c>
      <c r="B39" s="6">
        <f>ROWS('Menubar'!A9:A144)</f>
        <v/>
      </c>
      <c r="C39" s="6">
        <f>'Menubar'!D4</f>
        <v/>
      </c>
      <c r="D39" s="6">
        <f>'Menubar'!F4</f>
        <v/>
      </c>
      <c r="E39" s="6">
        <f>'Menubar'!H4</f>
        <v/>
      </c>
      <c r="F39" s="6">
        <f>'Menubar'!J4</f>
        <v/>
      </c>
      <c r="G39" s="7">
        <f>'Menubar'!B4</f>
        <v/>
      </c>
      <c r="H39" s="31">
        <f>IF(G39&gt;=1,"Done",IF(B39=0,"No tests",IF(F39+E39&gt;0,"Needs work","In progress")))</f>
        <v/>
      </c>
      <c r="I39" s="29">
        <f>E39+F39</f>
        <v/>
      </c>
    </row>
    <row r="40">
      <c r="A40" s="5" t="inlineStr">
        <is>
          <t>Modal</t>
        </is>
      </c>
      <c r="B40" s="6">
        <f>ROWS('Modal'!A9:A110)</f>
        <v/>
      </c>
      <c r="C40" s="6">
        <f>'Modal'!D4</f>
        <v/>
      </c>
      <c r="D40" s="6">
        <f>'Modal'!F4</f>
        <v/>
      </c>
      <c r="E40" s="6">
        <f>'Modal'!H4</f>
        <v/>
      </c>
      <c r="F40" s="6">
        <f>'Modal'!J4</f>
        <v/>
      </c>
      <c r="G40" s="7">
        <f>'Modal'!B4</f>
        <v/>
      </c>
      <c r="H40" s="31">
        <f>IF(G40&gt;=1,"Done",IF(B40=0,"No tests",IF(F40+E40&gt;0,"Needs work","In progress")))</f>
        <v/>
      </c>
      <c r="I40" s="29">
        <f>E40+F40</f>
        <v/>
      </c>
    </row>
    <row r="41">
      <c r="A41" s="5" t="inlineStr">
        <is>
          <t>NavList</t>
        </is>
      </c>
      <c r="B41" s="6">
        <f>ROWS('NavList'!A9:A153)</f>
        <v/>
      </c>
      <c r="C41" s="6">
        <f>'NavList'!D4</f>
        <v/>
      </c>
      <c r="D41" s="6">
        <f>'NavList'!F4</f>
        <v/>
      </c>
      <c r="E41" s="6">
        <f>'NavList'!H4</f>
        <v/>
      </c>
      <c r="F41" s="6">
        <f>'NavList'!J4</f>
        <v/>
      </c>
      <c r="G41" s="7">
        <f>'NavList'!B4</f>
        <v/>
      </c>
      <c r="H41" s="31">
        <f>IF(G41&gt;=1,"Done",IF(B41=0,"No tests",IF(F41+E41&gt;0,"Needs work","In progress")))</f>
        <v/>
      </c>
      <c r="I41" s="29">
        <f>E41+F41</f>
        <v/>
      </c>
    </row>
    <row r="42">
      <c r="A42" s="5" t="inlineStr">
        <is>
          <t>NavigationMenu</t>
        </is>
      </c>
      <c r="B42" s="6">
        <f>ROWS('NavigationMenu'!A9:A204)</f>
        <v/>
      </c>
      <c r="C42" s="6">
        <f>'NavigationMenu'!D4</f>
        <v/>
      </c>
      <c r="D42" s="6">
        <f>'NavigationMenu'!F4</f>
        <v/>
      </c>
      <c r="E42" s="6">
        <f>'NavigationMenu'!H4</f>
        <v/>
      </c>
      <c r="F42" s="6">
        <f>'NavigationMenu'!J4</f>
        <v/>
      </c>
      <c r="G42" s="7">
        <f>'NavigationMenu'!B4</f>
        <v/>
      </c>
      <c r="H42" s="31">
        <f>IF(G42&gt;=1,"Done",IF(B42=0,"No tests",IF(F42+E42&gt;0,"Needs work","In progress")))</f>
        <v/>
      </c>
      <c r="I42" s="29">
        <f>E42+F42</f>
        <v/>
      </c>
    </row>
    <row r="43">
      <c r="A43" s="5" t="inlineStr">
        <is>
          <t>NumberInput</t>
        </is>
      </c>
      <c r="B43" s="6">
        <f>ROWS('NumberInput'!A9:A72)</f>
        <v/>
      </c>
      <c r="C43" s="6">
        <f>'NumberInput'!D4</f>
        <v/>
      </c>
      <c r="D43" s="6">
        <f>'NumberInput'!F4</f>
        <v/>
      </c>
      <c r="E43" s="6">
        <f>'NumberInput'!H4</f>
        <v/>
      </c>
      <c r="F43" s="6">
        <f>'NumberInput'!J4</f>
        <v/>
      </c>
      <c r="G43" s="7">
        <f>'NumberInput'!B4</f>
        <v/>
      </c>
      <c r="H43" s="31">
        <f>IF(G43&gt;=1,"Done",IF(B43=0,"No tests",IF(F43+E43&gt;0,"Needs work","In progress")))</f>
        <v/>
      </c>
      <c r="I43" s="29">
        <f>E43+F43</f>
        <v/>
      </c>
    </row>
    <row r="44">
      <c r="A44" s="5" t="inlineStr">
        <is>
          <t>OTPField</t>
        </is>
      </c>
      <c r="B44" s="6">
        <f>ROWS('OTPField'!A9:A113)</f>
        <v/>
      </c>
      <c r="C44" s="6">
        <f>'OTPField'!D4</f>
        <v/>
      </c>
      <c r="D44" s="6">
        <f>'OTPField'!F4</f>
        <v/>
      </c>
      <c r="E44" s="6">
        <f>'OTPField'!H4</f>
        <v/>
      </c>
      <c r="F44" s="6">
        <f>'OTPField'!J4</f>
        <v/>
      </c>
      <c r="G44" s="7">
        <f>'OTPField'!B4</f>
        <v/>
      </c>
      <c r="H44" s="31">
        <f>IF(G44&gt;=1,"Done",IF(B44=0,"No tests",IF(F44+E44&gt;0,"Needs work","In progress")))</f>
        <v/>
      </c>
      <c r="I44" s="29">
        <f>E44+F44</f>
        <v/>
      </c>
    </row>
    <row r="45">
      <c r="A45" s="5" t="inlineStr">
        <is>
          <t>Pagination</t>
        </is>
      </c>
      <c r="B45" s="6">
        <f>ROWS('Pagination'!A9:A118)</f>
        <v/>
      </c>
      <c r="C45" s="6">
        <f>'Pagination'!D4</f>
        <v/>
      </c>
      <c r="D45" s="6">
        <f>'Pagination'!F4</f>
        <v/>
      </c>
      <c r="E45" s="6">
        <f>'Pagination'!H4</f>
        <v/>
      </c>
      <c r="F45" s="6">
        <f>'Pagination'!J4</f>
        <v/>
      </c>
      <c r="G45" s="7">
        <f>'Pagination'!B4</f>
        <v/>
      </c>
      <c r="H45" s="31">
        <f>IF(G45&gt;=1,"Done",IF(B45=0,"No tests",IF(F45+E45&gt;0,"Needs work","In progress")))</f>
        <v/>
      </c>
      <c r="I45" s="29">
        <f>E45+F45</f>
        <v/>
      </c>
    </row>
    <row r="46">
      <c r="A46" s="5" t="inlineStr">
        <is>
          <t>PasswordToggleField</t>
        </is>
      </c>
      <c r="B46" s="6">
        <f>ROWS('PasswordToggleField'!A9:A113)</f>
        <v/>
      </c>
      <c r="C46" s="6">
        <f>'PasswordToggleField'!D4</f>
        <v/>
      </c>
      <c r="D46" s="6">
        <f>'PasswordToggleField'!F4</f>
        <v/>
      </c>
      <c r="E46" s="6">
        <f>'PasswordToggleField'!H4</f>
        <v/>
      </c>
      <c r="F46" s="6">
        <f>'PasswordToggleField'!J4</f>
        <v/>
      </c>
      <c r="G46" s="7">
        <f>'PasswordToggleField'!B4</f>
        <v/>
      </c>
      <c r="H46" s="31">
        <f>IF(G46&gt;=1,"Done",IF(B46=0,"No tests",IF(F46+E46&gt;0,"Needs work","In progress")))</f>
        <v/>
      </c>
      <c r="I46" s="29">
        <f>E46+F46</f>
        <v/>
      </c>
    </row>
    <row r="47">
      <c r="A47" s="5" t="inlineStr">
        <is>
          <t>Popover</t>
        </is>
      </c>
      <c r="B47" s="6">
        <f>ROWS('Popover'!A9:A137)</f>
        <v/>
      </c>
      <c r="C47" s="6">
        <f>'Popover'!D4</f>
        <v/>
      </c>
      <c r="D47" s="6">
        <f>'Popover'!F4</f>
        <v/>
      </c>
      <c r="E47" s="6">
        <f>'Popover'!H4</f>
        <v/>
      </c>
      <c r="F47" s="6">
        <f>'Popover'!J4</f>
        <v/>
      </c>
      <c r="G47" s="7">
        <f>'Popover'!B4</f>
        <v/>
      </c>
      <c r="H47" s="31">
        <f>IF(G47&gt;=1,"Done",IF(B47=0,"No tests",IF(F47+E47&gt;0,"Needs work","In progress")))</f>
        <v/>
      </c>
      <c r="I47" s="29">
        <f>E47+F47</f>
        <v/>
      </c>
    </row>
    <row r="48">
      <c r="A48" s="5" t="inlineStr">
        <is>
          <t>Portal</t>
        </is>
      </c>
      <c r="B48" s="6">
        <f>ROWS('Portal'!A9:A29)</f>
        <v/>
      </c>
      <c r="C48" s="6">
        <f>'Portal'!D4</f>
        <v/>
      </c>
      <c r="D48" s="6">
        <f>'Portal'!F4</f>
        <v/>
      </c>
      <c r="E48" s="6">
        <f>'Portal'!H4</f>
        <v/>
      </c>
      <c r="F48" s="6">
        <f>'Portal'!J4</f>
        <v/>
      </c>
      <c r="G48" s="7">
        <f>'Portal'!B4</f>
        <v/>
      </c>
      <c r="H48" s="32">
        <f>IF(G48&gt;=1,"Done",IF(B48=0,"No tests",IF(F48+E48&gt;0,"Needs work","In progress")))</f>
        <v/>
      </c>
      <c r="I48" s="30">
        <f>E48+F48</f>
        <v/>
      </c>
    </row>
    <row r="49">
      <c r="A49" s="5" t="inlineStr">
        <is>
          <t>Pressable</t>
        </is>
      </c>
      <c r="B49" s="6">
        <f>ROWS('Pressable'!A9:A48)</f>
        <v/>
      </c>
      <c r="C49" s="6">
        <f>'Pressable'!D4</f>
        <v/>
      </c>
      <c r="D49" s="6">
        <f>'Pressable'!F4</f>
        <v/>
      </c>
      <c r="E49" s="6">
        <f>'Pressable'!H4</f>
        <v/>
      </c>
      <c r="F49" s="6">
        <f>'Pressable'!J4</f>
        <v/>
      </c>
      <c r="G49" s="7">
        <f>'Pressable'!B4</f>
        <v/>
      </c>
      <c r="H49" s="32">
        <f>IF(G49&gt;=1,"Done",IF(B49=0,"No tests",IF(F49+E49&gt;0,"Needs work","In progress")))</f>
        <v/>
      </c>
      <c r="I49" s="30">
        <f>E49+F49</f>
        <v/>
      </c>
    </row>
    <row r="50">
      <c r="A50" s="5" t="inlineStr">
        <is>
          <t>Progress</t>
        </is>
      </c>
      <c r="B50" s="6">
        <f>ROWS('Progress'!A9:A65)</f>
        <v/>
      </c>
      <c r="C50" s="6">
        <f>'Progress'!D4</f>
        <v/>
      </c>
      <c r="D50" s="6">
        <f>'Progress'!F4</f>
        <v/>
      </c>
      <c r="E50" s="6">
        <f>'Progress'!H4</f>
        <v/>
      </c>
      <c r="F50" s="6">
        <f>'Progress'!J4</f>
        <v/>
      </c>
      <c r="G50" s="7">
        <f>'Progress'!B4</f>
        <v/>
      </c>
      <c r="H50" s="32">
        <f>IF(G50&gt;=1,"Done",IF(B50=0,"No tests",IF(F50+E50&gt;0,"Needs work","In progress")))</f>
        <v/>
      </c>
      <c r="I50" s="30">
        <f>E50+F50</f>
        <v/>
      </c>
    </row>
    <row r="51">
      <c r="A51" s="5" t="inlineStr">
        <is>
          <t>RadioGroup</t>
        </is>
      </c>
      <c r="B51" s="6">
        <f>ROWS('RadioGroup'!A9:A94)</f>
        <v/>
      </c>
      <c r="C51" s="6">
        <f>'RadioGroup'!D4</f>
        <v/>
      </c>
      <c r="D51" s="6">
        <f>'RadioGroup'!F4</f>
        <v/>
      </c>
      <c r="E51" s="6">
        <f>'RadioGroup'!H4</f>
        <v/>
      </c>
      <c r="F51" s="6">
        <f>'RadioGroup'!J4</f>
        <v/>
      </c>
      <c r="G51" s="7">
        <f>'RadioGroup'!B4</f>
        <v/>
      </c>
      <c r="H51" s="31">
        <f>IF(G51&gt;=1,"Done",IF(B51=0,"No tests",IF(F51+E51&gt;0,"Needs work","In progress")))</f>
        <v/>
      </c>
      <c r="I51" s="29">
        <f>E51+F51</f>
        <v/>
      </c>
    </row>
    <row r="52">
      <c r="A52" s="5" t="inlineStr">
        <is>
          <t>Rating</t>
        </is>
      </c>
      <c r="B52" s="6">
        <f>ROWS('Rating'!A9:A105)</f>
        <v/>
      </c>
      <c r="C52" s="6">
        <f>'Rating'!D4</f>
        <v/>
      </c>
      <c r="D52" s="6">
        <f>'Rating'!F4</f>
        <v/>
      </c>
      <c r="E52" s="6">
        <f>'Rating'!H4</f>
        <v/>
      </c>
      <c r="F52" s="6">
        <f>'Rating'!J4</f>
        <v/>
      </c>
      <c r="G52" s="7">
        <f>'Rating'!B4</f>
        <v/>
      </c>
      <c r="H52" s="31">
        <f>IF(G52&gt;=1,"Done",IF(B52=0,"No tests",IF(F52+E52&gt;0,"Needs work","In progress")))</f>
        <v/>
      </c>
      <c r="I52" s="29">
        <f>E52+F52</f>
        <v/>
      </c>
    </row>
    <row r="53">
      <c r="A53" s="5" t="inlineStr">
        <is>
          <t>ScrollArea</t>
        </is>
      </c>
      <c r="B53" s="6">
        <f>ROWS('ScrollArea'!A9:A52)</f>
        <v/>
      </c>
      <c r="C53" s="6">
        <f>'ScrollArea'!D4</f>
        <v/>
      </c>
      <c r="D53" s="6">
        <f>'ScrollArea'!F4</f>
        <v/>
      </c>
      <c r="E53" s="6">
        <f>'ScrollArea'!H4</f>
        <v/>
      </c>
      <c r="F53" s="6">
        <f>'ScrollArea'!J4</f>
        <v/>
      </c>
      <c r="G53" s="7">
        <f>'ScrollArea'!B4</f>
        <v/>
      </c>
      <c r="H53" s="32">
        <f>IF(G53&gt;=1,"Done",IF(B53=0,"No tests",IF(F53+E53&gt;0,"Needs work","In progress")))</f>
        <v/>
      </c>
      <c r="I53" s="30">
        <f>E53+F53</f>
        <v/>
      </c>
    </row>
    <row r="54">
      <c r="A54" s="5" t="inlineStr">
        <is>
          <t>Select</t>
        </is>
      </c>
      <c r="B54" s="6">
        <f>ROWS('Select'!A9:A169)</f>
        <v/>
      </c>
      <c r="C54" s="6">
        <f>'Select'!D4</f>
        <v/>
      </c>
      <c r="D54" s="6">
        <f>'Select'!F4</f>
        <v/>
      </c>
      <c r="E54" s="6">
        <f>'Select'!H4</f>
        <v/>
      </c>
      <c r="F54" s="6">
        <f>'Select'!J4</f>
        <v/>
      </c>
      <c r="G54" s="7">
        <f>'Select'!B4</f>
        <v/>
      </c>
      <c r="H54" s="32">
        <f>IF(G54&gt;=1,"Done",IF(B54=0,"No tests",IF(F54+E54&gt;0,"Needs work","In progress")))</f>
        <v/>
      </c>
      <c r="I54" s="30">
        <f>E54+F54</f>
        <v/>
      </c>
    </row>
    <row r="55">
      <c r="A55" s="5" t="inlineStr">
        <is>
          <t>Sidebar</t>
        </is>
      </c>
      <c r="B55" s="6">
        <f>ROWS('Sidebar'!A9:A96)</f>
        <v/>
      </c>
      <c r="C55" s="6">
        <f>'Sidebar'!D4</f>
        <v/>
      </c>
      <c r="D55" s="6">
        <f>'Sidebar'!F4</f>
        <v/>
      </c>
      <c r="E55" s="6">
        <f>'Sidebar'!H4</f>
        <v/>
      </c>
      <c r="F55" s="6">
        <f>'Sidebar'!J4</f>
        <v/>
      </c>
      <c r="G55" s="7">
        <f>'Sidebar'!B4</f>
        <v/>
      </c>
      <c r="H55" s="31">
        <f>IF(G55&gt;=1,"Done",IF(B55=0,"No tests",IF(F55+E55&gt;0,"Needs work","In progress")))</f>
        <v/>
      </c>
      <c r="I55" s="29">
        <f>E55+F55</f>
        <v/>
      </c>
    </row>
    <row r="56">
      <c r="A56" s="5" t="inlineStr">
        <is>
          <t>SkipLink</t>
        </is>
      </c>
      <c r="B56" s="6">
        <f>ROWS('SkipLink'!A9:A48)</f>
        <v/>
      </c>
      <c r="C56" s="6">
        <f>'SkipLink'!D4</f>
        <v/>
      </c>
      <c r="D56" s="6">
        <f>'SkipLink'!F4</f>
        <v/>
      </c>
      <c r="E56" s="6">
        <f>'SkipLink'!H4</f>
        <v/>
      </c>
      <c r="F56" s="6">
        <f>'SkipLink'!J4</f>
        <v/>
      </c>
      <c r="G56" s="7">
        <f>'SkipLink'!B4</f>
        <v/>
      </c>
      <c r="H56" s="32">
        <f>IF(G56&gt;=1,"Done",IF(B56=0,"No tests",IF(F56+E56&gt;0,"Needs work","In progress")))</f>
        <v/>
      </c>
      <c r="I56" s="30">
        <f>E56+F56</f>
        <v/>
      </c>
    </row>
    <row r="57">
      <c r="A57" s="5" t="inlineStr">
        <is>
          <t>Slider</t>
        </is>
      </c>
      <c r="B57" s="6">
        <f>ROWS('Slider'!A9:A110)</f>
        <v/>
      </c>
      <c r="C57" s="6">
        <f>'Slider'!D4</f>
        <v/>
      </c>
      <c r="D57" s="6">
        <f>'Slider'!F4</f>
        <v/>
      </c>
      <c r="E57" s="6">
        <f>'Slider'!H4</f>
        <v/>
      </c>
      <c r="F57" s="6">
        <f>'Slider'!J4</f>
        <v/>
      </c>
      <c r="G57" s="7">
        <f>'Slider'!B4</f>
        <v/>
      </c>
      <c r="H57" s="31">
        <f>IF(G57&gt;=1,"Done",IF(B57=0,"No tests",IF(F57+E57&gt;0,"Needs work","In progress")))</f>
        <v/>
      </c>
      <c r="I57" s="29">
        <f>E57+F57</f>
        <v/>
      </c>
    </row>
    <row r="58">
      <c r="A58" s="5" t="inlineStr">
        <is>
          <t>SwipeableItem</t>
        </is>
      </c>
      <c r="B58" s="6">
        <f>ROWS('SwipeableItem'!A9:A111)</f>
        <v/>
      </c>
      <c r="C58" s="6">
        <f>'SwipeableItem'!D4</f>
        <v/>
      </c>
      <c r="D58" s="6">
        <f>'SwipeableItem'!F4</f>
        <v/>
      </c>
      <c r="E58" s="6">
        <f>'SwipeableItem'!H4</f>
        <v/>
      </c>
      <c r="F58" s="6">
        <f>'SwipeableItem'!J4</f>
        <v/>
      </c>
      <c r="G58" s="7">
        <f>'SwipeableItem'!B4</f>
        <v/>
      </c>
      <c r="H58" s="31">
        <f>IF(G58&gt;=1,"Done",IF(B58=0,"No tests",IF(F58+E58&gt;0,"Needs work","In progress")))</f>
        <v/>
      </c>
      <c r="I58" s="29">
        <f>E58+F58</f>
        <v/>
      </c>
    </row>
    <row r="59">
      <c r="A59" s="5" t="inlineStr">
        <is>
          <t>Switch</t>
        </is>
      </c>
      <c r="B59" s="6">
        <f>ROWS('Switch'!A9:A83)</f>
        <v/>
      </c>
      <c r="C59" s="6">
        <f>'Switch'!D4</f>
        <v/>
      </c>
      <c r="D59" s="6">
        <f>'Switch'!F4</f>
        <v/>
      </c>
      <c r="E59" s="6">
        <f>'Switch'!H4</f>
        <v/>
      </c>
      <c r="F59" s="6">
        <f>'Switch'!J4</f>
        <v/>
      </c>
      <c r="G59" s="7">
        <f>'Switch'!B4</f>
        <v/>
      </c>
      <c r="H59" s="31">
        <f>IF(G59&gt;=1,"Done",IF(B59=0,"No tests",IF(F59+E59&gt;0,"Needs work","In progress")))</f>
        <v/>
      </c>
      <c r="I59" s="29">
        <f>E59+F59</f>
        <v/>
      </c>
    </row>
    <row r="60">
      <c r="A60" s="5" t="inlineStr">
        <is>
          <t>Table</t>
        </is>
      </c>
      <c r="B60" s="6">
        <f>ROWS('Table'!A9:A84)</f>
        <v/>
      </c>
      <c r="C60" s="6">
        <f>'Table'!D4</f>
        <v/>
      </c>
      <c r="D60" s="6">
        <f>'Table'!F4</f>
        <v/>
      </c>
      <c r="E60" s="6">
        <f>'Table'!H4</f>
        <v/>
      </c>
      <c r="F60" s="6">
        <f>'Table'!J4</f>
        <v/>
      </c>
      <c r="G60" s="7">
        <f>'Table'!B4</f>
        <v/>
      </c>
      <c r="H60" s="31">
        <f>IF(G60&gt;=1,"Done",IF(B60=0,"No tests",IF(F60+E60&gt;0,"Needs work","In progress")))</f>
        <v/>
      </c>
      <c r="I60" s="29">
        <f>E60+F60</f>
        <v/>
      </c>
    </row>
    <row r="61">
      <c r="A61" s="5" t="inlineStr">
        <is>
          <t>Tabs</t>
        </is>
      </c>
      <c r="B61" s="6">
        <f>ROWS('Tabs'!A9:A108)</f>
        <v/>
      </c>
      <c r="C61" s="6">
        <f>'Tabs'!D4</f>
        <v/>
      </c>
      <c r="D61" s="6">
        <f>'Tabs'!F4</f>
        <v/>
      </c>
      <c r="E61" s="6">
        <f>'Tabs'!H4</f>
        <v/>
      </c>
      <c r="F61" s="6">
        <f>'Tabs'!J4</f>
        <v/>
      </c>
      <c r="G61" s="7">
        <f>'Tabs'!B4</f>
        <v/>
      </c>
      <c r="H61" s="31">
        <f>IF(G61&gt;=1,"Done",IF(B61=0,"No tests",IF(F61+E61&gt;0,"Needs work","In progress")))</f>
        <v/>
      </c>
      <c r="I61" s="29">
        <f>E61+F61</f>
        <v/>
      </c>
    </row>
    <row r="62">
      <c r="A62" s="5" t="inlineStr">
        <is>
          <t>Textarea</t>
        </is>
      </c>
      <c r="B62" s="6">
        <f>ROWS('Textarea'!A9:A85)</f>
        <v/>
      </c>
      <c r="C62" s="6">
        <f>'Textarea'!D4</f>
        <v/>
      </c>
      <c r="D62" s="6">
        <f>'Textarea'!F4</f>
        <v/>
      </c>
      <c r="E62" s="6">
        <f>'Textarea'!H4</f>
        <v/>
      </c>
      <c r="F62" s="6">
        <f>'Textarea'!J4</f>
        <v/>
      </c>
      <c r="G62" s="7">
        <f>'Textarea'!B4</f>
        <v/>
      </c>
      <c r="H62" s="31">
        <f>IF(G62&gt;=1,"Done",IF(B62=0,"No tests",IF(F62+E62&gt;0,"Needs work","In progress")))</f>
        <v/>
      </c>
      <c r="I62" s="29">
        <f>E62+F62</f>
        <v/>
      </c>
    </row>
    <row r="63">
      <c r="A63" s="5" t="inlineStr">
        <is>
          <t>Toast</t>
        </is>
      </c>
      <c r="B63" s="6">
        <f>ROWS('Toast'!A9:A142)</f>
        <v/>
      </c>
      <c r="C63" s="6">
        <f>'Toast'!D4</f>
        <v/>
      </c>
      <c r="D63" s="6">
        <f>'Toast'!F4</f>
        <v/>
      </c>
      <c r="E63" s="6">
        <f>'Toast'!H4</f>
        <v/>
      </c>
      <c r="F63" s="6">
        <f>'Toast'!J4</f>
        <v/>
      </c>
      <c r="G63" s="7">
        <f>'Toast'!B4</f>
        <v/>
      </c>
      <c r="H63" s="31">
        <f>IF(G63&gt;=1,"Done",IF(B63=0,"No tests",IF(F63+E63&gt;0,"Needs work","In progress")))</f>
        <v/>
      </c>
      <c r="I63" s="29">
        <f>E63+F63</f>
        <v/>
      </c>
    </row>
    <row r="64">
      <c r="A64" s="5" t="inlineStr">
        <is>
          <t>Toggle</t>
        </is>
      </c>
      <c r="B64" s="6">
        <f>ROWS('Toggle'!A9:A43)</f>
        <v/>
      </c>
      <c r="C64" s="6">
        <f>'Toggle'!D4</f>
        <v/>
      </c>
      <c r="D64" s="6">
        <f>'Toggle'!F4</f>
        <v/>
      </c>
      <c r="E64" s="6">
        <f>'Toggle'!H4</f>
        <v/>
      </c>
      <c r="F64" s="6">
        <f>'Toggle'!J4</f>
        <v/>
      </c>
      <c r="G64" s="7">
        <f>'Toggle'!B4</f>
        <v/>
      </c>
      <c r="H64" s="32">
        <f>IF(G64&gt;=1,"Done",IF(B64=0,"No tests",IF(F64+E64&gt;0,"Needs work","In progress")))</f>
        <v/>
      </c>
      <c r="I64" s="30">
        <f>E64+F64</f>
        <v/>
      </c>
    </row>
    <row r="65">
      <c r="A65" s="5" t="inlineStr">
        <is>
          <t>ToggleGroup</t>
        </is>
      </c>
      <c r="B65" s="6">
        <f>ROWS('ToggleGroup'!A9:A60)</f>
        <v/>
      </c>
      <c r="C65" s="6">
        <f>'ToggleGroup'!D4</f>
        <v/>
      </c>
      <c r="D65" s="6">
        <f>'ToggleGroup'!F4</f>
        <v/>
      </c>
      <c r="E65" s="6">
        <f>'ToggleGroup'!H4</f>
        <v/>
      </c>
      <c r="F65" s="6">
        <f>'ToggleGroup'!J4</f>
        <v/>
      </c>
      <c r="G65" s="7">
        <f>'ToggleGroup'!B4</f>
        <v/>
      </c>
      <c r="H65" s="32">
        <f>IF(G65&gt;=1,"Done",IF(B65=0,"No tests",IF(F65+E65&gt;0,"Needs work","In progress")))</f>
        <v/>
      </c>
      <c r="I65" s="30">
        <f>E65+F65</f>
        <v/>
      </c>
    </row>
    <row r="66">
      <c r="A66" s="5" t="inlineStr">
        <is>
          <t>Toolbar</t>
        </is>
      </c>
      <c r="B66" s="6">
        <f>ROWS('Toolbar'!A9:A116)</f>
        <v/>
      </c>
      <c r="C66" s="6">
        <f>'Toolbar'!D4</f>
        <v/>
      </c>
      <c r="D66" s="6">
        <f>'Toolbar'!F4</f>
        <v/>
      </c>
      <c r="E66" s="6">
        <f>'Toolbar'!H4</f>
        <v/>
      </c>
      <c r="F66" s="6">
        <f>'Toolbar'!J4</f>
        <v/>
      </c>
      <c r="G66" s="7">
        <f>'Toolbar'!B4</f>
        <v/>
      </c>
      <c r="H66" s="31">
        <f>IF(G66&gt;=1,"Done",IF(B66=0,"No tests",IF(F66+E66&gt;0,"Needs work","In progress")))</f>
        <v/>
      </c>
      <c r="I66" s="29">
        <f>E66+F66</f>
        <v/>
      </c>
    </row>
    <row r="67">
      <c r="A67" s="5" t="inlineStr">
        <is>
          <t>Tooltip</t>
        </is>
      </c>
      <c r="B67" s="6">
        <f>ROWS('Tooltip'!A9:A113)</f>
        <v/>
      </c>
      <c r="C67" s="6">
        <f>'Tooltip'!D4</f>
        <v/>
      </c>
      <c r="D67" s="6">
        <f>'Tooltip'!F4</f>
        <v/>
      </c>
      <c r="E67" s="6">
        <f>'Tooltip'!H4</f>
        <v/>
      </c>
      <c r="F67" s="6">
        <f>'Tooltip'!J4</f>
        <v/>
      </c>
      <c r="G67" s="7">
        <f>'Tooltip'!B4</f>
        <v/>
      </c>
      <c r="H67" s="31">
        <f>IF(G67&gt;=1,"Done",IF(B67=0,"No tests",IF(F67+E67&gt;0,"Needs work","In progress")))</f>
        <v/>
      </c>
      <c r="I67" s="29">
        <f>E67+F67</f>
        <v/>
      </c>
    </row>
    <row r="68">
      <c r="A68" s="5" t="inlineStr">
        <is>
          <t>Tree</t>
        </is>
      </c>
      <c r="B68" s="6">
        <f>ROWS('Tree'!A9:A109)</f>
        <v/>
      </c>
      <c r="C68" s="6">
        <f>'Tree'!D4</f>
        <v/>
      </c>
      <c r="D68" s="6">
        <f>'Tree'!F4</f>
        <v/>
      </c>
      <c r="E68" s="6">
        <f>'Tree'!H4</f>
        <v/>
      </c>
      <c r="F68" s="6">
        <f>'Tree'!J4</f>
        <v/>
      </c>
      <c r="G68" s="7">
        <f>'Tree'!B4</f>
        <v/>
      </c>
      <c r="H68" s="31">
        <f>IF(G68&gt;=1,"Done",IF(B68=0,"No tests",IF(F68+E68&gt;0,"Needs work","In progress")))</f>
        <v/>
      </c>
      <c r="I68" s="29">
        <f>E68+F68</f>
        <v/>
      </c>
    </row>
    <row r="69">
      <c r="A69" s="5" t="inlineStr">
        <is>
          <t>TreeGrid</t>
        </is>
      </c>
      <c r="B69" s="6">
        <f>ROWS('TreeGrid'!A9:A192)</f>
        <v/>
      </c>
      <c r="C69" s="6">
        <f>'TreeGrid'!D4</f>
        <v/>
      </c>
      <c r="D69" s="6">
        <f>'TreeGrid'!F4</f>
        <v/>
      </c>
      <c r="E69" s="6">
        <f>'TreeGrid'!H4</f>
        <v/>
      </c>
      <c r="F69" s="6">
        <f>'TreeGrid'!J4</f>
        <v/>
      </c>
      <c r="G69" s="7">
        <f>'TreeGrid'!B4</f>
        <v/>
      </c>
      <c r="H69" s="31">
        <f>IF(G69&gt;=1,"Done",IF(B69=0,"No tests",IF(F69+E69&gt;0,"Needs work","In progress")))</f>
        <v/>
      </c>
      <c r="I69" s="29">
        <f>E69+F69</f>
        <v/>
      </c>
    </row>
    <row r="70">
      <c r="A70" s="5" t="inlineStr">
        <is>
          <t>Virtualizer</t>
        </is>
      </c>
      <c r="B70" s="6">
        <f>ROWS('Virtualizer'!A9:A33)</f>
        <v/>
      </c>
      <c r="C70" s="6">
        <f>'Virtualizer'!D4</f>
        <v/>
      </c>
      <c r="D70" s="6">
        <f>'Virtualizer'!F4</f>
        <v/>
      </c>
      <c r="E70" s="6">
        <f>'Virtualizer'!H4</f>
        <v/>
      </c>
      <c r="F70" s="6">
        <f>'Virtualizer'!J4</f>
        <v/>
      </c>
      <c r="G70" s="7">
        <f>'Virtualizer'!B4</f>
        <v/>
      </c>
      <c r="H70" s="32">
        <f>IF(G70&gt;=1,"Done",IF(B70=0,"No tests",IF(F70+E70&gt;0,"Needs work","In progress")))</f>
        <v/>
      </c>
      <c r="I70" s="30">
        <f>E70+F70</f>
        <v/>
      </c>
    </row>
    <row r="71">
      <c r="A71" s="5" t="inlineStr">
        <is>
          <t>VisuallyHidden</t>
        </is>
      </c>
      <c r="B71" s="6">
        <f>ROWS('VisuallyHidden'!A9:A33)</f>
        <v/>
      </c>
      <c r="C71" s="6">
        <f>'VisuallyHidden'!D4</f>
        <v/>
      </c>
      <c r="D71" s="6">
        <f>'VisuallyHidden'!F4</f>
        <v/>
      </c>
      <c r="E71" s="6">
        <f>'VisuallyHidden'!H4</f>
        <v/>
      </c>
      <c r="F71" s="6">
        <f>'VisuallyHidden'!J4</f>
        <v/>
      </c>
      <c r="G71" s="7">
        <f>'VisuallyHidden'!B4</f>
        <v/>
      </c>
      <c r="H71" s="32">
        <f>IF(G71&gt;=1,"Done",IF(B71=0,"No tests",IF(F71+E71&gt;0,"Needs work","In progress")))</f>
        <v/>
      </c>
      <c r="I71" s="30">
        <f>E71+F71</f>
        <v/>
      </c>
    </row>
  </sheetData>
  <autoFilter ref="A6:I71"/>
  <mergeCells count="2">
    <mergeCell ref="A1:I1"/>
    <mergeCell ref="A2:I2"/>
  </mergeCells>
  <conditionalFormatting sqref="H7:H71">
    <cfRule type="expression" priority="1" dxfId="0">
      <formula>$H7="Done"</formula>
    </cfRule>
    <cfRule type="expression" priority="2" dxfId="1">
      <formula>$H7="Needs work"</formula>
    </cfRule>
    <cfRule type="expression" priority="3" dxfId="2">
      <formula>$H7="In progress"</formula>
    </cfRule>
    <cfRule type="expression" priority="4" dxfId="3">
      <formula>$H7="No tests"</formula>
    </cfRule>
    <cfRule type="cellIs" priority="5" operator="equal" dxfId="4">
      <formula>"Done"</formula>
    </cfRule>
    <cfRule type="cellIs" priority="6" operator="equal" dxfId="5">
      <formula>"In progress"</formula>
    </cfRule>
    <cfRule type="cellIs" priority="7" operator="equal" dxfId="6">
      <formula>"Needs work"</formula>
    </cfRule>
    <cfRule type="cellIs" priority="8" operator="equal" dxfId="7">
      <formula>"No tests"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ySplit="8" topLeftCell="A9" activePane="bottomLeft" state="frozen"/>
      <selection pane="bottomLeft" activeCell="J4" sqref="J4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Accordion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IFERROR(SUM(K9:K113)/COUNT(K9:K113),0)</f>
        <v/>
      </c>
      <c r="C4" s="8" t="inlineStr">
        <is>
          <t>Covered</t>
        </is>
      </c>
      <c r="D4" s="10">
        <f>COUNTIFS(E9:E113,"yes",F9:F113,"yes",H9:H113,"covered")</f>
        <v/>
      </c>
      <c r="E4" s="8" t="inlineStr">
        <is>
          <t>Partial</t>
        </is>
      </c>
      <c r="F4" s="10">
        <f>COUNTIF(H9:H113,"partial")</f>
        <v/>
      </c>
      <c r="G4" s="8" t="inlineStr">
        <is>
          <t>Missing</t>
        </is>
      </c>
      <c r="H4" s="10">
        <f>COUNTIFS(E9:E113,"&lt;&gt;yes") + COUNTIFS(E9:E113,"yes",H9:H113,"missing")</f>
        <v/>
      </c>
      <c r="I4" s="8" t="inlineStr">
        <is>
          <t>Untested</t>
        </is>
      </c>
      <c r="J4" s="10">
        <f>COUNTIFS(E9:E113,"yes",F9:F113,"&lt;&gt;yes") + COUNTIFS(E9:E113,"yes",F9:F113,"yes",H9:H113,"untested")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Accordion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Accordion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Accordion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Accordion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Accordion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Accordion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Accordion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Accordion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Accordion</t>
        </is>
      </c>
      <c r="D13" s="13" t="inlineStr">
        <is>
          <t>Supports single and multiple expanded items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Accordion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Accordion</t>
        </is>
      </c>
      <c r="D14" s="13" t="inlineStr">
        <is>
          <t>Supports controlled and uncontrolled state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Accordion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Accordion</t>
        </is>
      </c>
      <c r="D15" s="13" t="inlineStr">
        <is>
          <t>Supports horizontal and vertical arrow-key navigation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Accordion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Accordion</t>
        </is>
      </c>
      <c r="D16" s="13" t="inlineStr">
        <is>
          <t>Links each trigger to its content with stable ARIA IDs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Accordion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Accordion</t>
        </is>
      </c>
      <c r="D17" s="13" t="inlineStr">
        <is>
          <t>Supports mounted and unmounted closed content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Accordion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Accordion</t>
        </is>
      </c>
      <c r="D18" s="13" t="inlineStr">
        <is>
          <t>Supports `asChild` and `render` on every part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Accordion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Accordion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Accordion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Accordion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Accordion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Accordion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Accordion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asChild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Accordion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Composition</t>
        </is>
      </c>
      <c r="C26" s="13" t="inlineStr">
        <is>
          <t>Root</t>
        </is>
      </c>
      <c r="D26" s="13" t="inlineStr">
        <is>
          <t>render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Accordion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type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Accordion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value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Accordion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defaultValue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Accordion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onValueChange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Accordion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collapsible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Accordion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disabled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Accordion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orientation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Accordion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[data-slot]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Accordion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[data-orientation]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Accordion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State</t>
        </is>
      </c>
      <c r="C36" s="13" t="inlineStr">
        <is>
          <t>Root</t>
        </is>
      </c>
      <c r="D36" s="13" t="inlineStr">
        <is>
          <t>[data-disabled]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Accordion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Anatomy</t>
        </is>
      </c>
      <c r="C37" s="13" t="inlineStr">
        <is>
          <t>Trigger</t>
        </is>
      </c>
      <c r="D37" s="13" t="inlineStr">
        <is>
          <t>renders correct part when expected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Accordion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Anatomy</t>
        </is>
      </c>
      <c r="C38" s="13" t="inlineStr">
        <is>
          <t>Trigger</t>
        </is>
      </c>
      <c r="D38" s="13" t="inlineStr">
        <is>
          <t>appears in documented order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Accordion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Identity</t>
        </is>
      </c>
      <c r="C39" s="13" t="inlineStr">
        <is>
          <t>Trigger</t>
        </is>
      </c>
      <c r="D39" s="13" t="inlineStr">
        <is>
          <t>default tag is visible in Anatomy/Inspector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Accordion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Identity</t>
        </is>
      </c>
      <c r="C40" s="13" t="inlineStr">
        <is>
          <t>Trigger</t>
        </is>
      </c>
      <c r="D40" s="13" t="inlineStr">
        <is>
          <t>data-slot is present and correct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Accordion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30" customHeight="1" s="24">
      <c r="A41" s="12" t="n">
        <v>33</v>
      </c>
      <c r="B41" s="13" t="inlineStr">
        <is>
          <t>Props</t>
        </is>
      </c>
      <c r="C41" s="13" t="inlineStr">
        <is>
          <t>Trigger</t>
        </is>
      </c>
      <c r="D41" s="13" t="inlineStr">
        <is>
          <t>non-Atom native props pass through with data-prop-check marker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Accordion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Refs</t>
        </is>
      </c>
      <c r="C42" s="13" t="inlineStr">
        <is>
          <t>Trigger</t>
        </is>
      </c>
      <c r="D42" s="13" t="inlineStr">
        <is>
          <t>consumer ref receives the rendered element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Accordion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Trigger</t>
        </is>
      </c>
      <c r="D43" s="13" t="inlineStr">
        <is>
          <t>asChild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Accordion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Composition</t>
        </is>
      </c>
      <c r="C44" s="13" t="inlineStr">
        <is>
          <t>Trigger</t>
        </is>
      </c>
      <c r="D44" s="13" t="inlineStr">
        <is>
          <t>render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Accordion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Public API</t>
        </is>
      </c>
      <c r="C45" s="13" t="inlineStr">
        <is>
          <t>Trigger</t>
        </is>
      </c>
      <c r="D45" s="13" t="inlineStr">
        <is>
          <t>[data-slot]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Accordion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Public API</t>
        </is>
      </c>
      <c r="C46" s="13" t="inlineStr">
        <is>
          <t>Trigger</t>
        </is>
      </c>
      <c r="D46" s="13" t="inlineStr">
        <is>
          <t>[data-state]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Accordion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State</t>
        </is>
      </c>
      <c r="C47" s="13" t="inlineStr">
        <is>
          <t>Trigger</t>
        </is>
      </c>
      <c r="D47" s="13" t="inlineStr">
        <is>
          <t>[data-disabled]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Accordion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Anatomy</t>
        </is>
      </c>
      <c r="C48" s="13" t="inlineStr">
        <is>
          <t>Content</t>
        </is>
      </c>
      <c r="D48" s="13" t="inlineStr">
        <is>
          <t>renders correct part when expected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Accordion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Anatomy</t>
        </is>
      </c>
      <c r="C49" s="13" t="inlineStr">
        <is>
          <t>Content</t>
        </is>
      </c>
      <c r="D49" s="13" t="inlineStr">
        <is>
          <t>appears in documented order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Accordion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Identity</t>
        </is>
      </c>
      <c r="C50" s="13" t="inlineStr">
        <is>
          <t>Content</t>
        </is>
      </c>
      <c r="D50" s="13" t="inlineStr">
        <is>
          <t>default tag is visible in Anatomy/Inspector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Accordion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Identity</t>
        </is>
      </c>
      <c r="C51" s="13" t="inlineStr">
        <is>
          <t>Content</t>
        </is>
      </c>
      <c r="D51" s="13" t="inlineStr">
        <is>
          <t>data-slot is present and correct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Accordion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30" customHeight="1" s="24">
      <c r="A52" s="12" t="n">
        <v>44</v>
      </c>
      <c r="B52" s="13" t="inlineStr">
        <is>
          <t>Props</t>
        </is>
      </c>
      <c r="C52" s="13" t="inlineStr">
        <is>
          <t>Content</t>
        </is>
      </c>
      <c r="D52" s="13" t="inlineStr">
        <is>
          <t>non-Atom native props pass through with data-prop-check marker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Accordion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Refs</t>
        </is>
      </c>
      <c r="C53" s="13" t="inlineStr">
        <is>
          <t>Content</t>
        </is>
      </c>
      <c r="D53" s="13" t="inlineStr">
        <is>
          <t>consumer ref receives the rendered element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Accordion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Composition</t>
        </is>
      </c>
      <c r="C54" s="13" t="inlineStr">
        <is>
          <t>Content</t>
        </is>
      </c>
      <c r="D54" s="13" t="inlineStr">
        <is>
          <t>asChild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Accordion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Composition</t>
        </is>
      </c>
      <c r="C55" s="13" t="inlineStr">
        <is>
          <t>Content</t>
        </is>
      </c>
      <c r="D55" s="13" t="inlineStr">
        <is>
          <t>render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Accordion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Public API</t>
        </is>
      </c>
      <c r="C56" s="13" t="inlineStr">
        <is>
          <t>Content</t>
        </is>
      </c>
      <c r="D56" s="13" t="inlineStr">
        <is>
          <t>keepMounted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Accordion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Public API</t>
        </is>
      </c>
      <c r="C57" s="13" t="inlineStr">
        <is>
          <t>Content</t>
        </is>
      </c>
      <c r="D57" s="13" t="inlineStr">
        <is>
          <t>[data-slot]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Accordion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Public API</t>
        </is>
      </c>
      <c r="C58" s="13" t="inlineStr">
        <is>
          <t>Content</t>
        </is>
      </c>
      <c r="D58" s="13" t="inlineStr">
        <is>
          <t>[data-state]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Accordion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Public API</t>
        </is>
      </c>
      <c r="C59" s="13" t="inlineStr">
        <is>
          <t>Content</t>
        </is>
      </c>
      <c r="D59" s="13" t="inlineStr">
        <is>
          <t>--content-height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Accordion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Anatomy</t>
        </is>
      </c>
      <c r="C60" s="13" t="inlineStr">
        <is>
          <t>Item</t>
        </is>
      </c>
      <c r="D60" s="13" t="inlineStr">
        <is>
          <t>renders correct part when expected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Accordion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Anatomy</t>
        </is>
      </c>
      <c r="C61" s="13" t="inlineStr">
        <is>
          <t>Item</t>
        </is>
      </c>
      <c r="D61" s="13" t="inlineStr">
        <is>
          <t>appears in documented order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Accordion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Identity</t>
        </is>
      </c>
      <c r="C62" s="13" t="inlineStr">
        <is>
          <t>Item</t>
        </is>
      </c>
      <c r="D62" s="13" t="inlineStr">
        <is>
          <t>default tag is visible in Anatomy/Inspector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Accordion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Identity</t>
        </is>
      </c>
      <c r="C63" s="13" t="inlineStr">
        <is>
          <t>Item</t>
        </is>
      </c>
      <c r="D63" s="13" t="inlineStr">
        <is>
          <t>data-slot is present and correct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Accordion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30" customHeight="1" s="24">
      <c r="A64" s="12" t="n">
        <v>56</v>
      </c>
      <c r="B64" s="13" t="inlineStr">
        <is>
          <t>Props</t>
        </is>
      </c>
      <c r="C64" s="13" t="inlineStr">
        <is>
          <t>Item</t>
        </is>
      </c>
      <c r="D64" s="13" t="inlineStr">
        <is>
          <t>non-Atom native props pass through with data-prop-check marker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Accordion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Refs</t>
        </is>
      </c>
      <c r="C65" s="13" t="inlineStr">
        <is>
          <t>Item</t>
        </is>
      </c>
      <c r="D65" s="13" t="inlineStr">
        <is>
          <t>consumer ref receives the rendered element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Accordion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Composition</t>
        </is>
      </c>
      <c r="C66" s="13" t="inlineStr">
        <is>
          <t>Item</t>
        </is>
      </c>
      <c r="D66" s="13" t="inlineStr">
        <is>
          <t>asChild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Accordion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Composition</t>
        </is>
      </c>
      <c r="C67" s="13" t="inlineStr">
        <is>
          <t>Item</t>
        </is>
      </c>
      <c r="D67" s="13" t="inlineStr">
        <is>
          <t>render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Accordion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State</t>
        </is>
      </c>
      <c r="C68" s="13" t="inlineStr">
        <is>
          <t>Item</t>
        </is>
      </c>
      <c r="D68" s="13" t="inlineStr">
        <is>
          <t>value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Accordion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State</t>
        </is>
      </c>
      <c r="C69" s="13" t="inlineStr">
        <is>
          <t>Item</t>
        </is>
      </c>
      <c r="D69" s="13" t="inlineStr">
        <is>
          <t>disabled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Accordion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Item</t>
        </is>
      </c>
      <c r="D70" s="13" t="inlineStr">
        <is>
          <t>[data-slot]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Accordion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Public API</t>
        </is>
      </c>
      <c r="C71" s="13" t="inlineStr">
        <is>
          <t>Item</t>
        </is>
      </c>
      <c r="D71" s="13" t="inlineStr">
        <is>
          <t>[data-state]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Accordion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State</t>
        </is>
      </c>
      <c r="C72" s="13" t="inlineStr">
        <is>
          <t>Item</t>
        </is>
      </c>
      <c r="D72" s="13" t="inlineStr">
        <is>
          <t>[data-disabled]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Accordion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Anatomy</t>
        </is>
      </c>
      <c r="C73" s="13" t="inlineStr">
        <is>
          <t>Header</t>
        </is>
      </c>
      <c r="D73" s="13" t="inlineStr">
        <is>
          <t>renders correct part when expected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Accordion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Anatomy</t>
        </is>
      </c>
      <c r="C74" s="13" t="inlineStr">
        <is>
          <t>Header</t>
        </is>
      </c>
      <c r="D74" s="13" t="inlineStr">
        <is>
          <t>appears in documented order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Accordion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Identity</t>
        </is>
      </c>
      <c r="C75" s="13" t="inlineStr">
        <is>
          <t>Header</t>
        </is>
      </c>
      <c r="D75" s="13" t="inlineStr">
        <is>
          <t>default tag is visible in Anatomy/Inspector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Accordion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Identity</t>
        </is>
      </c>
      <c r="C76" s="13" t="inlineStr">
        <is>
          <t>Header</t>
        </is>
      </c>
      <c r="D76" s="13" t="inlineStr">
        <is>
          <t>data-slot is present and correct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Accordion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30" customHeight="1" s="24">
      <c r="A77" s="12" t="n">
        <v>69</v>
      </c>
      <c r="B77" s="13" t="inlineStr">
        <is>
          <t>Props</t>
        </is>
      </c>
      <c r="C77" s="13" t="inlineStr">
        <is>
          <t>Header</t>
        </is>
      </c>
      <c r="D77" s="13" t="inlineStr">
        <is>
          <t>non-Atom native props pass through with data-prop-check marker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Accordion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Refs</t>
        </is>
      </c>
      <c r="C78" s="13" t="inlineStr">
        <is>
          <t>Header</t>
        </is>
      </c>
      <c r="D78" s="13" t="inlineStr">
        <is>
          <t>consumer ref receives the rendered element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Accordion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Composition</t>
        </is>
      </c>
      <c r="C79" s="13" t="inlineStr">
        <is>
          <t>Header</t>
        </is>
      </c>
      <c r="D79" s="13" t="inlineStr">
        <is>
          <t>asChild prop behavior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Accordion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Composition</t>
        </is>
      </c>
      <c r="C80" s="13" t="inlineStr">
        <is>
          <t>Header</t>
        </is>
      </c>
      <c r="D80" s="13" t="inlineStr">
        <is>
          <t>render prop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Accordion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Public API</t>
        </is>
      </c>
      <c r="C81" s="13" t="inlineStr">
        <is>
          <t>Header</t>
        </is>
      </c>
      <c r="D81" s="13" t="inlineStr">
        <is>
          <t>as prop behavior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Accordion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Public API</t>
        </is>
      </c>
      <c r="C82" s="13" t="inlineStr">
        <is>
          <t>Header</t>
        </is>
      </c>
      <c r="D82" s="13" t="inlineStr">
        <is>
          <t>[data-slot] prop behavior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Accordion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ARIA</t>
        </is>
      </c>
      <c r="C83" s="13" t="inlineStr">
        <is>
          <t>Live DOM</t>
        </is>
      </c>
      <c r="D83" s="13" t="inlineStr">
        <is>
          <t>aria-controls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Accordion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ARIA</t>
        </is>
      </c>
      <c r="C84" s="13" t="inlineStr">
        <is>
          <t>Live DOM</t>
        </is>
      </c>
      <c r="D84" s="13" t="inlineStr">
        <is>
          <t>aria-disabled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Accordion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ARIA</t>
        </is>
      </c>
      <c r="C85" s="13" t="inlineStr">
        <is>
          <t>Live DOM</t>
        </is>
      </c>
      <c r="D85" s="13" t="inlineStr">
        <is>
          <t>aria-expanded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Accordion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ARIA</t>
        </is>
      </c>
      <c r="C86" s="13" t="inlineStr">
        <is>
          <t>Live DOM</t>
        </is>
      </c>
      <c r="D86" s="13" t="inlineStr">
        <is>
          <t>aria-labelledby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Accordion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Data</t>
        </is>
      </c>
      <c r="C87" s="13" t="inlineStr">
        <is>
          <t>Live DOM</t>
        </is>
      </c>
      <c r="D87" s="13" t="inlineStr">
        <is>
          <t>data-disabled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Accordion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data-orientation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Accordion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Data</t>
        </is>
      </c>
      <c r="C89" s="13" t="inlineStr">
        <is>
          <t>Live DOM</t>
        </is>
      </c>
      <c r="D89" s="13" t="inlineStr">
        <is>
          <t>data-slot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Accordion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Data</t>
        </is>
      </c>
      <c r="C90" s="13" t="inlineStr">
        <is>
          <t>Live DOM</t>
        </is>
      </c>
      <c r="D90" s="13" t="inlineStr">
        <is>
          <t>data-state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Accordion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Composition</t>
        </is>
      </c>
      <c r="C91" s="13" t="inlineStr">
        <is>
          <t>Accordion</t>
        </is>
      </c>
      <c r="D91" s="13" t="inlineStr">
        <is>
          <t>asChild preserves child content without double nesting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Accordion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Composition</t>
        </is>
      </c>
      <c r="C92" s="13" t="inlineStr">
        <is>
          <t>Accordion</t>
        </is>
      </c>
      <c r="D92" s="13" t="inlineStr">
        <is>
          <t>asChild merges Atom props and consumer props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Accordion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30" customHeight="1" s="24">
      <c r="A93" s="12" t="n">
        <v>85</v>
      </c>
      <c r="B93" s="13" t="inlineStr">
        <is>
          <t>Composition</t>
        </is>
      </c>
      <c r="C93" s="13" t="inlineStr">
        <is>
          <t>Accordion</t>
        </is>
      </c>
      <c r="D93" s="13" t="inlineStr">
        <is>
          <t>asChild lets preventDefault block Atom behavior where supported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Accordion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Composition</t>
        </is>
      </c>
      <c r="C94" s="13" t="inlineStr">
        <is>
          <t>Accordion</t>
        </is>
      </c>
      <c r="D94" s="13" t="inlineStr">
        <is>
          <t>render prop renders custom element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Accordion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Composition</t>
        </is>
      </c>
      <c r="C95" s="13" t="inlineStr">
        <is>
          <t>Accordion</t>
        </is>
      </c>
      <c r="D95" s="13" t="inlineStr">
        <is>
          <t>render prop preserves refs and behavior props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Accordion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State</t>
        </is>
      </c>
      <c r="C96" s="13" t="inlineStr">
        <is>
          <t>Root</t>
        </is>
      </c>
      <c r="D96" s="13" t="inlineStr">
        <is>
          <t>controlled state path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Accordion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State</t>
        </is>
      </c>
      <c r="C97" s="13" t="inlineStr">
        <is>
          <t>Root</t>
        </is>
      </c>
      <c r="D97" s="13" t="inlineStr">
        <is>
          <t>uncontrolled default state path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Accordion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State</t>
        </is>
      </c>
      <c r="C98" s="13" t="inlineStr">
        <is>
          <t>Root</t>
        </is>
      </c>
      <c r="D98" s="13" t="inlineStr">
        <is>
          <t>state change callback fires once with correct value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Accordion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Interaction</t>
        </is>
      </c>
      <c r="C99" s="13" t="inlineStr">
        <is>
          <t>Trigger</t>
        </is>
      </c>
      <c r="D99" s="13" t="inlineStr">
        <is>
          <t>mouse click or pointer activation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Accordion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Interaction</t>
        </is>
      </c>
      <c r="C100" s="13" t="inlineStr">
        <is>
          <t>Trigger</t>
        </is>
      </c>
      <c r="D100" s="13" t="inlineStr">
        <is>
          <t>Enter key activation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Accordion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Interaction</t>
        </is>
      </c>
      <c r="C101" s="13" t="inlineStr">
        <is>
          <t>Trigger</t>
        </is>
      </c>
      <c r="D101" s="13" t="inlineStr">
        <is>
          <t>Space key activation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Accordion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Interaction</t>
        </is>
      </c>
      <c r="C102" s="13" t="inlineStr">
        <is>
          <t>Trigger</t>
        </is>
      </c>
      <c r="D102" s="13" t="inlineStr">
        <is>
          <t>disabled trigger blocks pointer and keyboard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Accordion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Focus</t>
        </is>
      </c>
      <c r="C103" s="13" t="inlineStr">
        <is>
          <t>Trigger</t>
        </is>
      </c>
      <c r="D103" s="13" t="inlineStr">
        <is>
          <t>focus ring and focus restoration are correct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Accordion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Keyboard</t>
        </is>
      </c>
      <c r="C104" s="13" t="inlineStr">
        <is>
          <t>Accordion</t>
        </is>
      </c>
      <c r="D104" s="13" t="inlineStr">
        <is>
          <t>End behavior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Accordion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Keyboard</t>
        </is>
      </c>
      <c r="C105" s="13" t="inlineStr">
        <is>
          <t>Accordion</t>
        </is>
      </c>
      <c r="D105" s="13" t="inlineStr">
        <is>
          <t>Home behavior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Accordion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Keyboard</t>
        </is>
      </c>
      <c r="C106" s="13" t="inlineStr">
        <is>
          <t>Accordion</t>
        </is>
      </c>
      <c r="D106" s="13" t="inlineStr">
        <is>
          <t>Arrow key navigation follows documented orientation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Accordion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Keyboard</t>
        </is>
      </c>
      <c r="C107" s="13" t="inlineStr">
        <is>
          <t>Accordion</t>
        </is>
      </c>
      <c r="D107" s="13" t="inlineStr">
        <is>
          <t>Home and End navigation where supported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Accordion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Keyboard</t>
        </is>
      </c>
      <c r="C108" s="13" t="inlineStr">
        <is>
          <t>Accordion</t>
        </is>
      </c>
      <c r="D108" s="13" t="inlineStr">
        <is>
          <t>disabled items are skipped or exposed according to pattern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Accordion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Keyboard</t>
        </is>
      </c>
      <c r="C109" s="13" t="inlineStr">
        <is>
          <t>Accordion</t>
        </is>
      </c>
      <c r="D109" s="13" t="inlineStr">
        <is>
          <t>typeahead/search behavior where supported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Accordion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Focus</t>
        </is>
      </c>
      <c r="C110" s="13" t="inlineStr">
        <is>
          <t>Accordion</t>
        </is>
      </c>
      <c r="D110" s="13" t="inlineStr">
        <is>
          <t>roving focus or active descendant state is visible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Accordion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30" customHeight="1" s="24">
      <c r="A111" s="12" t="n">
        <v>103</v>
      </c>
      <c r="B111" s="13" t="inlineStr">
        <is>
          <t>Direction</t>
        </is>
      </c>
      <c r="C111" s="13" t="inlineStr">
        <is>
          <t>Root</t>
        </is>
      </c>
      <c r="D111" s="13" t="inlineStr">
        <is>
          <t>reads Direction.Provider context for horizontal keyboard navigation</t>
        </is>
      </c>
      <c r="E111" s="21" t="inlineStr">
        <is>
          <t>no</t>
        </is>
      </c>
      <c r="F111" s="19" t="inlineStr">
        <is>
          <t>no</t>
        </is>
      </c>
      <c r="G111" s="12" t="inlineStr">
        <is>
          <t>missing</t>
        </is>
      </c>
      <c r="H111" s="21" t="inlineStr">
        <is>
          <t>missing</t>
        </is>
      </c>
      <c r="I111" s="13" t="n"/>
      <c r="J111" s="13" t="inlineStr">
        <is>
          <t>Add Direction.Provider fallback before testing horizontal RTL arrows.</t>
        </is>
      </c>
      <c r="K111" s="14">
        <f>IF(AND(E111="yes",F111="yes",H111="covered"),1,IF(H111="partial",0.5,0))</f>
        <v/>
      </c>
    </row>
    <row r="112" ht="30" customHeight="1" s="24">
      <c r="A112" s="12" t="n">
        <v>104</v>
      </c>
      <c r="B112" s="13" t="inlineStr">
        <is>
          <t>Direction</t>
        </is>
      </c>
      <c r="C112" s="13" t="inlineStr">
        <is>
          <t>Root</t>
        </is>
      </c>
      <c r="D112" s="13" t="inlineStr">
        <is>
          <t>RTL mirrors horizontal ArrowLeft and ArrowRight navigation</t>
        </is>
      </c>
      <c r="E112" s="21" t="inlineStr">
        <is>
          <t>no</t>
        </is>
      </c>
      <c r="F112" s="19" t="inlineStr">
        <is>
          <t>no</t>
        </is>
      </c>
      <c r="G112" s="12" t="inlineStr">
        <is>
          <t>missing</t>
        </is>
      </c>
      <c r="H112" s="21" t="inlineStr">
        <is>
          <t>missing</t>
        </is>
      </c>
      <c r="I112" s="13" t="n"/>
      <c r="J112" s="13" t="inlineStr">
        <is>
          <t>Implement and test horizontal RTL arrow mapping.</t>
        </is>
      </c>
      <c r="K112" s="14">
        <f>IF(AND(E112="yes",F112="yes",H112="covered"),1,IF(H112="partial",0.5,0))</f>
        <v/>
      </c>
    </row>
    <row r="113" ht="30" customHeight="1" s="24">
      <c r="A113" s="12" t="n">
        <v>105</v>
      </c>
      <c r="B113" s="13" t="inlineStr">
        <is>
          <t>Playground</t>
        </is>
      </c>
      <c r="C113" s="13" t="inlineStr">
        <is>
          <t>Direction controls</t>
        </is>
      </c>
      <c r="D113" s="13" t="inlineStr">
        <is>
          <t>scenario exposes provider direction controls</t>
        </is>
      </c>
      <c r="E113" s="21" t="inlineStr">
        <is>
          <t>no</t>
        </is>
      </c>
      <c r="F113" s="19" t="inlineStr">
        <is>
          <t>no</t>
        </is>
      </c>
      <c r="G113" s="12" t="inlineStr">
        <is>
          <t>missing</t>
        </is>
      </c>
      <c r="H113" s="21" t="inlineStr">
        <is>
          <t>missing</t>
        </is>
      </c>
      <c r="I113" s="13" t="n"/>
      <c r="J113" s="13" t="inlineStr">
        <is>
          <t>Add provider direction controls to the playground scenario.</t>
        </is>
      </c>
      <c r="K113" s="14">
        <f>IF(AND(E113="yes",F113="yes",H113="covered"),1,IF(H113="partial",0.5,0))</f>
        <v/>
      </c>
    </row>
  </sheetData>
  <autoFilter ref="A8:K113"/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AlertDialog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IFERROR(SUM(K9:K174)/COUNT(K9:K174),0)</f>
        <v/>
      </c>
      <c r="C4" s="8" t="inlineStr">
        <is>
          <t>Covered</t>
        </is>
      </c>
      <c r="D4" s="10">
        <f>COUNTIFS(E9:E174,"yes",F9:F174,"yes",H9:H174,"covered")</f>
        <v/>
      </c>
      <c r="E4" s="8" t="inlineStr">
        <is>
          <t>Partial</t>
        </is>
      </c>
      <c r="F4" s="10">
        <f>COUNTIF(H9:H174,"partial")</f>
        <v/>
      </c>
      <c r="G4" s="8" t="inlineStr">
        <is>
          <t>Missing</t>
        </is>
      </c>
      <c r="H4" s="10">
        <f>COUNTIFS(E9:E174,"&lt;&gt;yes") + COUNTIFS(E9:E174,"yes",H9:H174,"missing")</f>
        <v/>
      </c>
      <c r="I4" s="8" t="inlineStr">
        <is>
          <t>Untested</t>
        </is>
      </c>
      <c r="J4" s="10">
        <f>COUNTIFS(E9:E174,"yes",F9:F174,"&lt;&gt;yes") + COUNTIFS(E9:E174,"yes",F9:F174,"yes",H9:H174,"untested")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AlertDialog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AlertDialog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AlertDialog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AlertDialog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AlertDialog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AlertDialog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AlertDialog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AlertDialog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AlertDialog</t>
        </is>
      </c>
      <c r="D13" s="13" t="inlineStr">
        <is>
          <t>Forces `role="alertdialog"` on content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AlertDialog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AlertDialog</t>
        </is>
      </c>
      <c r="D14" s="13" t="inlineStr">
        <is>
          <t>Prevents backdrop-click dismissal by design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AlertDialog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AlertDialog</t>
        </is>
      </c>
      <c r="D15" s="13" t="inlineStr">
        <is>
          <t>Trigger, portal, overlay, content, title, description, cancel, and action parts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AlertDialog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AlertDialog</t>
        </is>
      </c>
      <c r="D16" s="13" t="inlineStr">
        <is>
          <t>Cancel button autofocus by default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AlertDialog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AlertDialog</t>
        </is>
      </c>
      <c r="D17" s="13" t="inlineStr">
        <is>
          <t>Close reasons for action and cancel flows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AlertDialog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AlertDialog</t>
        </is>
      </c>
      <c r="D18" s="13" t="inlineStr">
        <is>
          <t>Focus trap, focus restore, Escape dismissal, and scroll lock inherited from Modal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AlertDialog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45" customHeight="1" s="24">
      <c r="A19" s="12" t="n">
        <v>11</v>
      </c>
      <c r="B19" s="13" t="inlineStr">
        <is>
          <t>Feature</t>
        </is>
      </c>
      <c r="C19" s="13" t="inlineStr">
        <is>
          <t>AlertDialog</t>
        </is>
      </c>
      <c r="D19" s="13" t="inlineStr">
        <is>
          <t>Stack-aware Escape dismissal so nested overlays close before the parent alert dialog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AlertDialog playground exposes dismiss/focus/portal anatomy paths; edge behavior is ready for manual verification.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renders correct part when expected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AlertDialog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Anatomy</t>
        </is>
      </c>
      <c r="C21" s="13" t="inlineStr">
        <is>
          <t>Root</t>
        </is>
      </c>
      <c r="D21" s="13" t="inlineStr">
        <is>
          <t>appears in documented order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AlertDialog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4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default tag is visible in Anatomy/Inspector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AlertDialog source/anatomy documents whether Root renders DOM; Inspector verifies rendered descendants.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45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data-slot is present and correct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AlertDialog source/anatomy documents whether Root renders DOM; Inspector verifies rendered descendants.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45" customHeight="1" s="24">
      <c r="A24" s="12" t="n">
        <v>16</v>
      </c>
      <c r="B24" s="13" t="inlineStr">
        <is>
          <t>Props</t>
        </is>
      </c>
      <c r="C24" s="13" t="inlineStr">
        <is>
          <t>Root</t>
        </is>
      </c>
      <c r="D24" s="13" t="inlineStr">
        <is>
          <t>non-Atom native props pass through with data-prop-check marker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AlertDialog source/anatomy documents whether Root renders DOM; Inspector verifies rendered descendants.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45" customHeight="1" s="24">
      <c r="A25" s="12" t="n">
        <v>17</v>
      </c>
      <c r="B25" s="13" t="inlineStr">
        <is>
          <t>Refs</t>
        </is>
      </c>
      <c r="C25" s="13" t="inlineStr">
        <is>
          <t>Root</t>
        </is>
      </c>
      <c r="D25" s="13" t="inlineStr">
        <is>
          <t>consumer ref receives the rendered element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Package tests/source review verify consumer ref plumbing for AlertDialog; playground manual pass can inspect rendered DOM behavior.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open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AlertDialog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defaultOpen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AlertDialog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onOpenChange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AlertDialog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closeOnEscape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AlertDialog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disabled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AlertDialog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keepMounted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AlertDialog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Anatomy</t>
        </is>
      </c>
      <c r="C32" s="13" t="inlineStr">
        <is>
          <t>Portal</t>
        </is>
      </c>
      <c r="D32" s="13" t="inlineStr">
        <is>
          <t>renders correct part when expected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AlertDialog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Anatomy</t>
        </is>
      </c>
      <c r="C33" s="13" t="inlineStr">
        <is>
          <t>Portal</t>
        </is>
      </c>
      <c r="D33" s="13" t="inlineStr">
        <is>
          <t>appears in documented order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AlertDialog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45" customHeight="1" s="24">
      <c r="A34" s="12" t="n">
        <v>26</v>
      </c>
      <c r="B34" s="13" t="inlineStr">
        <is>
          <t>Identity</t>
        </is>
      </c>
      <c r="C34" s="13" t="inlineStr">
        <is>
          <t>Portal</t>
        </is>
      </c>
      <c r="D34" s="13" t="inlineStr">
        <is>
          <t>default tag is visible in Anatomy/Inspector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AlertDialog source/anatomy documents whether Portal renders DOM; Inspector verifies rendered descendants.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45" customHeight="1" s="24">
      <c r="A35" s="12" t="n">
        <v>27</v>
      </c>
      <c r="B35" s="13" t="inlineStr">
        <is>
          <t>Identity</t>
        </is>
      </c>
      <c r="C35" s="13" t="inlineStr">
        <is>
          <t>Portal</t>
        </is>
      </c>
      <c r="D35" s="13" t="inlineStr">
        <is>
          <t>data-slot is present and correct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AlertDialog source/anatomy documents whether Portal renders DOM; Inspector verifies rendered descendants.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45" customHeight="1" s="24">
      <c r="A36" s="12" t="n">
        <v>28</v>
      </c>
      <c r="B36" s="13" t="inlineStr">
        <is>
          <t>Props</t>
        </is>
      </c>
      <c r="C36" s="13" t="inlineStr">
        <is>
          <t>Portal</t>
        </is>
      </c>
      <c r="D36" s="13" t="inlineStr">
        <is>
          <t>non-Atom native props pass through with data-prop-check marker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AlertDialog source/anatomy documents whether Portal renders DOM; Inspector verifies rendered descendants.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45" customHeight="1" s="24">
      <c r="A37" s="12" t="n">
        <v>29</v>
      </c>
      <c r="B37" s="13" t="inlineStr">
        <is>
          <t>Refs</t>
        </is>
      </c>
      <c r="C37" s="13" t="inlineStr">
        <is>
          <t>Portal</t>
        </is>
      </c>
      <c r="D37" s="13" t="inlineStr">
        <is>
          <t>consumer ref receives the rendered element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Package tests/source review verify consumer ref plumbing for AlertDialog; playground manual pass can inspect rendered DOM behavior.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45" customHeight="1" s="24">
      <c r="A38" s="12" t="n">
        <v>30</v>
      </c>
      <c r="B38" s="13" t="inlineStr">
        <is>
          <t>Positioning</t>
        </is>
      </c>
      <c r="C38" s="13" t="inlineStr">
        <is>
          <t>Portal</t>
        </is>
      </c>
      <c r="D38" s="13" t="inlineStr">
        <is>
          <t>container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AlertDialog playground exposes dismiss/focus/portal anatomy paths; edge behavior is ready for manual verification.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45" customHeight="1" s="24">
      <c r="A39" s="12" t="n">
        <v>31</v>
      </c>
      <c r="B39" s="13" t="inlineStr">
        <is>
          <t>State</t>
        </is>
      </c>
      <c r="C39" s="13" t="inlineStr">
        <is>
          <t>Portal</t>
        </is>
      </c>
      <c r="D39" s="13" t="inlineStr">
        <is>
          <t>disabled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AlertDialog playground exposes dismiss/focus/portal anatomy paths; edge behavior is ready for manual verification.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Anatomy</t>
        </is>
      </c>
      <c r="C40" s="13" t="inlineStr">
        <is>
          <t>Overlay</t>
        </is>
      </c>
      <c r="D40" s="13" t="inlineStr">
        <is>
          <t>renders correct part when expected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AlertDialog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Anatomy</t>
        </is>
      </c>
      <c r="C41" s="13" t="inlineStr">
        <is>
          <t>Overlay</t>
        </is>
      </c>
      <c r="D41" s="13" t="inlineStr">
        <is>
          <t>appears in documented order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AlertDialog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Identity</t>
        </is>
      </c>
      <c r="C42" s="13" t="inlineStr">
        <is>
          <t>Overlay</t>
        </is>
      </c>
      <c r="D42" s="13" t="inlineStr">
        <is>
          <t>default tag is visible in Anatomy/Inspector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AlertDialog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Identity</t>
        </is>
      </c>
      <c r="C43" s="13" t="inlineStr">
        <is>
          <t>Overlay</t>
        </is>
      </c>
      <c r="D43" s="13" t="inlineStr">
        <is>
          <t>data-slot is present and correct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AlertDialog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30" customHeight="1" s="24">
      <c r="A44" s="12" t="n">
        <v>36</v>
      </c>
      <c r="B44" s="13" t="inlineStr">
        <is>
          <t>Props</t>
        </is>
      </c>
      <c r="C44" s="13" t="inlineStr">
        <is>
          <t>Overlay</t>
        </is>
      </c>
      <c r="D44" s="13" t="inlineStr">
        <is>
          <t>non-Atom native props pass through with data-prop-check marker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AlertDialog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45" customHeight="1" s="24">
      <c r="A45" s="12" t="n">
        <v>37</v>
      </c>
      <c r="B45" s="13" t="inlineStr">
        <is>
          <t>Refs</t>
        </is>
      </c>
      <c r="C45" s="13" t="inlineStr">
        <is>
          <t>Overlay</t>
        </is>
      </c>
      <c r="D45" s="13" t="inlineStr">
        <is>
          <t>consumer ref receives the rendered element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Package tests/source review verify consumer ref plumbing for AlertDialog; playground manual pass can inspect rendered DOM behavior.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45" customHeight="1" s="24">
      <c r="A46" s="12" t="n">
        <v>38</v>
      </c>
      <c r="B46" s="13" t="inlineStr">
        <is>
          <t>State</t>
        </is>
      </c>
      <c r="C46" s="13" t="inlineStr">
        <is>
          <t>Overlay</t>
        </is>
      </c>
      <c r="D46" s="13" t="inlineStr">
        <is>
          <t>disabled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AlertDialog playground exposes dismiss/focus/portal anatomy paths; edge behavior is ready for manual verification.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Public API</t>
        </is>
      </c>
      <c r="C47" s="13" t="inlineStr">
        <is>
          <t>Overlay</t>
        </is>
      </c>
      <c r="D47" s="13" t="inlineStr">
        <is>
          <t>data-slot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AlertDialog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Overlay</t>
        </is>
      </c>
      <c r="D48" s="13" t="inlineStr">
        <is>
          <t>[data-slot]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AlertDialog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Overlay</t>
        </is>
      </c>
      <c r="D49" s="13" t="inlineStr">
        <is>
          <t>[data-state]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AlertDialog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Overlay</t>
        </is>
      </c>
      <c r="D50" s="13" t="inlineStr">
        <is>
          <t>[data-positioned]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AlertDialog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Anatomy</t>
        </is>
      </c>
      <c r="C51" s="13" t="inlineStr">
        <is>
          <t>Trigger</t>
        </is>
      </c>
      <c r="D51" s="13" t="inlineStr">
        <is>
          <t>renders correct part when expected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AlertDialog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Anatomy</t>
        </is>
      </c>
      <c r="C52" s="13" t="inlineStr">
        <is>
          <t>Trigger</t>
        </is>
      </c>
      <c r="D52" s="13" t="inlineStr">
        <is>
          <t>appears in documented order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AlertDialog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Identity</t>
        </is>
      </c>
      <c r="C53" s="13" t="inlineStr">
        <is>
          <t>Trigger</t>
        </is>
      </c>
      <c r="D53" s="13" t="inlineStr">
        <is>
          <t>default tag is visible in Anatomy/Inspector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AlertDialog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Identity</t>
        </is>
      </c>
      <c r="C54" s="13" t="inlineStr">
        <is>
          <t>Trigger</t>
        </is>
      </c>
      <c r="D54" s="13" t="inlineStr">
        <is>
          <t>data-slot is present and correct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AlertDialog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30" customHeight="1" s="24">
      <c r="A55" s="12" t="n">
        <v>47</v>
      </c>
      <c r="B55" s="13" t="inlineStr">
        <is>
          <t>Props</t>
        </is>
      </c>
      <c r="C55" s="13" t="inlineStr">
        <is>
          <t>Trigger</t>
        </is>
      </c>
      <c r="D55" s="13" t="inlineStr">
        <is>
          <t>non-Atom native props pass through with data-prop-check marker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AlertDialog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45" customHeight="1" s="24">
      <c r="A56" s="12" t="n">
        <v>48</v>
      </c>
      <c r="B56" s="13" t="inlineStr">
        <is>
          <t>Refs</t>
        </is>
      </c>
      <c r="C56" s="13" t="inlineStr">
        <is>
          <t>Trigger</t>
        </is>
      </c>
      <c r="D56" s="13" t="inlineStr">
        <is>
          <t>consumer ref receives the rendered element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Package tests/source review verify consumer ref plumbing for AlertDialog; playground manual pass can inspect rendered DOM behavior.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Composition</t>
        </is>
      </c>
      <c r="C57" s="13" t="inlineStr">
        <is>
          <t>Trigger</t>
        </is>
      </c>
      <c r="D57" s="13" t="inlineStr">
        <is>
          <t>asChild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AlertDialog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Composition</t>
        </is>
      </c>
      <c r="C58" s="13" t="inlineStr">
        <is>
          <t>Trigger</t>
        </is>
      </c>
      <c r="D58" s="13" t="inlineStr">
        <is>
          <t>render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AlertDialog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Public API</t>
        </is>
      </c>
      <c r="C59" s="13" t="inlineStr">
        <is>
          <t>Trigger</t>
        </is>
      </c>
      <c r="D59" s="13" t="inlineStr">
        <is>
          <t>data-slot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AlertDialog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Trigger</t>
        </is>
      </c>
      <c r="D60" s="13" t="inlineStr">
        <is>
          <t>[data-slot]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AlertDialog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Trigger</t>
        </is>
      </c>
      <c r="D61" s="13" t="inlineStr">
        <is>
          <t>[data-state]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AlertDialog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State</t>
        </is>
      </c>
      <c r="C62" s="13" t="inlineStr">
        <is>
          <t>Trigger</t>
        </is>
      </c>
      <c r="D62" s="13" t="inlineStr">
        <is>
          <t>[data-disabled]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AlertDialog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Anatomy</t>
        </is>
      </c>
      <c r="C63" s="13" t="inlineStr">
        <is>
          <t>Content</t>
        </is>
      </c>
      <c r="D63" s="13" t="inlineStr">
        <is>
          <t>renders correct part when expected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AlertDialog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Content</t>
        </is>
      </c>
      <c r="D64" s="13" t="inlineStr">
        <is>
          <t>appears in documented order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AlertDialog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Identity</t>
        </is>
      </c>
      <c r="C65" s="13" t="inlineStr">
        <is>
          <t>Content</t>
        </is>
      </c>
      <c r="D65" s="13" t="inlineStr">
        <is>
          <t>default tag is visible in Anatomy/Inspector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AlertDialog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Content</t>
        </is>
      </c>
      <c r="D66" s="13" t="inlineStr">
        <is>
          <t>data-slot is present and correct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AlertDialog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30" customHeight="1" s="24">
      <c r="A67" s="12" t="n">
        <v>59</v>
      </c>
      <c r="B67" s="13" t="inlineStr">
        <is>
          <t>Props</t>
        </is>
      </c>
      <c r="C67" s="13" t="inlineStr">
        <is>
          <t>Content</t>
        </is>
      </c>
      <c r="D67" s="13" t="inlineStr">
        <is>
          <t>non-Atom native props pass through with data-prop-check marker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AlertDialog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45" customHeight="1" s="24">
      <c r="A68" s="12" t="n">
        <v>60</v>
      </c>
      <c r="B68" s="13" t="inlineStr">
        <is>
          <t>Refs</t>
        </is>
      </c>
      <c r="C68" s="13" t="inlineStr">
        <is>
          <t>Content</t>
        </is>
      </c>
      <c r="D68" s="13" t="inlineStr">
        <is>
          <t>consumer ref receives the rendered element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Package tests/source review verify consumer ref plumbing for AlertDialog; playground manual pass can inspect rendered DOM behavior.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Accessibility</t>
        </is>
      </c>
      <c r="C69" s="13" t="inlineStr">
        <is>
          <t>Content</t>
        </is>
      </c>
      <c r="D69" s="13" t="inlineStr">
        <is>
          <t>ariaLabel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AlertDialog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Content</t>
        </is>
      </c>
      <c r="D70" s="13" t="inlineStr">
        <is>
          <t>data-slot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AlertDialog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Public API</t>
        </is>
      </c>
      <c r="C71" s="13" t="inlineStr">
        <is>
          <t>Content</t>
        </is>
      </c>
      <c r="D71" s="13" t="inlineStr">
        <is>
          <t>[data-slot]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AlertDialog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Content</t>
        </is>
      </c>
      <c r="D72" s="13" t="inlineStr">
        <is>
          <t>[data-state]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AlertDialog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Content</t>
        </is>
      </c>
      <c r="D73" s="13" t="inlineStr">
        <is>
          <t>[data-positioned]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AlertDialog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Anatomy</t>
        </is>
      </c>
      <c r="C74" s="13" t="inlineStr">
        <is>
          <t>Title</t>
        </is>
      </c>
      <c r="D74" s="13" t="inlineStr">
        <is>
          <t>renders correct part when expected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AlertDialog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Anatomy</t>
        </is>
      </c>
      <c r="C75" s="13" t="inlineStr">
        <is>
          <t>Title</t>
        </is>
      </c>
      <c r="D75" s="13" t="inlineStr">
        <is>
          <t>appears in documented order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AlertDialog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Identity</t>
        </is>
      </c>
      <c r="C76" s="13" t="inlineStr">
        <is>
          <t>Title</t>
        </is>
      </c>
      <c r="D76" s="13" t="inlineStr">
        <is>
          <t>default tag is visible in Anatomy/Inspector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AlertDialog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Identity</t>
        </is>
      </c>
      <c r="C77" s="13" t="inlineStr">
        <is>
          <t>Title</t>
        </is>
      </c>
      <c r="D77" s="13" t="inlineStr">
        <is>
          <t>data-slot is present and correct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AlertDialog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30" customHeight="1" s="24">
      <c r="A78" s="12" t="n">
        <v>70</v>
      </c>
      <c r="B78" s="13" t="inlineStr">
        <is>
          <t>Props</t>
        </is>
      </c>
      <c r="C78" s="13" t="inlineStr">
        <is>
          <t>Title</t>
        </is>
      </c>
      <c r="D78" s="13" t="inlineStr">
        <is>
          <t>non-Atom native props pass through with data-prop-check marker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AlertDialog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45" customHeight="1" s="24">
      <c r="A79" s="12" t="n">
        <v>71</v>
      </c>
      <c r="B79" s="13" t="inlineStr">
        <is>
          <t>Refs</t>
        </is>
      </c>
      <c r="C79" s="13" t="inlineStr">
        <is>
          <t>Title</t>
        </is>
      </c>
      <c r="D79" s="13" t="inlineStr">
        <is>
          <t>consumer ref receives the rendered element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Package tests/source review verify consumer ref plumbing for AlertDialog; playground manual pass can inspect rendered DOM behavior.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Public API</t>
        </is>
      </c>
      <c r="C80" s="13" t="inlineStr">
        <is>
          <t>Title</t>
        </is>
      </c>
      <c r="D80" s="13" t="inlineStr">
        <is>
          <t>as prop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AlertDialog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Public API</t>
        </is>
      </c>
      <c r="C81" s="13" t="inlineStr">
        <is>
          <t>Title</t>
        </is>
      </c>
      <c r="D81" s="13" t="inlineStr">
        <is>
          <t>data-slot prop behavior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AlertDialog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Anatomy</t>
        </is>
      </c>
      <c r="C82" s="13" t="inlineStr">
        <is>
          <t>Description</t>
        </is>
      </c>
      <c r="D82" s="13" t="inlineStr">
        <is>
          <t>renders correct part when expected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AlertDialog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Anatomy</t>
        </is>
      </c>
      <c r="C83" s="13" t="inlineStr">
        <is>
          <t>Description</t>
        </is>
      </c>
      <c r="D83" s="13" t="inlineStr">
        <is>
          <t>appears in documented order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AlertDialog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Identity</t>
        </is>
      </c>
      <c r="C84" s="13" t="inlineStr">
        <is>
          <t>Description</t>
        </is>
      </c>
      <c r="D84" s="13" t="inlineStr">
        <is>
          <t>default tag is visible in Anatomy/Inspector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AlertDialog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Identity</t>
        </is>
      </c>
      <c r="C85" s="13" t="inlineStr">
        <is>
          <t>Description</t>
        </is>
      </c>
      <c r="D85" s="13" t="inlineStr">
        <is>
          <t>data-slot is present and correct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AlertDialog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30" customHeight="1" s="24">
      <c r="A86" s="12" t="n">
        <v>78</v>
      </c>
      <c r="B86" s="13" t="inlineStr">
        <is>
          <t>Props</t>
        </is>
      </c>
      <c r="C86" s="13" t="inlineStr">
        <is>
          <t>Description</t>
        </is>
      </c>
      <c r="D86" s="13" t="inlineStr">
        <is>
          <t>non-Atom native props pass through with data-prop-check marker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AlertDialog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45" customHeight="1" s="24">
      <c r="A87" s="12" t="n">
        <v>79</v>
      </c>
      <c r="B87" s="13" t="inlineStr">
        <is>
          <t>Refs</t>
        </is>
      </c>
      <c r="C87" s="13" t="inlineStr">
        <is>
          <t>Description</t>
        </is>
      </c>
      <c r="D87" s="13" t="inlineStr">
        <is>
          <t>consumer ref receives the rendered element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Package tests/source review verify consumer ref plumbing for AlertDialog; playground manual pass can inspect rendered DOM behavior.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Public API</t>
        </is>
      </c>
      <c r="C88" s="13" t="inlineStr">
        <is>
          <t>Description</t>
        </is>
      </c>
      <c r="D88" s="13" t="inlineStr">
        <is>
          <t>data-slot prop behavior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AlertDialog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Anatomy</t>
        </is>
      </c>
      <c r="C89" s="13" t="inlineStr">
        <is>
          <t>Action</t>
        </is>
      </c>
      <c r="D89" s="13" t="inlineStr">
        <is>
          <t>renders correct part when expected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AlertDialog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Anatomy</t>
        </is>
      </c>
      <c r="C90" s="13" t="inlineStr">
        <is>
          <t>Action</t>
        </is>
      </c>
      <c r="D90" s="13" t="inlineStr">
        <is>
          <t>appears in documented order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AlertDialog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Identity</t>
        </is>
      </c>
      <c r="C91" s="13" t="inlineStr">
        <is>
          <t>Action</t>
        </is>
      </c>
      <c r="D91" s="13" t="inlineStr">
        <is>
          <t>default tag is visible in Anatomy/Inspector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AlertDialog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Identity</t>
        </is>
      </c>
      <c r="C92" s="13" t="inlineStr">
        <is>
          <t>Action</t>
        </is>
      </c>
      <c r="D92" s="13" t="inlineStr">
        <is>
          <t>data-slot is present and correct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AlertDialog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30" customHeight="1" s="24">
      <c r="A93" s="12" t="n">
        <v>85</v>
      </c>
      <c r="B93" s="13" t="inlineStr">
        <is>
          <t>Props</t>
        </is>
      </c>
      <c r="C93" s="13" t="inlineStr">
        <is>
          <t>Action</t>
        </is>
      </c>
      <c r="D93" s="13" t="inlineStr">
        <is>
          <t>non-Atom native props pass through with data-prop-check marker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AlertDialog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45" customHeight="1" s="24">
      <c r="A94" s="12" t="n">
        <v>86</v>
      </c>
      <c r="B94" s="13" t="inlineStr">
        <is>
          <t>Refs</t>
        </is>
      </c>
      <c r="C94" s="13" t="inlineStr">
        <is>
          <t>Action</t>
        </is>
      </c>
      <c r="D94" s="13" t="inlineStr">
        <is>
          <t>consumer ref receives the rendered element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Package tests/source review verify consumer ref plumbing for AlertDialog; playground manual pass can inspect rendered DOM behavior.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Composition</t>
        </is>
      </c>
      <c r="C95" s="13" t="inlineStr">
        <is>
          <t>Action</t>
        </is>
      </c>
      <c r="D95" s="13" t="inlineStr">
        <is>
          <t>asChild prop behavior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AlertDialog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Composition</t>
        </is>
      </c>
      <c r="C96" s="13" t="inlineStr">
        <is>
          <t>Action</t>
        </is>
      </c>
      <c r="D96" s="13" t="inlineStr">
        <is>
          <t>render prop behavior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AlertDialog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Public API</t>
        </is>
      </c>
      <c r="C97" s="13" t="inlineStr">
        <is>
          <t>Action</t>
        </is>
      </c>
      <c r="D97" s="13" t="inlineStr">
        <is>
          <t>data-slot prop behavior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AlertDialog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Anatomy</t>
        </is>
      </c>
      <c r="C98" s="13" t="inlineStr">
        <is>
          <t>Cancel</t>
        </is>
      </c>
      <c r="D98" s="13" t="inlineStr">
        <is>
          <t>renders correct part when expected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AlertDialog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Anatomy</t>
        </is>
      </c>
      <c r="C99" s="13" t="inlineStr">
        <is>
          <t>Cancel</t>
        </is>
      </c>
      <c r="D99" s="13" t="inlineStr">
        <is>
          <t>appears in documented order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AlertDialog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Identity</t>
        </is>
      </c>
      <c r="C100" s="13" t="inlineStr">
        <is>
          <t>Cancel</t>
        </is>
      </c>
      <c r="D100" s="13" t="inlineStr">
        <is>
          <t>default tag is visible in Anatomy/Inspector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AlertDialog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Identity</t>
        </is>
      </c>
      <c r="C101" s="13" t="inlineStr">
        <is>
          <t>Cancel</t>
        </is>
      </c>
      <c r="D101" s="13" t="inlineStr">
        <is>
          <t>data-slot is present and correct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AlertDialog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30" customHeight="1" s="24">
      <c r="A102" s="12" t="n">
        <v>94</v>
      </c>
      <c r="B102" s="13" t="inlineStr">
        <is>
          <t>Props</t>
        </is>
      </c>
      <c r="C102" s="13" t="inlineStr">
        <is>
          <t>Cancel</t>
        </is>
      </c>
      <c r="D102" s="13" t="inlineStr">
        <is>
          <t>non-Atom native props pass through with data-prop-check marker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AlertDialog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45" customHeight="1" s="24">
      <c r="A103" s="12" t="n">
        <v>95</v>
      </c>
      <c r="B103" s="13" t="inlineStr">
        <is>
          <t>Refs</t>
        </is>
      </c>
      <c r="C103" s="13" t="inlineStr">
        <is>
          <t>Cancel</t>
        </is>
      </c>
      <c r="D103" s="13" t="inlineStr">
        <is>
          <t>consumer ref receives the rendered element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Package tests/source review verify consumer ref plumbing for AlertDialog; playground manual pass can inspect rendered DOM behavior.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Composition</t>
        </is>
      </c>
      <c r="C104" s="13" t="inlineStr">
        <is>
          <t>Cancel</t>
        </is>
      </c>
      <c r="D104" s="13" t="inlineStr">
        <is>
          <t>asChild prop behavior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AlertDialog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Composition</t>
        </is>
      </c>
      <c r="C105" s="13" t="inlineStr">
        <is>
          <t>Cancel</t>
        </is>
      </c>
      <c r="D105" s="13" t="inlineStr">
        <is>
          <t>render prop behavior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AlertDialog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Public API</t>
        </is>
      </c>
      <c r="C106" s="13" t="inlineStr">
        <is>
          <t>Cancel</t>
        </is>
      </c>
      <c r="D106" s="13" t="inlineStr">
        <is>
          <t>autoFocus prop behavior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AlertDialog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Public API</t>
        </is>
      </c>
      <c r="C107" s="13" t="inlineStr">
        <is>
          <t>Cancel</t>
        </is>
      </c>
      <c r="D107" s="13" t="inlineStr">
        <is>
          <t>data-slot prop behavior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AlertDialog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45" customHeight="1" s="24">
      <c r="A108" s="12" t="n">
        <v>100</v>
      </c>
      <c r="B108" s="13" t="inlineStr">
        <is>
          <t>Anatomy</t>
        </is>
      </c>
      <c r="C108" s="13" t="inlineStr">
        <is>
          <t>DialogAction</t>
        </is>
      </c>
      <c r="D108" s="13" t="inlineStr">
        <is>
          <t>renders correct part when expected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AlertDialog playground uses user-facing anatomy names while covering the matching AlertDialog part.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45" customHeight="1" s="24">
      <c r="A109" s="12" t="n">
        <v>101</v>
      </c>
      <c r="B109" s="13" t="inlineStr">
        <is>
          <t>Anatomy</t>
        </is>
      </c>
      <c r="C109" s="13" t="inlineStr">
        <is>
          <t>DialogAction</t>
        </is>
      </c>
      <c r="D109" s="13" t="inlineStr">
        <is>
          <t>appears in documented order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AlertDialog playground uses user-facing anatomy names while covering the matching AlertDialog part.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45" customHeight="1" s="24">
      <c r="A110" s="12" t="n">
        <v>102</v>
      </c>
      <c r="B110" s="13" t="inlineStr">
        <is>
          <t>Identity</t>
        </is>
      </c>
      <c r="C110" s="13" t="inlineStr">
        <is>
          <t>DialogAction</t>
        </is>
      </c>
      <c r="D110" s="13" t="inlineStr">
        <is>
          <t>default tag is visible in Anatomy/Inspector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AlertDialog playground uses user-facing anatomy names while covering the matching AlertDialog part.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45" customHeight="1" s="24">
      <c r="A111" s="12" t="n">
        <v>103</v>
      </c>
      <c r="B111" s="13" t="inlineStr">
        <is>
          <t>Identity</t>
        </is>
      </c>
      <c r="C111" s="13" t="inlineStr">
        <is>
          <t>DialogAction</t>
        </is>
      </c>
      <c r="D111" s="13" t="inlineStr">
        <is>
          <t>data-slot is present and correct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AlertDialog playground uses user-facing anatomy names while covering the matching AlertDialog part.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45" customHeight="1" s="24">
      <c r="A112" s="12" t="n">
        <v>104</v>
      </c>
      <c r="B112" s="13" t="inlineStr">
        <is>
          <t>Props</t>
        </is>
      </c>
      <c r="C112" s="13" t="inlineStr">
        <is>
          <t>DialogAction</t>
        </is>
      </c>
      <c r="D112" s="13" t="inlineStr">
        <is>
          <t>non-Atom native props pass through with data-prop-check marker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AlertDialog playground uses user-facing anatomy names while covering the matching AlertDialog part.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45" customHeight="1" s="24">
      <c r="A113" s="12" t="n">
        <v>105</v>
      </c>
      <c r="B113" s="13" t="inlineStr">
        <is>
          <t>Refs</t>
        </is>
      </c>
      <c r="C113" s="13" t="inlineStr">
        <is>
          <t>DialogAction</t>
        </is>
      </c>
      <c r="D113" s="13" t="inlineStr">
        <is>
          <t>consumer ref receives the rendered element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Package tests/source review verify consumer ref plumbing for AlertDialog; playground manual pass can inspect rendered DOM behavior.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45" customHeight="1" s="24">
      <c r="A114" s="12" t="n">
        <v>106</v>
      </c>
      <c r="B114" s="13" t="inlineStr">
        <is>
          <t>Anatomy</t>
        </is>
      </c>
      <c r="C114" s="13" t="inlineStr">
        <is>
          <t>DialogCancel</t>
        </is>
      </c>
      <c r="D114" s="13" t="inlineStr">
        <is>
          <t>renders correct part when expected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AlertDialog playground uses user-facing anatomy names while covering the matching AlertDialog part.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45" customHeight="1" s="24">
      <c r="A115" s="12" t="n">
        <v>107</v>
      </c>
      <c r="B115" s="13" t="inlineStr">
        <is>
          <t>Anatomy</t>
        </is>
      </c>
      <c r="C115" s="13" t="inlineStr">
        <is>
          <t>DialogCancel</t>
        </is>
      </c>
      <c r="D115" s="13" t="inlineStr">
        <is>
          <t>appears in documented order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AlertDialog playground uses user-facing anatomy names while covering the matching AlertDialog part.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45" customHeight="1" s="24">
      <c r="A116" s="12" t="n">
        <v>108</v>
      </c>
      <c r="B116" s="13" t="inlineStr">
        <is>
          <t>Identity</t>
        </is>
      </c>
      <c r="C116" s="13" t="inlineStr">
        <is>
          <t>DialogCancel</t>
        </is>
      </c>
      <c r="D116" s="13" t="inlineStr">
        <is>
          <t>default tag is visible in Anatomy/Inspector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AlertDialog playground uses user-facing anatomy names while covering the matching AlertDialog part.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45" customHeight="1" s="24">
      <c r="A117" s="12" t="n">
        <v>109</v>
      </c>
      <c r="B117" s="13" t="inlineStr">
        <is>
          <t>Identity</t>
        </is>
      </c>
      <c r="C117" s="13" t="inlineStr">
        <is>
          <t>DialogCancel</t>
        </is>
      </c>
      <c r="D117" s="13" t="inlineStr">
        <is>
          <t>data-slot is present and correct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AlertDialog playground uses user-facing anatomy names while covering the matching AlertDialog part.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45" customHeight="1" s="24">
      <c r="A118" s="12" t="n">
        <v>110</v>
      </c>
      <c r="B118" s="13" t="inlineStr">
        <is>
          <t>Props</t>
        </is>
      </c>
      <c r="C118" s="13" t="inlineStr">
        <is>
          <t>DialogCancel</t>
        </is>
      </c>
      <c r="D118" s="13" t="inlineStr">
        <is>
          <t>non-Atom native props pass through with data-prop-check marker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AlertDialog playground uses user-facing anatomy names while covering the matching AlertDialog part.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45" customHeight="1" s="24">
      <c r="A119" s="12" t="n">
        <v>111</v>
      </c>
      <c r="B119" s="13" t="inlineStr">
        <is>
          <t>Refs</t>
        </is>
      </c>
      <c r="C119" s="13" t="inlineStr">
        <is>
          <t>DialogCancel</t>
        </is>
      </c>
      <c r="D119" s="13" t="inlineStr">
        <is>
          <t>consumer ref receives the rendered element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Package tests/source review verify consumer ref plumbing for AlertDialog; playground manual pass can inspect rendered DOM behavior.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45" customHeight="1" s="24">
      <c r="A120" s="12" t="n">
        <v>112</v>
      </c>
      <c r="B120" s="13" t="inlineStr">
        <is>
          <t>Anatomy</t>
        </is>
      </c>
      <c r="C120" s="13" t="inlineStr">
        <is>
          <t>DialogContent</t>
        </is>
      </c>
      <c r="D120" s="13" t="inlineStr">
        <is>
          <t>renders correct part when expected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AlertDialog playground uses user-facing anatomy names while covering the matching AlertDialog part.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45" customHeight="1" s="24">
      <c r="A121" s="12" t="n">
        <v>113</v>
      </c>
      <c r="B121" s="13" t="inlineStr">
        <is>
          <t>Anatomy</t>
        </is>
      </c>
      <c r="C121" s="13" t="inlineStr">
        <is>
          <t>DialogContent</t>
        </is>
      </c>
      <c r="D121" s="13" t="inlineStr">
        <is>
          <t>appears in documented order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AlertDialog playground uses user-facing anatomy names while covering the matching AlertDialog part.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45" customHeight="1" s="24">
      <c r="A122" s="12" t="n">
        <v>114</v>
      </c>
      <c r="B122" s="13" t="inlineStr">
        <is>
          <t>Identity</t>
        </is>
      </c>
      <c r="C122" s="13" t="inlineStr">
        <is>
          <t>DialogContent</t>
        </is>
      </c>
      <c r="D122" s="13" t="inlineStr">
        <is>
          <t>default tag is visible in Anatomy/Inspector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AlertDialog playground uses user-facing anatomy names while covering the matching AlertDialog part.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45" customHeight="1" s="24">
      <c r="A123" s="12" t="n">
        <v>115</v>
      </c>
      <c r="B123" s="13" t="inlineStr">
        <is>
          <t>Identity</t>
        </is>
      </c>
      <c r="C123" s="13" t="inlineStr">
        <is>
          <t>DialogContent</t>
        </is>
      </c>
      <c r="D123" s="13" t="inlineStr">
        <is>
          <t>data-slot is present and correct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AlertDialog playground uses user-facing anatomy names while covering the matching AlertDialog part.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45" customHeight="1" s="24">
      <c r="A124" s="12" t="n">
        <v>116</v>
      </c>
      <c r="B124" s="13" t="inlineStr">
        <is>
          <t>Props</t>
        </is>
      </c>
      <c r="C124" s="13" t="inlineStr">
        <is>
          <t>DialogContent</t>
        </is>
      </c>
      <c r="D124" s="13" t="inlineStr">
        <is>
          <t>non-Atom native props pass through with data-prop-check marker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AlertDialog playground uses user-facing anatomy names while covering the matching AlertDialog part.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45" customHeight="1" s="24">
      <c r="A125" s="12" t="n">
        <v>117</v>
      </c>
      <c r="B125" s="13" t="inlineStr">
        <is>
          <t>Refs</t>
        </is>
      </c>
      <c r="C125" s="13" t="inlineStr">
        <is>
          <t>DialogContent</t>
        </is>
      </c>
      <c r="D125" s="13" t="inlineStr">
        <is>
          <t>consumer ref receives the rendered element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Package tests/source review verify consumer ref plumbing for AlertDialog; playground manual pass can inspect rendered DOM behavior.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45" customHeight="1" s="24">
      <c r="A126" s="12" t="n">
        <v>118</v>
      </c>
      <c r="B126" s="13" t="inlineStr">
        <is>
          <t>Anatomy</t>
        </is>
      </c>
      <c r="C126" s="13" t="inlineStr">
        <is>
          <t>DialogDescription</t>
        </is>
      </c>
      <c r="D126" s="13" t="inlineStr">
        <is>
          <t>renders correct part when expected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AlertDialog playground uses user-facing anatomy names while covering the matching AlertDialog part.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45" customHeight="1" s="24">
      <c r="A127" s="12" t="n">
        <v>119</v>
      </c>
      <c r="B127" s="13" t="inlineStr">
        <is>
          <t>Anatomy</t>
        </is>
      </c>
      <c r="C127" s="13" t="inlineStr">
        <is>
          <t>DialogDescription</t>
        </is>
      </c>
      <c r="D127" s="13" t="inlineStr">
        <is>
          <t>appears in documented order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AlertDialog playground uses user-facing anatomy names while covering the matching AlertDialog part.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45" customHeight="1" s="24">
      <c r="A128" s="12" t="n">
        <v>120</v>
      </c>
      <c r="B128" s="13" t="inlineStr">
        <is>
          <t>Identity</t>
        </is>
      </c>
      <c r="C128" s="13" t="inlineStr">
        <is>
          <t>DialogDescription</t>
        </is>
      </c>
      <c r="D128" s="13" t="inlineStr">
        <is>
          <t>default tag is visible in Anatomy/Inspector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AlertDialog playground uses user-facing anatomy names while covering the matching AlertDialog part.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45" customHeight="1" s="24">
      <c r="A129" s="12" t="n">
        <v>121</v>
      </c>
      <c r="B129" s="13" t="inlineStr">
        <is>
          <t>Identity</t>
        </is>
      </c>
      <c r="C129" s="13" t="inlineStr">
        <is>
          <t>DialogDescription</t>
        </is>
      </c>
      <c r="D129" s="13" t="inlineStr">
        <is>
          <t>data-slot is present and correct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AlertDialog playground uses user-facing anatomy names while covering the matching AlertDialog part.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45" customHeight="1" s="24">
      <c r="A130" s="12" t="n">
        <v>122</v>
      </c>
      <c r="B130" s="13" t="inlineStr">
        <is>
          <t>Props</t>
        </is>
      </c>
      <c r="C130" s="13" t="inlineStr">
        <is>
          <t>DialogDescription</t>
        </is>
      </c>
      <c r="D130" s="13" t="inlineStr">
        <is>
          <t>non-Atom native props pass through with data-prop-check marker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AlertDialog playground uses user-facing anatomy names while covering the matching AlertDialog part.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45" customHeight="1" s="24">
      <c r="A131" s="12" t="n">
        <v>123</v>
      </c>
      <c r="B131" s="13" t="inlineStr">
        <is>
          <t>Refs</t>
        </is>
      </c>
      <c r="C131" s="13" t="inlineStr">
        <is>
          <t>DialogDescription</t>
        </is>
      </c>
      <c r="D131" s="13" t="inlineStr">
        <is>
          <t>consumer ref receives the rendered element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Package tests/source review verify consumer ref plumbing for AlertDialog; playground manual pass can inspect rendered DOM behavior.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45" customHeight="1" s="24">
      <c r="A132" s="12" t="n">
        <v>124</v>
      </c>
      <c r="B132" s="13" t="inlineStr">
        <is>
          <t>Anatomy</t>
        </is>
      </c>
      <c r="C132" s="13" t="inlineStr">
        <is>
          <t>DialogOverlay</t>
        </is>
      </c>
      <c r="D132" s="13" t="inlineStr">
        <is>
          <t>renders correct part when expected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AlertDialog playground uses user-facing anatomy names while covering the matching AlertDialog part.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45" customHeight="1" s="24">
      <c r="A133" s="12" t="n">
        <v>125</v>
      </c>
      <c r="B133" s="13" t="inlineStr">
        <is>
          <t>Anatomy</t>
        </is>
      </c>
      <c r="C133" s="13" t="inlineStr">
        <is>
          <t>DialogOverlay</t>
        </is>
      </c>
      <c r="D133" s="13" t="inlineStr">
        <is>
          <t>appears in documented order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AlertDialog playground uses user-facing anatomy names while covering the matching AlertDialog part.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45" customHeight="1" s="24">
      <c r="A134" s="12" t="n">
        <v>126</v>
      </c>
      <c r="B134" s="13" t="inlineStr">
        <is>
          <t>Identity</t>
        </is>
      </c>
      <c r="C134" s="13" t="inlineStr">
        <is>
          <t>DialogOverlay</t>
        </is>
      </c>
      <c r="D134" s="13" t="inlineStr">
        <is>
          <t>default tag is visible in Anatomy/Inspector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AlertDialog playground uses user-facing anatomy names while covering the matching AlertDialog part.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45" customHeight="1" s="24">
      <c r="A135" s="12" t="n">
        <v>127</v>
      </c>
      <c r="B135" s="13" t="inlineStr">
        <is>
          <t>Identity</t>
        </is>
      </c>
      <c r="C135" s="13" t="inlineStr">
        <is>
          <t>DialogOverlay</t>
        </is>
      </c>
      <c r="D135" s="13" t="inlineStr">
        <is>
          <t>data-slot is present and correct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AlertDialog playground uses user-facing anatomy names while covering the matching AlertDialog part.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45" customHeight="1" s="24">
      <c r="A136" s="12" t="n">
        <v>128</v>
      </c>
      <c r="B136" s="13" t="inlineStr">
        <is>
          <t>Props</t>
        </is>
      </c>
      <c r="C136" s="13" t="inlineStr">
        <is>
          <t>DialogOverlay</t>
        </is>
      </c>
      <c r="D136" s="13" t="inlineStr">
        <is>
          <t>non-Atom native props pass through with data-prop-check marker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AlertDialog playground uses user-facing anatomy names while covering the matching AlertDialog part.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45" customHeight="1" s="24">
      <c r="A137" s="12" t="n">
        <v>129</v>
      </c>
      <c r="B137" s="13" t="inlineStr">
        <is>
          <t>Refs</t>
        </is>
      </c>
      <c r="C137" s="13" t="inlineStr">
        <is>
          <t>DialogOverlay</t>
        </is>
      </c>
      <c r="D137" s="13" t="inlineStr">
        <is>
          <t>consumer ref receives the rendered element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Package tests/source review verify consumer ref plumbing for AlertDialog; playground manual pass can inspect rendered DOM behavior.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45" customHeight="1" s="24">
      <c r="A138" s="12" t="n">
        <v>130</v>
      </c>
      <c r="B138" s="13" t="inlineStr">
        <is>
          <t>Anatomy</t>
        </is>
      </c>
      <c r="C138" s="13" t="inlineStr">
        <is>
          <t>DialogPortal</t>
        </is>
      </c>
      <c r="D138" s="13" t="inlineStr">
        <is>
          <t>renders correct part when expected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AlertDialog playground uses user-facing anatomy names while covering the matching AlertDialog part.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45" customHeight="1" s="24">
      <c r="A139" s="12" t="n">
        <v>131</v>
      </c>
      <c r="B139" s="13" t="inlineStr">
        <is>
          <t>Anatomy</t>
        </is>
      </c>
      <c r="C139" s="13" t="inlineStr">
        <is>
          <t>DialogPortal</t>
        </is>
      </c>
      <c r="D139" s="13" t="inlineStr">
        <is>
          <t>appears in documented order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AlertDialog playground uses user-facing anatomy names while covering the matching AlertDialog part.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45" customHeight="1" s="24">
      <c r="A140" s="12" t="n">
        <v>132</v>
      </c>
      <c r="B140" s="13" t="inlineStr">
        <is>
          <t>Identity</t>
        </is>
      </c>
      <c r="C140" s="13" t="inlineStr">
        <is>
          <t>DialogPortal</t>
        </is>
      </c>
      <c r="D140" s="13" t="inlineStr">
        <is>
          <t>default tag is visible in Anatomy/Inspector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AlertDialog playground uses user-facing anatomy names while covering the matching AlertDialog part.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45" customHeight="1" s="24">
      <c r="A141" s="12" t="n">
        <v>133</v>
      </c>
      <c r="B141" s="13" t="inlineStr">
        <is>
          <t>Identity</t>
        </is>
      </c>
      <c r="C141" s="13" t="inlineStr">
        <is>
          <t>DialogPortal</t>
        </is>
      </c>
      <c r="D141" s="13" t="inlineStr">
        <is>
          <t>data-slot is present and correct</t>
        </is>
      </c>
      <c r="E141" s="18" t="inlineStr">
        <is>
          <t>yes</t>
        </is>
      </c>
      <c r="F141" s="19" t="inlineStr">
        <is>
          <t>no</t>
        </is>
      </c>
      <c r="G141" s="12" t="inlineStr">
        <is>
          <t>ready for manual test</t>
        </is>
      </c>
      <c r="H141" s="20" t="inlineStr">
        <is>
          <t>untested</t>
        </is>
      </c>
      <c r="I141" s="13" t="inlineStr">
        <is>
          <t>AlertDialog playground uses user-facing anatomy names while covering the matching AlertDialog part.</t>
        </is>
      </c>
      <c r="J141" s="13" t="inlineStr">
        <is>
          <t>Manual verification needed.</t>
        </is>
      </c>
      <c r="K141" s="14">
        <f>IF(AND(E141="yes",F141="yes",H141="covered"),1,IF(H141="partial",0.5,0))</f>
        <v/>
      </c>
    </row>
    <row r="142" ht="45" customHeight="1" s="24">
      <c r="A142" s="12" t="n">
        <v>134</v>
      </c>
      <c r="B142" s="13" t="inlineStr">
        <is>
          <t>Props</t>
        </is>
      </c>
      <c r="C142" s="13" t="inlineStr">
        <is>
          <t>DialogPortal</t>
        </is>
      </c>
      <c r="D142" s="13" t="inlineStr">
        <is>
          <t>non-Atom native props pass through with data-prop-check marker</t>
        </is>
      </c>
      <c r="E142" s="18" t="inlineStr">
        <is>
          <t>yes</t>
        </is>
      </c>
      <c r="F142" s="19" t="inlineStr">
        <is>
          <t>no</t>
        </is>
      </c>
      <c r="G142" s="12" t="inlineStr">
        <is>
          <t>ready for manual test</t>
        </is>
      </c>
      <c r="H142" s="20" t="inlineStr">
        <is>
          <t>untested</t>
        </is>
      </c>
      <c r="I142" s="13" t="inlineStr">
        <is>
          <t>AlertDialog playground uses user-facing anatomy names while covering the matching AlertDialog part.</t>
        </is>
      </c>
      <c r="J142" s="13" t="inlineStr">
        <is>
          <t>Manual verification needed.</t>
        </is>
      </c>
      <c r="K142" s="14">
        <f>IF(AND(E142="yes",F142="yes",H142="covered"),1,IF(H142="partial",0.5,0))</f>
        <v/>
      </c>
    </row>
    <row r="143" ht="45" customHeight="1" s="24">
      <c r="A143" s="12" t="n">
        <v>135</v>
      </c>
      <c r="B143" s="13" t="inlineStr">
        <is>
          <t>Refs</t>
        </is>
      </c>
      <c r="C143" s="13" t="inlineStr">
        <is>
          <t>DialogPortal</t>
        </is>
      </c>
      <c r="D143" s="13" t="inlineStr">
        <is>
          <t>consumer ref receives the rendered element</t>
        </is>
      </c>
      <c r="E143" s="18" t="inlineStr">
        <is>
          <t>yes</t>
        </is>
      </c>
      <c r="F143" s="19" t="inlineStr">
        <is>
          <t>no</t>
        </is>
      </c>
      <c r="G143" s="12" t="inlineStr">
        <is>
          <t>ready for manual test</t>
        </is>
      </c>
      <c r="H143" s="20" t="inlineStr">
        <is>
          <t>untested</t>
        </is>
      </c>
      <c r="I143" s="13" t="inlineStr">
        <is>
          <t>Package tests/source review verify consumer ref plumbing for AlertDialog; playground manual pass can inspect rendered DOM behavior.</t>
        </is>
      </c>
      <c r="J143" s="13" t="inlineStr">
        <is>
          <t>Manual verification needed.</t>
        </is>
      </c>
      <c r="K143" s="14">
        <f>IF(AND(E143="yes",F143="yes",H143="covered"),1,IF(H143="partial",0.5,0))</f>
        <v/>
      </c>
    </row>
    <row r="144" ht="45" customHeight="1" s="24">
      <c r="A144" s="12" t="n">
        <v>136</v>
      </c>
      <c r="B144" s="13" t="inlineStr">
        <is>
          <t>Anatomy</t>
        </is>
      </c>
      <c r="C144" s="13" t="inlineStr">
        <is>
          <t>DialogTitle</t>
        </is>
      </c>
      <c r="D144" s="13" t="inlineStr">
        <is>
          <t>renders correct part when expected</t>
        </is>
      </c>
      <c r="E144" s="18" t="inlineStr">
        <is>
          <t>yes</t>
        </is>
      </c>
      <c r="F144" s="19" t="inlineStr">
        <is>
          <t>no</t>
        </is>
      </c>
      <c r="G144" s="12" t="inlineStr">
        <is>
          <t>ready for manual test</t>
        </is>
      </c>
      <c r="H144" s="20" t="inlineStr">
        <is>
          <t>untested</t>
        </is>
      </c>
      <c r="I144" s="13" t="inlineStr">
        <is>
          <t>AlertDialog playground uses user-facing anatomy names while covering the matching AlertDialog part.</t>
        </is>
      </c>
      <c r="J144" s="13" t="inlineStr">
        <is>
          <t>Manual verification needed.</t>
        </is>
      </c>
      <c r="K144" s="14">
        <f>IF(AND(E144="yes",F144="yes",H144="covered"),1,IF(H144="partial",0.5,0))</f>
        <v/>
      </c>
    </row>
    <row r="145" ht="45" customHeight="1" s="24">
      <c r="A145" s="12" t="n">
        <v>137</v>
      </c>
      <c r="B145" s="13" t="inlineStr">
        <is>
          <t>Anatomy</t>
        </is>
      </c>
      <c r="C145" s="13" t="inlineStr">
        <is>
          <t>DialogTitle</t>
        </is>
      </c>
      <c r="D145" s="13" t="inlineStr">
        <is>
          <t>appears in documented order</t>
        </is>
      </c>
      <c r="E145" s="18" t="inlineStr">
        <is>
          <t>yes</t>
        </is>
      </c>
      <c r="F145" s="19" t="inlineStr">
        <is>
          <t>no</t>
        </is>
      </c>
      <c r="G145" s="12" t="inlineStr">
        <is>
          <t>ready for manual test</t>
        </is>
      </c>
      <c r="H145" s="20" t="inlineStr">
        <is>
          <t>untested</t>
        </is>
      </c>
      <c r="I145" s="13" t="inlineStr">
        <is>
          <t>AlertDialog playground uses user-facing anatomy names while covering the matching AlertDialog part.</t>
        </is>
      </c>
      <c r="J145" s="13" t="inlineStr">
        <is>
          <t>Manual verification needed.</t>
        </is>
      </c>
      <c r="K145" s="14">
        <f>IF(AND(E145="yes",F145="yes",H145="covered"),1,IF(H145="partial",0.5,0))</f>
        <v/>
      </c>
    </row>
    <row r="146" ht="45" customHeight="1" s="24">
      <c r="A146" s="12" t="n">
        <v>138</v>
      </c>
      <c r="B146" s="13" t="inlineStr">
        <is>
          <t>Identity</t>
        </is>
      </c>
      <c r="C146" s="13" t="inlineStr">
        <is>
          <t>DialogTitle</t>
        </is>
      </c>
      <c r="D146" s="13" t="inlineStr">
        <is>
          <t>default tag is visible in Anatomy/Inspector</t>
        </is>
      </c>
      <c r="E146" s="18" t="inlineStr">
        <is>
          <t>yes</t>
        </is>
      </c>
      <c r="F146" s="19" t="inlineStr">
        <is>
          <t>no</t>
        </is>
      </c>
      <c r="G146" s="12" t="inlineStr">
        <is>
          <t>ready for manual test</t>
        </is>
      </c>
      <c r="H146" s="20" t="inlineStr">
        <is>
          <t>untested</t>
        </is>
      </c>
      <c r="I146" s="13" t="inlineStr">
        <is>
          <t>AlertDialog playground uses user-facing anatomy names while covering the matching AlertDialog part.</t>
        </is>
      </c>
      <c r="J146" s="13" t="inlineStr">
        <is>
          <t>Manual verification needed.</t>
        </is>
      </c>
      <c r="K146" s="14">
        <f>IF(AND(E146="yes",F146="yes",H146="covered"),1,IF(H146="partial",0.5,0))</f>
        <v/>
      </c>
    </row>
    <row r="147" ht="45" customHeight="1" s="24">
      <c r="A147" s="12" t="n">
        <v>139</v>
      </c>
      <c r="B147" s="13" t="inlineStr">
        <is>
          <t>Identity</t>
        </is>
      </c>
      <c r="C147" s="13" t="inlineStr">
        <is>
          <t>DialogTitle</t>
        </is>
      </c>
      <c r="D147" s="13" t="inlineStr">
        <is>
          <t>data-slot is present and correct</t>
        </is>
      </c>
      <c r="E147" s="18" t="inlineStr">
        <is>
          <t>yes</t>
        </is>
      </c>
      <c r="F147" s="19" t="inlineStr">
        <is>
          <t>no</t>
        </is>
      </c>
      <c r="G147" s="12" t="inlineStr">
        <is>
          <t>ready for manual test</t>
        </is>
      </c>
      <c r="H147" s="20" t="inlineStr">
        <is>
          <t>untested</t>
        </is>
      </c>
      <c r="I147" s="13" t="inlineStr">
        <is>
          <t>AlertDialog playground uses user-facing anatomy names while covering the matching AlertDialog part.</t>
        </is>
      </c>
      <c r="J147" s="13" t="inlineStr">
        <is>
          <t>Manual verification needed.</t>
        </is>
      </c>
      <c r="K147" s="14">
        <f>IF(AND(E147="yes",F147="yes",H147="covered"),1,IF(H147="partial",0.5,0))</f>
        <v/>
      </c>
    </row>
    <row r="148" ht="45" customHeight="1" s="24">
      <c r="A148" s="12" t="n">
        <v>140</v>
      </c>
      <c r="B148" s="13" t="inlineStr">
        <is>
          <t>Props</t>
        </is>
      </c>
      <c r="C148" s="13" t="inlineStr">
        <is>
          <t>DialogTitle</t>
        </is>
      </c>
      <c r="D148" s="13" t="inlineStr">
        <is>
          <t>non-Atom native props pass through with data-prop-check marker</t>
        </is>
      </c>
      <c r="E148" s="18" t="inlineStr">
        <is>
          <t>yes</t>
        </is>
      </c>
      <c r="F148" s="19" t="inlineStr">
        <is>
          <t>no</t>
        </is>
      </c>
      <c r="G148" s="12" t="inlineStr">
        <is>
          <t>ready for manual test</t>
        </is>
      </c>
      <c r="H148" s="20" t="inlineStr">
        <is>
          <t>untested</t>
        </is>
      </c>
      <c r="I148" s="13" t="inlineStr">
        <is>
          <t>AlertDialog playground uses user-facing anatomy names while covering the matching AlertDialog part.</t>
        </is>
      </c>
      <c r="J148" s="13" t="inlineStr">
        <is>
          <t>Manual verification needed.</t>
        </is>
      </c>
      <c r="K148" s="14">
        <f>IF(AND(E148="yes",F148="yes",H148="covered"),1,IF(H148="partial",0.5,0))</f>
        <v/>
      </c>
    </row>
    <row r="149" ht="45" customHeight="1" s="24">
      <c r="A149" s="12" t="n">
        <v>141</v>
      </c>
      <c r="B149" s="13" t="inlineStr">
        <is>
          <t>Refs</t>
        </is>
      </c>
      <c r="C149" s="13" t="inlineStr">
        <is>
          <t>DialogTitle</t>
        </is>
      </c>
      <c r="D149" s="13" t="inlineStr">
        <is>
          <t>consumer ref receives the rendered element</t>
        </is>
      </c>
      <c r="E149" s="18" t="inlineStr">
        <is>
          <t>yes</t>
        </is>
      </c>
      <c r="F149" s="19" t="inlineStr">
        <is>
          <t>no</t>
        </is>
      </c>
      <c r="G149" s="12" t="inlineStr">
        <is>
          <t>ready for manual test</t>
        </is>
      </c>
      <c r="H149" s="20" t="inlineStr">
        <is>
          <t>untested</t>
        </is>
      </c>
      <c r="I149" s="13" t="inlineStr">
        <is>
          <t>Package tests/source review verify consumer ref plumbing for AlertDialog; playground manual pass can inspect rendered DOM behavior.</t>
        </is>
      </c>
      <c r="J149" s="13" t="inlineStr">
        <is>
          <t>Manual verification needed.</t>
        </is>
      </c>
      <c r="K149" s="14">
        <f>IF(AND(E149="yes",F149="yes",H149="covered"),1,IF(H149="partial",0.5,0))</f>
        <v/>
      </c>
    </row>
    <row r="150" ht="45" customHeight="1" s="24">
      <c r="A150" s="12" t="n">
        <v>142</v>
      </c>
      <c r="B150" s="13" t="inlineStr">
        <is>
          <t>Anatomy</t>
        </is>
      </c>
      <c r="C150" s="13" t="inlineStr">
        <is>
          <t>DialogTrigger</t>
        </is>
      </c>
      <c r="D150" s="13" t="inlineStr">
        <is>
          <t>renders correct part when expected</t>
        </is>
      </c>
      <c r="E150" s="18" t="inlineStr">
        <is>
          <t>yes</t>
        </is>
      </c>
      <c r="F150" s="19" t="inlineStr">
        <is>
          <t>no</t>
        </is>
      </c>
      <c r="G150" s="12" t="inlineStr">
        <is>
          <t>ready for manual test</t>
        </is>
      </c>
      <c r="H150" s="20" t="inlineStr">
        <is>
          <t>untested</t>
        </is>
      </c>
      <c r="I150" s="13" t="inlineStr">
        <is>
          <t>AlertDialog playground uses user-facing anatomy names while covering the matching AlertDialog part.</t>
        </is>
      </c>
      <c r="J150" s="13" t="inlineStr">
        <is>
          <t>Manual verification needed.</t>
        </is>
      </c>
      <c r="K150" s="14">
        <f>IF(AND(E150="yes",F150="yes",H150="covered"),1,IF(H150="partial",0.5,0))</f>
        <v/>
      </c>
    </row>
    <row r="151" ht="45" customHeight="1" s="24">
      <c r="A151" s="12" t="n">
        <v>143</v>
      </c>
      <c r="B151" s="13" t="inlineStr">
        <is>
          <t>Anatomy</t>
        </is>
      </c>
      <c r="C151" s="13" t="inlineStr">
        <is>
          <t>DialogTrigger</t>
        </is>
      </c>
      <c r="D151" s="13" t="inlineStr">
        <is>
          <t>appears in documented order</t>
        </is>
      </c>
      <c r="E151" s="18" t="inlineStr">
        <is>
          <t>yes</t>
        </is>
      </c>
      <c r="F151" s="19" t="inlineStr">
        <is>
          <t>no</t>
        </is>
      </c>
      <c r="G151" s="12" t="inlineStr">
        <is>
          <t>ready for manual test</t>
        </is>
      </c>
      <c r="H151" s="20" t="inlineStr">
        <is>
          <t>untested</t>
        </is>
      </c>
      <c r="I151" s="13" t="inlineStr">
        <is>
          <t>AlertDialog playground uses user-facing anatomy names while covering the matching AlertDialog part.</t>
        </is>
      </c>
      <c r="J151" s="13" t="inlineStr">
        <is>
          <t>Manual verification needed.</t>
        </is>
      </c>
      <c r="K151" s="14">
        <f>IF(AND(E151="yes",F151="yes",H151="covered"),1,IF(H151="partial",0.5,0))</f>
        <v/>
      </c>
    </row>
    <row r="152" ht="45" customHeight="1" s="24">
      <c r="A152" s="12" t="n">
        <v>144</v>
      </c>
      <c r="B152" s="13" t="inlineStr">
        <is>
          <t>Identity</t>
        </is>
      </c>
      <c r="C152" s="13" t="inlineStr">
        <is>
          <t>DialogTrigger</t>
        </is>
      </c>
      <c r="D152" s="13" t="inlineStr">
        <is>
          <t>default tag is visible in Anatomy/Inspector</t>
        </is>
      </c>
      <c r="E152" s="18" t="inlineStr">
        <is>
          <t>yes</t>
        </is>
      </c>
      <c r="F152" s="19" t="inlineStr">
        <is>
          <t>no</t>
        </is>
      </c>
      <c r="G152" s="12" t="inlineStr">
        <is>
          <t>ready for manual test</t>
        </is>
      </c>
      <c r="H152" s="20" t="inlineStr">
        <is>
          <t>untested</t>
        </is>
      </c>
      <c r="I152" s="13" t="inlineStr">
        <is>
          <t>AlertDialog playground uses user-facing anatomy names while covering the matching AlertDialog part.</t>
        </is>
      </c>
      <c r="J152" s="13" t="inlineStr">
        <is>
          <t>Manual verification needed.</t>
        </is>
      </c>
      <c r="K152" s="14">
        <f>IF(AND(E152="yes",F152="yes",H152="covered"),1,IF(H152="partial",0.5,0))</f>
        <v/>
      </c>
    </row>
    <row r="153" ht="45" customHeight="1" s="24">
      <c r="A153" s="12" t="n">
        <v>145</v>
      </c>
      <c r="B153" s="13" t="inlineStr">
        <is>
          <t>Identity</t>
        </is>
      </c>
      <c r="C153" s="13" t="inlineStr">
        <is>
          <t>DialogTrigger</t>
        </is>
      </c>
      <c r="D153" s="13" t="inlineStr">
        <is>
          <t>data-slot is present and correct</t>
        </is>
      </c>
      <c r="E153" s="18" t="inlineStr">
        <is>
          <t>yes</t>
        </is>
      </c>
      <c r="F153" s="19" t="inlineStr">
        <is>
          <t>no</t>
        </is>
      </c>
      <c r="G153" s="12" t="inlineStr">
        <is>
          <t>ready for manual test</t>
        </is>
      </c>
      <c r="H153" s="20" t="inlineStr">
        <is>
          <t>untested</t>
        </is>
      </c>
      <c r="I153" s="13" t="inlineStr">
        <is>
          <t>AlertDialog playground uses user-facing anatomy names while covering the matching AlertDialog part.</t>
        </is>
      </c>
      <c r="J153" s="13" t="inlineStr">
        <is>
          <t>Manual verification needed.</t>
        </is>
      </c>
      <c r="K153" s="14">
        <f>IF(AND(E153="yes",F153="yes",H153="covered"),1,IF(H153="partial",0.5,0))</f>
        <v/>
      </c>
    </row>
    <row r="154" ht="45" customHeight="1" s="24">
      <c r="A154" s="12" t="n">
        <v>146</v>
      </c>
      <c r="B154" s="13" t="inlineStr">
        <is>
          <t>Props</t>
        </is>
      </c>
      <c r="C154" s="13" t="inlineStr">
        <is>
          <t>DialogTrigger</t>
        </is>
      </c>
      <c r="D154" s="13" t="inlineStr">
        <is>
          <t>non-Atom native props pass through with data-prop-check marker</t>
        </is>
      </c>
      <c r="E154" s="18" t="inlineStr">
        <is>
          <t>yes</t>
        </is>
      </c>
      <c r="F154" s="19" t="inlineStr">
        <is>
          <t>no</t>
        </is>
      </c>
      <c r="G154" s="12" t="inlineStr">
        <is>
          <t>ready for manual test</t>
        </is>
      </c>
      <c r="H154" s="20" t="inlineStr">
        <is>
          <t>untested</t>
        </is>
      </c>
      <c r="I154" s="13" t="inlineStr">
        <is>
          <t>AlertDialog playground uses user-facing anatomy names while covering the matching AlertDialog part.</t>
        </is>
      </c>
      <c r="J154" s="13" t="inlineStr">
        <is>
          <t>Manual verification needed.</t>
        </is>
      </c>
      <c r="K154" s="14">
        <f>IF(AND(E154="yes",F154="yes",H154="covered"),1,IF(H154="partial",0.5,0))</f>
        <v/>
      </c>
    </row>
    <row r="155" ht="45" customHeight="1" s="24">
      <c r="A155" s="12" t="n">
        <v>147</v>
      </c>
      <c r="B155" s="13" t="inlineStr">
        <is>
          <t>Refs</t>
        </is>
      </c>
      <c r="C155" s="13" t="inlineStr">
        <is>
          <t>DialogTrigger</t>
        </is>
      </c>
      <c r="D155" s="13" t="inlineStr">
        <is>
          <t>consumer ref receives the rendered element</t>
        </is>
      </c>
      <c r="E155" s="18" t="inlineStr">
        <is>
          <t>yes</t>
        </is>
      </c>
      <c r="F155" s="19" t="inlineStr">
        <is>
          <t>no</t>
        </is>
      </c>
      <c r="G155" s="12" t="inlineStr">
        <is>
          <t>ready for manual test</t>
        </is>
      </c>
      <c r="H155" s="20" t="inlineStr">
        <is>
          <t>untested</t>
        </is>
      </c>
      <c r="I155" s="13" t="inlineStr">
        <is>
          <t>Package tests/source review verify consumer ref plumbing for AlertDialog; playground manual pass can inspect rendered DOM behavior.</t>
        </is>
      </c>
      <c r="J155" s="13" t="inlineStr">
        <is>
          <t>Manual verification needed.</t>
        </is>
      </c>
      <c r="K155" s="14">
        <f>IF(AND(E155="yes",F155="yes",H155="covered"),1,IF(H155="partial",0.5,0))</f>
        <v/>
      </c>
    </row>
    <row r="156" ht="15" customHeight="1" s="24">
      <c r="A156" s="12" t="n">
        <v>148</v>
      </c>
      <c r="B156" s="13" t="inlineStr">
        <is>
          <t>Data</t>
        </is>
      </c>
      <c r="C156" s="13" t="inlineStr">
        <is>
          <t>Live DOM</t>
        </is>
      </c>
      <c r="D156" s="13" t="inlineStr">
        <is>
          <t>data-slot is present at the correct time</t>
        </is>
      </c>
      <c r="E156" s="18" t="inlineStr">
        <is>
          <t>yes</t>
        </is>
      </c>
      <c r="F156" s="19" t="inlineStr">
        <is>
          <t>no</t>
        </is>
      </c>
      <c r="G156" s="12" t="inlineStr">
        <is>
          <t>ready for manual test</t>
        </is>
      </c>
      <c r="H156" s="20" t="inlineStr">
        <is>
          <t>untested</t>
        </is>
      </c>
      <c r="I156" s="13" t="inlineStr">
        <is>
          <t>AlertDialog playground scenario.</t>
        </is>
      </c>
      <c r="J156" s="13" t="inlineStr">
        <is>
          <t>Manual verification needed.</t>
        </is>
      </c>
      <c r="K156" s="14">
        <f>IF(AND(E156="yes",F156="yes",H156="covered"),1,IF(H156="partial",0.5,0))</f>
        <v/>
      </c>
    </row>
    <row r="157" ht="15" customHeight="1" s="24">
      <c r="A157" s="12" t="n">
        <v>149</v>
      </c>
      <c r="B157" s="13" t="inlineStr">
        <is>
          <t>Composition</t>
        </is>
      </c>
      <c r="C157" s="13" t="inlineStr">
        <is>
          <t>AlertDialog</t>
        </is>
      </c>
      <c r="D157" s="13" t="inlineStr">
        <is>
          <t>asChild preserves child content without double nesting</t>
        </is>
      </c>
      <c r="E157" s="18" t="inlineStr">
        <is>
          <t>yes</t>
        </is>
      </c>
      <c r="F157" s="19" t="inlineStr">
        <is>
          <t>no</t>
        </is>
      </c>
      <c r="G157" s="12" t="inlineStr">
        <is>
          <t>ready for manual test</t>
        </is>
      </c>
      <c r="H157" s="20" t="inlineStr">
        <is>
          <t>untested</t>
        </is>
      </c>
      <c r="I157" s="13" t="inlineStr">
        <is>
          <t>AlertDialog playground scenario.</t>
        </is>
      </c>
      <c r="J157" s="13" t="inlineStr">
        <is>
          <t>Manual verification needed.</t>
        </is>
      </c>
      <c r="K157" s="14">
        <f>IF(AND(E157="yes",F157="yes",H157="covered"),1,IF(H157="partial",0.5,0))</f>
        <v/>
      </c>
    </row>
    <row r="158" ht="15" customHeight="1" s="24">
      <c r="A158" s="12" t="n">
        <v>150</v>
      </c>
      <c r="B158" s="13" t="inlineStr">
        <is>
          <t>Composition</t>
        </is>
      </c>
      <c r="C158" s="13" t="inlineStr">
        <is>
          <t>AlertDialog</t>
        </is>
      </c>
      <c r="D158" s="13" t="inlineStr">
        <is>
          <t>asChild merges Atom props and consumer props</t>
        </is>
      </c>
      <c r="E158" s="18" t="inlineStr">
        <is>
          <t>yes</t>
        </is>
      </c>
      <c r="F158" s="19" t="inlineStr">
        <is>
          <t>no</t>
        </is>
      </c>
      <c r="G158" s="12" t="inlineStr">
        <is>
          <t>ready for manual test</t>
        </is>
      </c>
      <c r="H158" s="20" t="inlineStr">
        <is>
          <t>untested</t>
        </is>
      </c>
      <c r="I158" s="13" t="inlineStr">
        <is>
          <t>AlertDialog playground scenario.</t>
        </is>
      </c>
      <c r="J158" s="13" t="inlineStr">
        <is>
          <t>Manual verification needed.</t>
        </is>
      </c>
      <c r="K158" s="14">
        <f>IF(AND(E158="yes",F158="yes",H158="covered"),1,IF(H158="partial",0.5,0))</f>
        <v/>
      </c>
    </row>
    <row r="159" ht="30" customHeight="1" s="24">
      <c r="A159" s="12" t="n">
        <v>151</v>
      </c>
      <c r="B159" s="13" t="inlineStr">
        <is>
          <t>Composition</t>
        </is>
      </c>
      <c r="C159" s="13" t="inlineStr">
        <is>
          <t>AlertDialog</t>
        </is>
      </c>
      <c r="D159" s="13" t="inlineStr">
        <is>
          <t>asChild lets preventDefault block Atom behavior where supported</t>
        </is>
      </c>
      <c r="E159" s="18" t="inlineStr">
        <is>
          <t>yes</t>
        </is>
      </c>
      <c r="F159" s="19" t="inlineStr">
        <is>
          <t>no</t>
        </is>
      </c>
      <c r="G159" s="12" t="inlineStr">
        <is>
          <t>ready for manual test</t>
        </is>
      </c>
      <c r="H159" s="20" t="inlineStr">
        <is>
          <t>untested</t>
        </is>
      </c>
      <c r="I159" s="13" t="inlineStr">
        <is>
          <t>AlertDialog playground scenario.</t>
        </is>
      </c>
      <c r="J159" s="13" t="inlineStr">
        <is>
          <t>Manual verification needed.</t>
        </is>
      </c>
      <c r="K159" s="14">
        <f>IF(AND(E159="yes",F159="yes",H159="covered"),1,IF(H159="partial",0.5,0))</f>
        <v/>
      </c>
    </row>
    <row r="160" ht="15" customHeight="1" s="24">
      <c r="A160" s="12" t="n">
        <v>152</v>
      </c>
      <c r="B160" s="13" t="inlineStr">
        <is>
          <t>Composition</t>
        </is>
      </c>
      <c r="C160" s="13" t="inlineStr">
        <is>
          <t>AlertDialog</t>
        </is>
      </c>
      <c r="D160" s="13" t="inlineStr">
        <is>
          <t>render prop renders custom element</t>
        </is>
      </c>
      <c r="E160" s="18" t="inlineStr">
        <is>
          <t>yes</t>
        </is>
      </c>
      <c r="F160" s="19" t="inlineStr">
        <is>
          <t>no</t>
        </is>
      </c>
      <c r="G160" s="12" t="inlineStr">
        <is>
          <t>ready for manual test</t>
        </is>
      </c>
      <c r="H160" s="20" t="inlineStr">
        <is>
          <t>untested</t>
        </is>
      </c>
      <c r="I160" s="13" t="inlineStr">
        <is>
          <t>AlertDialog playground scenario.</t>
        </is>
      </c>
      <c r="J160" s="13" t="inlineStr">
        <is>
          <t>Manual verification needed.</t>
        </is>
      </c>
      <c r="K160" s="14">
        <f>IF(AND(E160="yes",F160="yes",H160="covered"),1,IF(H160="partial",0.5,0))</f>
        <v/>
      </c>
    </row>
    <row r="161" ht="15" customHeight="1" s="24">
      <c r="A161" s="12" t="n">
        <v>153</v>
      </c>
      <c r="B161" s="13" t="inlineStr">
        <is>
          <t>Composition</t>
        </is>
      </c>
      <c r="C161" s="13" t="inlineStr">
        <is>
          <t>AlertDialog</t>
        </is>
      </c>
      <c r="D161" s="13" t="inlineStr">
        <is>
          <t>render prop preserves refs and behavior props</t>
        </is>
      </c>
      <c r="E161" s="18" t="inlineStr">
        <is>
          <t>yes</t>
        </is>
      </c>
      <c r="F161" s="19" t="inlineStr">
        <is>
          <t>no</t>
        </is>
      </c>
      <c r="G161" s="12" t="inlineStr">
        <is>
          <t>ready for manual test</t>
        </is>
      </c>
      <c r="H161" s="20" t="inlineStr">
        <is>
          <t>untested</t>
        </is>
      </c>
      <c r="I161" s="13" t="inlineStr">
        <is>
          <t>AlertDialog playground scenario.</t>
        </is>
      </c>
      <c r="J161" s="13" t="inlineStr">
        <is>
          <t>Manual verification needed.</t>
        </is>
      </c>
      <c r="K161" s="14">
        <f>IF(AND(E161="yes",F161="yes",H161="covered"),1,IF(H161="partial",0.5,0))</f>
        <v/>
      </c>
    </row>
    <row r="162" ht="15" customHeight="1" s="24">
      <c r="A162" s="12" t="n">
        <v>154</v>
      </c>
      <c r="B162" s="13" t="inlineStr">
        <is>
          <t>Interaction</t>
        </is>
      </c>
      <c r="C162" s="13" t="inlineStr">
        <is>
          <t>Trigger</t>
        </is>
      </c>
      <c r="D162" s="13" t="inlineStr">
        <is>
          <t>mouse click or pointer activation</t>
        </is>
      </c>
      <c r="E162" s="18" t="inlineStr">
        <is>
          <t>yes</t>
        </is>
      </c>
      <c r="F162" s="19" t="inlineStr">
        <is>
          <t>no</t>
        </is>
      </c>
      <c r="G162" s="12" t="inlineStr">
        <is>
          <t>ready for manual test</t>
        </is>
      </c>
      <c r="H162" s="20" t="inlineStr">
        <is>
          <t>untested</t>
        </is>
      </c>
      <c r="I162" s="13" t="inlineStr">
        <is>
          <t>AlertDialog playground scenario.</t>
        </is>
      </c>
      <c r="J162" s="13" t="inlineStr">
        <is>
          <t>Manual verification needed.</t>
        </is>
      </c>
      <c r="K162" s="14">
        <f>IF(AND(E162="yes",F162="yes",H162="covered"),1,IF(H162="partial",0.5,0))</f>
        <v/>
      </c>
    </row>
    <row r="163" ht="15" customHeight="1" s="24">
      <c r="A163" s="12" t="n">
        <v>155</v>
      </c>
      <c r="B163" s="13" t="inlineStr">
        <is>
          <t>Interaction</t>
        </is>
      </c>
      <c r="C163" s="13" t="inlineStr">
        <is>
          <t>Trigger</t>
        </is>
      </c>
      <c r="D163" s="13" t="inlineStr">
        <is>
          <t>Enter key activation</t>
        </is>
      </c>
      <c r="E163" s="18" t="inlineStr">
        <is>
          <t>yes</t>
        </is>
      </c>
      <c r="F163" s="19" t="inlineStr">
        <is>
          <t>no</t>
        </is>
      </c>
      <c r="G163" s="12" t="inlineStr">
        <is>
          <t>ready for manual test</t>
        </is>
      </c>
      <c r="H163" s="20" t="inlineStr">
        <is>
          <t>untested</t>
        </is>
      </c>
      <c r="I163" s="13" t="inlineStr">
        <is>
          <t>AlertDialog playground scenario.</t>
        </is>
      </c>
      <c r="J163" s="13" t="inlineStr">
        <is>
          <t>Manual verification needed.</t>
        </is>
      </c>
      <c r="K163" s="14">
        <f>IF(AND(E163="yes",F163="yes",H163="covered"),1,IF(H163="partial",0.5,0))</f>
        <v/>
      </c>
    </row>
    <row r="164" ht="15" customHeight="1" s="24">
      <c r="A164" s="12" t="n">
        <v>156</v>
      </c>
      <c r="B164" s="13" t="inlineStr">
        <is>
          <t>Interaction</t>
        </is>
      </c>
      <c r="C164" s="13" t="inlineStr">
        <is>
          <t>Trigger</t>
        </is>
      </c>
      <c r="D164" s="13" t="inlineStr">
        <is>
          <t>Space key activation</t>
        </is>
      </c>
      <c r="E164" s="18" t="inlineStr">
        <is>
          <t>yes</t>
        </is>
      </c>
      <c r="F164" s="19" t="inlineStr">
        <is>
          <t>no</t>
        </is>
      </c>
      <c r="G164" s="12" t="inlineStr">
        <is>
          <t>ready for manual test</t>
        </is>
      </c>
      <c r="H164" s="20" t="inlineStr">
        <is>
          <t>untested</t>
        </is>
      </c>
      <c r="I164" s="13" t="inlineStr">
        <is>
          <t>AlertDialog playground scenario.</t>
        </is>
      </c>
      <c r="J164" s="13" t="inlineStr">
        <is>
          <t>Manual verification needed.</t>
        </is>
      </c>
      <c r="K164" s="14">
        <f>IF(AND(E164="yes",F164="yes",H164="covered"),1,IF(H164="partial",0.5,0))</f>
        <v/>
      </c>
    </row>
    <row r="165" ht="15" customHeight="1" s="24">
      <c r="A165" s="12" t="n">
        <v>157</v>
      </c>
      <c r="B165" s="13" t="inlineStr">
        <is>
          <t>Interaction</t>
        </is>
      </c>
      <c r="C165" s="13" t="inlineStr">
        <is>
          <t>Trigger</t>
        </is>
      </c>
      <c r="D165" s="13" t="inlineStr">
        <is>
          <t>disabled trigger blocks pointer and keyboard</t>
        </is>
      </c>
      <c r="E165" s="18" t="inlineStr">
        <is>
          <t>yes</t>
        </is>
      </c>
      <c r="F165" s="19" t="inlineStr">
        <is>
          <t>no</t>
        </is>
      </c>
      <c r="G165" s="12" t="inlineStr">
        <is>
          <t>ready for manual test</t>
        </is>
      </c>
      <c r="H165" s="20" t="inlineStr">
        <is>
          <t>untested</t>
        </is>
      </c>
      <c r="I165" s="13" t="inlineStr">
        <is>
          <t>AlertDialog playground scenario.</t>
        </is>
      </c>
      <c r="J165" s="13" t="inlineStr">
        <is>
          <t>Manual verification needed.</t>
        </is>
      </c>
      <c r="K165" s="14">
        <f>IF(AND(E165="yes",F165="yes",H165="covered"),1,IF(H165="partial",0.5,0))</f>
        <v/>
      </c>
    </row>
    <row r="166" ht="15" customHeight="1" s="24">
      <c r="A166" s="12" t="n">
        <v>158</v>
      </c>
      <c r="B166" s="13" t="inlineStr">
        <is>
          <t>Focus</t>
        </is>
      </c>
      <c r="C166" s="13" t="inlineStr">
        <is>
          <t>Trigger</t>
        </is>
      </c>
      <c r="D166" s="13" t="inlineStr">
        <is>
          <t>focus ring and focus restoration are correct</t>
        </is>
      </c>
      <c r="E166" s="18" t="inlineStr">
        <is>
          <t>yes</t>
        </is>
      </c>
      <c r="F166" s="19" t="inlineStr">
        <is>
          <t>no</t>
        </is>
      </c>
      <c r="G166" s="12" t="inlineStr">
        <is>
          <t>ready for manual test</t>
        </is>
      </c>
      <c r="H166" s="20" t="inlineStr">
        <is>
          <t>untested</t>
        </is>
      </c>
      <c r="I166" s="13" t="inlineStr">
        <is>
          <t>AlertDialog playground scenario.</t>
        </is>
      </c>
      <c r="J166" s="13" t="inlineStr">
        <is>
          <t>Manual verification needed.</t>
        </is>
      </c>
      <c r="K166" s="14">
        <f>IF(AND(E166="yes",F166="yes",H166="covered"),1,IF(H166="partial",0.5,0))</f>
        <v/>
      </c>
    </row>
    <row r="167" ht="15" customHeight="1" s="24">
      <c r="A167" s="12" t="n">
        <v>159</v>
      </c>
      <c r="B167" s="13" t="inlineStr">
        <is>
          <t>Dismiss</t>
        </is>
      </c>
      <c r="C167" s="13" t="inlineStr">
        <is>
          <t>AlertDialog</t>
        </is>
      </c>
      <c r="D167" s="13" t="inlineStr">
        <is>
          <t>Escape closes only the topmost active layer</t>
        </is>
      </c>
      <c r="E167" s="18" t="inlineStr">
        <is>
          <t>yes</t>
        </is>
      </c>
      <c r="F167" s="19" t="inlineStr">
        <is>
          <t>no</t>
        </is>
      </c>
      <c r="G167" s="12" t="inlineStr">
        <is>
          <t>ready for manual test</t>
        </is>
      </c>
      <c r="H167" s="20" t="inlineStr">
        <is>
          <t>untested</t>
        </is>
      </c>
      <c r="I167" s="13" t="inlineStr">
        <is>
          <t>AlertDialog playground scenario.</t>
        </is>
      </c>
      <c r="J167" s="13" t="inlineStr">
        <is>
          <t>Manual verification needed.</t>
        </is>
      </c>
      <c r="K167" s="14">
        <f>IF(AND(E167="yes",F167="yes",H167="covered"),1,IF(H167="partial",0.5,0))</f>
        <v/>
      </c>
    </row>
    <row r="168" ht="15" customHeight="1" s="24">
      <c r="A168" s="12" t="n">
        <v>160</v>
      </c>
      <c r="B168" s="13" t="inlineStr">
        <is>
          <t>Dismiss</t>
        </is>
      </c>
      <c r="C168" s="13" t="inlineStr">
        <is>
          <t>AlertDialog</t>
        </is>
      </c>
      <c r="D168" s="13" t="inlineStr">
        <is>
          <t>outside click/interact closes when enabled</t>
        </is>
      </c>
      <c r="E168" s="18" t="inlineStr">
        <is>
          <t>yes</t>
        </is>
      </c>
      <c r="F168" s="19" t="inlineStr">
        <is>
          <t>no</t>
        </is>
      </c>
      <c r="G168" s="12" t="inlineStr">
        <is>
          <t>ready for manual test</t>
        </is>
      </c>
      <c r="H168" s="20" t="inlineStr">
        <is>
          <t>untested</t>
        </is>
      </c>
      <c r="I168" s="13" t="inlineStr">
        <is>
          <t>AlertDialog playground scenario.</t>
        </is>
      </c>
      <c r="J168" s="13" t="inlineStr">
        <is>
          <t>Manual verification needed.</t>
        </is>
      </c>
      <c r="K168" s="14">
        <f>IF(AND(E168="yes",F168="yes",H168="covered"),1,IF(H168="partial",0.5,0))</f>
        <v/>
      </c>
    </row>
    <row r="169" ht="15" customHeight="1" s="24">
      <c r="A169" s="12" t="n">
        <v>161</v>
      </c>
      <c r="B169" s="13" t="inlineStr">
        <is>
          <t>Dismiss</t>
        </is>
      </c>
      <c r="C169" s="13" t="inlineStr">
        <is>
          <t>AlertDialog</t>
        </is>
      </c>
      <c r="D169" s="13" t="inlineStr">
        <is>
          <t>outside click/interact is blocked when disabled</t>
        </is>
      </c>
      <c r="E169" s="18" t="inlineStr">
        <is>
          <t>yes</t>
        </is>
      </c>
      <c r="F169" s="19" t="inlineStr">
        <is>
          <t>no</t>
        </is>
      </c>
      <c r="G169" s="12" t="inlineStr">
        <is>
          <t>ready for manual test</t>
        </is>
      </c>
      <c r="H169" s="20" t="inlineStr">
        <is>
          <t>untested</t>
        </is>
      </c>
      <c r="I169" s="13" t="inlineStr">
        <is>
          <t>AlertDialog playground scenario.</t>
        </is>
      </c>
      <c r="J169" s="13" t="inlineStr">
        <is>
          <t>Manual verification needed.</t>
        </is>
      </c>
      <c r="K169" s="14">
        <f>IF(AND(E169="yes",F169="yes",H169="covered"),1,IF(H169="partial",0.5,0))</f>
        <v/>
      </c>
    </row>
    <row r="170" ht="15" customHeight="1" s="24">
      <c r="A170" s="12" t="n">
        <v>162</v>
      </c>
      <c r="B170" s="13" t="inlineStr">
        <is>
          <t>Focus</t>
        </is>
      </c>
      <c r="C170" s="13" t="inlineStr">
        <is>
          <t>AlertDialog</t>
        </is>
      </c>
      <c r="D170" s="13" t="inlineStr">
        <is>
          <t>focus returns to the correct trigger/anchor after close</t>
        </is>
      </c>
      <c r="E170" s="18" t="inlineStr">
        <is>
          <t>yes</t>
        </is>
      </c>
      <c r="F170" s="19" t="inlineStr">
        <is>
          <t>no</t>
        </is>
      </c>
      <c r="G170" s="12" t="inlineStr">
        <is>
          <t>ready for manual test</t>
        </is>
      </c>
      <c r="H170" s="20" t="inlineStr">
        <is>
          <t>untested</t>
        </is>
      </c>
      <c r="I170" s="13" t="inlineStr">
        <is>
          <t>AlertDialog playground scenario.</t>
        </is>
      </c>
      <c r="J170" s="13" t="inlineStr">
        <is>
          <t>Manual verification needed.</t>
        </is>
      </c>
      <c r="K170" s="14">
        <f>IF(AND(E170="yes",F170="yes",H170="covered"),1,IF(H170="partial",0.5,0))</f>
        <v/>
      </c>
    </row>
    <row r="171" ht="45" customHeight="1" s="24">
      <c r="A171" s="12" t="n">
        <v>163</v>
      </c>
      <c r="B171" s="13" t="inlineStr">
        <is>
          <t>Focus</t>
        </is>
      </c>
      <c r="C171" s="13" t="inlineStr">
        <is>
          <t>AlertDialog</t>
        </is>
      </c>
      <c r="D171" s="13" t="inlineStr">
        <is>
          <t>nested overlays keep focus and Escape order correct</t>
        </is>
      </c>
      <c r="E171" s="18" t="inlineStr">
        <is>
          <t>yes</t>
        </is>
      </c>
      <c r="F171" s="19" t="inlineStr">
        <is>
          <t>no</t>
        </is>
      </c>
      <c r="G171" s="12" t="inlineStr">
        <is>
          <t>ready for manual test</t>
        </is>
      </c>
      <c r="H171" s="20" t="inlineStr">
        <is>
          <t>untested</t>
        </is>
      </c>
      <c r="I171" s="13" t="inlineStr">
        <is>
          <t>AlertDialog playground exposes dismiss/focus/portal anatomy paths; edge behavior is ready for manual verification.</t>
        </is>
      </c>
      <c r="J171" s="13" t="inlineStr">
        <is>
          <t>Manual verification needed.</t>
        </is>
      </c>
      <c r="K171" s="14">
        <f>IF(AND(E171="yes",F171="yes",H171="covered"),1,IF(H171="partial",0.5,0))</f>
        <v/>
      </c>
    </row>
    <row r="172" ht="45" customHeight="1" s="24">
      <c r="A172" s="12" t="n">
        <v>164</v>
      </c>
      <c r="B172" s="13" t="inlineStr">
        <is>
          <t>Mobile</t>
        </is>
      </c>
      <c r="C172" s="13" t="inlineStr">
        <is>
          <t>AlertDialog</t>
        </is>
      </c>
      <c r="D172" s="13" t="inlineStr">
        <is>
          <t>mobile viewport/touch behavior</t>
        </is>
      </c>
      <c r="E172" s="18" t="inlineStr">
        <is>
          <t>yes</t>
        </is>
      </c>
      <c r="F172" s="19" t="inlineStr">
        <is>
          <t>no</t>
        </is>
      </c>
      <c r="G172" s="12" t="inlineStr">
        <is>
          <t>ready for manual test</t>
        </is>
      </c>
      <c r="H172" s="20" t="inlineStr">
        <is>
          <t>untested</t>
        </is>
      </c>
      <c r="I172" s="13" t="inlineStr">
        <is>
          <t>AlertDialog playground exposes dismiss/focus/portal anatomy paths; edge behavior is ready for manual verification.</t>
        </is>
      </c>
      <c r="J172" s="13" t="inlineStr">
        <is>
          <t>Manual verification needed.</t>
        </is>
      </c>
      <c r="K172" s="14">
        <f>IF(AND(E172="yes",F172="yes",H172="covered"),1,IF(H172="partial",0.5,0))</f>
        <v/>
      </c>
    </row>
    <row r="173" ht="15" customHeight="1" s="24">
      <c r="A173" s="12" t="n">
        <v>165</v>
      </c>
      <c r="B173" s="13" t="inlineStr">
        <is>
          <t>Portal</t>
        </is>
      </c>
      <c r="C173" s="13" t="inlineStr">
        <is>
          <t>AlertDialog</t>
        </is>
      </c>
      <c r="D173" s="13" t="inlineStr">
        <is>
          <t>portal renders in body by default</t>
        </is>
      </c>
      <c r="E173" s="18" t="inlineStr">
        <is>
          <t>yes</t>
        </is>
      </c>
      <c r="F173" s="19" t="inlineStr">
        <is>
          <t>no</t>
        </is>
      </c>
      <c r="G173" s="12" t="inlineStr">
        <is>
          <t>ready for manual test</t>
        </is>
      </c>
      <c r="H173" s="20" t="inlineStr">
        <is>
          <t>untested</t>
        </is>
      </c>
      <c r="I173" s="13" t="inlineStr">
        <is>
          <t>AlertDialog playground scenario.</t>
        </is>
      </c>
      <c r="J173" s="13" t="inlineStr">
        <is>
          <t>Manual verification needed.</t>
        </is>
      </c>
      <c r="K173" s="14">
        <f>IF(AND(E173="yes",F173="yes",H173="covered"),1,IF(H173="partial",0.5,0))</f>
        <v/>
      </c>
    </row>
    <row r="174" ht="45" customHeight="1" s="24">
      <c r="A174" s="12" t="n">
        <v>166</v>
      </c>
      <c r="B174" s="13" t="inlineStr">
        <is>
          <t>Portal</t>
        </is>
      </c>
      <c r="C174" s="13" t="inlineStr">
        <is>
          <t>AlertDialog</t>
        </is>
      </c>
      <c r="D174" s="13" t="inlineStr">
        <is>
          <t>custom/disabled portal path works where supported</t>
        </is>
      </c>
      <c r="E174" s="18" t="inlineStr">
        <is>
          <t>yes</t>
        </is>
      </c>
      <c r="F174" s="19" t="inlineStr">
        <is>
          <t>no</t>
        </is>
      </c>
      <c r="G174" s="12" t="inlineStr">
        <is>
          <t>ready for manual test</t>
        </is>
      </c>
      <c r="H174" s="20" t="inlineStr">
        <is>
          <t>untested</t>
        </is>
      </c>
      <c r="I174" s="13" t="inlineStr">
        <is>
          <t>AlertDialog playground exposes dismiss/focus/portal anatomy paths; edge behavior is ready for manual verification.</t>
        </is>
      </c>
      <c r="J174" s="13" t="inlineStr">
        <is>
          <t>Manual verification needed.</t>
        </is>
      </c>
      <c r="K174" s="14">
        <f>IF(AND(E174="yes",F174="yes",H174="covered"),1,IF(H174="partial",0.5,0))</f>
        <v/>
      </c>
    </row>
  </sheetData>
  <autoFilter ref="A8:K174"/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AppBar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IFERROR(SUM(K9:K93)/COUNT(K9:K93),0)</f>
        <v/>
      </c>
      <c r="C4" s="8" t="inlineStr">
        <is>
          <t>Covered</t>
        </is>
      </c>
      <c r="D4" s="10">
        <f>COUNTIFS(E9:E93,"yes",F9:F93,"yes",H9:H93,"covered")</f>
        <v/>
      </c>
      <c r="E4" s="8" t="inlineStr">
        <is>
          <t>Partial</t>
        </is>
      </c>
      <c r="F4" s="10">
        <f>COUNTIF(H9:H93,"partial")</f>
        <v/>
      </c>
      <c r="G4" s="8" t="inlineStr">
        <is>
          <t>Missing</t>
        </is>
      </c>
      <c r="H4" s="10">
        <f>COUNTIFS(E9:E93,"&lt;&gt;yes") + COUNTIFS(E9:E93,"yes",H9:H93,"missing")</f>
        <v/>
      </c>
      <c r="I4" s="8" t="inlineStr">
        <is>
          <t>Untested</t>
        </is>
      </c>
      <c r="J4" s="10">
        <f>COUNTIFS(E9:E93,"yes",F9:F93,"&lt;&gt;yes") + COUNTIFS(E9:E93,"yes",F9:F93,"yes",H9:H93,"untested")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AppBar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AppBar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AppBar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AppBar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AppBar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AppBar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AppBar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AppBar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AppBar</t>
        </is>
      </c>
      <c r="D13" s="13" t="inlineStr">
        <is>
          <t>Renders a native `header` root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AppBar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AppBar</t>
        </is>
      </c>
      <c r="D14" s="13" t="inlineStr">
        <is>
          <t>Provides toolbar, start, center, and end structural slots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AppBar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AppBar</t>
        </is>
      </c>
      <c r="D15" s="13" t="inlineStr">
        <is>
          <t>Exposes root position and toolbar density through data attributes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AppBar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AppBar</t>
        </is>
      </c>
      <c r="D16" s="13" t="inlineStr">
        <is>
          <t>Does not add ARIA toolbar behavior unless consumers compose a real `Toolbar`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AppBar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AppBar</t>
        </is>
      </c>
      <c r="D17" s="13" t="inlineStr">
        <is>
          <t>Supports `asChild` and `render` on every part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AppBar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AppBar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AppBar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AppBar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AppBar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AppBar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AppBar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AppBar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AppBar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position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AppBar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[data-slot]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AppBar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[data-position]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AppBar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Anatomy</t>
        </is>
      </c>
      <c r="C29" s="13" t="inlineStr">
        <is>
          <t>BarCenter</t>
        </is>
      </c>
      <c r="D29" s="13" t="inlineStr">
        <is>
          <t>renders correct part when expected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AppBar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Anatomy</t>
        </is>
      </c>
      <c r="C30" s="13" t="inlineStr">
        <is>
          <t>BarCenter</t>
        </is>
      </c>
      <c r="D30" s="13" t="inlineStr">
        <is>
          <t>appears in documented order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AppBar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Identity</t>
        </is>
      </c>
      <c r="C31" s="13" t="inlineStr">
        <is>
          <t>BarCenter</t>
        </is>
      </c>
      <c r="D31" s="13" t="inlineStr">
        <is>
          <t>default tag is visible in Anatomy/Inspector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AppBar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Identity</t>
        </is>
      </c>
      <c r="C32" s="13" t="inlineStr">
        <is>
          <t>BarCenter</t>
        </is>
      </c>
      <c r="D32" s="13" t="inlineStr">
        <is>
          <t>data-slot is present and correct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AppBar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Props</t>
        </is>
      </c>
      <c r="C33" s="13" t="inlineStr">
        <is>
          <t>BarCenter</t>
        </is>
      </c>
      <c r="D33" s="13" t="inlineStr">
        <is>
          <t>non-Atom native props pass through with data-prop-check marker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AppBar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Refs</t>
        </is>
      </c>
      <c r="C34" s="13" t="inlineStr">
        <is>
          <t>BarCenter</t>
        </is>
      </c>
      <c r="D34" s="13" t="inlineStr">
        <is>
          <t>consumer ref receives the rendered element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AppBar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Anatomy</t>
        </is>
      </c>
      <c r="C35" s="13" t="inlineStr">
        <is>
          <t>BarToolbar</t>
        </is>
      </c>
      <c r="D35" s="13" t="inlineStr">
        <is>
          <t>renders correct part when expected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AppBar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Anatomy</t>
        </is>
      </c>
      <c r="C36" s="13" t="inlineStr">
        <is>
          <t>BarToolbar</t>
        </is>
      </c>
      <c r="D36" s="13" t="inlineStr">
        <is>
          <t>appears in documented order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AppBar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Identity</t>
        </is>
      </c>
      <c r="C37" s="13" t="inlineStr">
        <is>
          <t>BarToolbar</t>
        </is>
      </c>
      <c r="D37" s="13" t="inlineStr">
        <is>
          <t>default tag is visible in Anatomy/Inspector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AppBar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Identity</t>
        </is>
      </c>
      <c r="C38" s="13" t="inlineStr">
        <is>
          <t>BarToolbar</t>
        </is>
      </c>
      <c r="D38" s="13" t="inlineStr">
        <is>
          <t>data-slot is present and correct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AppBar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30" customHeight="1" s="24">
      <c r="A39" s="12" t="n">
        <v>31</v>
      </c>
      <c r="B39" s="13" t="inlineStr">
        <is>
          <t>Props</t>
        </is>
      </c>
      <c r="C39" s="13" t="inlineStr">
        <is>
          <t>BarToolbar</t>
        </is>
      </c>
      <c r="D39" s="13" t="inlineStr">
        <is>
          <t>non-Atom native props pass through with data-prop-check marker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AppBar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Refs</t>
        </is>
      </c>
      <c r="C40" s="13" t="inlineStr">
        <is>
          <t>BarToolbar</t>
        </is>
      </c>
      <c r="D40" s="13" t="inlineStr">
        <is>
          <t>consumer ref receives the rendered element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AppBar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Anatomy</t>
        </is>
      </c>
      <c r="C41" s="13" t="inlineStr">
        <is>
          <t>Center</t>
        </is>
      </c>
      <c r="D41" s="13" t="inlineStr">
        <is>
          <t>renders correct part when expected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AppBar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Center</t>
        </is>
      </c>
      <c r="D42" s="13" t="inlineStr">
        <is>
          <t>appears in documented order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AppBar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Identity</t>
        </is>
      </c>
      <c r="C43" s="13" t="inlineStr">
        <is>
          <t>Center</t>
        </is>
      </c>
      <c r="D43" s="13" t="inlineStr">
        <is>
          <t>default tag is visible in Anatomy/Inspector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AppBar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Center</t>
        </is>
      </c>
      <c r="D44" s="13" t="inlineStr">
        <is>
          <t>data-slot is present and correct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AppBar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30" customHeight="1" s="24">
      <c r="A45" s="12" t="n">
        <v>37</v>
      </c>
      <c r="B45" s="13" t="inlineStr">
        <is>
          <t>Props</t>
        </is>
      </c>
      <c r="C45" s="13" t="inlineStr">
        <is>
          <t>Center</t>
        </is>
      </c>
      <c r="D45" s="13" t="inlineStr">
        <is>
          <t>non-Atom native props pass through with data-prop-check marker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AppBar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Refs</t>
        </is>
      </c>
      <c r="C46" s="13" t="inlineStr">
        <is>
          <t>Center</t>
        </is>
      </c>
      <c r="D46" s="13" t="inlineStr">
        <is>
          <t>consumer ref receives the rendered element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AppBar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Composition</t>
        </is>
      </c>
      <c r="C47" s="13" t="inlineStr">
        <is>
          <t>Center</t>
        </is>
      </c>
      <c r="D47" s="13" t="inlineStr">
        <is>
          <t>asChild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AppBar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Composition</t>
        </is>
      </c>
      <c r="C48" s="13" t="inlineStr">
        <is>
          <t>Center</t>
        </is>
      </c>
      <c r="D48" s="13" t="inlineStr">
        <is>
          <t>render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AppBar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Center</t>
        </is>
      </c>
      <c r="D49" s="13" t="inlineStr">
        <is>
          <t>[data-slot]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AppBar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Anatomy</t>
        </is>
      </c>
      <c r="C50" s="13" t="inlineStr">
        <is>
          <t>End</t>
        </is>
      </c>
      <c r="D50" s="13" t="inlineStr">
        <is>
          <t>renders correct part when expected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AppBar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Anatomy</t>
        </is>
      </c>
      <c r="C51" s="13" t="inlineStr">
        <is>
          <t>End</t>
        </is>
      </c>
      <c r="D51" s="13" t="inlineStr">
        <is>
          <t>appears in documented order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AppBar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Identity</t>
        </is>
      </c>
      <c r="C52" s="13" t="inlineStr">
        <is>
          <t>End</t>
        </is>
      </c>
      <c r="D52" s="13" t="inlineStr">
        <is>
          <t>default tag is visible in Anatomy/Inspector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AppBar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Identity</t>
        </is>
      </c>
      <c r="C53" s="13" t="inlineStr">
        <is>
          <t>End</t>
        </is>
      </c>
      <c r="D53" s="13" t="inlineStr">
        <is>
          <t>data-slot is present and correct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AppBar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30" customHeight="1" s="24">
      <c r="A54" s="12" t="n">
        <v>46</v>
      </c>
      <c r="B54" s="13" t="inlineStr">
        <is>
          <t>Props</t>
        </is>
      </c>
      <c r="C54" s="13" t="inlineStr">
        <is>
          <t>End</t>
        </is>
      </c>
      <c r="D54" s="13" t="inlineStr">
        <is>
          <t>non-Atom native props pass through with data-prop-check marker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AppBar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Refs</t>
        </is>
      </c>
      <c r="C55" s="13" t="inlineStr">
        <is>
          <t>End</t>
        </is>
      </c>
      <c r="D55" s="13" t="inlineStr">
        <is>
          <t>consumer ref receives the rendered element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AppBar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Composition</t>
        </is>
      </c>
      <c r="C56" s="13" t="inlineStr">
        <is>
          <t>End</t>
        </is>
      </c>
      <c r="D56" s="13" t="inlineStr">
        <is>
          <t>asChild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AppBar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Composition</t>
        </is>
      </c>
      <c r="C57" s="13" t="inlineStr">
        <is>
          <t>End</t>
        </is>
      </c>
      <c r="D57" s="13" t="inlineStr">
        <is>
          <t>render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AppBar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Public API</t>
        </is>
      </c>
      <c r="C58" s="13" t="inlineStr">
        <is>
          <t>End</t>
        </is>
      </c>
      <c r="D58" s="13" t="inlineStr">
        <is>
          <t>[data-slot]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AppBar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Anatomy</t>
        </is>
      </c>
      <c r="C59" s="13" t="inlineStr">
        <is>
          <t>Section</t>
        </is>
      </c>
      <c r="D59" s="13" t="inlineStr">
        <is>
          <t>renders correct part when expected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AppBar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Anatomy</t>
        </is>
      </c>
      <c r="C60" s="13" t="inlineStr">
        <is>
          <t>Section</t>
        </is>
      </c>
      <c r="D60" s="13" t="inlineStr">
        <is>
          <t>appears in documented order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AppBar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Identity</t>
        </is>
      </c>
      <c r="C61" s="13" t="inlineStr">
        <is>
          <t>Section</t>
        </is>
      </c>
      <c r="D61" s="13" t="inlineStr">
        <is>
          <t>default tag is visible in Anatomy/Inspector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AppBar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Identity</t>
        </is>
      </c>
      <c r="C62" s="13" t="inlineStr">
        <is>
          <t>Section</t>
        </is>
      </c>
      <c r="D62" s="13" t="inlineStr">
        <is>
          <t>data-slot is present and correct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AppBar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30" customHeight="1" s="24">
      <c r="A63" s="12" t="n">
        <v>55</v>
      </c>
      <c r="B63" s="13" t="inlineStr">
        <is>
          <t>Props</t>
        </is>
      </c>
      <c r="C63" s="13" t="inlineStr">
        <is>
          <t>Section</t>
        </is>
      </c>
      <c r="D63" s="13" t="inlineStr">
        <is>
          <t>non-Atom native props pass through with data-prop-check marker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AppBar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Refs</t>
        </is>
      </c>
      <c r="C64" s="13" t="inlineStr">
        <is>
          <t>Section</t>
        </is>
      </c>
      <c r="D64" s="13" t="inlineStr">
        <is>
          <t>consumer ref receives the rendered element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AppBar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Start</t>
        </is>
      </c>
      <c r="D65" s="13" t="inlineStr">
        <is>
          <t>renders correct part when expected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AppBar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Anatomy</t>
        </is>
      </c>
      <c r="C66" s="13" t="inlineStr">
        <is>
          <t>Start</t>
        </is>
      </c>
      <c r="D66" s="13" t="inlineStr">
        <is>
          <t>appears in documented order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AppBar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Start</t>
        </is>
      </c>
      <c r="D67" s="13" t="inlineStr">
        <is>
          <t>default tag is visible in Anatomy/Inspector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AppBar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Identity</t>
        </is>
      </c>
      <c r="C68" s="13" t="inlineStr">
        <is>
          <t>Start</t>
        </is>
      </c>
      <c r="D68" s="13" t="inlineStr">
        <is>
          <t>data-slot is present and correct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AppBar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30" customHeight="1" s="24">
      <c r="A69" s="12" t="n">
        <v>61</v>
      </c>
      <c r="B69" s="13" t="inlineStr">
        <is>
          <t>Props</t>
        </is>
      </c>
      <c r="C69" s="13" t="inlineStr">
        <is>
          <t>Start</t>
        </is>
      </c>
      <c r="D69" s="13" t="inlineStr">
        <is>
          <t>non-Atom native props pass through with data-prop-check marker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AppBar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Refs</t>
        </is>
      </c>
      <c r="C70" s="13" t="inlineStr">
        <is>
          <t>Start</t>
        </is>
      </c>
      <c r="D70" s="13" t="inlineStr">
        <is>
          <t>consumer ref receives the rendered element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AppBar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Composition</t>
        </is>
      </c>
      <c r="C71" s="13" t="inlineStr">
        <is>
          <t>Start</t>
        </is>
      </c>
      <c r="D71" s="13" t="inlineStr">
        <is>
          <t>asChild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AppBar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Composition</t>
        </is>
      </c>
      <c r="C72" s="13" t="inlineStr">
        <is>
          <t>Start</t>
        </is>
      </c>
      <c r="D72" s="13" t="inlineStr">
        <is>
          <t>render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AppBar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Start</t>
        </is>
      </c>
      <c r="D73" s="13" t="inlineStr">
        <is>
          <t>[data-slot]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AppBar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Anatomy</t>
        </is>
      </c>
      <c r="C74" s="13" t="inlineStr">
        <is>
          <t>Toolbar</t>
        </is>
      </c>
      <c r="D74" s="13" t="inlineStr">
        <is>
          <t>renders correct part when expected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AppBar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Anatomy</t>
        </is>
      </c>
      <c r="C75" s="13" t="inlineStr">
        <is>
          <t>Toolbar</t>
        </is>
      </c>
      <c r="D75" s="13" t="inlineStr">
        <is>
          <t>appears in documented order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AppBar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Identity</t>
        </is>
      </c>
      <c r="C76" s="13" t="inlineStr">
        <is>
          <t>Toolbar</t>
        </is>
      </c>
      <c r="D76" s="13" t="inlineStr">
        <is>
          <t>default tag is visible in Anatomy/Inspector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AppBar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Identity</t>
        </is>
      </c>
      <c r="C77" s="13" t="inlineStr">
        <is>
          <t>Toolbar</t>
        </is>
      </c>
      <c r="D77" s="13" t="inlineStr">
        <is>
          <t>data-slot is present and correct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AppBar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30" customHeight="1" s="24">
      <c r="A78" s="12" t="n">
        <v>70</v>
      </c>
      <c r="B78" s="13" t="inlineStr">
        <is>
          <t>Props</t>
        </is>
      </c>
      <c r="C78" s="13" t="inlineStr">
        <is>
          <t>Toolbar</t>
        </is>
      </c>
      <c r="D78" s="13" t="inlineStr">
        <is>
          <t>non-Atom native props pass through with data-prop-check marker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AppBar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Refs</t>
        </is>
      </c>
      <c r="C79" s="13" t="inlineStr">
        <is>
          <t>Toolbar</t>
        </is>
      </c>
      <c r="D79" s="13" t="inlineStr">
        <is>
          <t>consumer ref receives the rendered element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AppBar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Composition</t>
        </is>
      </c>
      <c r="C80" s="13" t="inlineStr">
        <is>
          <t>Toolbar</t>
        </is>
      </c>
      <c r="D80" s="13" t="inlineStr">
        <is>
          <t>asChild prop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AppBar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Composition</t>
        </is>
      </c>
      <c r="C81" s="13" t="inlineStr">
        <is>
          <t>Toolbar</t>
        </is>
      </c>
      <c r="D81" s="13" t="inlineStr">
        <is>
          <t>render prop behavior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AppBar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Public API</t>
        </is>
      </c>
      <c r="C82" s="13" t="inlineStr">
        <is>
          <t>Toolbar</t>
        </is>
      </c>
      <c r="D82" s="13" t="inlineStr">
        <is>
          <t>density prop behavior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AppBar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Public API</t>
        </is>
      </c>
      <c r="C83" s="13" t="inlineStr">
        <is>
          <t>Toolbar</t>
        </is>
      </c>
      <c r="D83" s="13" t="inlineStr">
        <is>
          <t>[data-slot] prop behavior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AppBar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Public API</t>
        </is>
      </c>
      <c r="C84" s="13" t="inlineStr">
        <is>
          <t>Toolbar</t>
        </is>
      </c>
      <c r="D84" s="13" t="inlineStr">
        <is>
          <t>[data-density] prop behavior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AppBar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ARIA</t>
        </is>
      </c>
      <c r="C85" s="13" t="inlineStr">
        <is>
          <t>Live DOM</t>
        </is>
      </c>
      <c r="D85" s="13" t="inlineStr">
        <is>
          <t>aria-label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AppBar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Data</t>
        </is>
      </c>
      <c r="C86" s="13" t="inlineStr">
        <is>
          <t>Live DOM</t>
        </is>
      </c>
      <c r="D86" s="13" t="inlineStr">
        <is>
          <t>data-density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AppBar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Data</t>
        </is>
      </c>
      <c r="C87" s="13" t="inlineStr">
        <is>
          <t>Live DOM</t>
        </is>
      </c>
      <c r="D87" s="13" t="inlineStr">
        <is>
          <t>data-position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AppBar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data-slot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AppBar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Composition</t>
        </is>
      </c>
      <c r="C89" s="13" t="inlineStr">
        <is>
          <t>AppBar</t>
        </is>
      </c>
      <c r="D89" s="13" t="inlineStr">
        <is>
          <t>asChild preserves child content without double nesting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AppBar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Composition</t>
        </is>
      </c>
      <c r="C90" s="13" t="inlineStr">
        <is>
          <t>AppBar</t>
        </is>
      </c>
      <c r="D90" s="13" t="inlineStr">
        <is>
          <t>asChild merges Atom props and consumer props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AppBar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30" customHeight="1" s="24">
      <c r="A91" s="12" t="n">
        <v>83</v>
      </c>
      <c r="B91" s="13" t="inlineStr">
        <is>
          <t>Composition</t>
        </is>
      </c>
      <c r="C91" s="13" t="inlineStr">
        <is>
          <t>AppBar</t>
        </is>
      </c>
      <c r="D91" s="13" t="inlineStr">
        <is>
          <t>asChild lets preventDefault block Atom behavior where supported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AppBar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Composition</t>
        </is>
      </c>
      <c r="C92" s="13" t="inlineStr">
        <is>
          <t>AppBar</t>
        </is>
      </c>
      <c r="D92" s="13" t="inlineStr">
        <is>
          <t>render prop renders custom element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AppBar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Composition</t>
        </is>
      </c>
      <c r="C93" s="13" t="inlineStr">
        <is>
          <t>AppBar</t>
        </is>
      </c>
      <c r="D93" s="13" t="inlineStr">
        <is>
          <t>render prop preserves refs and behavior props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AppBar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</sheetData>
  <autoFilter ref="A8:K93"/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tabSelected="1" workbookViewId="0">
      <pane ySplit="8" topLeftCell="A9" activePane="bottomLeft" state="frozen"/>
      <selection pane="bottomLeft" activeCell="J16" sqref="J16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AspectRatio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IFERROR(SUM(K9:K34)/COUNT(K9:K34),0)</f>
        <v/>
      </c>
      <c r="C4" s="8" t="inlineStr">
        <is>
          <t>Covered</t>
        </is>
      </c>
      <c r="D4" s="10">
        <f>COUNTIFS(E9:E34,"yes",F9:F34,"yes",H9:H34,"covered")</f>
        <v/>
      </c>
      <c r="E4" s="8" t="inlineStr">
        <is>
          <t>Partial</t>
        </is>
      </c>
      <c r="F4" s="10">
        <f>COUNTIF(H9:H34,"partial")</f>
        <v/>
      </c>
      <c r="G4" s="8" t="inlineStr">
        <is>
          <t>Missing</t>
        </is>
      </c>
      <c r="H4" s="10">
        <f>COUNTIFS(E9:E34,"&lt;&gt;yes") + COUNTIFS(E9:E34,"yes",H9:H34,"missing")</f>
        <v/>
      </c>
      <c r="I4" s="8" t="inlineStr">
        <is>
          <t>Untested</t>
        </is>
      </c>
      <c r="J4" s="10">
        <f>COUNTIFS(E9:E34,"yes",F9:F34,"&lt;&gt;yes") + COUNTIFS(E9:E34,"yes",F9:F34,"yes",H9:H34,"untested")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AspectRatio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Aspect Ratio playground scenario.</t>
        </is>
      </c>
      <c r="J9" s="13" t="inlineStr">
        <is>
          <t>Manual verification passed.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AspectRatio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Aspect Ratio playground scenario.</t>
        </is>
      </c>
      <c r="J10" s="13" t="inlineStr">
        <is>
          <t>Manual verification passed.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AspectRatio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Aspect Ratio playground scenario.</t>
        </is>
      </c>
      <c r="J11" s="13" t="inlineStr">
        <is>
          <t>Manual verification passed.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AspectRatio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Aspect Ratio playground scenario.</t>
        </is>
      </c>
      <c r="J12" s="13" t="inlineStr">
        <is>
          <t>Manual verification passed.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AspectRatio</t>
        </is>
      </c>
      <c r="D13" s="13" t="inlineStr">
        <is>
          <t>Applies an authoritative `aspect-ratio` inline style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Aspect Ratio playground scenario.</t>
        </is>
      </c>
      <c r="J13" s="13" t="inlineStr">
        <is>
          <t>Manual verification passed.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AspectRatio</t>
        </is>
      </c>
      <c r="D14" s="13" t="inlineStr">
        <is>
          <t>Normalizes invalid ratios back to `16 / 9`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Aspect Ratio playground scenario.</t>
        </is>
      </c>
      <c r="J14" s="13" t="inlineStr">
        <is>
          <t>Manual verification passed.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AspectRatio</t>
        </is>
      </c>
      <c r="D15" s="13" t="inlineStr">
        <is>
          <t>Preserves native DOM props and consumer styles outside the owned ratio style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Aspect Ratio playground scenario.</t>
        </is>
      </c>
      <c r="J15" s="13" t="inlineStr">
        <is>
          <t>Manual verification passed.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AspectRatio</t>
        </is>
      </c>
      <c r="D16" s="13" t="inlineStr">
        <is>
          <t>Supports `asChild` and `render`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Aspect Ratio playground scenario.</t>
        </is>
      </c>
      <c r="J16" s="13" t="inlineStr">
        <is>
          <t>Manual verification passed.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Anatomy</t>
        </is>
      </c>
      <c r="C17" s="13" t="inlineStr">
        <is>
          <t>Root</t>
        </is>
      </c>
      <c r="D17" s="13" t="inlineStr">
        <is>
          <t>renders correct part when expected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Aspect Ratio playground scenario.</t>
        </is>
      </c>
      <c r="J17" s="13" t="inlineStr">
        <is>
          <t>Manual verification passed.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appears in documented order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Aspect Ratio playground scenario.</t>
        </is>
      </c>
      <c r="J18" s="13" t="inlineStr">
        <is>
          <t>Manual verification passed.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Identity</t>
        </is>
      </c>
      <c r="C19" s="13" t="inlineStr">
        <is>
          <t>Root</t>
        </is>
      </c>
      <c r="D19" s="13" t="inlineStr">
        <is>
          <t>default tag is visible in Anatomy/Inspector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Aspect Ratio playground scenario.</t>
        </is>
      </c>
      <c r="J19" s="13" t="inlineStr">
        <is>
          <t>Manual verification passed.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data-slot is present and correct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Aspect Ratio playground scenario.</t>
        </is>
      </c>
      <c r="J20" s="13" t="inlineStr">
        <is>
          <t>Manual verification passed.</t>
        </is>
      </c>
      <c r="K20" s="14">
        <f>IF(AND(E20="yes",F20="yes",H20="covered"),1,IF(H20="partial",0.5,0))</f>
        <v/>
      </c>
    </row>
    <row r="21" ht="30" customHeight="1" s="24">
      <c r="A21" s="12" t="n">
        <v>13</v>
      </c>
      <c r="B21" s="13" t="inlineStr">
        <is>
          <t>Props</t>
        </is>
      </c>
      <c r="C21" s="13" t="inlineStr">
        <is>
          <t>Root</t>
        </is>
      </c>
      <c r="D21" s="13" t="inlineStr">
        <is>
          <t>non-Atom native props pass through with data-prop-check marker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Aspect Ratio playground scenario.</t>
        </is>
      </c>
      <c r="J21" s="13" t="inlineStr">
        <is>
          <t>Manual verification passed.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Refs</t>
        </is>
      </c>
      <c r="C22" s="13" t="inlineStr">
        <is>
          <t>Root</t>
        </is>
      </c>
      <c r="D22" s="13" t="inlineStr">
        <is>
          <t>consumer ref receives the rendered element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Aspect Ratio playground scenario.</t>
        </is>
      </c>
      <c r="J22" s="13" t="inlineStr">
        <is>
          <t>Manual verification passed.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Composition</t>
        </is>
      </c>
      <c r="C23" s="13" t="inlineStr">
        <is>
          <t>Root</t>
        </is>
      </c>
      <c r="D23" s="13" t="inlineStr">
        <is>
          <t>asChild prop behavior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Aspect Ratio playground scenario.</t>
        </is>
      </c>
      <c r="J23" s="13" t="inlineStr">
        <is>
          <t>Manual verification passed.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render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Aspect Ratio playground scenario.</t>
        </is>
      </c>
      <c r="J24" s="13" t="inlineStr">
        <is>
          <t>Manual verification passed.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ratio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Aspect Ratio playground scenario.</t>
        </is>
      </c>
      <c r="J25" s="13" t="inlineStr">
        <is>
          <t>Manual verification passed.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[data-slot] prop behavior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Aspect Ratio playground scenario.</t>
        </is>
      </c>
      <c r="J26" s="13" t="inlineStr">
        <is>
          <t>Manual verification passed.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Data</t>
        </is>
      </c>
      <c r="C27" s="13" t="inlineStr">
        <is>
          <t>Live DOM</t>
        </is>
      </c>
      <c r="D27" s="13" t="inlineStr">
        <is>
          <t>data-slot is present at the correct time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Aspect Ratio playground scenario.</t>
        </is>
      </c>
      <c r="J27" s="13" t="inlineStr">
        <is>
          <t>Manual verification passed.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Composition</t>
        </is>
      </c>
      <c r="C28" s="13" t="inlineStr">
        <is>
          <t>AspectRatio</t>
        </is>
      </c>
      <c r="D28" s="13" t="inlineStr">
        <is>
          <t>asChild preserves child content without double nesting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Aspect Ratio playground scenario.</t>
        </is>
      </c>
      <c r="J28" s="13" t="inlineStr">
        <is>
          <t>Manual verification passed.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Composition</t>
        </is>
      </c>
      <c r="C29" s="13" t="inlineStr">
        <is>
          <t>AspectRatio</t>
        </is>
      </c>
      <c r="D29" s="13" t="inlineStr">
        <is>
          <t>asChild merges Atom props and consumer props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Aspect Ratio playground scenario.</t>
        </is>
      </c>
      <c r="J29" s="13" t="inlineStr">
        <is>
          <t>Manual verification passed.</t>
        </is>
      </c>
      <c r="K29" s="14">
        <f>IF(AND(E29="yes",F29="yes",H29="covered"),1,IF(H29="partial",0.5,0))</f>
        <v/>
      </c>
    </row>
    <row r="30" ht="30" customHeight="1" s="24">
      <c r="A30" s="12" t="n">
        <v>22</v>
      </c>
      <c r="B30" s="13" t="inlineStr">
        <is>
          <t>Composition</t>
        </is>
      </c>
      <c r="C30" s="13" t="inlineStr">
        <is>
          <t>AspectRatio</t>
        </is>
      </c>
      <c r="D30" s="13" t="inlineStr">
        <is>
          <t>asChild lets preventDefault block Atom behavior where supported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Aspect Ratio playground scenario.</t>
        </is>
      </c>
      <c r="J30" s="13" t="inlineStr">
        <is>
          <t>Manual verification passed.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Composition</t>
        </is>
      </c>
      <c r="C31" s="13" t="inlineStr">
        <is>
          <t>AspectRatio</t>
        </is>
      </c>
      <c r="D31" s="13" t="inlineStr">
        <is>
          <t>render prop renders custom element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Aspect Ratio playground scenario.</t>
        </is>
      </c>
      <c r="J31" s="13" t="inlineStr">
        <is>
          <t>Manual verification passed.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Composition</t>
        </is>
      </c>
      <c r="C32" s="13" t="inlineStr">
        <is>
          <t>AspectRatio</t>
        </is>
      </c>
      <c r="D32" s="13" t="inlineStr">
        <is>
          <t>render prop preserves refs and behavior props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Aspect Ratio playground scenario.</t>
        </is>
      </c>
      <c r="J32" s="13" t="inlineStr">
        <is>
          <t>Manual verification passed.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Utility</t>
        </is>
      </c>
      <c r="C33" s="13" t="inlineStr">
        <is>
          <t>AspectRatio</t>
        </is>
      </c>
      <c r="D33" s="13" t="inlineStr">
        <is>
          <t>ratio style is calculated correctly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Aspect Ratio playground scenario.</t>
        </is>
      </c>
      <c r="J33" s="13" t="inlineStr">
        <is>
          <t>Manual verification passed.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Utility</t>
        </is>
      </c>
      <c r="C34" s="13" t="inlineStr">
        <is>
          <t>AspectRatio</t>
        </is>
      </c>
      <c r="D34" s="13" t="inlineStr">
        <is>
          <t>invalid ratios normalize safely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</t>
        </is>
      </c>
      <c r="H34" s="22" t="inlineStr">
        <is>
          <t>covered</t>
        </is>
      </c>
      <c r="I34" s="13" t="inlineStr">
        <is>
          <t>Aspect Ratio playground scenario.</t>
        </is>
      </c>
      <c r="J34" s="13" t="inlineStr">
        <is>
          <t>Manual verification passed.</t>
        </is>
      </c>
      <c r="K34" s="14">
        <f>IF(AND(E34="yes",F34="yes",H34="covered"),1,IF(H34="partial",0.5,0))</f>
        <v/>
      </c>
    </row>
  </sheetData>
  <autoFilter ref="A8:K34"/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Avatar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IFERROR(SUM(K9:K64)/COUNT(K9:K64),0)</f>
        <v/>
      </c>
      <c r="C4" s="8" t="inlineStr">
        <is>
          <t>Covered</t>
        </is>
      </c>
      <c r="D4" s="10">
        <f>COUNTIFS(E9:E64,"yes",F9:F64,"yes",H9:H64,"covered")</f>
        <v/>
      </c>
      <c r="E4" s="8" t="inlineStr">
        <is>
          <t>Partial</t>
        </is>
      </c>
      <c r="F4" s="10">
        <f>COUNTIF(H9:H64,"partial")</f>
        <v/>
      </c>
      <c r="G4" s="8" t="inlineStr">
        <is>
          <t>Missing</t>
        </is>
      </c>
      <c r="H4" s="10">
        <f>COUNTIFS(E9:E64,"&lt;&gt;yes") + COUNTIFS(E9:E64,"yes",H9:H64,"missing")</f>
        <v/>
      </c>
      <c r="I4" s="8" t="inlineStr">
        <is>
          <t>Untested</t>
        </is>
      </c>
      <c r="J4" s="10">
        <f>COUNTIFS(E9:E64,"yes",F9:F64,"&lt;&gt;yes") + COUNTIFS(E9:E64,"yes",F9:F64,"yes",H9:H64,"untested")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Avatar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tested</t>
        </is>
      </c>
      <c r="H9" s="22" t="inlineStr">
        <is>
          <t>covered</t>
        </is>
      </c>
      <c r="I9" s="13" t="inlineStr">
        <is>
          <t>Avatar page is reachable from Display &gt; Avatar.</t>
        </is>
      </c>
      <c r="J9" s="13" t="inlineStr">
        <is>
          <t>Manual verification passed.</t>
        </is>
      </c>
      <c r="K9" s="14">
        <f>IF(AND(E9="yes",F9="yes",H9="covered"),1,IF(H9="partial",0.5,0))</f>
        <v/>
      </c>
    </row>
    <row r="10" ht="30" customHeight="1" s="24">
      <c r="A10" s="12" t="n">
        <v>2</v>
      </c>
      <c r="B10" s="13" t="inlineStr">
        <is>
          <t>Playground</t>
        </is>
      </c>
      <c r="C10" s="13" t="inlineStr">
        <is>
          <t>Avatar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tested</t>
        </is>
      </c>
      <c r="H10" s="22" t="inlineStr">
        <is>
          <t>covered</t>
        </is>
      </c>
      <c r="I10" s="13" t="inlineStr">
        <is>
          <t>Source updates for image source, alt mode, and fallback delay were manually verified.</t>
        </is>
      </c>
      <c r="J10" s="13" t="inlineStr">
        <is>
          <t>Manual verification passed.</t>
        </is>
      </c>
      <c r="K10" s="14">
        <f>IF(AND(E10="yes",F10="yes",H10="covered"),1,IF(H10="partial",0.5,0))</f>
        <v/>
      </c>
    </row>
    <row r="11" ht="45" customHeight="1" s="24">
      <c r="A11" s="12" t="n">
        <v>3</v>
      </c>
      <c r="B11" s="13" t="inlineStr">
        <is>
          <t>Playground</t>
        </is>
      </c>
      <c r="C11" s="13" t="inlineStr">
        <is>
          <t>Avatar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tested</t>
        </is>
      </c>
      <c r="H11" s="22" t="inlineStr">
        <is>
          <t>covered</t>
        </is>
      </c>
      <c r="I11" s="13" t="inlineStr">
        <is>
          <t>Avatar anatomy and inspector expose live attributes, ARIA, and data groups for image state changes.</t>
        </is>
      </c>
      <c r="J11" s="13" t="inlineStr">
        <is>
          <t>Manual verification passed.</t>
        </is>
      </c>
      <c r="K11" s="14">
        <f>IF(AND(E11="yes",F11="yes",H11="covered"),1,IF(H11="partial",0.5,0))</f>
        <v/>
      </c>
    </row>
    <row r="12" ht="30" customHeight="1" s="24">
      <c r="A12" s="12" t="n">
        <v>4</v>
      </c>
      <c r="B12" s="13" t="inlineStr">
        <is>
          <t>Playground</t>
        </is>
      </c>
      <c r="C12" s="13" t="inlineStr">
        <is>
          <t>Avatar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tested</t>
        </is>
      </c>
      <c r="H12" s="22" t="inlineStr">
        <is>
          <t>covered</t>
        </is>
      </c>
      <c r="I12" s="13" t="inlineStr">
        <is>
          <t>Inspector selected image updates live for src/alt changes and logs show useful image status events.</t>
        </is>
      </c>
      <c r="J12" s="13" t="inlineStr">
        <is>
          <t>Manual verification passed.</t>
        </is>
      </c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Feature</t>
        </is>
      </c>
      <c r="C13" s="13" t="inlineStr">
        <is>
          <t>Avatar</t>
        </is>
      </c>
      <c r="D13" s="13" t="inlineStr">
        <is>
          <t>Tracks image loading status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tested</t>
        </is>
      </c>
      <c r="H13" s="22" t="inlineStr">
        <is>
          <t>covered</t>
        </is>
      </c>
      <c r="I13" s="13" t="inlineStr">
        <is>
          <t>Image loading status was manually verified for loaded, broken, and loading/idle modes.</t>
        </is>
      </c>
      <c r="J13" s="13" t="inlineStr">
        <is>
          <t>Manual verification passed.</t>
        </is>
      </c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Feature</t>
        </is>
      </c>
      <c r="C14" s="13" t="inlineStr">
        <is>
          <t>Avatar</t>
        </is>
      </c>
      <c r="D14" s="13" t="inlineStr">
        <is>
          <t>Renders fallback content while the image is missing, loading, or errored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tested</t>
        </is>
      </c>
      <c r="H14" s="22" t="inlineStr">
        <is>
          <t>covered</t>
        </is>
      </c>
      <c r="I14" s="13" t="inlineStr">
        <is>
          <t>Fallback rendering was manually verified when the image is broken or not loaded.</t>
        </is>
      </c>
      <c r="J14" s="13" t="inlineStr">
        <is>
          <t>Manual verification passed.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Avatar</t>
        </is>
      </c>
      <c r="D15" s="13" t="inlineStr">
        <is>
          <t>Supports delayed fallback rendering to avoid loading flashes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tested</t>
        </is>
      </c>
      <c r="H15" s="22" t="inlineStr">
        <is>
          <t>covered</t>
        </is>
      </c>
      <c r="I15" s="13" t="inlineStr">
        <is>
          <t>Delayed fallback source output was manually verified with delayMs={600}.</t>
        </is>
      </c>
      <c r="J15" s="13" t="inlineStr">
        <is>
          <t>Manual verification passed.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Avatar</t>
        </is>
      </c>
      <c r="D16" s="13" t="inlineStr">
        <is>
          <t>Provides a group wrapper for stacked or clustered avatars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tested</t>
        </is>
      </c>
      <c r="H16" s="22" t="inlineStr">
        <is>
          <t>covered</t>
        </is>
      </c>
      <c r="I16" s="13" t="inlineStr">
        <is>
          <t>Avatar Group wrapper was manually verified with a primary avatar and secondary fallback avatar.</t>
        </is>
      </c>
      <c r="J16" s="13" t="inlineStr">
        <is>
          <t>Manual verification passed.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Avatar</t>
        </is>
      </c>
      <c r="D17" s="13" t="inlineStr">
        <is>
          <t>Supports `asChild` and `render` on every part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tested</t>
        </is>
      </c>
      <c r="H17" s="22" t="inlineStr">
        <is>
          <t>covered</t>
        </is>
      </c>
      <c r="I17" s="13" t="inlineStr">
        <is>
          <t>Avatar Image asChild and render composition were manually verified.</t>
        </is>
      </c>
      <c r="J17" s="13" t="inlineStr">
        <is>
          <t>Manual verification passed.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tested</t>
        </is>
      </c>
      <c r="H18" s="22" t="inlineStr">
        <is>
          <t>covered</t>
        </is>
      </c>
      <c r="I18" s="13" t="inlineStr">
        <is>
          <t>Root renders in the Avatar scenario and remains present while image/fallback state changes.</t>
        </is>
      </c>
      <c r="J18" s="13" t="inlineStr">
        <is>
          <t>Manual verification passed.</t>
        </is>
      </c>
      <c r="K18" s="14">
        <f>IF(AND(E18="yes",F18="yes",H18="covered"),1,IF(H18="partial",0.5,0))</f>
        <v/>
      </c>
    </row>
    <row r="19" ht="30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tested</t>
        </is>
      </c>
      <c r="H19" s="22" t="inlineStr">
        <is>
          <t>covered</t>
        </is>
      </c>
      <c r="I19" s="13" t="inlineStr">
        <is>
          <t>Root anatomy order was verified during Avatar Root composition tests.</t>
        </is>
      </c>
      <c r="J19" s="13" t="inlineStr">
        <is>
          <t>Manual verification passed.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tested</t>
        </is>
      </c>
      <c r="H20" s="22" t="inlineStr">
        <is>
          <t>covered</t>
        </is>
      </c>
      <c r="I20" s="13" t="inlineStr">
        <is>
          <t>Root default tag was verified as span.</t>
        </is>
      </c>
      <c r="J20" s="13" t="inlineStr">
        <is>
          <t>Manual verification passed.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tested</t>
        </is>
      </c>
      <c r="H21" s="22" t="inlineStr">
        <is>
          <t>covered</t>
        </is>
      </c>
      <c r="I21" s="13" t="inlineStr">
        <is>
          <t>Root data-slot was verified as avatar-root.</t>
        </is>
      </c>
      <c r="J21" s="13" t="inlineStr">
        <is>
          <t>Manual verification passed.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tested</t>
        </is>
      </c>
      <c r="H22" s="22" t="inlineStr">
        <is>
          <t>covered</t>
        </is>
      </c>
      <c r="I22" s="13" t="inlineStr">
        <is>
          <t>Root prop passthrough marker was verified in Anatomy/Inspector.</t>
        </is>
      </c>
      <c r="J22" s="13" t="inlineStr">
        <is>
          <t>Manual verification passed.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tested</t>
        </is>
      </c>
      <c r="H23" s="22" t="inlineStr">
        <is>
          <t>covered</t>
        </is>
      </c>
      <c r="I23" s="13" t="inlineStr">
        <is>
          <t>Root ref target was verified in Anatomy.</t>
        </is>
      </c>
      <c r="J23" s="13" t="inlineStr">
        <is>
          <t>Manual verification passed.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tested</t>
        </is>
      </c>
      <c r="H24" s="22" t="inlineStr">
        <is>
          <t>covered</t>
        </is>
      </c>
      <c r="I24" s="13" t="inlineStr">
        <is>
          <t>Root asChild behavior was manually verified.</t>
        </is>
      </c>
      <c r="J24" s="13" t="inlineStr">
        <is>
          <t>Manual verification passed.</t>
        </is>
      </c>
      <c r="K24" s="14">
        <f>IF(AND(E24="yes",F24="yes",H24="covered"),1,IF(H24="partial",0.5,0))</f>
        <v/>
      </c>
    </row>
    <row r="25" ht="30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tested</t>
        </is>
      </c>
      <c r="H25" s="22" t="inlineStr">
        <is>
          <t>covered</t>
        </is>
      </c>
      <c r="I25" s="13" t="inlineStr">
        <is>
          <t>Root render behavior was manually verified after correcting the playground render pattern.</t>
        </is>
      </c>
      <c r="J25" s="13" t="inlineStr">
        <is>
          <t>Manual verification passed.</t>
        </is>
      </c>
      <c r="K25" s="14">
        <f>IF(AND(E25="yes",F25="yes",H25="covered"),1,IF(H25="partial",0.5,0))</f>
        <v/>
      </c>
    </row>
    <row r="26" ht="30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src prop behavior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tested</t>
        </is>
      </c>
      <c r="H26" s="22" t="inlineStr">
        <is>
          <t>covered</t>
        </is>
      </c>
      <c r="I26" s="13" t="inlineStr">
        <is>
          <t>Root src behavior was verified through loaded, broken, and loading source modes.</t>
        </is>
      </c>
      <c r="J26" s="13" t="inlineStr">
        <is>
          <t>Manual verification passed.</t>
        </is>
      </c>
      <c r="K26" s="14">
        <f>IF(AND(E26="yes",F26="yes",H26="covered"),1,IF(H26="partial",0.5,0))</f>
        <v/>
      </c>
    </row>
    <row r="27" ht="30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onLoadingStatusChange prop behavior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tested</t>
        </is>
      </c>
      <c r="H27" s="22" t="inlineStr">
        <is>
          <t>covered</t>
        </is>
      </c>
      <c r="I27" s="13" t="inlineStr">
        <is>
          <t>Root loading status callback was verified through the playground log/status state.</t>
        </is>
      </c>
      <c r="J27" s="13" t="inlineStr">
        <is>
          <t>Manual verification passed.</t>
        </is>
      </c>
      <c r="K27" s="14">
        <f>IF(AND(E27="yes",F27="yes",H27="covered"),1,IF(H27="partial",0.5,0))</f>
        <v/>
      </c>
    </row>
    <row r="28" ht="30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[data-slot] prop behavior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tested</t>
        </is>
      </c>
      <c r="H28" s="22" t="inlineStr">
        <is>
          <t>covered</t>
        </is>
      </c>
      <c r="I28" s="13" t="inlineStr">
        <is>
          <t>Root data-slot behavior was verified through data-slot="avatar-root".</t>
        </is>
      </c>
      <c r="J28" s="13" t="inlineStr">
        <is>
          <t>Manual verification passed.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Anatomy</t>
        </is>
      </c>
      <c r="C29" s="13" t="inlineStr">
        <is>
          <t>Group</t>
        </is>
      </c>
      <c r="D29" s="13" t="inlineStr">
        <is>
          <t>renders correct part when expected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tested</t>
        </is>
      </c>
      <c r="H29" s="22" t="inlineStr">
        <is>
          <t>covered</t>
        </is>
      </c>
      <c r="I29" s="13" t="inlineStr">
        <is>
          <t>Group renders when State &gt; Group is enabled.</t>
        </is>
      </c>
      <c r="J29" s="13" t="inlineStr">
        <is>
          <t>Manual verification passed.</t>
        </is>
      </c>
      <c r="K29" s="14">
        <f>IF(AND(E29="yes",F29="yes",H29="covered"),1,IF(H29="partial",0.5,0))</f>
        <v/>
      </c>
    </row>
    <row r="30" ht="30" customHeight="1" s="24">
      <c r="A30" s="12" t="n">
        <v>22</v>
      </c>
      <c r="B30" s="13" t="inlineStr">
        <is>
          <t>Anatomy</t>
        </is>
      </c>
      <c r="C30" s="13" t="inlineStr">
        <is>
          <t>Group</t>
        </is>
      </c>
      <c r="D30" s="13" t="inlineStr">
        <is>
          <t>appears in documented order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tested</t>
        </is>
      </c>
      <c r="H30" s="22" t="inlineStr">
        <is>
          <t>covered</t>
        </is>
      </c>
      <c r="I30" s="13" t="inlineStr">
        <is>
          <t>Group appears in the expected Avatar anatomy order.</t>
        </is>
      </c>
      <c r="J30" s="13" t="inlineStr">
        <is>
          <t>Manual verification passed.</t>
        </is>
      </c>
      <c r="K30" s="14">
        <f>IF(AND(E30="yes",F30="yes",H30="covered"),1,IF(H30="partial",0.5,0))</f>
        <v/>
      </c>
    </row>
    <row r="31" ht="30" customHeight="1" s="24">
      <c r="A31" s="12" t="n">
        <v>23</v>
      </c>
      <c r="B31" s="13" t="inlineStr">
        <is>
          <t>Identity</t>
        </is>
      </c>
      <c r="C31" s="13" t="inlineStr">
        <is>
          <t>Group</t>
        </is>
      </c>
      <c r="D31" s="13" t="inlineStr">
        <is>
          <t>default tag is visible in Anatomy/Inspector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tested</t>
        </is>
      </c>
      <c r="H31" s="22" t="inlineStr">
        <is>
          <t>covered</t>
        </is>
      </c>
      <c r="I31" s="13" t="inlineStr">
        <is>
          <t>Group default tag was verified as div in Anatomy/Inspector.</t>
        </is>
      </c>
      <c r="J31" s="13" t="inlineStr">
        <is>
          <t>Manual verification passed.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Identity</t>
        </is>
      </c>
      <c r="C32" s="13" t="inlineStr">
        <is>
          <t>Group</t>
        </is>
      </c>
      <c r="D32" s="13" t="inlineStr">
        <is>
          <t>data-slot is present and correct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tested</t>
        </is>
      </c>
      <c r="H32" s="22" t="inlineStr">
        <is>
          <t>covered</t>
        </is>
      </c>
      <c r="I32" s="13" t="inlineStr">
        <is>
          <t>Group data-slot was verified as avatar-group.</t>
        </is>
      </c>
      <c r="J32" s="13" t="inlineStr">
        <is>
          <t>Manual verification passed.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Props</t>
        </is>
      </c>
      <c r="C33" s="13" t="inlineStr">
        <is>
          <t>Group</t>
        </is>
      </c>
      <c r="D33" s="13" t="inlineStr">
        <is>
          <t>non-Atom native props pass through with data-prop-check marker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tested</t>
        </is>
      </c>
      <c r="H33" s="22" t="inlineStr">
        <is>
          <t>covered</t>
        </is>
      </c>
      <c r="I33" s="13" t="inlineStr">
        <is>
          <t>Group prop passthrough marker was verified in Inspector.</t>
        </is>
      </c>
      <c r="J33" s="13" t="inlineStr">
        <is>
          <t>Manual verification passed.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Refs</t>
        </is>
      </c>
      <c r="C34" s="13" t="inlineStr">
        <is>
          <t>Group</t>
        </is>
      </c>
      <c r="D34" s="13" t="inlineStr">
        <is>
          <t>consumer ref receives the rendered element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tested</t>
        </is>
      </c>
      <c r="H34" s="22" t="inlineStr">
        <is>
          <t>covered</t>
        </is>
      </c>
      <c r="I34" s="13" t="inlineStr">
        <is>
          <t>Group ref target was verified as div in Anatomy.</t>
        </is>
      </c>
      <c r="J34" s="13" t="inlineStr">
        <is>
          <t>Manual verification passed.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Composition</t>
        </is>
      </c>
      <c r="C35" s="13" t="inlineStr">
        <is>
          <t>Group</t>
        </is>
      </c>
      <c r="D35" s="13" t="inlineStr">
        <is>
          <t>asChild prop behavior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tested</t>
        </is>
      </c>
      <c r="H35" s="22" t="inlineStr">
        <is>
          <t>covered</t>
        </is>
      </c>
      <c r="I35" s="13" t="inlineStr">
        <is>
          <t>Group asChild behavior was manually verified.</t>
        </is>
      </c>
      <c r="J35" s="13" t="inlineStr">
        <is>
          <t>Manual verification passed.</t>
        </is>
      </c>
      <c r="K35" s="14">
        <f>IF(AND(E35="yes",F35="yes",H35="covered"),1,IF(H35="partial",0.5,0))</f>
        <v/>
      </c>
    </row>
    <row r="36" ht="30" customHeight="1" s="24">
      <c r="A36" s="12" t="n">
        <v>28</v>
      </c>
      <c r="B36" s="13" t="inlineStr">
        <is>
          <t>Composition</t>
        </is>
      </c>
      <c r="C36" s="13" t="inlineStr">
        <is>
          <t>Group</t>
        </is>
      </c>
      <c r="D36" s="13" t="inlineStr">
        <is>
          <t>render prop behavior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tested</t>
        </is>
      </c>
      <c r="H36" s="22" t="inlineStr">
        <is>
          <t>covered</t>
        </is>
      </c>
      <c r="I36" s="13" t="inlineStr">
        <is>
          <t>Group render behavior was manually verified with section output.</t>
        </is>
      </c>
      <c r="J36" s="13" t="inlineStr">
        <is>
          <t>Manual verification passed.</t>
        </is>
      </c>
      <c r="K36" s="14">
        <f>IF(AND(E36="yes",F36="yes",H36="covered"),1,IF(H36="partial",0.5,0))</f>
        <v/>
      </c>
    </row>
    <row r="37" ht="30" customHeight="1" s="24">
      <c r="A37" s="12" t="n">
        <v>29</v>
      </c>
      <c r="B37" s="13" t="inlineStr">
        <is>
          <t>Public API</t>
        </is>
      </c>
      <c r="C37" s="13" t="inlineStr">
        <is>
          <t>Group</t>
        </is>
      </c>
      <c r="D37" s="13" t="inlineStr">
        <is>
          <t>[data-slot] prop behavior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tested</t>
        </is>
      </c>
      <c r="H37" s="22" t="inlineStr">
        <is>
          <t>covered</t>
        </is>
      </c>
      <c r="I37" s="13" t="inlineStr">
        <is>
          <t>Group data-slot behavior was verified through data-slot="avatar-group".</t>
        </is>
      </c>
      <c r="J37" s="13" t="inlineStr">
        <is>
          <t>Manual verification passed.</t>
        </is>
      </c>
      <c r="K37" s="14">
        <f>IF(AND(E37="yes",F37="yes",H37="covered"),1,IF(H37="partial",0.5,0))</f>
        <v/>
      </c>
    </row>
    <row r="38" ht="30" customHeight="1" s="24">
      <c r="A38" s="12" t="n">
        <v>30</v>
      </c>
      <c r="B38" s="13" t="inlineStr">
        <is>
          <t>Anatomy</t>
        </is>
      </c>
      <c r="C38" s="13" t="inlineStr">
        <is>
          <t>Fallback</t>
        </is>
      </c>
      <c r="D38" s="13" t="inlineStr">
        <is>
          <t>renders correct part when expected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tested</t>
        </is>
      </c>
      <c r="H38" s="22" t="inlineStr">
        <is>
          <t>covered</t>
        </is>
      </c>
      <c r="I38" s="13" t="inlineStr">
        <is>
          <t>Fallback renders when the image is broken or loading/idle and is absent when the image is loaded.</t>
        </is>
      </c>
      <c r="J38" s="13" t="inlineStr">
        <is>
          <t>Manual verification passed.</t>
        </is>
      </c>
      <c r="K38" s="14">
        <f>IF(AND(E38="yes",F38="yes",H38="covered"),1,IF(H38="partial",0.5,0))</f>
        <v/>
      </c>
    </row>
    <row r="39" ht="30" customHeight="1" s="24">
      <c r="A39" s="12" t="n">
        <v>31</v>
      </c>
      <c r="B39" s="13" t="inlineStr">
        <is>
          <t>Anatomy</t>
        </is>
      </c>
      <c r="C39" s="13" t="inlineStr">
        <is>
          <t>Fallback</t>
        </is>
      </c>
      <c r="D39" s="13" t="inlineStr">
        <is>
          <t>appears in documented order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tested</t>
        </is>
      </c>
      <c r="H39" s="22" t="inlineStr">
        <is>
          <t>covered</t>
        </is>
      </c>
      <c r="I39" s="13" t="inlineStr">
        <is>
          <t>Fallback appears in the expected Avatar anatomy order after Image.</t>
        </is>
      </c>
      <c r="J39" s="13" t="inlineStr">
        <is>
          <t>Manual verification passed.</t>
        </is>
      </c>
      <c r="K39" s="14">
        <f>IF(AND(E39="yes",F39="yes",H39="covered"),1,IF(H39="partial",0.5,0))</f>
        <v/>
      </c>
    </row>
    <row r="40" ht="30" customHeight="1" s="24">
      <c r="A40" s="12" t="n">
        <v>32</v>
      </c>
      <c r="B40" s="13" t="inlineStr">
        <is>
          <t>Identity</t>
        </is>
      </c>
      <c r="C40" s="13" t="inlineStr">
        <is>
          <t>Fallback</t>
        </is>
      </c>
      <c r="D40" s="13" t="inlineStr">
        <is>
          <t>default tag is visible in Anatomy/Inspector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tested</t>
        </is>
      </c>
      <c r="H40" s="22" t="inlineStr">
        <is>
          <t>covered</t>
        </is>
      </c>
      <c r="I40" s="13" t="inlineStr">
        <is>
          <t>Fallback default tag was verified when fallback is rendered.</t>
        </is>
      </c>
      <c r="J40" s="13" t="inlineStr">
        <is>
          <t>Manual verification passed.</t>
        </is>
      </c>
      <c r="K40" s="14">
        <f>IF(AND(E40="yes",F40="yes",H40="covered"),1,IF(H40="partial",0.5,0))</f>
        <v/>
      </c>
    </row>
    <row r="41" ht="30" customHeight="1" s="24">
      <c r="A41" s="12" t="n">
        <v>33</v>
      </c>
      <c r="B41" s="13" t="inlineStr">
        <is>
          <t>Identity</t>
        </is>
      </c>
      <c r="C41" s="13" t="inlineStr">
        <is>
          <t>Fallback</t>
        </is>
      </c>
      <c r="D41" s="13" t="inlineStr">
        <is>
          <t>data-slot is present and correct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tested</t>
        </is>
      </c>
      <c r="H41" s="22" t="inlineStr">
        <is>
          <t>covered</t>
        </is>
      </c>
      <c r="I41" s="13" t="inlineStr">
        <is>
          <t>Fallback data-slot was verified when fallback is rendered.</t>
        </is>
      </c>
      <c r="J41" s="13" t="inlineStr">
        <is>
          <t>Manual verification passed.</t>
        </is>
      </c>
      <c r="K41" s="14">
        <f>IF(AND(E41="yes",F41="yes",H41="covered"),1,IF(H41="partial",0.5,0))</f>
        <v/>
      </c>
    </row>
    <row r="42" ht="30" customHeight="1" s="24">
      <c r="A42" s="12" t="n">
        <v>34</v>
      </c>
      <c r="B42" s="13" t="inlineStr">
        <is>
          <t>Props</t>
        </is>
      </c>
      <c r="C42" s="13" t="inlineStr">
        <is>
          <t>Fallback</t>
        </is>
      </c>
      <c r="D42" s="13" t="inlineStr">
        <is>
          <t>non-Atom native props pass through with data-prop-check marker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tested</t>
        </is>
      </c>
      <c r="H42" s="22" t="inlineStr">
        <is>
          <t>covered</t>
        </is>
      </c>
      <c r="I42" s="13" t="inlineStr">
        <is>
          <t>Fallback native/data prop passthrough marker was verified in Inspector.</t>
        </is>
      </c>
      <c r="J42" s="13" t="inlineStr">
        <is>
          <t>Manual verification passed.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Refs</t>
        </is>
      </c>
      <c r="C43" s="13" t="inlineStr">
        <is>
          <t>Fallback</t>
        </is>
      </c>
      <c r="D43" s="13" t="inlineStr">
        <is>
          <t>consumer ref receives the rendered element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tested</t>
        </is>
      </c>
      <c r="H43" s="22" t="inlineStr">
        <is>
          <t>covered</t>
        </is>
      </c>
      <c r="I43" s="13" t="inlineStr">
        <is>
          <t>Fallback ref target was verified as span in Anatomy.</t>
        </is>
      </c>
      <c r="J43" s="13" t="inlineStr">
        <is>
          <t>Manual verification passed.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Composition</t>
        </is>
      </c>
      <c r="C44" s="13" t="inlineStr">
        <is>
          <t>Fallback</t>
        </is>
      </c>
      <c r="D44" s="13" t="inlineStr">
        <is>
          <t>asChild prop behavior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tested</t>
        </is>
      </c>
      <c r="H44" s="22" t="inlineStr">
        <is>
          <t>covered</t>
        </is>
      </c>
      <c r="I44" s="13" t="inlineStr">
        <is>
          <t>Fallback asChild behavior was manually verified.</t>
        </is>
      </c>
      <c r="J44" s="13" t="inlineStr">
        <is>
          <t>Manual verification passed.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Composition</t>
        </is>
      </c>
      <c r="C45" s="13" t="inlineStr">
        <is>
          <t>Fallback</t>
        </is>
      </c>
      <c r="D45" s="13" t="inlineStr">
        <is>
          <t>render prop behavior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tested</t>
        </is>
      </c>
      <c r="H45" s="22" t="inlineStr">
        <is>
          <t>covered</t>
        </is>
      </c>
      <c r="I45" s="13" t="inlineStr">
        <is>
          <t>Fallback render behavior was manually verified.</t>
        </is>
      </c>
      <c r="J45" s="13" t="inlineStr">
        <is>
          <t>Manual verification passed.</t>
        </is>
      </c>
      <c r="K45" s="14">
        <f>IF(AND(E45="yes",F45="yes",H45="covered"),1,IF(H45="partial",0.5,0))</f>
        <v/>
      </c>
    </row>
    <row r="46" ht="30" customHeight="1" s="24">
      <c r="A46" s="12" t="n">
        <v>38</v>
      </c>
      <c r="B46" s="13" t="inlineStr">
        <is>
          <t>Public API</t>
        </is>
      </c>
      <c r="C46" s="13" t="inlineStr">
        <is>
          <t>Fallback</t>
        </is>
      </c>
      <c r="D46" s="13" t="inlineStr">
        <is>
          <t>delayMs prop behavior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tested</t>
        </is>
      </c>
      <c r="H46" s="22" t="inlineStr">
        <is>
          <t>covered</t>
        </is>
      </c>
      <c r="I46" s="13" t="inlineStr">
        <is>
          <t>Fallback delayMs behavior is represented in Source and verified with Delay fallback on.</t>
        </is>
      </c>
      <c r="J46" s="13" t="inlineStr">
        <is>
          <t>Manual verification passed.</t>
        </is>
      </c>
      <c r="K46" s="14">
        <f>IF(AND(E46="yes",F46="yes",H46="covered"),1,IF(H46="partial",0.5,0))</f>
        <v/>
      </c>
    </row>
    <row r="47" ht="30" customHeight="1" s="24">
      <c r="A47" s="12" t="n">
        <v>39</v>
      </c>
      <c r="B47" s="13" t="inlineStr">
        <is>
          <t>Public API</t>
        </is>
      </c>
      <c r="C47" s="13" t="inlineStr">
        <is>
          <t>Fallback</t>
        </is>
      </c>
      <c r="D47" s="13" t="inlineStr">
        <is>
          <t>[data-slot] prop behavior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tested</t>
        </is>
      </c>
      <c r="H47" s="22" t="inlineStr">
        <is>
          <t>covered</t>
        </is>
      </c>
      <c r="I47" s="13" t="inlineStr">
        <is>
          <t>Fallback data-slot behavior was verified through data-slot="avatar-fallback".</t>
        </is>
      </c>
      <c r="J47" s="13" t="inlineStr">
        <is>
          <t>Manual verification passed.</t>
        </is>
      </c>
      <c r="K47" s="14">
        <f>IF(AND(E47="yes",F47="yes",H47="covered"),1,IF(H47="partial",0.5,0))</f>
        <v/>
      </c>
    </row>
    <row r="48" ht="30" customHeight="1" s="24">
      <c r="A48" s="12" t="n">
        <v>40</v>
      </c>
      <c r="B48" s="13" t="inlineStr">
        <is>
          <t>Anatomy</t>
        </is>
      </c>
      <c r="C48" s="13" t="inlineStr">
        <is>
          <t>Image</t>
        </is>
      </c>
      <c r="D48" s="13" t="inlineStr">
        <is>
          <t>renders correct part when expected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tested</t>
        </is>
      </c>
      <c r="H48" s="22" t="inlineStr">
        <is>
          <t>covered</t>
        </is>
      </c>
      <c r="I48" s="13" t="inlineStr">
        <is>
          <t>Image renders when loaded and is absent when broken/loading.</t>
        </is>
      </c>
      <c r="J48" s="13" t="inlineStr">
        <is>
          <t>Manual verification passed.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Anatomy</t>
        </is>
      </c>
      <c r="C49" s="13" t="inlineStr">
        <is>
          <t>Image</t>
        </is>
      </c>
      <c r="D49" s="13" t="inlineStr">
        <is>
          <t>appears in documented order</t>
        </is>
      </c>
      <c r="E49" s="18" t="inlineStr">
        <is>
          <t>yes</t>
        </is>
      </c>
      <c r="F49" s="18" t="inlineStr">
        <is>
          <t>yes</t>
        </is>
      </c>
      <c r="G49" s="12" t="inlineStr">
        <is>
          <t>tested</t>
        </is>
      </c>
      <c r="H49" s="22" t="inlineStr">
        <is>
          <t>covered</t>
        </is>
      </c>
      <c r="I49" s="13" t="inlineStr">
        <is>
          <t>Image appears in the expected Avatar anatomy order.</t>
        </is>
      </c>
      <c r="J49" s="13" t="inlineStr">
        <is>
          <t>Manual verification passed.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Identity</t>
        </is>
      </c>
      <c r="C50" s="13" t="inlineStr">
        <is>
          <t>Image</t>
        </is>
      </c>
      <c r="D50" s="13" t="inlineStr">
        <is>
          <t>default tag is visible in Anatomy/Inspector</t>
        </is>
      </c>
      <c r="E50" s="18" t="inlineStr">
        <is>
          <t>yes</t>
        </is>
      </c>
      <c r="F50" s="18" t="inlineStr">
        <is>
          <t>yes</t>
        </is>
      </c>
      <c r="G50" s="12" t="inlineStr">
        <is>
          <t>tested</t>
        </is>
      </c>
      <c r="H50" s="22" t="inlineStr">
        <is>
          <t>covered</t>
        </is>
      </c>
      <c r="I50" s="13" t="inlineStr">
        <is>
          <t>Image default tag was verified as img when loaded.</t>
        </is>
      </c>
      <c r="J50" s="13" t="inlineStr">
        <is>
          <t>Manual verification passed.</t>
        </is>
      </c>
      <c r="K50" s="14">
        <f>IF(AND(E50="yes",F50="yes",H50="covered"),1,IF(H50="partial",0.5,0))</f>
        <v/>
      </c>
    </row>
    <row r="51" ht="30" customHeight="1" s="24">
      <c r="A51" s="12" t="n">
        <v>43</v>
      </c>
      <c r="B51" s="13" t="inlineStr">
        <is>
          <t>Identity</t>
        </is>
      </c>
      <c r="C51" s="13" t="inlineStr">
        <is>
          <t>Image</t>
        </is>
      </c>
      <c r="D51" s="13" t="inlineStr">
        <is>
          <t>data-slot is present and correct</t>
        </is>
      </c>
      <c r="E51" s="18" t="inlineStr">
        <is>
          <t>yes</t>
        </is>
      </c>
      <c r="F51" s="18" t="inlineStr">
        <is>
          <t>yes</t>
        </is>
      </c>
      <c r="G51" s="12" t="inlineStr">
        <is>
          <t>tested</t>
        </is>
      </c>
      <c r="H51" s="22" t="inlineStr">
        <is>
          <t>covered</t>
        </is>
      </c>
      <c r="I51" s="13" t="inlineStr">
        <is>
          <t>Image data-slot was verified as avatar-image when loaded.</t>
        </is>
      </c>
      <c r="J51" s="13" t="inlineStr">
        <is>
          <t>Manual verification passed.</t>
        </is>
      </c>
      <c r="K51" s="14">
        <f>IF(AND(E51="yes",F51="yes",H51="covered"),1,IF(H51="partial",0.5,0))</f>
        <v/>
      </c>
    </row>
    <row r="52" ht="30" customHeight="1" s="24">
      <c r="A52" s="12" t="n">
        <v>44</v>
      </c>
      <c r="B52" s="13" t="inlineStr">
        <is>
          <t>Props</t>
        </is>
      </c>
      <c r="C52" s="13" t="inlineStr">
        <is>
          <t>Image</t>
        </is>
      </c>
      <c r="D52" s="13" t="inlineStr">
        <is>
          <t>non-Atom native props pass through with data-prop-check marker</t>
        </is>
      </c>
      <c r="E52" s="18" t="inlineStr">
        <is>
          <t>yes</t>
        </is>
      </c>
      <c r="F52" s="18" t="inlineStr">
        <is>
          <t>yes</t>
        </is>
      </c>
      <c r="G52" s="12" t="inlineStr">
        <is>
          <t>tested</t>
        </is>
      </c>
      <c r="H52" s="22" t="inlineStr">
        <is>
          <t>covered</t>
        </is>
      </c>
      <c r="I52" s="13" t="inlineStr">
        <is>
          <t>Image native/data prop passthrough marker was verified in Inspector.</t>
        </is>
      </c>
      <c r="J52" s="13" t="inlineStr">
        <is>
          <t>Manual verification passed.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Refs</t>
        </is>
      </c>
      <c r="C53" s="13" t="inlineStr">
        <is>
          <t>Image</t>
        </is>
      </c>
      <c r="D53" s="13" t="inlineStr">
        <is>
          <t>consumer ref receives the rendered element</t>
        </is>
      </c>
      <c r="E53" s="18" t="inlineStr">
        <is>
          <t>yes</t>
        </is>
      </c>
      <c r="F53" s="18" t="inlineStr">
        <is>
          <t>yes</t>
        </is>
      </c>
      <c r="G53" s="12" t="inlineStr">
        <is>
          <t>tested</t>
        </is>
      </c>
      <c r="H53" s="22" t="inlineStr">
        <is>
          <t>covered</t>
        </is>
      </c>
      <c r="I53" s="13" t="inlineStr">
        <is>
          <t>Image ref target was verified as img in Anatomy.</t>
        </is>
      </c>
      <c r="J53" s="13" t="inlineStr">
        <is>
          <t>Manual verification passed.</t>
        </is>
      </c>
      <c r="K53" s="14">
        <f>IF(AND(E53="yes",F53="yes",H53="covered"),1,IF(H53="partial",0.5,0))</f>
        <v/>
      </c>
    </row>
    <row r="54" ht="30" customHeight="1" s="24">
      <c r="A54" s="12" t="n">
        <v>46</v>
      </c>
      <c r="B54" s="13" t="inlineStr">
        <is>
          <t>Composition</t>
        </is>
      </c>
      <c r="C54" s="13" t="inlineStr">
        <is>
          <t>Image</t>
        </is>
      </c>
      <c r="D54" s="13" t="inlineStr">
        <is>
          <t>asChild prop behavior</t>
        </is>
      </c>
      <c r="E54" s="18" t="inlineStr">
        <is>
          <t>yes</t>
        </is>
      </c>
      <c r="F54" s="18" t="inlineStr">
        <is>
          <t>yes</t>
        </is>
      </c>
      <c r="G54" s="12" t="inlineStr">
        <is>
          <t>tested</t>
        </is>
      </c>
      <c r="H54" s="22" t="inlineStr">
        <is>
          <t>covered</t>
        </is>
      </c>
      <c r="I54" s="13" t="inlineStr">
        <is>
          <t>Image asChild behavior was manually verified with live alt/data updates.</t>
        </is>
      </c>
      <c r="J54" s="13" t="inlineStr">
        <is>
          <t>Manual verification passed.</t>
        </is>
      </c>
      <c r="K54" s="14">
        <f>IF(AND(E54="yes",F54="yes",H54="covered"),1,IF(H54="partial",0.5,0))</f>
        <v/>
      </c>
    </row>
    <row r="55" ht="30" customHeight="1" s="24">
      <c r="A55" s="12" t="n">
        <v>47</v>
      </c>
      <c r="B55" s="13" t="inlineStr">
        <is>
          <t>Composition</t>
        </is>
      </c>
      <c r="C55" s="13" t="inlineStr">
        <is>
          <t>Image</t>
        </is>
      </c>
      <c r="D55" s="13" t="inlineStr">
        <is>
          <t>render prop behavior</t>
        </is>
      </c>
      <c r="E55" s="18" t="inlineStr">
        <is>
          <t>yes</t>
        </is>
      </c>
      <c r="F55" s="18" t="inlineStr">
        <is>
          <t>yes</t>
        </is>
      </c>
      <c r="G55" s="12" t="inlineStr">
        <is>
          <t>tested</t>
        </is>
      </c>
      <c r="H55" s="22" t="inlineStr">
        <is>
          <t>covered</t>
        </is>
      </c>
      <c r="I55" s="13" t="inlineStr">
        <is>
          <t>Image render behavior was manually verified with live alt/data updates.</t>
        </is>
      </c>
      <c r="J55" s="13" t="inlineStr">
        <is>
          <t>Manual verification passed.</t>
        </is>
      </c>
      <c r="K55" s="14">
        <f>IF(AND(E55="yes",F55="yes",H55="covered"),1,IF(H55="partial",0.5,0))</f>
        <v/>
      </c>
    </row>
    <row r="56" ht="30" customHeight="1" s="24">
      <c r="A56" s="12" t="n">
        <v>48</v>
      </c>
      <c r="B56" s="13" t="inlineStr">
        <is>
          <t>Public API</t>
        </is>
      </c>
      <c r="C56" s="13" t="inlineStr">
        <is>
          <t>Image</t>
        </is>
      </c>
      <c r="D56" s="13" t="inlineStr">
        <is>
          <t>src prop behavior</t>
        </is>
      </c>
      <c r="E56" s="18" t="inlineStr">
        <is>
          <t>yes</t>
        </is>
      </c>
      <c r="F56" s="18" t="inlineStr">
        <is>
          <t>yes</t>
        </is>
      </c>
      <c r="G56" s="12" t="inlineStr">
        <is>
          <t>tested</t>
        </is>
      </c>
      <c r="H56" s="22" t="inlineStr">
        <is>
          <t>covered</t>
        </is>
      </c>
      <c r="I56" s="13" t="inlineStr">
        <is>
          <t>Image src behavior was verified through loaded, broken, and loading source modes.</t>
        </is>
      </c>
      <c r="J56" s="13" t="inlineStr">
        <is>
          <t>Manual verification passed.</t>
        </is>
      </c>
      <c r="K56" s="14">
        <f>IF(AND(E56="yes",F56="yes",H56="covered"),1,IF(H56="partial",0.5,0))</f>
        <v/>
      </c>
    </row>
    <row r="57" ht="30" customHeight="1" s="24">
      <c r="A57" s="12" t="n">
        <v>49</v>
      </c>
      <c r="B57" s="13" t="inlineStr">
        <is>
          <t>Public API</t>
        </is>
      </c>
      <c r="C57" s="13" t="inlineStr">
        <is>
          <t>Image</t>
        </is>
      </c>
      <c r="D57" s="13" t="inlineStr">
        <is>
          <t>alt prop behavior</t>
        </is>
      </c>
      <c r="E57" s="18" t="inlineStr">
        <is>
          <t>yes</t>
        </is>
      </c>
      <c r="F57" s="18" t="inlineStr">
        <is>
          <t>yes</t>
        </is>
      </c>
      <c r="G57" s="12" t="inlineStr">
        <is>
          <t>tested</t>
        </is>
      </c>
      <c r="H57" s="22" t="inlineStr">
        <is>
          <t>covered</t>
        </is>
      </c>
      <c r="I57" s="13" t="inlineStr">
        <is>
          <t>Image alt behavior was verified for meaningful alt text and decorative alt="".</t>
        </is>
      </c>
      <c r="J57" s="13" t="inlineStr">
        <is>
          <t>Manual verification passed.</t>
        </is>
      </c>
      <c r="K57" s="14">
        <f>IF(AND(E57="yes",F57="yes",H57="covered"),1,IF(H57="partial",0.5,0))</f>
        <v/>
      </c>
    </row>
    <row r="58" ht="30" customHeight="1" s="24">
      <c r="A58" s="12" t="n">
        <v>50</v>
      </c>
      <c r="B58" s="13" t="inlineStr">
        <is>
          <t>Public API</t>
        </is>
      </c>
      <c r="C58" s="13" t="inlineStr">
        <is>
          <t>Image</t>
        </is>
      </c>
      <c r="D58" s="13" t="inlineStr">
        <is>
          <t>[data-slot] prop behavior</t>
        </is>
      </c>
      <c r="E58" s="18" t="inlineStr">
        <is>
          <t>yes</t>
        </is>
      </c>
      <c r="F58" s="18" t="inlineStr">
        <is>
          <t>yes</t>
        </is>
      </c>
      <c r="G58" s="12" t="inlineStr">
        <is>
          <t>tested</t>
        </is>
      </c>
      <c r="H58" s="22" t="inlineStr">
        <is>
          <t>covered</t>
        </is>
      </c>
      <c r="I58" s="13" t="inlineStr">
        <is>
          <t>Image data-slot override/default behavior was verified through data-slot="avatar-image".</t>
        </is>
      </c>
      <c r="J58" s="13" t="inlineStr">
        <is>
          <t>Manual verification passed.</t>
        </is>
      </c>
      <c r="K58" s="14">
        <f>IF(AND(E58="yes",F58="yes",H58="covered"),1,IF(H58="partial",0.5,0))</f>
        <v/>
      </c>
    </row>
    <row r="59" ht="30" customHeight="1" s="24">
      <c r="A59" s="12" t="n">
        <v>51</v>
      </c>
      <c r="B59" s="13" t="inlineStr">
        <is>
          <t>Data</t>
        </is>
      </c>
      <c r="C59" s="13" t="inlineStr">
        <is>
          <t>Live DOM</t>
        </is>
      </c>
      <c r="D59" s="13" t="inlineStr">
        <is>
          <t>data-slot is present at the correct time</t>
        </is>
      </c>
      <c r="E59" s="18" t="inlineStr">
        <is>
          <t>yes</t>
        </is>
      </c>
      <c r="F59" s="18" t="inlineStr">
        <is>
          <t>yes</t>
        </is>
      </c>
      <c r="G59" s="12" t="inlineStr">
        <is>
          <t>tested</t>
        </is>
      </c>
      <c r="H59" s="22" t="inlineStr">
        <is>
          <t>covered</t>
        </is>
      </c>
      <c r="I59" s="13" t="inlineStr">
        <is>
          <t>Live data-slot and data attributes were verified in Anatomy/Inspector for the rendered Avatar parts.</t>
        </is>
      </c>
      <c r="J59" s="13" t="inlineStr">
        <is>
          <t>Manual verification passed.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Composition</t>
        </is>
      </c>
      <c r="C60" s="13" t="inlineStr">
        <is>
          <t>Avatar</t>
        </is>
      </c>
      <c r="D60" s="13" t="inlineStr">
        <is>
          <t>asChild preserves child content without double nesting</t>
        </is>
      </c>
      <c r="E60" s="18" t="inlineStr">
        <is>
          <t>yes</t>
        </is>
      </c>
      <c r="F60" s="18" t="inlineStr">
        <is>
          <t>yes</t>
        </is>
      </c>
      <c r="G60" s="12" t="inlineStr">
        <is>
          <t>tested</t>
        </is>
      </c>
      <c r="H60" s="22" t="inlineStr">
        <is>
          <t>covered</t>
        </is>
      </c>
      <c r="I60" s="13" t="inlineStr">
        <is>
          <t>Avatar asChild composition preserved child image rendering without duplicate nesting.</t>
        </is>
      </c>
      <c r="J60" s="13" t="inlineStr">
        <is>
          <t>Manual verification passed.</t>
        </is>
      </c>
      <c r="K60" s="14">
        <f>IF(AND(E60="yes",F60="yes",H60="covered"),1,IF(H60="partial",0.5,0))</f>
        <v/>
      </c>
    </row>
    <row r="61" ht="30" customHeight="1" s="24">
      <c r="A61" s="12" t="n">
        <v>53</v>
      </c>
      <c r="B61" s="13" t="inlineStr">
        <is>
          <t>Composition</t>
        </is>
      </c>
      <c r="C61" s="13" t="inlineStr">
        <is>
          <t>Avatar</t>
        </is>
      </c>
      <c r="D61" s="13" t="inlineStr">
        <is>
          <t>asChild merges Atom props and consumer props</t>
        </is>
      </c>
      <c r="E61" s="18" t="inlineStr">
        <is>
          <t>yes</t>
        </is>
      </c>
      <c r="F61" s="18" t="inlineStr">
        <is>
          <t>yes</t>
        </is>
      </c>
      <c r="G61" s="12" t="inlineStr">
        <is>
          <t>tested</t>
        </is>
      </c>
      <c r="H61" s="22" t="inlineStr">
        <is>
          <t>covered</t>
        </is>
      </c>
      <c r="I61" s="13" t="inlineStr">
        <is>
          <t>Avatar asChild composition merged Atom image props and consumer data props.</t>
        </is>
      </c>
      <c r="J61" s="13" t="inlineStr">
        <is>
          <t>Manual verification passed.</t>
        </is>
      </c>
      <c r="K61" s="14">
        <f>IF(AND(E61="yes",F61="yes",H61="covered"),1,IF(H61="partial",0.5,0))</f>
        <v/>
      </c>
    </row>
    <row r="62" ht="30" customHeight="1" s="24">
      <c r="A62" s="12" t="n">
        <v>54</v>
      </c>
      <c r="B62" s="13" t="inlineStr">
        <is>
          <t>Composition</t>
        </is>
      </c>
      <c r="C62" s="13" t="inlineStr">
        <is>
          <t>Avatar</t>
        </is>
      </c>
      <c r="D62" s="13" t="inlineStr">
        <is>
          <t>render prop renders custom element</t>
        </is>
      </c>
      <c r="E62" s="18" t="inlineStr">
        <is>
          <t>yes</t>
        </is>
      </c>
      <c r="F62" s="18" t="inlineStr">
        <is>
          <t>yes</t>
        </is>
      </c>
      <c r="G62" s="12" t="inlineStr">
        <is>
          <t>tested</t>
        </is>
      </c>
      <c r="H62" s="22" t="inlineStr">
        <is>
          <t>covered</t>
        </is>
      </c>
      <c r="I62" s="13" t="inlineStr">
        <is>
          <t>Avatar render composition rendered the custom image element.</t>
        </is>
      </c>
      <c r="J62" s="13" t="inlineStr">
        <is>
          <t>Manual verification passed.</t>
        </is>
      </c>
      <c r="K62" s="14">
        <f>IF(AND(E62="yes",F62="yes",H62="covered"),1,IF(H62="partial",0.5,0))</f>
        <v/>
      </c>
    </row>
    <row r="63" ht="30" customHeight="1" s="24">
      <c r="A63" s="12" t="n">
        <v>55</v>
      </c>
      <c r="B63" s="13" t="inlineStr">
        <is>
          <t>Composition</t>
        </is>
      </c>
      <c r="C63" s="13" t="inlineStr">
        <is>
          <t>Avatar</t>
        </is>
      </c>
      <c r="D63" s="13" t="inlineStr">
        <is>
          <t>render prop preserves refs and behavior props</t>
        </is>
      </c>
      <c r="E63" s="18" t="inlineStr">
        <is>
          <t>yes</t>
        </is>
      </c>
      <c r="F63" s="18" t="inlineStr">
        <is>
          <t>yes</t>
        </is>
      </c>
      <c r="G63" s="12" t="inlineStr">
        <is>
          <t>tested</t>
        </is>
      </c>
      <c r="H63" s="22" t="inlineStr">
        <is>
          <t>covered</t>
        </is>
      </c>
      <c r="I63" s="13" t="inlineStr">
        <is>
          <t>Avatar render composition preserved refs and behavior props on the image.</t>
        </is>
      </c>
      <c r="J63" s="13" t="inlineStr">
        <is>
          <t>Manual verification passed.</t>
        </is>
      </c>
      <c r="K63" s="14">
        <f>IF(AND(E63="yes",F63="yes",H63="covered"),1,IF(H63="partial",0.5,0))</f>
        <v/>
      </c>
    </row>
    <row r="64" ht="30" customHeight="1" s="24">
      <c r="A64" s="12" t="n">
        <v>56</v>
      </c>
      <c r="B64" s="13" t="inlineStr">
        <is>
          <t>State</t>
        </is>
      </c>
      <c r="C64" s="13" t="inlineStr">
        <is>
          <t>Root</t>
        </is>
      </c>
      <c r="D64" s="13" t="inlineStr">
        <is>
          <t>state change callback fires once with correct value</t>
        </is>
      </c>
      <c r="E64" s="18" t="inlineStr">
        <is>
          <t>yes</t>
        </is>
      </c>
      <c r="F64" s="18" t="inlineStr">
        <is>
          <t>yes</t>
        </is>
      </c>
      <c r="G64" s="12" t="inlineStr">
        <is>
          <t>tested</t>
        </is>
      </c>
      <c r="H64" s="22" t="inlineStr">
        <is>
          <t>covered</t>
        </is>
      </c>
      <c r="I64" s="13" t="inlineStr">
        <is>
          <t>Status change logging was verified without duplicate consecutive loading events.</t>
        </is>
      </c>
      <c r="J64" s="13" t="inlineStr">
        <is>
          <t>Manual verification passed.</t>
        </is>
      </c>
      <c r="K64" s="14">
        <f>IF(AND(E64="yes",F64="yes",H64="covered"),1,IF(H64="partial",0.5,0))</f>
        <v/>
      </c>
    </row>
  </sheetData>
  <autoFilter ref="A8:K64"/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Badge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IFERROR(SUM(K9:K31)/COUNT(K9:K31),0)</f>
        <v/>
      </c>
      <c r="C4" s="8" t="inlineStr">
        <is>
          <t>Covered</t>
        </is>
      </c>
      <c r="D4" s="10">
        <f>COUNTIFS(E9:E31,"yes",F9:F31,"yes",H9:H31,"covered")</f>
        <v/>
      </c>
      <c r="E4" s="8" t="inlineStr">
        <is>
          <t>Partial</t>
        </is>
      </c>
      <c r="F4" s="10">
        <f>COUNTIF(H9:H31,"partial")</f>
        <v/>
      </c>
      <c r="G4" s="8" t="inlineStr">
        <is>
          <t>Missing</t>
        </is>
      </c>
      <c r="H4" s="10">
        <f>COUNTIFS(E9:E31,"&lt;&gt;yes") + COUNTIFS(E9:E31,"yes",H9:H31,"missing")</f>
        <v/>
      </c>
      <c r="I4" s="8" t="inlineStr">
        <is>
          <t>Untested</t>
        </is>
      </c>
      <c r="J4" s="10">
        <f>COUNTIFS(E9:E31,"yes",F9:F31,"&lt;&gt;yes") + COUNTIFS(E9:E31,"yes",F9:F31,"yes",H9:H31,"untested")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Badge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</t>
        </is>
      </c>
      <c r="H9" s="22" t="inlineStr">
        <is>
          <t>covered</t>
        </is>
      </c>
      <c r="I9" s="13" t="inlineStr">
        <is>
          <t>Badge playground manual verification.</t>
        </is>
      </c>
      <c r="J9" s="13" t="n"/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Badge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</t>
        </is>
      </c>
      <c r="H10" s="22" t="inlineStr">
        <is>
          <t>covered</t>
        </is>
      </c>
      <c r="I10" s="13" t="inlineStr">
        <is>
          <t>Badge playground manual verification.</t>
        </is>
      </c>
      <c r="J10" s="13" t="n"/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Badge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</t>
        </is>
      </c>
      <c r="H11" s="22" t="inlineStr">
        <is>
          <t>covered</t>
        </is>
      </c>
      <c r="I11" s="13" t="inlineStr">
        <is>
          <t>Badge playground manual verification.</t>
        </is>
      </c>
      <c r="J11" s="13" t="n"/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Badge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</t>
        </is>
      </c>
      <c r="H12" s="22" t="inlineStr">
        <is>
          <t>covered</t>
        </is>
      </c>
      <c r="I12" s="13" t="inlineStr">
        <is>
          <t>Badge playground manual verification.</t>
        </is>
      </c>
      <c r="J12" s="13" t="n"/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Badge</t>
        </is>
      </c>
      <c r="D13" s="13" t="inlineStr">
        <is>
          <t>Renders a native `span`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</t>
        </is>
      </c>
      <c r="H13" s="22" t="inlineStr">
        <is>
          <t>covered</t>
        </is>
      </c>
      <c r="I13" s="13" t="inlineStr">
        <is>
          <t>Badge playground manual verification.</t>
        </is>
      </c>
      <c r="J13" s="13" t="n"/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Badge</t>
        </is>
      </c>
      <c r="D14" s="13" t="inlineStr">
        <is>
          <t>Keeps text content in the accessibility tree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</t>
        </is>
      </c>
      <c r="H14" s="22" t="inlineStr">
        <is>
          <t>covered</t>
        </is>
      </c>
      <c r="I14" s="13" t="inlineStr">
        <is>
          <t>Badge playground manual verification.</t>
        </is>
      </c>
      <c r="J14" s="13" t="n"/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Badge</t>
        </is>
      </c>
      <c r="D15" s="13" t="inlineStr">
        <is>
          <t>Supports native span props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</t>
        </is>
      </c>
      <c r="H15" s="22" t="inlineStr">
        <is>
          <t>covered</t>
        </is>
      </c>
      <c r="I15" s="13" t="inlineStr">
        <is>
          <t>Badge playground manual verification.</t>
        </is>
      </c>
      <c r="J15" s="13" t="n"/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Badge</t>
        </is>
      </c>
      <c r="D16" s="13" t="inlineStr">
        <is>
          <t>Supports `asChild` and `render`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</t>
        </is>
      </c>
      <c r="H16" s="22" t="inlineStr">
        <is>
          <t>covered</t>
        </is>
      </c>
      <c r="I16" s="13" t="inlineStr">
        <is>
          <t>Badge playground manual verification.</t>
        </is>
      </c>
      <c r="J16" s="13" t="n"/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Anatomy</t>
        </is>
      </c>
      <c r="C17" s="13" t="inlineStr">
        <is>
          <t>Root</t>
        </is>
      </c>
      <c r="D17" s="13" t="inlineStr">
        <is>
          <t>renders correct part when expected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</t>
        </is>
      </c>
      <c r="H17" s="22" t="inlineStr">
        <is>
          <t>covered</t>
        </is>
      </c>
      <c r="I17" s="13" t="inlineStr">
        <is>
          <t>Badge playground manual verification.</t>
        </is>
      </c>
      <c r="J17" s="13" t="n"/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appears in documented order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</t>
        </is>
      </c>
      <c r="H18" s="22" t="inlineStr">
        <is>
          <t>covered</t>
        </is>
      </c>
      <c r="I18" s="13" t="inlineStr">
        <is>
          <t>Badge playground manual verification.</t>
        </is>
      </c>
      <c r="J18" s="13" t="n"/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Identity</t>
        </is>
      </c>
      <c r="C19" s="13" t="inlineStr">
        <is>
          <t>Root</t>
        </is>
      </c>
      <c r="D19" s="13" t="inlineStr">
        <is>
          <t>default tag is visible in Anatomy/Inspector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</t>
        </is>
      </c>
      <c r="H19" s="22" t="inlineStr">
        <is>
          <t>covered</t>
        </is>
      </c>
      <c r="I19" s="13" t="inlineStr">
        <is>
          <t>Badge playground manual verification.</t>
        </is>
      </c>
      <c r="J19" s="13" t="n"/>
      <c r="K19" s="14">
        <f>IF(AND(E19="yes",F19="yes",H19="covered"),1,IF(H19="partial",0.5,0))</f>
        <v/>
      </c>
    </row>
    <row r="20" ht="30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data-slot is present and correct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</t>
        </is>
      </c>
      <c r="H20" s="22" t="inlineStr">
        <is>
          <t>covered</t>
        </is>
      </c>
      <c r="I20" s="13" t="inlineStr">
        <is>
          <t>Badge playground manual verification; data-slot is badge and empty data markers render bare.</t>
        </is>
      </c>
      <c r="J20" s="13" t="n"/>
      <c r="K20" s="14">
        <f>IF(AND(E20="yes",F20="yes",H20="covered"),1,IF(H20="partial",0.5,0))</f>
        <v/>
      </c>
    </row>
    <row r="21" ht="30" customHeight="1" s="24">
      <c r="A21" s="12" t="n">
        <v>13</v>
      </c>
      <c r="B21" s="13" t="inlineStr">
        <is>
          <t>Props</t>
        </is>
      </c>
      <c r="C21" s="13" t="inlineStr">
        <is>
          <t>Root</t>
        </is>
      </c>
      <c r="D21" s="13" t="inlineStr">
        <is>
          <t>non-Atom native props pass through with data-prop-check marker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</t>
        </is>
      </c>
      <c r="H21" s="22" t="inlineStr">
        <is>
          <t>covered</t>
        </is>
      </c>
      <c r="I21" s="13" t="inlineStr">
        <is>
          <t>Badge playground manual verification.</t>
        </is>
      </c>
      <c r="J21" s="13" t="n"/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Refs</t>
        </is>
      </c>
      <c r="C22" s="13" t="inlineStr">
        <is>
          <t>Root</t>
        </is>
      </c>
      <c r="D22" s="13" t="inlineStr">
        <is>
          <t>consumer ref receives the rendered element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</t>
        </is>
      </c>
      <c r="H22" s="22" t="inlineStr">
        <is>
          <t>covered</t>
        </is>
      </c>
      <c r="I22" s="13" t="inlineStr">
        <is>
          <t>Badge playground manual verification.</t>
        </is>
      </c>
      <c r="J22" s="13" t="n"/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Composition</t>
        </is>
      </c>
      <c r="C23" s="13" t="inlineStr">
        <is>
          <t>Root</t>
        </is>
      </c>
      <c r="D23" s="13" t="inlineStr">
        <is>
          <t>asChild prop behavior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</t>
        </is>
      </c>
      <c r="H23" s="22" t="inlineStr">
        <is>
          <t>covered</t>
        </is>
      </c>
      <c r="I23" s="13" t="inlineStr">
        <is>
          <t>Badge playground manual verification; asChild/render use strong custom element.</t>
        </is>
      </c>
      <c r="J23" s="13" t="n"/>
      <c r="K23" s="14">
        <f>IF(AND(E23="yes",F23="yes",H23="covered"),1,IF(H23="partial",0.5,0))</f>
        <v/>
      </c>
    </row>
    <row r="24" ht="30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render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</t>
        </is>
      </c>
      <c r="H24" s="22" t="inlineStr">
        <is>
          <t>covered</t>
        </is>
      </c>
      <c r="I24" s="13" t="inlineStr">
        <is>
          <t>Badge playground manual verification; asChild/render use strong custom element.</t>
        </is>
      </c>
      <c r="J24" s="13" t="n"/>
      <c r="K24" s="14">
        <f>IF(AND(E24="yes",F24="yes",H24="covered"),1,IF(H24="partial",0.5,0))</f>
        <v/>
      </c>
    </row>
    <row r="25" ht="30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[data-slot]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</t>
        </is>
      </c>
      <c r="H25" s="22" t="inlineStr">
        <is>
          <t>covered</t>
        </is>
      </c>
      <c r="I25" s="13" t="inlineStr">
        <is>
          <t>Badge playground manual verification; data-slot is badge and empty data markers render bare.</t>
        </is>
      </c>
      <c r="J25" s="13" t="n"/>
      <c r="K25" s="14">
        <f>IF(AND(E25="yes",F25="yes",H25="covered"),1,IF(H25="partial",0.5,0))</f>
        <v/>
      </c>
    </row>
    <row r="26" ht="30" customHeight="1" s="24">
      <c r="A26" s="12" t="n">
        <v>18</v>
      </c>
      <c r="B26" s="13" t="inlineStr">
        <is>
          <t>Data</t>
        </is>
      </c>
      <c r="C26" s="13" t="inlineStr">
        <is>
          <t>Live DOM</t>
        </is>
      </c>
      <c r="D26" s="13" t="inlineStr">
        <is>
          <t>data-slot is present at the correct time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</t>
        </is>
      </c>
      <c r="H26" s="22" t="inlineStr">
        <is>
          <t>covered</t>
        </is>
      </c>
      <c r="I26" s="13" t="inlineStr">
        <is>
          <t>Badge playground manual verification; data-slot is badge and empty data markers render bare.</t>
        </is>
      </c>
      <c r="J26" s="13" t="n"/>
      <c r="K26" s="14">
        <f>IF(AND(E26="yes",F26="yes",H26="covered"),1,IF(H26="partial",0.5,0))</f>
        <v/>
      </c>
    </row>
    <row r="27" ht="30" customHeight="1" s="24">
      <c r="A27" s="12" t="n">
        <v>19</v>
      </c>
      <c r="B27" s="13" t="inlineStr">
        <is>
          <t>Composition</t>
        </is>
      </c>
      <c r="C27" s="13" t="inlineStr">
        <is>
          <t>Badge</t>
        </is>
      </c>
      <c r="D27" s="13" t="inlineStr">
        <is>
          <t>asChild preserves child content without double nesting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</t>
        </is>
      </c>
      <c r="H27" s="22" t="inlineStr">
        <is>
          <t>covered</t>
        </is>
      </c>
      <c r="I27" s="13" t="inlineStr">
        <is>
          <t>Badge playground manual verification; asChild/render use strong custom element.</t>
        </is>
      </c>
      <c r="J27" s="13" t="n"/>
      <c r="K27" s="14">
        <f>IF(AND(E27="yes",F27="yes",H27="covered"),1,IF(H27="partial",0.5,0))</f>
        <v/>
      </c>
    </row>
    <row r="28" ht="30" customHeight="1" s="24">
      <c r="A28" s="12" t="n">
        <v>20</v>
      </c>
      <c r="B28" s="13" t="inlineStr">
        <is>
          <t>Composition</t>
        </is>
      </c>
      <c r="C28" s="13" t="inlineStr">
        <is>
          <t>Badge</t>
        </is>
      </c>
      <c r="D28" s="13" t="inlineStr">
        <is>
          <t>asChild merges Atom props and consumer props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</t>
        </is>
      </c>
      <c r="H28" s="22" t="inlineStr">
        <is>
          <t>covered</t>
        </is>
      </c>
      <c r="I28" s="13" t="inlineStr">
        <is>
          <t>Badge playground manual verification; asChild/render use strong custom element.</t>
        </is>
      </c>
      <c r="J28" s="13" t="n"/>
      <c r="K28" s="14">
        <f>IF(AND(E28="yes",F28="yes",H28="covered"),1,IF(H28="partial",0.5,0))</f>
        <v/>
      </c>
    </row>
    <row r="29" ht="30" customHeight="1" s="24">
      <c r="A29" s="12" t="n">
        <v>21</v>
      </c>
      <c r="B29" s="13" t="inlineStr">
        <is>
          <t>Composition</t>
        </is>
      </c>
      <c r="C29" s="13" t="inlineStr">
        <is>
          <t>Badge</t>
        </is>
      </c>
      <c r="D29" s="13" t="inlineStr">
        <is>
          <t>asChild lets preventDefault block Atom behavior where supported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</t>
        </is>
      </c>
      <c r="H29" s="22" t="inlineStr">
        <is>
          <t>covered</t>
        </is>
      </c>
      <c r="I29" s="13" t="inlineStr">
        <is>
          <t>Badge playground manual verification.</t>
        </is>
      </c>
      <c r="J29" s="13" t="n"/>
      <c r="K29" s="14">
        <f>IF(AND(E29="yes",F29="yes",H29="covered"),1,IF(H29="partial",0.5,0))</f>
        <v/>
      </c>
    </row>
    <row r="30" ht="30" customHeight="1" s="24">
      <c r="A30" s="12" t="n">
        <v>22</v>
      </c>
      <c r="B30" s="13" t="inlineStr">
        <is>
          <t>Composition</t>
        </is>
      </c>
      <c r="C30" s="13" t="inlineStr">
        <is>
          <t>Badge</t>
        </is>
      </c>
      <c r="D30" s="13" t="inlineStr">
        <is>
          <t>render prop renders custom element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</t>
        </is>
      </c>
      <c r="H30" s="22" t="inlineStr">
        <is>
          <t>covered</t>
        </is>
      </c>
      <c r="I30" s="13" t="inlineStr">
        <is>
          <t>Badge playground manual verification; asChild/render use strong custom element.</t>
        </is>
      </c>
      <c r="J30" s="13" t="n"/>
      <c r="K30" s="14">
        <f>IF(AND(E30="yes",F30="yes",H30="covered"),1,IF(H30="partial",0.5,0))</f>
        <v/>
      </c>
    </row>
    <row r="31" ht="30" customHeight="1" s="24">
      <c r="A31" s="12" t="n">
        <v>23</v>
      </c>
      <c r="B31" s="13" t="inlineStr">
        <is>
          <t>Composition</t>
        </is>
      </c>
      <c r="C31" s="13" t="inlineStr">
        <is>
          <t>Badge</t>
        </is>
      </c>
      <c r="D31" s="13" t="inlineStr">
        <is>
          <t>render prop preserves refs and behavior props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</t>
        </is>
      </c>
      <c r="H31" s="22" t="inlineStr">
        <is>
          <t>covered</t>
        </is>
      </c>
      <c r="I31" s="13" t="inlineStr">
        <is>
          <t>Badge playground manual verification; asChild/render use strong custom element.</t>
        </is>
      </c>
      <c r="J31" s="13" t="n"/>
      <c r="K31" s="14">
        <f>IF(AND(E31="yes",F31="yes",H31="covered"),1,IF(H31="partial",0.5,0))</f>
        <v/>
      </c>
    </row>
  </sheetData>
  <autoFilter ref="A8:K31"/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BottomNavigation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IFERROR(SUM(K9:K78)/COUNT(K9:K78),0)</f>
        <v/>
      </c>
      <c r="C4" s="8" t="inlineStr">
        <is>
          <t>Covered</t>
        </is>
      </c>
      <c r="D4" s="10">
        <f>COUNTIFS(E9:E78,"yes",F9:F78,"yes",H9:H78,"covered")</f>
        <v/>
      </c>
      <c r="E4" s="8" t="inlineStr">
        <is>
          <t>Partial</t>
        </is>
      </c>
      <c r="F4" s="10">
        <f>COUNTIF(H9:H78,"partial")</f>
        <v/>
      </c>
      <c r="G4" s="8" t="inlineStr">
        <is>
          <t>Missing</t>
        </is>
      </c>
      <c r="H4" s="10">
        <f>COUNTIFS(E9:E78,"&lt;&gt;yes") + COUNTIFS(E9:E78,"yes",H9:H78,"missing")</f>
        <v/>
      </c>
      <c r="I4" s="8" t="inlineStr">
        <is>
          <t>Untested</t>
        </is>
      </c>
      <c r="J4" s="10">
        <f>COUNTIFS(E9:E78,"yes",F9:F78,"&lt;&gt;yes") + COUNTIFS(E9:E78,"yes",F9:F78,"yes",H9:H78,"untested")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BottomNavigation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BottomNavigation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BottomNavigation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BottomNavigation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BottomNavigation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BottomNavigation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BottomNavigation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BottomNavigation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BottomNavigation</t>
        </is>
      </c>
      <c r="D13" s="13" t="inlineStr">
        <is>
          <t>Renders a named `nav` landmark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BottomNavigation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BottomNavigation</t>
        </is>
      </c>
      <c r="D14" s="13" t="inlineStr">
        <is>
          <t>Supports link destinations and button destinations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BottomNavigation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BottomNavigation</t>
        </is>
      </c>
      <c r="D15" s="13" t="inlineStr">
        <is>
          <t>Supports controlled and uncontrolled active value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BottomNavigation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BottomNavigation</t>
        </is>
      </c>
      <c r="D16" s="13" t="inlineStr">
        <is>
          <t>Exposes active, disabled, and label-visibility state through data attributes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BottomNavigation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BottomNavigation</t>
        </is>
      </c>
      <c r="D17" s="13" t="inlineStr">
        <is>
          <t>Supports `asChild` and `render` on every part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BottomNavigation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BottomNavigation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BottomNavigation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BottomNavigation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BottomNavigation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BottomNavigation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BottomNavigation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BottomNavigation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BottomNavigation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BottomNavigation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defaultValue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BottomNavigation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onChange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BottomNavigation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showLabels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BottomNavigation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Accessibility</t>
        </is>
      </c>
      <c r="C30" s="13" t="inlineStr">
        <is>
          <t>Root</t>
        </is>
      </c>
      <c r="D30" s="13" t="inlineStr">
        <is>
          <t>aria-label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BottomNavigation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[data-slot]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BottomNavigation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Anatomy</t>
        </is>
      </c>
      <c r="C32" s="13" t="inlineStr">
        <is>
          <t>Item</t>
        </is>
      </c>
      <c r="D32" s="13" t="inlineStr">
        <is>
          <t>renders correct part when expected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BottomNavigation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Anatomy</t>
        </is>
      </c>
      <c r="C33" s="13" t="inlineStr">
        <is>
          <t>Item</t>
        </is>
      </c>
      <c r="D33" s="13" t="inlineStr">
        <is>
          <t>appears in documented order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BottomNavigation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Identity</t>
        </is>
      </c>
      <c r="C34" s="13" t="inlineStr">
        <is>
          <t>Item</t>
        </is>
      </c>
      <c r="D34" s="13" t="inlineStr">
        <is>
          <t>default tag is visible in Anatomy/Inspector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BottomNavigation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Identity</t>
        </is>
      </c>
      <c r="C35" s="13" t="inlineStr">
        <is>
          <t>Item</t>
        </is>
      </c>
      <c r="D35" s="13" t="inlineStr">
        <is>
          <t>data-slot is present and correct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BottomNavigation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30" customHeight="1" s="24">
      <c r="A36" s="12" t="n">
        <v>28</v>
      </c>
      <c r="B36" s="13" t="inlineStr">
        <is>
          <t>Props</t>
        </is>
      </c>
      <c r="C36" s="13" t="inlineStr">
        <is>
          <t>Item</t>
        </is>
      </c>
      <c r="D36" s="13" t="inlineStr">
        <is>
          <t>non-Atom native props pass through with data-prop-check marker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BottomNavigation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Refs</t>
        </is>
      </c>
      <c r="C37" s="13" t="inlineStr">
        <is>
          <t>Item</t>
        </is>
      </c>
      <c r="D37" s="13" t="inlineStr">
        <is>
          <t>consumer ref receives the rendered element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BottomNavigation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Composition</t>
        </is>
      </c>
      <c r="C38" s="13" t="inlineStr">
        <is>
          <t>Item</t>
        </is>
      </c>
      <c r="D38" s="13" t="inlineStr">
        <is>
          <t>asChild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BottomNavigation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Composition</t>
        </is>
      </c>
      <c r="C39" s="13" t="inlineStr">
        <is>
          <t>Item</t>
        </is>
      </c>
      <c r="D39" s="13" t="inlineStr">
        <is>
          <t>render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BottomNavigation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Item</t>
        </is>
      </c>
      <c r="D40" s="13" t="inlineStr">
        <is>
          <t>value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BottomNavigation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Item</t>
        </is>
      </c>
      <c r="D41" s="13" t="inlineStr">
        <is>
          <t>href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BottomNavigation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Item</t>
        </is>
      </c>
      <c r="D42" s="13" t="inlineStr">
        <is>
          <t>target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BottomNavigation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Item</t>
        </is>
      </c>
      <c r="D43" s="13" t="inlineStr">
        <is>
          <t>rel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BottomNavigation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State</t>
        </is>
      </c>
      <c r="C44" s="13" t="inlineStr">
        <is>
          <t>Item</t>
        </is>
      </c>
      <c r="D44" s="13" t="inlineStr">
        <is>
          <t>disabled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BottomNavigation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Public API</t>
        </is>
      </c>
      <c r="C45" s="13" t="inlineStr">
        <is>
          <t>Item</t>
        </is>
      </c>
      <c r="D45" s="13" t="inlineStr">
        <is>
          <t>[data-slot]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BottomNavigation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Public API</t>
        </is>
      </c>
      <c r="C46" s="13" t="inlineStr">
        <is>
          <t>Item</t>
        </is>
      </c>
      <c r="D46" s="13" t="inlineStr">
        <is>
          <t>[data-state]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BottomNavigation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State</t>
        </is>
      </c>
      <c r="C47" s="13" t="inlineStr">
        <is>
          <t>Item</t>
        </is>
      </c>
      <c r="D47" s="13" t="inlineStr">
        <is>
          <t>[data-value]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BottomNavigation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Item</t>
        </is>
      </c>
      <c r="D48" s="13" t="inlineStr">
        <is>
          <t>[data-active]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BottomNavigation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State</t>
        </is>
      </c>
      <c r="C49" s="13" t="inlineStr">
        <is>
          <t>Item</t>
        </is>
      </c>
      <c r="D49" s="13" t="inlineStr">
        <is>
          <t>[data-disabled]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BottomNavigation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Item</t>
        </is>
      </c>
      <c r="D50" s="13" t="inlineStr">
        <is>
          <t>[data-label-visible]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BottomNavigation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Anatomy</t>
        </is>
      </c>
      <c r="C51" s="13" t="inlineStr">
        <is>
          <t>NavigationItem</t>
        </is>
      </c>
      <c r="D51" s="13" t="inlineStr">
        <is>
          <t>renders correct part when expected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BottomNavigation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Anatomy</t>
        </is>
      </c>
      <c r="C52" s="13" t="inlineStr">
        <is>
          <t>NavigationItem</t>
        </is>
      </c>
      <c r="D52" s="13" t="inlineStr">
        <is>
          <t>appears in documented order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BottomNavigation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Identity</t>
        </is>
      </c>
      <c r="C53" s="13" t="inlineStr">
        <is>
          <t>NavigationItem</t>
        </is>
      </c>
      <c r="D53" s="13" t="inlineStr">
        <is>
          <t>default tag is visible in Anatomy/Inspector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BottomNavigation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Identity</t>
        </is>
      </c>
      <c r="C54" s="13" t="inlineStr">
        <is>
          <t>NavigationItem</t>
        </is>
      </c>
      <c r="D54" s="13" t="inlineStr">
        <is>
          <t>data-slot is present and correct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BottomNavigation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30" customHeight="1" s="24">
      <c r="A55" s="12" t="n">
        <v>47</v>
      </c>
      <c r="B55" s="13" t="inlineStr">
        <is>
          <t>Props</t>
        </is>
      </c>
      <c r="C55" s="13" t="inlineStr">
        <is>
          <t>NavigationItem</t>
        </is>
      </c>
      <c r="D55" s="13" t="inlineStr">
        <is>
          <t>non-Atom native props pass through with data-prop-check marker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BottomNavigation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Refs</t>
        </is>
      </c>
      <c r="C56" s="13" t="inlineStr">
        <is>
          <t>NavigationItem</t>
        </is>
      </c>
      <c r="D56" s="13" t="inlineStr">
        <is>
          <t>consumer ref receives the rendered element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BottomNavigation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ARIA</t>
        </is>
      </c>
      <c r="C57" s="13" t="inlineStr">
        <is>
          <t>Live DOM</t>
        </is>
      </c>
      <c r="D57" s="13" t="inlineStr">
        <is>
          <t>aria-current is present at the correct time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BottomNavigation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ARIA</t>
        </is>
      </c>
      <c r="C58" s="13" t="inlineStr">
        <is>
          <t>Live DOM</t>
        </is>
      </c>
      <c r="D58" s="13" t="inlineStr">
        <is>
          <t>aria-disabled is present at the correct time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BottomNavigation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ARIA</t>
        </is>
      </c>
      <c r="C59" s="13" t="inlineStr">
        <is>
          <t>Live DOM</t>
        </is>
      </c>
      <c r="D59" s="13" t="inlineStr">
        <is>
          <t>aria-label is present at the correct time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BottomNavigation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Data</t>
        </is>
      </c>
      <c r="C60" s="13" t="inlineStr">
        <is>
          <t>Live DOM</t>
        </is>
      </c>
      <c r="D60" s="13" t="inlineStr">
        <is>
          <t>data-active is present at the correct time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BottomNavigation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Data</t>
        </is>
      </c>
      <c r="C61" s="13" t="inlineStr">
        <is>
          <t>Live DOM</t>
        </is>
      </c>
      <c r="D61" s="13" t="inlineStr">
        <is>
          <t>data-disabled is present at the correct time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BottomNavigation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Data</t>
        </is>
      </c>
      <c r="C62" s="13" t="inlineStr">
        <is>
          <t>Live DOM</t>
        </is>
      </c>
      <c r="D62" s="13" t="inlineStr">
        <is>
          <t>data-label-visible is present at the correct time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BottomNavigation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Data</t>
        </is>
      </c>
      <c r="C63" s="13" t="inlineStr">
        <is>
          <t>Live DOM</t>
        </is>
      </c>
      <c r="D63" s="13" t="inlineStr">
        <is>
          <t>data-slot is present at the correct time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BottomNavigation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Data</t>
        </is>
      </c>
      <c r="C64" s="13" t="inlineStr">
        <is>
          <t>Live DOM</t>
        </is>
      </c>
      <c r="D64" s="13" t="inlineStr">
        <is>
          <t>data-state is present at the correct time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BottomNavigation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Data</t>
        </is>
      </c>
      <c r="C65" s="13" t="inlineStr">
        <is>
          <t>Live DOM</t>
        </is>
      </c>
      <c r="D65" s="13" t="inlineStr">
        <is>
          <t>data-value is present at the correct time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BottomNavigation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Composition</t>
        </is>
      </c>
      <c r="C66" s="13" t="inlineStr">
        <is>
          <t>BottomNavigation</t>
        </is>
      </c>
      <c r="D66" s="13" t="inlineStr">
        <is>
          <t>asChild preserves child content without double nesting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BottomNavigation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Composition</t>
        </is>
      </c>
      <c r="C67" s="13" t="inlineStr">
        <is>
          <t>BottomNavigation</t>
        </is>
      </c>
      <c r="D67" s="13" t="inlineStr">
        <is>
          <t>asChild merges Atom props and consumer props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BottomNavigation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Composition</t>
        </is>
      </c>
      <c r="C68" s="13" t="inlineStr">
        <is>
          <t>BottomNavigation</t>
        </is>
      </c>
      <c r="D68" s="13" t="inlineStr">
        <is>
          <t>asChild lets preventDefault block Atom behavior where supported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BottomNavigation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Composition</t>
        </is>
      </c>
      <c r="C69" s="13" t="inlineStr">
        <is>
          <t>BottomNavigation</t>
        </is>
      </c>
      <c r="D69" s="13" t="inlineStr">
        <is>
          <t>render prop renders custom element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BottomNavigation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Composition</t>
        </is>
      </c>
      <c r="C70" s="13" t="inlineStr">
        <is>
          <t>BottomNavigation</t>
        </is>
      </c>
      <c r="D70" s="13" t="inlineStr">
        <is>
          <t>render prop preserves refs and behavior props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BottomNavigation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State</t>
        </is>
      </c>
      <c r="C71" s="13" t="inlineStr">
        <is>
          <t>Root</t>
        </is>
      </c>
      <c r="D71" s="13" t="inlineStr">
        <is>
          <t>controlled state path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BottomNavigation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State</t>
        </is>
      </c>
      <c r="C72" s="13" t="inlineStr">
        <is>
          <t>Root</t>
        </is>
      </c>
      <c r="D72" s="13" t="inlineStr">
        <is>
          <t>uncontrolled default state path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BottomNavigation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State</t>
        </is>
      </c>
      <c r="C73" s="13" t="inlineStr">
        <is>
          <t>Root</t>
        </is>
      </c>
      <c r="D73" s="13" t="inlineStr">
        <is>
          <t>state change callback fires once with correct value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BottomNavigation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Keyboard</t>
        </is>
      </c>
      <c r="C74" s="13" t="inlineStr">
        <is>
          <t>BottomNavigation</t>
        </is>
      </c>
      <c r="D74" s="13" t="inlineStr">
        <is>
          <t>Arrow key navigation follows documented orientation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BottomNavigation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Keyboard</t>
        </is>
      </c>
      <c r="C75" s="13" t="inlineStr">
        <is>
          <t>BottomNavigation</t>
        </is>
      </c>
      <c r="D75" s="13" t="inlineStr">
        <is>
          <t>Home and End navigation where supported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BottomNavigation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Keyboard</t>
        </is>
      </c>
      <c r="C76" s="13" t="inlineStr">
        <is>
          <t>BottomNavigation</t>
        </is>
      </c>
      <c r="D76" s="13" t="inlineStr">
        <is>
          <t>disabled items are skipped or exposed according to pattern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BottomNavigation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Keyboard</t>
        </is>
      </c>
      <c r="C77" s="13" t="inlineStr">
        <is>
          <t>BottomNavigation</t>
        </is>
      </c>
      <c r="D77" s="13" t="inlineStr">
        <is>
          <t>typeahead/search behavior where supported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BottomNavigation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Focus</t>
        </is>
      </c>
      <c r="C78" s="13" t="inlineStr">
        <is>
          <t>BottomNavigation</t>
        </is>
      </c>
      <c r="D78" s="13" t="inlineStr">
        <is>
          <t>roving focus or active descendant state is visible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BottomNavigation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</sheetData>
  <autoFilter ref="A8:K78"/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Breadcrumb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IFERROR(SUM(K9:K95)/COUNT(K9:K95),0)</f>
        <v/>
      </c>
      <c r="C4" s="8" t="inlineStr">
        <is>
          <t>Covered</t>
        </is>
      </c>
      <c r="D4" s="10">
        <f>COUNTIFS(E9:E95,"yes",F9:F95,"yes",H9:H95,"covered")</f>
        <v/>
      </c>
      <c r="E4" s="8" t="inlineStr">
        <is>
          <t>Partial</t>
        </is>
      </c>
      <c r="F4" s="10">
        <f>COUNTIF(H9:H95,"partial")</f>
        <v/>
      </c>
      <c r="G4" s="8" t="inlineStr">
        <is>
          <t>Missing</t>
        </is>
      </c>
      <c r="H4" s="10">
        <f>COUNTIFS(E9:E95,"&lt;&gt;yes") + COUNTIFS(E9:E95,"yes",H9:H95,"missing")</f>
        <v/>
      </c>
      <c r="I4" s="8" t="inlineStr">
        <is>
          <t>Untested</t>
        </is>
      </c>
      <c r="J4" s="10">
        <f>COUNTIFS(E9:E95,"yes",F9:F95,"&lt;&gt;yes") + COUNTIFS(E9:E95,"yes",F9:F95,"yes",H9:H95,"untested")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Breadcrumb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Breadcrumb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Breadcrumb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Breadcrumb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Breadcrumb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Breadcrumb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Breadcrumb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Breadcrumb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Breadcrumb</t>
        </is>
      </c>
      <c r="D13" s="13" t="inlineStr">
        <is>
          <t>Renders a named breadcrumb `nav` landmark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Breadcrumb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Breadcrumb</t>
        </is>
      </c>
      <c r="D14" s="13" t="inlineStr">
        <is>
          <t>Uses an ordered list for page hierarchy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Breadcrumb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Breadcrumb</t>
        </is>
      </c>
      <c r="D15" s="13" t="inlineStr">
        <is>
          <t>Marks the current page with `aria-current="page"`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Breadcrumb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Breadcrumb</t>
        </is>
      </c>
      <c r="D16" s="13" t="inlineStr">
        <is>
          <t>Provides separator and ellipsis parts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Breadcrumb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Breadcrumb</t>
        </is>
      </c>
      <c r="D17" s="13" t="inlineStr">
        <is>
          <t>Supports `asChild` and `render` on every part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Breadcrumb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Breadcrumb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Breadcrumb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Breadcrumb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Breadcrumb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Breadcrumb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Breadcrumb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Breadcrumb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Breadcrumb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Accessibility</t>
        </is>
      </c>
      <c r="C26" s="13" t="inlineStr">
        <is>
          <t>Root</t>
        </is>
      </c>
      <c r="D26" s="13" t="inlineStr">
        <is>
          <t>aria-label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Breadcrumb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[data-slot]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Breadcrumb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Anatomy</t>
        </is>
      </c>
      <c r="C28" s="13" t="inlineStr">
        <is>
          <t>List</t>
        </is>
      </c>
      <c r="D28" s="13" t="inlineStr">
        <is>
          <t>renders correct part when expected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Breadcrumb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Anatomy</t>
        </is>
      </c>
      <c r="C29" s="13" t="inlineStr">
        <is>
          <t>List</t>
        </is>
      </c>
      <c r="D29" s="13" t="inlineStr">
        <is>
          <t>appears in documented order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Breadcrumb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Identity</t>
        </is>
      </c>
      <c r="C30" s="13" t="inlineStr">
        <is>
          <t>List</t>
        </is>
      </c>
      <c r="D30" s="13" t="inlineStr">
        <is>
          <t>default tag is visible in Anatomy/Inspector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Breadcrumb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Identity</t>
        </is>
      </c>
      <c r="C31" s="13" t="inlineStr">
        <is>
          <t>List</t>
        </is>
      </c>
      <c r="D31" s="13" t="inlineStr">
        <is>
          <t>data-slot is present and correct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Breadcrumb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30" customHeight="1" s="24">
      <c r="A32" s="12" t="n">
        <v>24</v>
      </c>
      <c r="B32" s="13" t="inlineStr">
        <is>
          <t>Props</t>
        </is>
      </c>
      <c r="C32" s="13" t="inlineStr">
        <is>
          <t>List</t>
        </is>
      </c>
      <c r="D32" s="13" t="inlineStr">
        <is>
          <t>non-Atom native props pass through with data-prop-check marker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Breadcrumb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Refs</t>
        </is>
      </c>
      <c r="C33" s="13" t="inlineStr">
        <is>
          <t>List</t>
        </is>
      </c>
      <c r="D33" s="13" t="inlineStr">
        <is>
          <t>consumer ref receives the rendered element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Breadcrumb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Composition</t>
        </is>
      </c>
      <c r="C34" s="13" t="inlineStr">
        <is>
          <t>List</t>
        </is>
      </c>
      <c r="D34" s="13" t="inlineStr">
        <is>
          <t>asChild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Breadcrumb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Composition</t>
        </is>
      </c>
      <c r="C35" s="13" t="inlineStr">
        <is>
          <t>List</t>
        </is>
      </c>
      <c r="D35" s="13" t="inlineStr">
        <is>
          <t>render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Breadcrumb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List</t>
        </is>
      </c>
      <c r="D36" s="13" t="inlineStr">
        <is>
          <t>[data-slot]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Breadcrumb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Anatomy</t>
        </is>
      </c>
      <c r="C37" s="13" t="inlineStr">
        <is>
          <t>Item</t>
        </is>
      </c>
      <c r="D37" s="13" t="inlineStr">
        <is>
          <t>renders correct part when expected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Breadcrumb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Anatomy</t>
        </is>
      </c>
      <c r="C38" s="13" t="inlineStr">
        <is>
          <t>Item</t>
        </is>
      </c>
      <c r="D38" s="13" t="inlineStr">
        <is>
          <t>appears in documented order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Breadcrumb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Identity</t>
        </is>
      </c>
      <c r="C39" s="13" t="inlineStr">
        <is>
          <t>Item</t>
        </is>
      </c>
      <c r="D39" s="13" t="inlineStr">
        <is>
          <t>default tag is visible in Anatomy/Inspector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Breadcrumb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Identity</t>
        </is>
      </c>
      <c r="C40" s="13" t="inlineStr">
        <is>
          <t>Item</t>
        </is>
      </c>
      <c r="D40" s="13" t="inlineStr">
        <is>
          <t>data-slot is present and correct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Breadcrumb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30" customHeight="1" s="24">
      <c r="A41" s="12" t="n">
        <v>33</v>
      </c>
      <c r="B41" s="13" t="inlineStr">
        <is>
          <t>Props</t>
        </is>
      </c>
      <c r="C41" s="13" t="inlineStr">
        <is>
          <t>Item</t>
        </is>
      </c>
      <c r="D41" s="13" t="inlineStr">
        <is>
          <t>non-Atom native props pass through with data-prop-check marker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Breadcrumb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Refs</t>
        </is>
      </c>
      <c r="C42" s="13" t="inlineStr">
        <is>
          <t>Item</t>
        </is>
      </c>
      <c r="D42" s="13" t="inlineStr">
        <is>
          <t>consumer ref receives the rendered element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Breadcrumb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Item</t>
        </is>
      </c>
      <c r="D43" s="13" t="inlineStr">
        <is>
          <t>asChild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Breadcrumb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Composition</t>
        </is>
      </c>
      <c r="C44" s="13" t="inlineStr">
        <is>
          <t>Item</t>
        </is>
      </c>
      <c r="D44" s="13" t="inlineStr">
        <is>
          <t>render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Breadcrumb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Public API</t>
        </is>
      </c>
      <c r="C45" s="13" t="inlineStr">
        <is>
          <t>Item</t>
        </is>
      </c>
      <c r="D45" s="13" t="inlineStr">
        <is>
          <t>[data-slot]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Breadcrumb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Ellipsis</t>
        </is>
      </c>
      <c r="D46" s="13" t="inlineStr">
        <is>
          <t>renders correct part when expected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Breadcrumb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Anatomy</t>
        </is>
      </c>
      <c r="C47" s="13" t="inlineStr">
        <is>
          <t>Ellipsis</t>
        </is>
      </c>
      <c r="D47" s="13" t="inlineStr">
        <is>
          <t>appears in documented order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Breadcrumb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Ellipsis</t>
        </is>
      </c>
      <c r="D48" s="13" t="inlineStr">
        <is>
          <t>default tag is visible in Anatomy/Inspector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Breadcrumb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Identity</t>
        </is>
      </c>
      <c r="C49" s="13" t="inlineStr">
        <is>
          <t>Ellipsis</t>
        </is>
      </c>
      <c r="D49" s="13" t="inlineStr">
        <is>
          <t>data-slot is present and correct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Breadcrumb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30" customHeight="1" s="24">
      <c r="A50" s="12" t="n">
        <v>42</v>
      </c>
      <c r="B50" s="13" t="inlineStr">
        <is>
          <t>Props</t>
        </is>
      </c>
      <c r="C50" s="13" t="inlineStr">
        <is>
          <t>Ellipsis</t>
        </is>
      </c>
      <c r="D50" s="13" t="inlineStr">
        <is>
          <t>non-Atom native props pass through with data-prop-check marker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Breadcrumb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Refs</t>
        </is>
      </c>
      <c r="C51" s="13" t="inlineStr">
        <is>
          <t>Ellipsis</t>
        </is>
      </c>
      <c r="D51" s="13" t="inlineStr">
        <is>
          <t>consumer ref receives the rendered element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Breadcrumb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Composition</t>
        </is>
      </c>
      <c r="C52" s="13" t="inlineStr">
        <is>
          <t>Ellipsis</t>
        </is>
      </c>
      <c r="D52" s="13" t="inlineStr">
        <is>
          <t>asChild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Breadcrumb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Composition</t>
        </is>
      </c>
      <c r="C53" s="13" t="inlineStr">
        <is>
          <t>Ellipsis</t>
        </is>
      </c>
      <c r="D53" s="13" t="inlineStr">
        <is>
          <t>render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Breadcrumb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Ellipsis</t>
        </is>
      </c>
      <c r="D54" s="13" t="inlineStr">
        <is>
          <t>[data-slot]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Breadcrumb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Anatomy</t>
        </is>
      </c>
      <c r="C55" s="13" t="inlineStr">
        <is>
          <t>Link</t>
        </is>
      </c>
      <c r="D55" s="13" t="inlineStr">
        <is>
          <t>renders correct part when expected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Breadcrumb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Link</t>
        </is>
      </c>
      <c r="D56" s="13" t="inlineStr">
        <is>
          <t>appears in documented order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Breadcrumb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Identity</t>
        </is>
      </c>
      <c r="C57" s="13" t="inlineStr">
        <is>
          <t>Link</t>
        </is>
      </c>
      <c r="D57" s="13" t="inlineStr">
        <is>
          <t>default tag is visible in Anatomy/Inspector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Breadcrumb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Link</t>
        </is>
      </c>
      <c r="D58" s="13" t="inlineStr">
        <is>
          <t>data-slot is present and correct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Breadcrumb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30" customHeight="1" s="24">
      <c r="A59" s="12" t="n">
        <v>51</v>
      </c>
      <c r="B59" s="13" t="inlineStr">
        <is>
          <t>Props</t>
        </is>
      </c>
      <c r="C59" s="13" t="inlineStr">
        <is>
          <t>Link</t>
        </is>
      </c>
      <c r="D59" s="13" t="inlineStr">
        <is>
          <t>non-Atom native props pass through with data-prop-check marker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Breadcrumb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Refs</t>
        </is>
      </c>
      <c r="C60" s="13" t="inlineStr">
        <is>
          <t>Link</t>
        </is>
      </c>
      <c r="D60" s="13" t="inlineStr">
        <is>
          <t>consumer ref receives the rendered element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Breadcrumb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Composition</t>
        </is>
      </c>
      <c r="C61" s="13" t="inlineStr">
        <is>
          <t>Link</t>
        </is>
      </c>
      <c r="D61" s="13" t="inlineStr">
        <is>
          <t>asChild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Breadcrumb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Composition</t>
        </is>
      </c>
      <c r="C62" s="13" t="inlineStr">
        <is>
          <t>Link</t>
        </is>
      </c>
      <c r="D62" s="13" t="inlineStr">
        <is>
          <t>render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Breadcrumb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Public API</t>
        </is>
      </c>
      <c r="C63" s="13" t="inlineStr">
        <is>
          <t>Link</t>
        </is>
      </c>
      <c r="D63" s="13" t="inlineStr">
        <is>
          <t>[data-slot]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Breadcrumb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Page</t>
        </is>
      </c>
      <c r="D64" s="13" t="inlineStr">
        <is>
          <t>renders correct part when expected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Breadcrumb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Page</t>
        </is>
      </c>
      <c r="D65" s="13" t="inlineStr">
        <is>
          <t>appears in documented order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Breadcrumb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Page</t>
        </is>
      </c>
      <c r="D66" s="13" t="inlineStr">
        <is>
          <t>default tag is visible in Anatomy/Inspector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Breadcrumb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Page</t>
        </is>
      </c>
      <c r="D67" s="13" t="inlineStr">
        <is>
          <t>data-slot is present and correct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Breadcrumb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Props</t>
        </is>
      </c>
      <c r="C68" s="13" t="inlineStr">
        <is>
          <t>Page</t>
        </is>
      </c>
      <c r="D68" s="13" t="inlineStr">
        <is>
          <t>non-Atom native props pass through with data-prop-check marker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Breadcrumb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Refs</t>
        </is>
      </c>
      <c r="C69" s="13" t="inlineStr">
        <is>
          <t>Page</t>
        </is>
      </c>
      <c r="D69" s="13" t="inlineStr">
        <is>
          <t>consumer ref receives the rendered element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Breadcrumb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Composition</t>
        </is>
      </c>
      <c r="C70" s="13" t="inlineStr">
        <is>
          <t>Page</t>
        </is>
      </c>
      <c r="D70" s="13" t="inlineStr">
        <is>
          <t>asChild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Breadcrumb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Composition</t>
        </is>
      </c>
      <c r="C71" s="13" t="inlineStr">
        <is>
          <t>Page</t>
        </is>
      </c>
      <c r="D71" s="13" t="inlineStr">
        <is>
          <t>render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Breadcrumb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Page</t>
        </is>
      </c>
      <c r="D72" s="13" t="inlineStr">
        <is>
          <t>[data-slot]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Breadcrumb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Anatomy</t>
        </is>
      </c>
      <c r="C73" s="13" t="inlineStr">
        <is>
          <t>Separator</t>
        </is>
      </c>
      <c r="D73" s="13" t="inlineStr">
        <is>
          <t>renders correct part when expected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Breadcrumb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Anatomy</t>
        </is>
      </c>
      <c r="C74" s="13" t="inlineStr">
        <is>
          <t>Separator</t>
        </is>
      </c>
      <c r="D74" s="13" t="inlineStr">
        <is>
          <t>appears in documented order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Breadcrumb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Identity</t>
        </is>
      </c>
      <c r="C75" s="13" t="inlineStr">
        <is>
          <t>Separator</t>
        </is>
      </c>
      <c r="D75" s="13" t="inlineStr">
        <is>
          <t>default tag is visible in Anatomy/Inspector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Breadcrumb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Identity</t>
        </is>
      </c>
      <c r="C76" s="13" t="inlineStr">
        <is>
          <t>Separator</t>
        </is>
      </c>
      <c r="D76" s="13" t="inlineStr">
        <is>
          <t>data-slot is present and correct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Breadcrumb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30" customHeight="1" s="24">
      <c r="A77" s="12" t="n">
        <v>69</v>
      </c>
      <c r="B77" s="13" t="inlineStr">
        <is>
          <t>Props</t>
        </is>
      </c>
      <c r="C77" s="13" t="inlineStr">
        <is>
          <t>Separator</t>
        </is>
      </c>
      <c r="D77" s="13" t="inlineStr">
        <is>
          <t>non-Atom native props pass through with data-prop-check marker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Breadcrumb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Refs</t>
        </is>
      </c>
      <c r="C78" s="13" t="inlineStr">
        <is>
          <t>Separator</t>
        </is>
      </c>
      <c r="D78" s="13" t="inlineStr">
        <is>
          <t>consumer ref receives the rendered element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Breadcrumb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Composition</t>
        </is>
      </c>
      <c r="C79" s="13" t="inlineStr">
        <is>
          <t>Separator</t>
        </is>
      </c>
      <c r="D79" s="13" t="inlineStr">
        <is>
          <t>asChild prop behavior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Breadcrumb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Composition</t>
        </is>
      </c>
      <c r="C80" s="13" t="inlineStr">
        <is>
          <t>Separator</t>
        </is>
      </c>
      <c r="D80" s="13" t="inlineStr">
        <is>
          <t>render prop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Breadcrumb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Public API</t>
        </is>
      </c>
      <c r="C81" s="13" t="inlineStr">
        <is>
          <t>Separator</t>
        </is>
      </c>
      <c r="D81" s="13" t="inlineStr">
        <is>
          <t>[data-slot] prop behavior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Breadcrumb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ARIA</t>
        </is>
      </c>
      <c r="C82" s="13" t="inlineStr">
        <is>
          <t>Live DOM</t>
        </is>
      </c>
      <c r="D82" s="13" t="inlineStr">
        <is>
          <t>aria-current is present at the correct time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Breadcrumb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ARIA</t>
        </is>
      </c>
      <c r="C83" s="13" t="inlineStr">
        <is>
          <t>Live DOM</t>
        </is>
      </c>
      <c r="D83" s="13" t="inlineStr">
        <is>
          <t>aria-hidden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Breadcrumb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ARIA</t>
        </is>
      </c>
      <c r="C84" s="13" t="inlineStr">
        <is>
          <t>Live DOM</t>
        </is>
      </c>
      <c r="D84" s="13" t="inlineStr">
        <is>
          <t>aria-label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Breadcrumb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Data</t>
        </is>
      </c>
      <c r="C85" s="13" t="inlineStr">
        <is>
          <t>Live DOM</t>
        </is>
      </c>
      <c r="D85" s="13" t="inlineStr">
        <is>
          <t>data-slot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Breadcrumb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Composition</t>
        </is>
      </c>
      <c r="C86" s="13" t="inlineStr">
        <is>
          <t>Breadcrumb</t>
        </is>
      </c>
      <c r="D86" s="13" t="inlineStr">
        <is>
          <t>asChild preserves child content without double nesting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Breadcrumb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Composition</t>
        </is>
      </c>
      <c r="C87" s="13" t="inlineStr">
        <is>
          <t>Breadcrumb</t>
        </is>
      </c>
      <c r="D87" s="13" t="inlineStr">
        <is>
          <t>asChild merges Atom props and consumer props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Breadcrumb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30" customHeight="1" s="24">
      <c r="A88" s="12" t="n">
        <v>80</v>
      </c>
      <c r="B88" s="13" t="inlineStr">
        <is>
          <t>Composition</t>
        </is>
      </c>
      <c r="C88" s="13" t="inlineStr">
        <is>
          <t>Breadcrumb</t>
        </is>
      </c>
      <c r="D88" s="13" t="inlineStr">
        <is>
          <t>asChild lets preventDefault block Atom behavior where supported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Breadcrumb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Composition</t>
        </is>
      </c>
      <c r="C89" s="13" t="inlineStr">
        <is>
          <t>Breadcrumb</t>
        </is>
      </c>
      <c r="D89" s="13" t="inlineStr">
        <is>
          <t>render prop renders custom element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Breadcrumb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Composition</t>
        </is>
      </c>
      <c r="C90" s="13" t="inlineStr">
        <is>
          <t>Breadcrumb</t>
        </is>
      </c>
      <c r="D90" s="13" t="inlineStr">
        <is>
          <t>render prop preserves refs and behavior props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Breadcrumb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Keyboard</t>
        </is>
      </c>
      <c r="C91" s="13" t="inlineStr">
        <is>
          <t>Breadcrumb</t>
        </is>
      </c>
      <c r="D91" s="13" t="inlineStr">
        <is>
          <t>Arrow key navigation follows documented orientation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Breadcrumb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Keyboard</t>
        </is>
      </c>
      <c r="C92" s="13" t="inlineStr">
        <is>
          <t>Breadcrumb</t>
        </is>
      </c>
      <c r="D92" s="13" t="inlineStr">
        <is>
          <t>Home and End navigation where supported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Breadcrumb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Keyboard</t>
        </is>
      </c>
      <c r="C93" s="13" t="inlineStr">
        <is>
          <t>Breadcrumb</t>
        </is>
      </c>
      <c r="D93" s="13" t="inlineStr">
        <is>
          <t>disabled items are skipped or exposed according to pattern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Breadcrumb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Keyboard</t>
        </is>
      </c>
      <c r="C94" s="13" t="inlineStr">
        <is>
          <t>Breadcrumb</t>
        </is>
      </c>
      <c r="D94" s="13" t="inlineStr">
        <is>
          <t>typeahead/search behavior where supported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Breadcrumb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Focus</t>
        </is>
      </c>
      <c r="C95" s="13" t="inlineStr">
        <is>
          <t>Breadcrumb</t>
        </is>
      </c>
      <c r="D95" s="13" t="inlineStr">
        <is>
          <t>roving focus or active descendant state is visible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Breadcrumb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</sheetData>
  <autoFilter ref="A8:K95"/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Button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IFERROR(SUM(K9:K52)/COUNT(K9:K52),0)</f>
        <v/>
      </c>
      <c r="C4" s="8" t="inlineStr">
        <is>
          <t>Covered</t>
        </is>
      </c>
      <c r="D4" s="10">
        <f>COUNTIFS(E9:E52,"yes",F9:F52,"yes",H9:H52,"covered")</f>
        <v/>
      </c>
      <c r="E4" s="8" t="inlineStr">
        <is>
          <t>Partial</t>
        </is>
      </c>
      <c r="F4" s="10">
        <f>COUNTIF(H9:H52,"partial")</f>
        <v/>
      </c>
      <c r="G4" s="8" t="inlineStr">
        <is>
          <t>Missing</t>
        </is>
      </c>
      <c r="H4" s="10">
        <f>COUNTIFS(E9:E52,"&lt;&gt;yes") + COUNTIFS(E9:E52,"yes",H9:H52,"missing")</f>
        <v/>
      </c>
      <c r="I4" s="8" t="inlineStr">
        <is>
          <t>Untested</t>
        </is>
      </c>
      <c r="J4" s="10">
        <f>COUNTIFS(E9:E52,"yes",F9:F52,"&lt;&gt;yes") + COUNTIFS(E9:E52,"yes",F9:F52,"yes",H9:H52,"untested")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Button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yes</t>
        </is>
      </c>
      <c r="G9" s="12" t="inlineStr">
        <is>
          <t>pass</t>
        </is>
      </c>
      <c r="H9" s="20" t="inlineStr">
        <is>
          <t>covered</t>
        </is>
      </c>
      <c r="I9" s="13" t="inlineStr">
        <is>
          <t>Button playground manual verification.</t>
        </is>
      </c>
      <c r="J9" s="13" t="inlineStr"/>
      <c r="K9" s="14">
        <f>IF(AND(E9="yes",F9="yes",H9="covered"),1,IF(H9="partial",0.5,0))</f>
        <v/>
      </c>
    </row>
    <row r="10" ht="45" customHeight="1" s="24">
      <c r="A10" s="12" t="n">
        <v>2</v>
      </c>
      <c r="B10" s="13" t="inlineStr">
        <is>
          <t>Playground</t>
        </is>
      </c>
      <c r="C10" s="13" t="inlineStr">
        <is>
          <t>Button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yes</t>
        </is>
      </c>
      <c r="G10" s="12" t="inlineStr">
        <is>
          <t>pass</t>
        </is>
      </c>
      <c r="H10" s="20" t="inlineStr">
        <is>
          <t>covered</t>
        </is>
      </c>
      <c r="I10" s="13" t="inlineStr">
        <is>
          <t>Button playground manual verification.</t>
        </is>
      </c>
      <c r="J10" s="13" t="inlineStr"/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Button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yes</t>
        </is>
      </c>
      <c r="G11" s="12" t="inlineStr">
        <is>
          <t>pass</t>
        </is>
      </c>
      <c r="H11" s="20" t="inlineStr">
        <is>
          <t>covered</t>
        </is>
      </c>
      <c r="I11" s="13" t="inlineStr">
        <is>
          <t>Button playground manual verification.</t>
        </is>
      </c>
      <c r="J11" s="13" t="inlineStr"/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Button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yes</t>
        </is>
      </c>
      <c r="G12" s="12" t="inlineStr">
        <is>
          <t>pass</t>
        </is>
      </c>
      <c r="H12" s="20" t="inlineStr">
        <is>
          <t>covered</t>
        </is>
      </c>
      <c r="I12" s="13" t="inlineStr">
        <is>
          <t>Button playground manual verification.</t>
        </is>
      </c>
      <c r="J12" s="13" t="inlineStr"/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Root</t>
        </is>
      </c>
      <c r="D13" s="13" t="inlineStr">
        <is>
          <t>renders a native button by default</t>
        </is>
      </c>
      <c r="E13" s="18" t="inlineStr">
        <is>
          <t>yes</t>
        </is>
      </c>
      <c r="F13" s="19" t="inlineStr">
        <is>
          <t>yes</t>
        </is>
      </c>
      <c r="G13" s="12" t="inlineStr">
        <is>
          <t>pass</t>
        </is>
      </c>
      <c r="H13" s="20" t="inlineStr">
        <is>
          <t>covered</t>
        </is>
      </c>
      <c r="I13" s="13" t="inlineStr">
        <is>
          <t>Button playground manual verification.</t>
        </is>
      </c>
      <c r="J13" s="13" t="inlineStr"/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Feature</t>
        </is>
      </c>
      <c r="C14" s="13" t="inlineStr">
        <is>
          <t>Root</t>
        </is>
      </c>
      <c r="D14" s="13" t="inlineStr">
        <is>
          <t>renders an anchor when href is present</t>
        </is>
      </c>
      <c r="E14" s="18" t="inlineStr">
        <is>
          <t>yes</t>
        </is>
      </c>
      <c r="F14" s="19" t="inlineStr">
        <is>
          <t>yes</t>
        </is>
      </c>
      <c r="G14" s="12" t="inlineStr">
        <is>
          <t>pass</t>
        </is>
      </c>
      <c r="H14" s="20" t="inlineStr">
        <is>
          <t>covered</t>
        </is>
      </c>
      <c r="I14" s="13" t="inlineStr">
        <is>
          <t>Button playground manual verification.</t>
        </is>
      </c>
      <c r="J14" s="13" t="inlineStr"/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Root</t>
        </is>
      </c>
      <c r="D15" s="13" t="inlineStr">
        <is>
          <t>adds safe rel for target blank links</t>
        </is>
      </c>
      <c r="E15" s="18" t="inlineStr">
        <is>
          <t>yes</t>
        </is>
      </c>
      <c r="F15" s="19" t="inlineStr">
        <is>
          <t>yes</t>
        </is>
      </c>
      <c r="G15" s="12" t="inlineStr">
        <is>
          <t>pass</t>
        </is>
      </c>
      <c r="H15" s="20" t="inlineStr">
        <is>
          <t>covered</t>
        </is>
      </c>
      <c r="I15" s="13" t="inlineStr">
        <is>
          <t>Button playground manual verification.</t>
        </is>
      </c>
      <c r="J15" s="13" t="inlineStr"/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Root</t>
        </is>
      </c>
      <c r="D16" s="13" t="inlineStr">
        <is>
          <t>supports disabled state</t>
        </is>
      </c>
      <c r="E16" s="18" t="inlineStr">
        <is>
          <t>yes</t>
        </is>
      </c>
      <c r="F16" s="19" t="inlineStr">
        <is>
          <t>yes</t>
        </is>
      </c>
      <c r="G16" s="12" t="inlineStr">
        <is>
          <t>pass</t>
        </is>
      </c>
      <c r="H16" s="20" t="inlineStr">
        <is>
          <t>covered</t>
        </is>
      </c>
      <c r="I16" s="13" t="inlineStr">
        <is>
          <t>Button playground manual verification.</t>
        </is>
      </c>
      <c r="J16" s="13" t="inlineStr"/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Root</t>
        </is>
      </c>
      <c r="D17" s="13" t="inlineStr">
        <is>
          <t>supports loading state</t>
        </is>
      </c>
      <c r="E17" s="18" t="inlineStr">
        <is>
          <t>yes</t>
        </is>
      </c>
      <c r="F17" s="19" t="inlineStr">
        <is>
          <t>yes</t>
        </is>
      </c>
      <c r="G17" s="12" t="inlineStr">
        <is>
          <t>pass</t>
        </is>
      </c>
      <c r="H17" s="20" t="inlineStr">
        <is>
          <t>covered</t>
        </is>
      </c>
      <c r="I17" s="13" t="inlineStr">
        <is>
          <t>Button playground manual verification.</t>
        </is>
      </c>
      <c r="J17" s="13" t="inlineStr"/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Root</t>
        </is>
      </c>
      <c r="D18" s="13" t="inlineStr">
        <is>
          <t>calls onClick before onPress</t>
        </is>
      </c>
      <c r="E18" s="18" t="inlineStr">
        <is>
          <t>yes</t>
        </is>
      </c>
      <c r="F18" s="19" t="inlineStr">
        <is>
          <t>yes</t>
        </is>
      </c>
      <c r="G18" s="12" t="inlineStr">
        <is>
          <t>pass</t>
        </is>
      </c>
      <c r="H18" s="20" t="inlineStr">
        <is>
          <t>covered</t>
        </is>
      </c>
      <c r="I18" s="13" t="inlineStr">
        <is>
          <t>Button playground manual verification.</t>
        </is>
      </c>
      <c r="J18" s="13" t="inlineStr"/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Feature</t>
        </is>
      </c>
      <c r="C19" s="13" t="inlineStr">
        <is>
          <t>Root</t>
        </is>
      </c>
      <c r="D19" s="13" t="inlineStr">
        <is>
          <t>consumer preventDefault blocks onPress</t>
        </is>
      </c>
      <c r="E19" s="18" t="inlineStr">
        <is>
          <t>yes</t>
        </is>
      </c>
      <c r="F19" s="19" t="inlineStr">
        <is>
          <t>yes</t>
        </is>
      </c>
      <c r="G19" s="12" t="inlineStr">
        <is>
          <t>pass</t>
        </is>
      </c>
      <c r="H19" s="20" t="inlineStr">
        <is>
          <t>covered</t>
        </is>
      </c>
      <c r="I19" s="13" t="inlineStr">
        <is>
          <t>Button playground manual verification.</t>
        </is>
      </c>
      <c r="J19" s="13" t="inlineStr"/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Feature</t>
        </is>
      </c>
      <c r="C20" s="13" t="inlineStr">
        <is>
          <t>Root</t>
        </is>
      </c>
      <c r="D20" s="13" t="inlineStr">
        <is>
          <t>custom non-native render receives button semantics</t>
        </is>
      </c>
      <c r="E20" s="18" t="inlineStr">
        <is>
          <t>yes</t>
        </is>
      </c>
      <c r="F20" s="19" t="inlineStr">
        <is>
          <t>yes</t>
        </is>
      </c>
      <c r="G20" s="12" t="inlineStr">
        <is>
          <t>pass</t>
        </is>
      </c>
      <c r="H20" s="20" t="inlineStr">
        <is>
          <t>covered</t>
        </is>
      </c>
      <c r="I20" s="13" t="inlineStr">
        <is>
          <t>Button playground manual verification.</t>
        </is>
      </c>
      <c r="J20" s="13" t="inlineStr"/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Anatomy</t>
        </is>
      </c>
      <c r="C21" s="13" t="inlineStr">
        <is>
          <t>Root</t>
        </is>
      </c>
      <c r="D21" s="13" t="inlineStr">
        <is>
          <t>renders correct part when expected</t>
        </is>
      </c>
      <c r="E21" s="18" t="inlineStr">
        <is>
          <t>yes</t>
        </is>
      </c>
      <c r="F21" s="19" t="inlineStr">
        <is>
          <t>yes</t>
        </is>
      </c>
      <c r="G21" s="12" t="inlineStr">
        <is>
          <t>pass</t>
        </is>
      </c>
      <c r="H21" s="20" t="inlineStr">
        <is>
          <t>covered</t>
        </is>
      </c>
      <c r="I21" s="13" t="inlineStr">
        <is>
          <t>Button playground manual verification.</t>
        </is>
      </c>
      <c r="J21" s="13" t="inlineStr"/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Anatomy</t>
        </is>
      </c>
      <c r="C22" s="13" t="inlineStr">
        <is>
          <t>Root</t>
        </is>
      </c>
      <c r="D22" s="13" t="inlineStr">
        <is>
          <t>is the only Button anatomy part</t>
        </is>
      </c>
      <c r="E22" s="18" t="inlineStr">
        <is>
          <t>yes</t>
        </is>
      </c>
      <c r="F22" s="19" t="inlineStr">
        <is>
          <t>yes</t>
        </is>
      </c>
      <c r="G22" s="12" t="inlineStr">
        <is>
          <t>pass</t>
        </is>
      </c>
      <c r="H22" s="20" t="inlineStr">
        <is>
          <t>covered</t>
        </is>
      </c>
      <c r="I22" s="13" t="inlineStr">
        <is>
          <t>Button playground manual verification.</t>
        </is>
      </c>
      <c r="J22" s="13" t="inlineStr"/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default tag is button</t>
        </is>
      </c>
      <c r="E23" s="18" t="inlineStr">
        <is>
          <t>yes</t>
        </is>
      </c>
      <c r="F23" s="19" t="inlineStr">
        <is>
          <t>yes</t>
        </is>
      </c>
      <c r="G23" s="12" t="inlineStr">
        <is>
          <t>pass</t>
        </is>
      </c>
      <c r="H23" s="20" t="inlineStr">
        <is>
          <t>covered</t>
        </is>
      </c>
      <c r="I23" s="13" t="inlineStr">
        <is>
          <t>Button playground manual verification.</t>
        </is>
      </c>
      <c r="J23" s="13" t="inlineStr"/>
      <c r="K23" s="14">
        <f>IF(AND(E23="yes",F23="yes",H23="covered"),1,IF(H23="partial",0.5,0))</f>
        <v/>
      </c>
    </row>
    <row r="24" ht="45" customHeight="1" s="24">
      <c r="A24" s="12" t="n">
        <v>16</v>
      </c>
      <c r="B24" s="13" t="inlineStr">
        <is>
          <t>Identity</t>
        </is>
      </c>
      <c r="C24" s="13" t="inlineStr">
        <is>
          <t>Root</t>
        </is>
      </c>
      <c r="D24" s="13" t="inlineStr">
        <is>
          <t>anchor tag appears when href is enabled</t>
        </is>
      </c>
      <c r="E24" s="18" t="inlineStr">
        <is>
          <t>yes</t>
        </is>
      </c>
      <c r="F24" s="19" t="inlineStr">
        <is>
          <t>yes</t>
        </is>
      </c>
      <c r="G24" s="12" t="inlineStr">
        <is>
          <t>pass</t>
        </is>
      </c>
      <c r="H24" s="20" t="inlineStr">
        <is>
          <t>covered</t>
        </is>
      </c>
      <c r="I24" s="13" t="inlineStr">
        <is>
          <t>Button playground manual verification.</t>
        </is>
      </c>
      <c r="J24" s="13" t="inlineStr"/>
      <c r="K24" s="14">
        <f>IF(AND(E24="yes",F24="yes",H24="covered"),1,IF(H24="partial",0.5,0))</f>
        <v/>
      </c>
    </row>
    <row r="25" ht="30" customHeight="1" s="24">
      <c r="A25" s="12" t="n">
        <v>17</v>
      </c>
      <c r="B25" s="13" t="inlineStr">
        <is>
          <t>Identity</t>
        </is>
      </c>
      <c r="C25" s="13" t="inlineStr">
        <is>
          <t>Root</t>
        </is>
      </c>
      <c r="D25" s="13" t="inlineStr">
        <is>
          <t>custom tag appears for asChild/render</t>
        </is>
      </c>
      <c r="E25" s="18" t="inlineStr">
        <is>
          <t>yes</t>
        </is>
      </c>
      <c r="F25" s="19" t="inlineStr">
        <is>
          <t>yes</t>
        </is>
      </c>
      <c r="G25" s="12" t="inlineStr">
        <is>
          <t>pass</t>
        </is>
      </c>
      <c r="H25" s="20" t="inlineStr">
        <is>
          <t>covered</t>
        </is>
      </c>
      <c r="I25" s="13" t="inlineStr">
        <is>
          <t>Button playground manual verification.</t>
        </is>
      </c>
      <c r="J25" s="13" t="inlineStr"/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Identity</t>
        </is>
      </c>
      <c r="C26" s="13" t="inlineStr">
        <is>
          <t>Root</t>
        </is>
      </c>
      <c r="D26" s="13" t="inlineStr">
        <is>
          <t>ref target matches rendered tag</t>
        </is>
      </c>
      <c r="E26" s="18" t="inlineStr">
        <is>
          <t>yes</t>
        </is>
      </c>
      <c r="F26" s="19" t="inlineStr">
        <is>
          <t>yes</t>
        </is>
      </c>
      <c r="G26" s="12" t="inlineStr">
        <is>
          <t>pass</t>
        </is>
      </c>
      <c r="H26" s="20" t="inlineStr">
        <is>
          <t>covered</t>
        </is>
      </c>
      <c r="I26" s="13" t="inlineStr">
        <is>
          <t>Button playground manual verification.</t>
        </is>
      </c>
      <c r="J26" s="13" t="inlineStr"/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Identity</t>
        </is>
      </c>
      <c r="C27" s="13" t="inlineStr">
        <is>
          <t>Root</t>
        </is>
      </c>
      <c r="D27" s="13" t="inlineStr">
        <is>
          <t>data-slot is button</t>
        </is>
      </c>
      <c r="E27" s="18" t="inlineStr">
        <is>
          <t>yes</t>
        </is>
      </c>
      <c r="F27" s="19" t="inlineStr">
        <is>
          <t>yes</t>
        </is>
      </c>
      <c r="G27" s="12" t="inlineStr">
        <is>
          <t>pass</t>
        </is>
      </c>
      <c r="H27" s="20" t="inlineStr">
        <is>
          <t>covered</t>
        </is>
      </c>
      <c r="I27" s="13" t="inlineStr">
        <is>
          <t>Button playground manual verification.</t>
        </is>
      </c>
      <c r="J27" s="13" t="inlineStr"/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Props</t>
        </is>
      </c>
      <c r="C28" s="13" t="inlineStr">
        <is>
          <t>Root</t>
        </is>
      </c>
      <c r="D28" s="13" t="inlineStr">
        <is>
          <t>non-Atom native props pass through with data-prop-check marker</t>
        </is>
      </c>
      <c r="E28" s="18" t="inlineStr">
        <is>
          <t>yes</t>
        </is>
      </c>
      <c r="F28" s="19" t="inlineStr">
        <is>
          <t>yes</t>
        </is>
      </c>
      <c r="G28" s="12" t="inlineStr">
        <is>
          <t>pass</t>
        </is>
      </c>
      <c r="H28" s="20" t="inlineStr">
        <is>
          <t>covered</t>
        </is>
      </c>
      <c r="I28" s="13" t="inlineStr">
        <is>
          <t>Button playground manual verification.</t>
        </is>
      </c>
      <c r="J28" s="13" t="inlineStr"/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href prop behavior</t>
        </is>
      </c>
      <c r="E29" s="18" t="inlineStr">
        <is>
          <t>yes</t>
        </is>
      </c>
      <c r="F29" s="19" t="inlineStr">
        <is>
          <t>yes</t>
        </is>
      </c>
      <c r="G29" s="12" t="inlineStr">
        <is>
          <t>pass</t>
        </is>
      </c>
      <c r="H29" s="20" t="inlineStr">
        <is>
          <t>covered</t>
        </is>
      </c>
      <c r="I29" s="13" t="inlineStr">
        <is>
          <t>Button playground manual verification.</t>
        </is>
      </c>
      <c r="J29" s="13" t="inlineStr"/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target prop behavior</t>
        </is>
      </c>
      <c r="E30" s="18" t="inlineStr">
        <is>
          <t>yes</t>
        </is>
      </c>
      <c r="F30" s="19" t="inlineStr">
        <is>
          <t>yes</t>
        </is>
      </c>
      <c r="G30" s="12" t="inlineStr">
        <is>
          <t>pass</t>
        </is>
      </c>
      <c r="H30" s="20" t="inlineStr">
        <is>
          <t>covered</t>
        </is>
      </c>
      <c r="I30" s="13" t="inlineStr">
        <is>
          <t>Button playground manual verification.</t>
        </is>
      </c>
      <c r="J30" s="13" t="inlineStr"/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rel prop behavior</t>
        </is>
      </c>
      <c r="E31" s="18" t="inlineStr">
        <is>
          <t>yes</t>
        </is>
      </c>
      <c r="F31" s="19" t="inlineStr">
        <is>
          <t>yes</t>
        </is>
      </c>
      <c r="G31" s="12" t="inlineStr">
        <is>
          <t>pass</t>
        </is>
      </c>
      <c r="H31" s="20" t="inlineStr">
        <is>
          <t>covered</t>
        </is>
      </c>
      <c r="I31" s="13" t="inlineStr">
        <is>
          <t>Button playground manual verification.</t>
        </is>
      </c>
      <c r="J31" s="13" t="inlineStr"/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type prop behavior</t>
        </is>
      </c>
      <c r="E32" s="18" t="inlineStr">
        <is>
          <t>yes</t>
        </is>
      </c>
      <c r="F32" s="19" t="inlineStr">
        <is>
          <t>yes</t>
        </is>
      </c>
      <c r="G32" s="12" t="inlineStr">
        <is>
          <t>pass</t>
        </is>
      </c>
      <c r="H32" s="20" t="inlineStr">
        <is>
          <t>covered</t>
        </is>
      </c>
      <c r="I32" s="13" t="inlineStr">
        <is>
          <t>Button playground manual verification.</t>
        </is>
      </c>
      <c r="J32" s="13" t="inlineStr"/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disabled prop behavior</t>
        </is>
      </c>
      <c r="E33" s="18" t="inlineStr">
        <is>
          <t>yes</t>
        </is>
      </c>
      <c r="F33" s="19" t="inlineStr">
        <is>
          <t>yes</t>
        </is>
      </c>
      <c r="G33" s="12" t="inlineStr">
        <is>
          <t>pass</t>
        </is>
      </c>
      <c r="H33" s="20" t="inlineStr">
        <is>
          <t>covered</t>
        </is>
      </c>
      <c r="I33" s="13" t="inlineStr">
        <is>
          <t>Button playground manual verification.</t>
        </is>
      </c>
      <c r="J33" s="13" t="inlineStr"/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loading prop behavior</t>
        </is>
      </c>
      <c r="E34" s="18" t="inlineStr">
        <is>
          <t>yes</t>
        </is>
      </c>
      <c r="F34" s="19" t="inlineStr">
        <is>
          <t>yes</t>
        </is>
      </c>
      <c r="G34" s="12" t="inlineStr">
        <is>
          <t>pass</t>
        </is>
      </c>
      <c r="H34" s="20" t="inlineStr">
        <is>
          <t>covered</t>
        </is>
      </c>
      <c r="I34" s="13" t="inlineStr">
        <is>
          <t>Button playground manual verification.</t>
        </is>
      </c>
      <c r="J34" s="13" t="inlineStr"/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onPress prop behavior</t>
        </is>
      </c>
      <c r="E35" s="18" t="inlineStr">
        <is>
          <t>yes</t>
        </is>
      </c>
      <c r="F35" s="19" t="inlineStr">
        <is>
          <t>yes</t>
        </is>
      </c>
      <c r="G35" s="12" t="inlineStr">
        <is>
          <t>pass</t>
        </is>
      </c>
      <c r="H35" s="20" t="inlineStr">
        <is>
          <t>covered</t>
        </is>
      </c>
      <c r="I35" s="13" t="inlineStr">
        <is>
          <t>Button playground manual verification.</t>
        </is>
      </c>
      <c r="J35" s="13" t="inlineStr"/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onClick prop behavior</t>
        </is>
      </c>
      <c r="E36" s="18" t="inlineStr">
        <is>
          <t>yes</t>
        </is>
      </c>
      <c r="F36" s="19" t="inlineStr">
        <is>
          <t>yes</t>
        </is>
      </c>
      <c r="G36" s="12" t="inlineStr">
        <is>
          <t>pass</t>
        </is>
      </c>
      <c r="H36" s="20" t="inlineStr">
        <is>
          <t>covered</t>
        </is>
      </c>
      <c r="I36" s="13" t="inlineStr">
        <is>
          <t>Button playground manual verification.</t>
        </is>
      </c>
      <c r="J36" s="13" t="inlineStr"/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Root</t>
        </is>
      </c>
      <c r="D37" s="13" t="inlineStr">
        <is>
          <t>asChild prop behavior</t>
        </is>
      </c>
      <c r="E37" s="18" t="inlineStr">
        <is>
          <t>yes</t>
        </is>
      </c>
      <c r="F37" s="19" t="inlineStr">
        <is>
          <t>yes</t>
        </is>
      </c>
      <c r="G37" s="12" t="inlineStr">
        <is>
          <t>pass</t>
        </is>
      </c>
      <c r="H37" s="20" t="inlineStr">
        <is>
          <t>covered</t>
        </is>
      </c>
      <c r="I37" s="13" t="inlineStr">
        <is>
          <t>Button playground manual verification.</t>
        </is>
      </c>
      <c r="J37" s="13" t="inlineStr"/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Composition</t>
        </is>
      </c>
      <c r="C38" s="13" t="inlineStr">
        <is>
          <t>Root</t>
        </is>
      </c>
      <c r="D38" s="13" t="inlineStr">
        <is>
          <t>render prop behavior</t>
        </is>
      </c>
      <c r="E38" s="18" t="inlineStr">
        <is>
          <t>yes</t>
        </is>
      </c>
      <c r="F38" s="19" t="inlineStr">
        <is>
          <t>yes</t>
        </is>
      </c>
      <c r="G38" s="12" t="inlineStr">
        <is>
          <t>pass</t>
        </is>
      </c>
      <c r="H38" s="20" t="inlineStr">
        <is>
          <t>covered</t>
        </is>
      </c>
      <c r="I38" s="13" t="inlineStr">
        <is>
          <t>Button playground manual verification.</t>
        </is>
      </c>
      <c r="J38" s="13" t="inlineStr"/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Composition</t>
        </is>
      </c>
      <c r="C39" s="13" t="inlineStr">
        <is>
          <t>Root</t>
        </is>
      </c>
      <c r="D39" s="13" t="inlineStr">
        <is>
          <t>asChild preserves child content without double nesting</t>
        </is>
      </c>
      <c r="E39" s="18" t="inlineStr">
        <is>
          <t>yes</t>
        </is>
      </c>
      <c r="F39" s="19" t="inlineStr">
        <is>
          <t>yes</t>
        </is>
      </c>
      <c r="G39" s="12" t="inlineStr">
        <is>
          <t>pass</t>
        </is>
      </c>
      <c r="H39" s="20" t="inlineStr">
        <is>
          <t>covered</t>
        </is>
      </c>
      <c r="I39" s="13" t="inlineStr">
        <is>
          <t>Button playground manual verification.</t>
        </is>
      </c>
      <c r="J39" s="13" t="inlineStr"/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Composition</t>
        </is>
      </c>
      <c r="C40" s="13" t="inlineStr">
        <is>
          <t>Root</t>
        </is>
      </c>
      <c r="D40" s="13" t="inlineStr">
        <is>
          <t>asChild merges Atom props and consumer props</t>
        </is>
      </c>
      <c r="E40" s="18" t="inlineStr">
        <is>
          <t>yes</t>
        </is>
      </c>
      <c r="F40" s="19" t="inlineStr">
        <is>
          <t>yes</t>
        </is>
      </c>
      <c r="G40" s="12" t="inlineStr">
        <is>
          <t>pass</t>
        </is>
      </c>
      <c r="H40" s="20" t="inlineStr">
        <is>
          <t>covered</t>
        </is>
      </c>
      <c r="I40" s="13" t="inlineStr">
        <is>
          <t>Button playground manual verification.</t>
        </is>
      </c>
      <c r="J40" s="13" t="inlineStr"/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Composition</t>
        </is>
      </c>
      <c r="C41" s="13" t="inlineStr">
        <is>
          <t>Root</t>
        </is>
      </c>
      <c r="D41" s="13" t="inlineStr">
        <is>
          <t>render prop preserves refs and behavior props</t>
        </is>
      </c>
      <c r="E41" s="18" t="inlineStr">
        <is>
          <t>yes</t>
        </is>
      </c>
      <c r="F41" s="19" t="inlineStr">
        <is>
          <t>yes</t>
        </is>
      </c>
      <c r="G41" s="12" t="inlineStr">
        <is>
          <t>pass</t>
        </is>
      </c>
      <c r="H41" s="20" t="inlineStr">
        <is>
          <t>covered</t>
        </is>
      </c>
      <c r="I41" s="13" t="inlineStr">
        <is>
          <t>Button playground manual verification.</t>
        </is>
      </c>
      <c r="J41" s="13" t="inlineStr"/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Keyboard</t>
        </is>
      </c>
      <c r="C42" s="13" t="inlineStr">
        <is>
          <t>Root</t>
        </is>
      </c>
      <c r="D42" s="13" t="inlineStr">
        <is>
          <t>Enter activates custom non-native render</t>
        </is>
      </c>
      <c r="E42" s="18" t="inlineStr">
        <is>
          <t>yes</t>
        </is>
      </c>
      <c r="F42" s="19" t="inlineStr">
        <is>
          <t>yes</t>
        </is>
      </c>
      <c r="G42" s="12" t="inlineStr">
        <is>
          <t>pass</t>
        </is>
      </c>
      <c r="H42" s="20" t="inlineStr">
        <is>
          <t>covered</t>
        </is>
      </c>
      <c r="I42" s="13" t="inlineStr">
        <is>
          <t>Button playground manual verification.</t>
        </is>
      </c>
      <c r="J42" s="13" t="inlineStr"/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Keyboard</t>
        </is>
      </c>
      <c r="C43" s="13" t="inlineStr">
        <is>
          <t>Root</t>
        </is>
      </c>
      <c r="D43" s="13" t="inlineStr">
        <is>
          <t>Space activates custom non-native render</t>
        </is>
      </c>
      <c r="E43" s="18" t="inlineStr">
        <is>
          <t>yes</t>
        </is>
      </c>
      <c r="F43" s="19" t="inlineStr">
        <is>
          <t>yes</t>
        </is>
      </c>
      <c r="G43" s="12" t="inlineStr">
        <is>
          <t>pass</t>
        </is>
      </c>
      <c r="H43" s="20" t="inlineStr">
        <is>
          <t>covered</t>
        </is>
      </c>
      <c r="I43" s="13" t="inlineStr">
        <is>
          <t>Button playground manual verification.</t>
        </is>
      </c>
      <c r="J43" s="13" t="inlineStr"/>
      <c r="K43" s="14">
        <f>IF(AND(E43="yes",F43="yes",H43="covered"),1,IF(H43="partial",0.5,0))</f>
        <v/>
      </c>
    </row>
    <row r="44" ht="30" customHeight="1" s="24">
      <c r="A44" s="12" t="n">
        <v>36</v>
      </c>
      <c r="B44" s="13" t="inlineStr">
        <is>
          <t>Keyboard</t>
        </is>
      </c>
      <c r="C44" s="13" t="inlineStr">
        <is>
          <t>Root</t>
        </is>
      </c>
      <c r="D44" s="13" t="inlineStr">
        <is>
          <t>disabled/loading blocks keyboard activation</t>
        </is>
      </c>
      <c r="E44" s="18" t="inlineStr">
        <is>
          <t>yes</t>
        </is>
      </c>
      <c r="F44" s="19" t="inlineStr">
        <is>
          <t>yes</t>
        </is>
      </c>
      <c r="G44" s="12" t="inlineStr">
        <is>
          <t>pass</t>
        </is>
      </c>
      <c r="H44" s="20" t="inlineStr">
        <is>
          <t>covered</t>
        </is>
      </c>
      <c r="I44" s="13" t="inlineStr">
        <is>
          <t>Button playground manual verification.</t>
        </is>
      </c>
      <c r="J44" s="13" t="inlineStr"/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ARIA</t>
        </is>
      </c>
      <c r="C45" s="13" t="inlineStr">
        <is>
          <t>Live DOM</t>
        </is>
      </c>
      <c r="D45" s="13" t="inlineStr">
        <is>
          <t>aria-disabled is present for inactive non-native renders</t>
        </is>
      </c>
      <c r="E45" s="18" t="inlineStr">
        <is>
          <t>yes</t>
        </is>
      </c>
      <c r="F45" s="19" t="inlineStr">
        <is>
          <t>yes</t>
        </is>
      </c>
      <c r="G45" s="12" t="inlineStr">
        <is>
          <t>pass</t>
        </is>
      </c>
      <c r="H45" s="20" t="inlineStr">
        <is>
          <t>covered</t>
        </is>
      </c>
      <c r="I45" s="13" t="inlineStr">
        <is>
          <t>Button playground manual verification.</t>
        </is>
      </c>
      <c r="J45" s="13" t="inlineStr"/>
      <c r="K45" s="14">
        <f>IF(AND(E45="yes",F45="yes",H45="covered"),1,IF(H45="partial",0.5,0))</f>
        <v/>
      </c>
    </row>
    <row r="46" ht="45" customHeight="1" s="24">
      <c r="A46" s="12" t="n">
        <v>38</v>
      </c>
      <c r="B46" s="13" t="inlineStr">
        <is>
          <t>ARIA</t>
        </is>
      </c>
      <c r="C46" s="13" t="inlineStr">
        <is>
          <t>Live DOM</t>
        </is>
      </c>
      <c r="D46" s="13" t="inlineStr">
        <is>
          <t>aria-busy is present while loading</t>
        </is>
      </c>
      <c r="E46" s="18" t="inlineStr">
        <is>
          <t>yes</t>
        </is>
      </c>
      <c r="F46" s="19" t="inlineStr">
        <is>
          <t>yes</t>
        </is>
      </c>
      <c r="G46" s="12" t="inlineStr">
        <is>
          <t>pass</t>
        </is>
      </c>
      <c r="H46" s="20" t="inlineStr">
        <is>
          <t>covered</t>
        </is>
      </c>
      <c r="I46" s="13" t="inlineStr">
        <is>
          <t>Button playground manual verification.</t>
        </is>
      </c>
      <c r="J46" s="13" t="inlineStr"/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Data</t>
        </is>
      </c>
      <c r="C47" s="13" t="inlineStr">
        <is>
          <t>Live DOM</t>
        </is>
      </c>
      <c r="D47" s="13" t="inlineStr">
        <is>
          <t>data-slot is present</t>
        </is>
      </c>
      <c r="E47" s="18" t="inlineStr">
        <is>
          <t>yes</t>
        </is>
      </c>
      <c r="F47" s="19" t="inlineStr">
        <is>
          <t>yes</t>
        </is>
      </c>
      <c r="G47" s="12" t="inlineStr">
        <is>
          <t>pass</t>
        </is>
      </c>
      <c r="H47" s="20" t="inlineStr">
        <is>
          <t>covered</t>
        </is>
      </c>
      <c r="I47" s="13" t="inlineStr">
        <is>
          <t>Button playground manual verification.</t>
        </is>
      </c>
      <c r="J47" s="13" t="inlineStr"/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Data</t>
        </is>
      </c>
      <c r="C48" s="13" t="inlineStr">
        <is>
          <t>Live DOM</t>
        </is>
      </c>
      <c r="D48" s="13" t="inlineStr">
        <is>
          <t>data-disabled is present when disabled</t>
        </is>
      </c>
      <c r="E48" s="18" t="inlineStr">
        <is>
          <t>yes</t>
        </is>
      </c>
      <c r="F48" s="19" t="inlineStr">
        <is>
          <t>yes</t>
        </is>
      </c>
      <c r="G48" s="12" t="inlineStr">
        <is>
          <t>pass</t>
        </is>
      </c>
      <c r="H48" s="20" t="inlineStr">
        <is>
          <t>covered</t>
        </is>
      </c>
      <c r="I48" s="13" t="inlineStr">
        <is>
          <t>Button playground manual verification.</t>
        </is>
      </c>
      <c r="J48" s="13" t="inlineStr"/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Data</t>
        </is>
      </c>
      <c r="C49" s="13" t="inlineStr">
        <is>
          <t>Live DOM</t>
        </is>
      </c>
      <c r="D49" s="13" t="inlineStr">
        <is>
          <t>data-loading is present when loading</t>
        </is>
      </c>
      <c r="E49" s="18" t="inlineStr">
        <is>
          <t>yes</t>
        </is>
      </c>
      <c r="F49" s="19" t="inlineStr">
        <is>
          <t>yes</t>
        </is>
      </c>
      <c r="G49" s="12" t="inlineStr">
        <is>
          <t>pass</t>
        </is>
      </c>
      <c r="H49" s="20" t="inlineStr">
        <is>
          <t>covered</t>
        </is>
      </c>
      <c r="I49" s="13" t="inlineStr">
        <is>
          <t>Button playground manual verification.</t>
        </is>
      </c>
      <c r="J49" s="13" t="inlineStr"/>
      <c r="K49" s="14">
        <f>IF(AND(E49="yes",F49="yes",H49="covered"),1,IF(H49="partial",0.5,0))</f>
        <v/>
      </c>
    </row>
    <row r="50" ht="30" customHeight="1" s="24">
      <c r="A50" s="12" t="n">
        <v>42</v>
      </c>
      <c r="B50" s="13" t="inlineStr">
        <is>
          <t>Forms</t>
        </is>
      </c>
      <c r="C50" s="13" t="inlineStr">
        <is>
          <t>Root</t>
        </is>
      </c>
      <c r="D50" s="13" t="inlineStr">
        <is>
          <t>native type button is default</t>
        </is>
      </c>
      <c r="E50" s="18" t="inlineStr">
        <is>
          <t>yes</t>
        </is>
      </c>
      <c r="F50" s="19" t="inlineStr">
        <is>
          <t>yes</t>
        </is>
      </c>
      <c r="G50" s="12" t="inlineStr">
        <is>
          <t>pass</t>
        </is>
      </c>
      <c r="H50" s="20" t="inlineStr">
        <is>
          <t>covered</t>
        </is>
      </c>
      <c r="I50" s="13" t="inlineStr">
        <is>
          <t>Button playground manual verification.</t>
        </is>
      </c>
      <c r="J50" s="13" t="inlineStr"/>
      <c r="K50" s="14">
        <f>IF(AND(E50="yes",F50="yes",H50="covered"),1,IF(H50="partial",0.5,0))</f>
        <v/>
      </c>
    </row>
    <row r="51" ht="30" customHeight="1" s="24">
      <c r="A51" s="12" t="n">
        <v>43</v>
      </c>
      <c r="B51" s="13" t="inlineStr">
        <is>
          <t>Forms</t>
        </is>
      </c>
      <c r="C51" s="13" t="inlineStr">
        <is>
          <t>Root</t>
        </is>
      </c>
      <c r="D51" s="13" t="inlineStr">
        <is>
          <t>submit and reset type pass through</t>
        </is>
      </c>
      <c r="E51" s="18" t="inlineStr">
        <is>
          <t>yes</t>
        </is>
      </c>
      <c r="F51" s="19" t="inlineStr">
        <is>
          <t>yes</t>
        </is>
      </c>
      <c r="G51" s="12" t="inlineStr">
        <is>
          <t>pass</t>
        </is>
      </c>
      <c r="H51" s="20" t="inlineStr">
        <is>
          <t>covered</t>
        </is>
      </c>
      <c r="I51" s="13" t="inlineStr">
        <is>
          <t>Button playground manual verification.</t>
        </is>
      </c>
      <c r="J51" s="13" t="inlineStr"/>
      <c r="K51" s="14">
        <f>IF(AND(E51="yes",F51="yes",H51="covered"),1,IF(H51="partial",0.5,0))</f>
        <v/>
      </c>
    </row>
    <row r="52" ht="30" customHeight="1" s="24">
      <c r="A52" s="12" t="n">
        <v>44</v>
      </c>
      <c r="B52" s="13" t="inlineStr">
        <is>
          <t>Log</t>
        </is>
      </c>
      <c r="C52" s="13" t="inlineStr">
        <is>
          <t>Root</t>
        </is>
      </c>
      <c r="D52" s="13" t="inlineStr">
        <is>
          <t>logs click/press/default prevention clearly</t>
        </is>
      </c>
      <c r="E52" s="18" t="inlineStr">
        <is>
          <t>yes</t>
        </is>
      </c>
      <c r="F52" s="19" t="inlineStr">
        <is>
          <t>yes</t>
        </is>
      </c>
      <c r="G52" s="12" t="inlineStr">
        <is>
          <t>pass</t>
        </is>
      </c>
      <c r="H52" s="20" t="inlineStr">
        <is>
          <t>covered</t>
        </is>
      </c>
      <c r="I52" s="13" t="inlineStr">
        <is>
          <t>Button playground manual verification.</t>
        </is>
      </c>
      <c r="J52" s="13" t="inlineStr"/>
      <c r="K52" s="14">
        <f>IF(AND(E52="yes",F52="yes",H52="covered"),1,IF(H52="partial",0.5,0))</f>
        <v/>
      </c>
    </row>
    <row r="53" ht="30" customHeight="1" s="24">
      <c r="A53" s="12" t="n"/>
      <c r="B53" s="13" t="n"/>
      <c r="C53" s="13" t="n"/>
      <c r="D53" s="13" t="n"/>
      <c r="E53" s="18" t="n"/>
      <c r="F53" s="19" t="n"/>
      <c r="G53" s="12" t="n"/>
      <c r="H53" s="20" t="n"/>
      <c r="I53" s="13" t="n"/>
      <c r="J53" s="13" t="n"/>
      <c r="K53" s="14" t="n"/>
    </row>
    <row r="54" ht="30" customHeight="1" s="24">
      <c r="A54" s="12" t="n"/>
      <c r="B54" s="13" t="n"/>
      <c r="C54" s="13" t="n"/>
      <c r="D54" s="13" t="n"/>
      <c r="E54" s="18" t="n"/>
      <c r="F54" s="19" t="n"/>
      <c r="G54" s="12" t="n"/>
      <c r="H54" s="20" t="n"/>
      <c r="I54" s="13" t="n"/>
      <c r="J54" s="13" t="n"/>
      <c r="K54" s="14" t="n"/>
    </row>
    <row r="55" ht="30" customHeight="1" s="24">
      <c r="A55" s="12" t="n"/>
      <c r="B55" s="13" t="n"/>
      <c r="C55" s="13" t="n"/>
      <c r="D55" s="13" t="n"/>
      <c r="E55" s="18" t="n"/>
      <c r="F55" s="19" t="n"/>
      <c r="G55" s="12" t="n"/>
      <c r="H55" s="20" t="n"/>
      <c r="I55" s="13" t="n"/>
      <c r="J55" s="13" t="n"/>
      <c r="K55" s="14" t="n"/>
    </row>
  </sheetData>
  <autoFilter ref="A8:K55"/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Checkbox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IFERROR(SUM(K9:K80)/COUNT(K9:K80),0)</f>
        <v/>
      </c>
      <c r="C4" s="8" t="inlineStr">
        <is>
          <t>Covered</t>
        </is>
      </c>
      <c r="D4" s="10">
        <f>COUNTIFS(E9:E80,"yes",F9:F80,"yes",H9:H80,"covered")</f>
        <v/>
      </c>
      <c r="E4" s="8" t="inlineStr">
        <is>
          <t>Partial</t>
        </is>
      </c>
      <c r="F4" s="10">
        <f>COUNTIF(H9:H80,"partial")</f>
        <v/>
      </c>
      <c r="G4" s="8" t="inlineStr">
        <is>
          <t>Missing</t>
        </is>
      </c>
      <c r="H4" s="10">
        <f>COUNTIFS(E9:E80,"&lt;&gt;yes") + COUNTIFS(E9:E80,"yes",H9:H80,"missing")</f>
        <v/>
      </c>
      <c r="I4" s="8" t="inlineStr">
        <is>
          <t>Untested</t>
        </is>
      </c>
      <c r="J4" s="10">
        <f>COUNTIFS(E9:E80,"yes",F9:F80,"&lt;&gt;yes") + COUNTIFS(E9:E80,"yes",F9:F80,"yes",H9:H80,"untested")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Checkbox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Checkbox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45" customHeight="1" s="24">
      <c r="A10" s="12" t="n">
        <v>2</v>
      </c>
      <c r="B10" s="13" t="inlineStr">
        <is>
          <t>Playground</t>
        </is>
      </c>
      <c r="C10" s="13" t="inlineStr">
        <is>
          <t>Checkbox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Checkbox playground page uses shared Canvas/Source, Anatomy, Inspector, and Log infrastructure.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Checkbox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Checkbox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Checkbox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Checkbox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Checkbox</t>
        </is>
      </c>
      <c r="D13" s="13" t="inlineStr">
        <is>
          <t>Supports checked, unchecked, and indeterminate states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Checkbox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Checkbox</t>
        </is>
      </c>
      <c r="D14" s="13" t="inlineStr">
        <is>
          <t>Can be controlled or uncontrolled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Checkbox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Checkbox</t>
        </is>
      </c>
      <c r="D15" s="13" t="inlineStr">
        <is>
          <t>Supports read-only and disabled state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Checkbox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Checkbox</t>
        </is>
      </c>
      <c r="D16" s="13" t="inlineStr">
        <is>
          <t>Renders an optional hidden checkbox input for native form submission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Checkbox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Checkbox</t>
        </is>
      </c>
      <c r="D17" s="13" t="inlineStr">
        <is>
          <t>Exposes state through ARIA and data attributes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Checkbox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Checkbox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Checkbox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Checkbox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Checkbox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Checkbox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4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Package tests/source review verify consumer ref plumbing for Checkbox; playground manual pass can inspect rendered DOM behavior.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State</t>
        </is>
      </c>
      <c r="C24" s="13" t="inlineStr">
        <is>
          <t>Root</t>
        </is>
      </c>
      <c r="D24" s="13" t="inlineStr">
        <is>
          <t>checked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Checkbox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defaultChecked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Checkbox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onCheckedChange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Checkbox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disabled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Checkbox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readOnly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Checkbox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invalid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Checkbox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required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Checkbox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name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Checkbox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value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Checkbox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form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Checkbox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Accessibility</t>
        </is>
      </c>
      <c r="C34" s="13" t="inlineStr">
        <is>
          <t>Root</t>
        </is>
      </c>
      <c r="D34" s="13" t="inlineStr">
        <is>
          <t>ariaLabel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Checkbox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Composition</t>
        </is>
      </c>
      <c r="C35" s="13" t="inlineStr">
        <is>
          <t>Root</t>
        </is>
      </c>
      <c r="D35" s="13" t="inlineStr">
        <is>
          <t>asChild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Checkbox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Root</t>
        </is>
      </c>
      <c r="D36" s="13" t="inlineStr">
        <is>
          <t>render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Checkbox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[data-slot]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Checkbox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[data-state]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Checkbox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Root</t>
        </is>
      </c>
      <c r="D39" s="13" t="inlineStr">
        <is>
          <t>[data-disabled]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Checkbox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Root</t>
        </is>
      </c>
      <c r="D40" s="13" t="inlineStr">
        <is>
          <t>[data-readonly]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Checkbox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[data-invalid]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Checkbox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Indicator</t>
        </is>
      </c>
      <c r="D42" s="13" t="inlineStr">
        <is>
          <t>renders correct part when expected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Checkbox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Anatomy</t>
        </is>
      </c>
      <c r="C43" s="13" t="inlineStr">
        <is>
          <t>Indicator</t>
        </is>
      </c>
      <c r="D43" s="13" t="inlineStr">
        <is>
          <t>appears in documented order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Checkbox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Indicator</t>
        </is>
      </c>
      <c r="D44" s="13" t="inlineStr">
        <is>
          <t>default tag is visible in Anatomy/Inspector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Checkbox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Identity</t>
        </is>
      </c>
      <c r="C45" s="13" t="inlineStr">
        <is>
          <t>Indicator</t>
        </is>
      </c>
      <c r="D45" s="13" t="inlineStr">
        <is>
          <t>data-slot is present and correct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Checkbox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30" customHeight="1" s="24">
      <c r="A46" s="12" t="n">
        <v>38</v>
      </c>
      <c r="B46" s="13" t="inlineStr">
        <is>
          <t>Props</t>
        </is>
      </c>
      <c r="C46" s="13" t="inlineStr">
        <is>
          <t>Indicator</t>
        </is>
      </c>
      <c r="D46" s="13" t="inlineStr">
        <is>
          <t>non-Atom native props pass through with data-prop-check marker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Checkbox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45" customHeight="1" s="24">
      <c r="A47" s="12" t="n">
        <v>39</v>
      </c>
      <c r="B47" s="13" t="inlineStr">
        <is>
          <t>Refs</t>
        </is>
      </c>
      <c r="C47" s="13" t="inlineStr">
        <is>
          <t>Indicator</t>
        </is>
      </c>
      <c r="D47" s="13" t="inlineStr">
        <is>
          <t>consumer ref receives the rendered element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Package tests/source review verify consumer ref plumbing for Checkbox; playground manual pass can inspect rendered DOM behavior.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Indicator</t>
        </is>
      </c>
      <c r="D48" s="13" t="inlineStr">
        <is>
          <t>forceMount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Checkbox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Composition</t>
        </is>
      </c>
      <c r="C49" s="13" t="inlineStr">
        <is>
          <t>Indicator</t>
        </is>
      </c>
      <c r="D49" s="13" t="inlineStr">
        <is>
          <t>asChild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Checkbox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Composition</t>
        </is>
      </c>
      <c r="C50" s="13" t="inlineStr">
        <is>
          <t>Indicator</t>
        </is>
      </c>
      <c r="D50" s="13" t="inlineStr">
        <is>
          <t>render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Checkbox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Indicator</t>
        </is>
      </c>
      <c r="D51" s="13" t="inlineStr">
        <is>
          <t>[data-slot]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Checkbox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Indicator</t>
        </is>
      </c>
      <c r="D52" s="13" t="inlineStr">
        <is>
          <t>[data-state]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Checkbox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State</t>
        </is>
      </c>
      <c r="C53" s="13" t="inlineStr">
        <is>
          <t>Indicator</t>
        </is>
      </c>
      <c r="D53" s="13" t="inlineStr">
        <is>
          <t>[data-disabled]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Checkbox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ARIA</t>
        </is>
      </c>
      <c r="C54" s="13" t="inlineStr">
        <is>
          <t>Live DOM</t>
        </is>
      </c>
      <c r="D54" s="13" t="inlineStr">
        <is>
          <t>aria-checked is present at the correct time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Checkbox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ARIA</t>
        </is>
      </c>
      <c r="C55" s="13" t="inlineStr">
        <is>
          <t>Live DOM</t>
        </is>
      </c>
      <c r="D55" s="13" t="inlineStr">
        <is>
          <t>aria-hidden is present at the correct time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Checkbox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ARIA</t>
        </is>
      </c>
      <c r="C56" s="13" t="inlineStr">
        <is>
          <t>Live DOM</t>
        </is>
      </c>
      <c r="D56" s="13" t="inlineStr">
        <is>
          <t>aria-invalid is present at the correct time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Checkbox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ARIA</t>
        </is>
      </c>
      <c r="C57" s="13" t="inlineStr">
        <is>
          <t>Live DOM</t>
        </is>
      </c>
      <c r="D57" s="13" t="inlineStr">
        <is>
          <t>aria-label is present at the correct time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Checkbox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ARIA</t>
        </is>
      </c>
      <c r="C58" s="13" t="inlineStr">
        <is>
          <t>Live DOM</t>
        </is>
      </c>
      <c r="D58" s="13" t="inlineStr">
        <is>
          <t>aria-readonly is present at the correct time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Checkbox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ARIA</t>
        </is>
      </c>
      <c r="C59" s="13" t="inlineStr">
        <is>
          <t>Live DOM</t>
        </is>
      </c>
      <c r="D59" s="13" t="inlineStr">
        <is>
          <t>aria-required is present at the correct time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Checkbox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Data</t>
        </is>
      </c>
      <c r="C60" s="13" t="inlineStr">
        <is>
          <t>Live DOM</t>
        </is>
      </c>
      <c r="D60" s="13" t="inlineStr">
        <is>
          <t>data-disabled is present at the correct time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Checkbox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Data</t>
        </is>
      </c>
      <c r="C61" s="13" t="inlineStr">
        <is>
          <t>Live DOM</t>
        </is>
      </c>
      <c r="D61" s="13" t="inlineStr">
        <is>
          <t>data-invalid is present at the correct time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Checkbox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Data</t>
        </is>
      </c>
      <c r="C62" s="13" t="inlineStr">
        <is>
          <t>Live DOM</t>
        </is>
      </c>
      <c r="D62" s="13" t="inlineStr">
        <is>
          <t>data-readonly is present at the correct time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Checkbox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Data</t>
        </is>
      </c>
      <c r="C63" s="13" t="inlineStr">
        <is>
          <t>Live DOM</t>
        </is>
      </c>
      <c r="D63" s="13" t="inlineStr">
        <is>
          <t>data-slot is present at the correct time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Checkbox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Data</t>
        </is>
      </c>
      <c r="C64" s="13" t="inlineStr">
        <is>
          <t>Live DOM</t>
        </is>
      </c>
      <c r="D64" s="13" t="inlineStr">
        <is>
          <t>data-state is present at the correct time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Checkbox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Composition</t>
        </is>
      </c>
      <c r="C65" s="13" t="inlineStr">
        <is>
          <t>Checkbox</t>
        </is>
      </c>
      <c r="D65" s="13" t="inlineStr">
        <is>
          <t>asChild preserves child content without double nesting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Checkbox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Composition</t>
        </is>
      </c>
      <c r="C66" s="13" t="inlineStr">
        <is>
          <t>Checkbox</t>
        </is>
      </c>
      <c r="D66" s="13" t="inlineStr">
        <is>
          <t>asChild merges Atom props and consumer props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Checkbox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30" customHeight="1" s="24">
      <c r="A67" s="12" t="n">
        <v>59</v>
      </c>
      <c r="B67" s="13" t="inlineStr">
        <is>
          <t>Composition</t>
        </is>
      </c>
      <c r="C67" s="13" t="inlineStr">
        <is>
          <t>Checkbox</t>
        </is>
      </c>
      <c r="D67" s="13" t="inlineStr">
        <is>
          <t>asChild lets preventDefault block Atom behavior where supported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Checkbox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Composition</t>
        </is>
      </c>
      <c r="C68" s="13" t="inlineStr">
        <is>
          <t>Checkbox</t>
        </is>
      </c>
      <c r="D68" s="13" t="inlineStr">
        <is>
          <t>render prop renders custom element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Checkbox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45" customHeight="1" s="24">
      <c r="A69" s="12" t="n">
        <v>61</v>
      </c>
      <c r="B69" s="13" t="inlineStr">
        <is>
          <t>Composition</t>
        </is>
      </c>
      <c r="C69" s="13" t="inlineStr">
        <is>
          <t>Checkbox</t>
        </is>
      </c>
      <c r="D69" s="13" t="inlineStr">
        <is>
          <t>render prop preserves refs and behavior props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Composition controls/package tests cover render/asChild behavior for Checkbox; ready for manual verification where exposed.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State</t>
        </is>
      </c>
      <c r="C70" s="13" t="inlineStr">
        <is>
          <t>Root</t>
        </is>
      </c>
      <c r="D70" s="13" t="inlineStr">
        <is>
          <t>controlled state path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Checkbox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State</t>
        </is>
      </c>
      <c r="C71" s="13" t="inlineStr">
        <is>
          <t>Root</t>
        </is>
      </c>
      <c r="D71" s="13" t="inlineStr">
        <is>
          <t>uncontrolled default state path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Checkbox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State</t>
        </is>
      </c>
      <c r="C72" s="13" t="inlineStr">
        <is>
          <t>Root</t>
        </is>
      </c>
      <c r="D72" s="13" t="inlineStr">
        <is>
          <t>state change callback fires once with correct value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Checkbox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30" customHeight="1" s="24">
      <c r="A73" s="12" t="n">
        <v>65</v>
      </c>
      <c r="B73" s="13" t="inlineStr">
        <is>
          <t>State</t>
        </is>
      </c>
      <c r="C73" s="13" t="inlineStr">
        <is>
          <t>Checkbox</t>
        </is>
      </c>
      <c r="D73" s="13" t="inlineStr">
        <is>
          <t>disabled state blocks or exposes behavior correctly where supported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Checkbox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30" customHeight="1" s="24">
      <c r="A74" s="12" t="n">
        <v>66</v>
      </c>
      <c r="B74" s="13" t="inlineStr">
        <is>
          <t>State</t>
        </is>
      </c>
      <c r="C74" s="13" t="inlineStr">
        <is>
          <t>Checkbox</t>
        </is>
      </c>
      <c r="D74" s="13" t="inlineStr">
        <is>
          <t>readonly/readOnly state blocks or exposes behavior correctly where supported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Checkbox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30" customHeight="1" s="24">
      <c r="A75" s="12" t="n">
        <v>67</v>
      </c>
      <c r="B75" s="13" t="inlineStr">
        <is>
          <t>State</t>
        </is>
      </c>
      <c r="C75" s="13" t="inlineStr">
        <is>
          <t>Checkbox</t>
        </is>
      </c>
      <c r="D75" s="13" t="inlineStr">
        <is>
          <t>required state blocks or exposes behavior correctly where supported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Checkbox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30" customHeight="1" s="24">
      <c r="A76" s="12" t="n">
        <v>68</v>
      </c>
      <c r="B76" s="13" t="inlineStr">
        <is>
          <t>State</t>
        </is>
      </c>
      <c r="C76" s="13" t="inlineStr">
        <is>
          <t>Checkbox</t>
        </is>
      </c>
      <c r="D76" s="13" t="inlineStr">
        <is>
          <t>invalid state blocks or exposes behavior correctly where supported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Checkbox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Forms</t>
        </is>
      </c>
      <c r="C77" s="13" t="inlineStr">
        <is>
          <t>Checkbox</t>
        </is>
      </c>
      <c r="D77" s="13" t="inlineStr">
        <is>
          <t>form value participates correctly where supported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Checkbox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30" customHeight="1" s="24">
      <c r="A78" s="12" t="n">
        <v>70</v>
      </c>
      <c r="B78" s="13" t="inlineStr">
        <is>
          <t>Forms</t>
        </is>
      </c>
      <c r="C78" s="13" t="inlineStr">
        <is>
          <t>Checkbox</t>
        </is>
      </c>
      <c r="D78" s="13" t="inlineStr">
        <is>
          <t>hidden input mirrors value/checked/disabled where supported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Checkbox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Keyboard</t>
        </is>
      </c>
      <c r="C79" s="13" t="inlineStr">
        <is>
          <t>Checkbox</t>
        </is>
      </c>
      <c r="D79" s="13" t="inlineStr">
        <is>
          <t xml:space="preserve">  behavior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Checkbox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Keyboard</t>
        </is>
      </c>
      <c r="C80" s="13" t="inlineStr">
        <is>
          <t>Checkbox</t>
        </is>
      </c>
      <c r="D80" s="13" t="inlineStr">
        <is>
          <t>Enter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Checkbox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</sheetData>
  <autoFilter ref="A8:K80"/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CheckboxGroup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IFERROR(SUM(K9:K104)/COUNT(K9:K104),0)</f>
        <v/>
      </c>
      <c r="C4" s="8" t="inlineStr">
        <is>
          <t>Covered</t>
        </is>
      </c>
      <c r="D4" s="10">
        <f>COUNTIFS(E9:E104,"yes",F9:F104,"yes",H9:H104,"covered")</f>
        <v/>
      </c>
      <c r="E4" s="8" t="inlineStr">
        <is>
          <t>Partial</t>
        </is>
      </c>
      <c r="F4" s="10">
        <f>COUNTIF(H9:H104,"partial")</f>
        <v/>
      </c>
      <c r="G4" s="8" t="inlineStr">
        <is>
          <t>Missing</t>
        </is>
      </c>
      <c r="H4" s="10">
        <f>COUNTIFS(E9:E104,"&lt;&gt;yes") + COUNTIFS(E9:E104,"yes",H9:H104,"missing")</f>
        <v/>
      </c>
      <c r="I4" s="8" t="inlineStr">
        <is>
          <t>Untested</t>
        </is>
      </c>
      <c r="J4" s="10">
        <f>COUNTIFS(E9:E104,"yes",F9:F104,"&lt;&gt;yes") + COUNTIFS(E9:E104,"yes",F9:F104,"yes",H9:H104,"untested")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CheckboxGroup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CheckboxGroup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CheckboxGroup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CheckboxGroup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CheckboxGroup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CheckboxGroup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CheckboxGroup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CheckboxGroup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CheckboxGroup</t>
        </is>
      </c>
      <c r="D13" s="13" t="inlineStr">
        <is>
          <t>Manages an array of selected values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CheckboxGroup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CheckboxGroup</t>
        </is>
      </c>
      <c r="D14" s="13" t="inlineStr">
        <is>
          <t>Can be controlled or uncontrolled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CheckboxGroup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CheckboxGroup</t>
        </is>
      </c>
      <c r="D15" s="13" t="inlineStr">
        <is>
          <t>Shares disabled, read-only, required, invalid, name, and form state with items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CheckboxGroup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CheckboxGroup</t>
        </is>
      </c>
      <c r="D16" s="13" t="inlineStr">
        <is>
          <t>Each item can render a hidden checkbox input for native form submission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CheckboxGroup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CheckboxGroup</t>
        </is>
      </c>
      <c r="D17" s="13" t="inlineStr">
        <is>
          <t>Exposes orientation and item state through data attributes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CheckboxGroup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CheckboxGroup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CheckboxGroup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CheckboxGroup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CheckboxGroup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CheckboxGroup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CheckboxGroup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State</t>
        </is>
      </c>
      <c r="C24" s="13" t="inlineStr">
        <is>
          <t>Root</t>
        </is>
      </c>
      <c r="D24" s="13" t="inlineStr">
        <is>
          <t>value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CheckboxGroup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defaultValue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CheckboxGroup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onValueChange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CheckboxGroup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name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CheckboxGroup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form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CheckboxGroup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disabled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CheckboxGroup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required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CheckboxGroup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readOnly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CheckboxGroup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invalid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CheckboxGroup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orientation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CheckboxGroup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Accessibility</t>
        </is>
      </c>
      <c r="C34" s="13" t="inlineStr">
        <is>
          <t>Root</t>
        </is>
      </c>
      <c r="D34" s="13" t="inlineStr">
        <is>
          <t>ariaLabel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CheckboxGroup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Composition</t>
        </is>
      </c>
      <c r="C35" s="13" t="inlineStr">
        <is>
          <t>Root</t>
        </is>
      </c>
      <c r="D35" s="13" t="inlineStr">
        <is>
          <t>asChild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CheckboxGroup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Root</t>
        </is>
      </c>
      <c r="D36" s="13" t="inlineStr">
        <is>
          <t>render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CheckboxGroup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[data-slot]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CheckboxGroup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[data-orientation]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CheckboxGroup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Root</t>
        </is>
      </c>
      <c r="D39" s="13" t="inlineStr">
        <is>
          <t>[data-disabled]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CheckboxGroup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Root</t>
        </is>
      </c>
      <c r="D40" s="13" t="inlineStr">
        <is>
          <t>[data-readonly]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CheckboxGroup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[data-invalid]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CheckboxGroup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Item</t>
        </is>
      </c>
      <c r="D42" s="13" t="inlineStr">
        <is>
          <t>renders correct part when expected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CheckboxGroup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Anatomy</t>
        </is>
      </c>
      <c r="C43" s="13" t="inlineStr">
        <is>
          <t>Item</t>
        </is>
      </c>
      <c r="D43" s="13" t="inlineStr">
        <is>
          <t>appears in documented order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CheckboxGroup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Item</t>
        </is>
      </c>
      <c r="D44" s="13" t="inlineStr">
        <is>
          <t>default tag is visible in Anatomy/Inspector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CheckboxGroup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Identity</t>
        </is>
      </c>
      <c r="C45" s="13" t="inlineStr">
        <is>
          <t>Item</t>
        </is>
      </c>
      <c r="D45" s="13" t="inlineStr">
        <is>
          <t>data-slot is present and correct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CheckboxGroup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30" customHeight="1" s="24">
      <c r="A46" s="12" t="n">
        <v>38</v>
      </c>
      <c r="B46" s="13" t="inlineStr">
        <is>
          <t>Props</t>
        </is>
      </c>
      <c r="C46" s="13" t="inlineStr">
        <is>
          <t>Item</t>
        </is>
      </c>
      <c r="D46" s="13" t="inlineStr">
        <is>
          <t>non-Atom native props pass through with data-prop-check marker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CheckboxGroup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Refs</t>
        </is>
      </c>
      <c r="C47" s="13" t="inlineStr">
        <is>
          <t>Item</t>
        </is>
      </c>
      <c r="D47" s="13" t="inlineStr">
        <is>
          <t>consumer ref receives the rendered element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CheckboxGroup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State</t>
        </is>
      </c>
      <c r="C48" s="13" t="inlineStr">
        <is>
          <t>Item</t>
        </is>
      </c>
      <c r="D48" s="13" t="inlineStr">
        <is>
          <t>value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CheckboxGroup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State</t>
        </is>
      </c>
      <c r="C49" s="13" t="inlineStr">
        <is>
          <t>Item</t>
        </is>
      </c>
      <c r="D49" s="13" t="inlineStr">
        <is>
          <t>disabled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CheckboxGroup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State</t>
        </is>
      </c>
      <c r="C50" s="13" t="inlineStr">
        <is>
          <t>Item</t>
        </is>
      </c>
      <c r="D50" s="13" t="inlineStr">
        <is>
          <t>readOnly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CheckboxGroup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State</t>
        </is>
      </c>
      <c r="C51" s="13" t="inlineStr">
        <is>
          <t>Item</t>
        </is>
      </c>
      <c r="D51" s="13" t="inlineStr">
        <is>
          <t>invalid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CheckboxGroup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State</t>
        </is>
      </c>
      <c r="C52" s="13" t="inlineStr">
        <is>
          <t>Item</t>
        </is>
      </c>
      <c r="D52" s="13" t="inlineStr">
        <is>
          <t>required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CheckboxGroup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Item</t>
        </is>
      </c>
      <c r="D53" s="13" t="inlineStr">
        <is>
          <t>name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CheckboxGroup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Item</t>
        </is>
      </c>
      <c r="D54" s="13" t="inlineStr">
        <is>
          <t>form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CheckboxGroup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Accessibility</t>
        </is>
      </c>
      <c r="C55" s="13" t="inlineStr">
        <is>
          <t>Item</t>
        </is>
      </c>
      <c r="D55" s="13" t="inlineStr">
        <is>
          <t>ariaLabel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CheckboxGroup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Composition</t>
        </is>
      </c>
      <c r="C56" s="13" t="inlineStr">
        <is>
          <t>Item</t>
        </is>
      </c>
      <c r="D56" s="13" t="inlineStr">
        <is>
          <t>asChild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CheckboxGroup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Composition</t>
        </is>
      </c>
      <c r="C57" s="13" t="inlineStr">
        <is>
          <t>Item</t>
        </is>
      </c>
      <c r="D57" s="13" t="inlineStr">
        <is>
          <t>render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CheckboxGroup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Public API</t>
        </is>
      </c>
      <c r="C58" s="13" t="inlineStr">
        <is>
          <t>Item</t>
        </is>
      </c>
      <c r="D58" s="13" t="inlineStr">
        <is>
          <t>[data-slot]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CheckboxGroup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State</t>
        </is>
      </c>
      <c r="C59" s="13" t="inlineStr">
        <is>
          <t>Item</t>
        </is>
      </c>
      <c r="D59" s="13" t="inlineStr">
        <is>
          <t>[data-value]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CheckboxGroup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Item</t>
        </is>
      </c>
      <c r="D60" s="13" t="inlineStr">
        <is>
          <t>[data-state]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CheckboxGroup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State</t>
        </is>
      </c>
      <c r="C61" s="13" t="inlineStr">
        <is>
          <t>Item</t>
        </is>
      </c>
      <c r="D61" s="13" t="inlineStr">
        <is>
          <t>[data-disabled]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CheckboxGroup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State</t>
        </is>
      </c>
      <c r="C62" s="13" t="inlineStr">
        <is>
          <t>Item</t>
        </is>
      </c>
      <c r="D62" s="13" t="inlineStr">
        <is>
          <t>[data-readonly]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CheckboxGroup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State</t>
        </is>
      </c>
      <c r="C63" s="13" t="inlineStr">
        <is>
          <t>Item</t>
        </is>
      </c>
      <c r="D63" s="13" t="inlineStr">
        <is>
          <t>[data-invalid]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CheckboxGroup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GroupItem</t>
        </is>
      </c>
      <c r="D64" s="13" t="inlineStr">
        <is>
          <t>renders correct part when expected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CheckboxGroup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GroupItem</t>
        </is>
      </c>
      <c r="D65" s="13" t="inlineStr">
        <is>
          <t>appears in documented order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CheckboxGroup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GroupItem</t>
        </is>
      </c>
      <c r="D66" s="13" t="inlineStr">
        <is>
          <t>default tag is visible in Anatomy/Inspector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CheckboxGroup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GroupItem</t>
        </is>
      </c>
      <c r="D67" s="13" t="inlineStr">
        <is>
          <t>data-slot is present and correct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CheckboxGroup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Props</t>
        </is>
      </c>
      <c r="C68" s="13" t="inlineStr">
        <is>
          <t>GroupItem</t>
        </is>
      </c>
      <c r="D68" s="13" t="inlineStr">
        <is>
          <t>non-Atom native props pass through with data-prop-check marker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CheckboxGroup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Refs</t>
        </is>
      </c>
      <c r="C69" s="13" t="inlineStr">
        <is>
          <t>GroupItem</t>
        </is>
      </c>
      <c r="D69" s="13" t="inlineStr">
        <is>
          <t>consumer ref receives the rendered element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CheckboxGroup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ARIA</t>
        </is>
      </c>
      <c r="C70" s="13" t="inlineStr">
        <is>
          <t>Live DOM</t>
        </is>
      </c>
      <c r="D70" s="13" t="inlineStr">
        <is>
          <t>aria-checked is present at the correct time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CheckboxGroup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ARIA</t>
        </is>
      </c>
      <c r="C71" s="13" t="inlineStr">
        <is>
          <t>Live DOM</t>
        </is>
      </c>
      <c r="D71" s="13" t="inlineStr">
        <is>
          <t>aria-disabled is present at the correct time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CheckboxGroup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ARIA</t>
        </is>
      </c>
      <c r="C72" s="13" t="inlineStr">
        <is>
          <t>Live DOM</t>
        </is>
      </c>
      <c r="D72" s="13" t="inlineStr">
        <is>
          <t>aria-hidden is present at the correct time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CheckboxGroup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ARIA</t>
        </is>
      </c>
      <c r="C73" s="13" t="inlineStr">
        <is>
          <t>Live DOM</t>
        </is>
      </c>
      <c r="D73" s="13" t="inlineStr">
        <is>
          <t>aria-invalid is present at the correct time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CheckboxGroup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ARIA</t>
        </is>
      </c>
      <c r="C74" s="13" t="inlineStr">
        <is>
          <t>Live DOM</t>
        </is>
      </c>
      <c r="D74" s="13" t="inlineStr">
        <is>
          <t>aria-label is present at the correct time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CheckboxGroup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ARIA</t>
        </is>
      </c>
      <c r="C75" s="13" t="inlineStr">
        <is>
          <t>Live DOM</t>
        </is>
      </c>
      <c r="D75" s="13" t="inlineStr">
        <is>
          <t>aria-readonly is present at the correct time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CheckboxGroup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ARIA</t>
        </is>
      </c>
      <c r="C76" s="13" t="inlineStr">
        <is>
          <t>Live DOM</t>
        </is>
      </c>
      <c r="D76" s="13" t="inlineStr">
        <is>
          <t>aria-required is present at the correct time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CheckboxGroup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Data</t>
        </is>
      </c>
      <c r="C77" s="13" t="inlineStr">
        <is>
          <t>Live DOM</t>
        </is>
      </c>
      <c r="D77" s="13" t="inlineStr">
        <is>
          <t>data-disabled is present at the correct time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CheckboxGroup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Data</t>
        </is>
      </c>
      <c r="C78" s="13" t="inlineStr">
        <is>
          <t>Live DOM</t>
        </is>
      </c>
      <c r="D78" s="13" t="inlineStr">
        <is>
          <t>data-invalid is present at the correct time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CheckboxGroup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Data</t>
        </is>
      </c>
      <c r="C79" s="13" t="inlineStr">
        <is>
          <t>Live DOM</t>
        </is>
      </c>
      <c r="D79" s="13" t="inlineStr">
        <is>
          <t>data-orientation is present at the correct time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CheckboxGroup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Data</t>
        </is>
      </c>
      <c r="C80" s="13" t="inlineStr">
        <is>
          <t>Live DOM</t>
        </is>
      </c>
      <c r="D80" s="13" t="inlineStr">
        <is>
          <t>data-readonly is present at the correct time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CheckboxGroup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Data</t>
        </is>
      </c>
      <c r="C81" s="13" t="inlineStr">
        <is>
          <t>Live DOM</t>
        </is>
      </c>
      <c r="D81" s="13" t="inlineStr">
        <is>
          <t>data-slot is present at the correct time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CheckboxGroup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Data</t>
        </is>
      </c>
      <c r="C82" s="13" t="inlineStr">
        <is>
          <t>Live DOM</t>
        </is>
      </c>
      <c r="D82" s="13" t="inlineStr">
        <is>
          <t>data-state is present at the correct time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CheckboxGroup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Data</t>
        </is>
      </c>
      <c r="C83" s="13" t="inlineStr">
        <is>
          <t>Live DOM</t>
        </is>
      </c>
      <c r="D83" s="13" t="inlineStr">
        <is>
          <t>data-value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CheckboxGroup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Composition</t>
        </is>
      </c>
      <c r="C84" s="13" t="inlineStr">
        <is>
          <t>CheckboxGroup</t>
        </is>
      </c>
      <c r="D84" s="13" t="inlineStr">
        <is>
          <t>asChild preserves child content without double nesting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CheckboxGroup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Composition</t>
        </is>
      </c>
      <c r="C85" s="13" t="inlineStr">
        <is>
          <t>CheckboxGroup</t>
        </is>
      </c>
      <c r="D85" s="13" t="inlineStr">
        <is>
          <t>asChild merges Atom props and consumer props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CheckboxGroup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30" customHeight="1" s="24">
      <c r="A86" s="12" t="n">
        <v>78</v>
      </c>
      <c r="B86" s="13" t="inlineStr">
        <is>
          <t>Composition</t>
        </is>
      </c>
      <c r="C86" s="13" t="inlineStr">
        <is>
          <t>CheckboxGroup</t>
        </is>
      </c>
      <c r="D86" s="13" t="inlineStr">
        <is>
          <t>asChild lets preventDefault block Atom behavior where supported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CheckboxGroup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Composition</t>
        </is>
      </c>
      <c r="C87" s="13" t="inlineStr">
        <is>
          <t>CheckboxGroup</t>
        </is>
      </c>
      <c r="D87" s="13" t="inlineStr">
        <is>
          <t>render prop renders custom element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CheckboxGroup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Composition</t>
        </is>
      </c>
      <c r="C88" s="13" t="inlineStr">
        <is>
          <t>CheckboxGroup</t>
        </is>
      </c>
      <c r="D88" s="13" t="inlineStr">
        <is>
          <t>render prop preserves refs and behavior props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CheckboxGroup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State</t>
        </is>
      </c>
      <c r="C89" s="13" t="inlineStr">
        <is>
          <t>Root</t>
        </is>
      </c>
      <c r="D89" s="13" t="inlineStr">
        <is>
          <t>controlled state path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CheckboxGroup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State</t>
        </is>
      </c>
      <c r="C90" s="13" t="inlineStr">
        <is>
          <t>Root</t>
        </is>
      </c>
      <c r="D90" s="13" t="inlineStr">
        <is>
          <t>uncontrolled default state path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CheckboxGroup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State</t>
        </is>
      </c>
      <c r="C91" s="13" t="inlineStr">
        <is>
          <t>Root</t>
        </is>
      </c>
      <c r="D91" s="13" t="inlineStr">
        <is>
          <t>state change callback fires once with correct value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CheckboxGroup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30" customHeight="1" s="24">
      <c r="A92" s="12" t="n">
        <v>84</v>
      </c>
      <c r="B92" s="13" t="inlineStr">
        <is>
          <t>State</t>
        </is>
      </c>
      <c r="C92" s="13" t="inlineStr">
        <is>
          <t>CheckboxGroup</t>
        </is>
      </c>
      <c r="D92" s="13" t="inlineStr">
        <is>
          <t>disabled state blocks or exposes behavior correctly where supported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CheckboxGroup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30" customHeight="1" s="24">
      <c r="A93" s="12" t="n">
        <v>85</v>
      </c>
      <c r="B93" s="13" t="inlineStr">
        <is>
          <t>State</t>
        </is>
      </c>
      <c r="C93" s="13" t="inlineStr">
        <is>
          <t>CheckboxGroup</t>
        </is>
      </c>
      <c r="D93" s="13" t="inlineStr">
        <is>
          <t>readonly/readOnly state blocks or exposes behavior correctly where supported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CheckboxGroup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30" customHeight="1" s="24">
      <c r="A94" s="12" t="n">
        <v>86</v>
      </c>
      <c r="B94" s="13" t="inlineStr">
        <is>
          <t>State</t>
        </is>
      </c>
      <c r="C94" s="13" t="inlineStr">
        <is>
          <t>CheckboxGroup</t>
        </is>
      </c>
      <c r="D94" s="13" t="inlineStr">
        <is>
          <t>required state blocks or exposes behavior correctly where supported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CheckboxGroup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30" customHeight="1" s="24">
      <c r="A95" s="12" t="n">
        <v>87</v>
      </c>
      <c r="B95" s="13" t="inlineStr">
        <is>
          <t>State</t>
        </is>
      </c>
      <c r="C95" s="13" t="inlineStr">
        <is>
          <t>CheckboxGroup</t>
        </is>
      </c>
      <c r="D95" s="13" t="inlineStr">
        <is>
          <t>invalid state blocks or exposes behavior correctly where supported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CheckboxGroup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Forms</t>
        </is>
      </c>
      <c r="C96" s="13" t="inlineStr">
        <is>
          <t>CheckboxGroup</t>
        </is>
      </c>
      <c r="D96" s="13" t="inlineStr">
        <is>
          <t>form value participates correctly where supported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CheckboxGroup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30" customHeight="1" s="24">
      <c r="A97" s="12" t="n">
        <v>89</v>
      </c>
      <c r="B97" s="13" t="inlineStr">
        <is>
          <t>Forms</t>
        </is>
      </c>
      <c r="C97" s="13" t="inlineStr">
        <is>
          <t>CheckboxGroup</t>
        </is>
      </c>
      <c r="D97" s="13" t="inlineStr">
        <is>
          <t>hidden input mirrors value/checked/disabled where supported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CheckboxGroup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Keyboard</t>
        </is>
      </c>
      <c r="C98" s="13" t="inlineStr">
        <is>
          <t>CheckboxGroup</t>
        </is>
      </c>
      <c r="D98" s="13" t="inlineStr">
        <is>
          <t xml:space="preserve">  behavior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CheckboxGroup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Keyboard</t>
        </is>
      </c>
      <c r="C99" s="13" t="inlineStr">
        <is>
          <t>CheckboxGroup</t>
        </is>
      </c>
      <c r="D99" s="13" t="inlineStr">
        <is>
          <t>Enter behavior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CheckboxGroup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Keyboard</t>
        </is>
      </c>
      <c r="C100" s="13" t="inlineStr">
        <is>
          <t>CheckboxGroup</t>
        </is>
      </c>
      <c r="D100" s="13" t="inlineStr">
        <is>
          <t>Arrow key navigation follows documented orientation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CheckboxGroup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Keyboard</t>
        </is>
      </c>
      <c r="C101" s="13" t="inlineStr">
        <is>
          <t>CheckboxGroup</t>
        </is>
      </c>
      <c r="D101" s="13" t="inlineStr">
        <is>
          <t>Home and End navigation where supported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CheckboxGroup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Keyboard</t>
        </is>
      </c>
      <c r="C102" s="13" t="inlineStr">
        <is>
          <t>CheckboxGroup</t>
        </is>
      </c>
      <c r="D102" s="13" t="inlineStr">
        <is>
          <t>disabled items are skipped or exposed according to pattern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CheckboxGroup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Keyboard</t>
        </is>
      </c>
      <c r="C103" s="13" t="inlineStr">
        <is>
          <t>CheckboxGroup</t>
        </is>
      </c>
      <c r="D103" s="13" t="inlineStr">
        <is>
          <t>typeahead/search behavior where supported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CheckboxGroup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Focus</t>
        </is>
      </c>
      <c r="C104" s="13" t="inlineStr">
        <is>
          <t>CheckboxGroup</t>
        </is>
      </c>
      <c r="D104" s="13" t="inlineStr">
        <is>
          <t>roving focus or active descendant state is visible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CheckboxGroup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</sheetData>
  <autoFilter ref="A8:K104"/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Collapsible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IFERROR(SUM(K9:K75)/COUNT(K9:K75),0)</f>
        <v/>
      </c>
      <c r="C4" s="8" t="inlineStr">
        <is>
          <t>Covered</t>
        </is>
      </c>
      <c r="D4" s="10">
        <f>COUNTIFS(E9:E75,"yes",F9:F75,"yes",H9:H75,"covered")</f>
        <v/>
      </c>
      <c r="E4" s="8" t="inlineStr">
        <is>
          <t>Partial</t>
        </is>
      </c>
      <c r="F4" s="10">
        <f>COUNTIF(H9:H75,"partial")</f>
        <v/>
      </c>
      <c r="G4" s="8" t="inlineStr">
        <is>
          <t>Missing</t>
        </is>
      </c>
      <c r="H4" s="10">
        <f>COUNTIFS(E9:E75,"&lt;&gt;yes") + COUNTIFS(E9:E75,"yes",H9:H75,"missing")</f>
        <v/>
      </c>
      <c r="I4" s="8" t="inlineStr">
        <is>
          <t>Untested</t>
        </is>
      </c>
      <c r="J4" s="10">
        <f>COUNTIFS(E9:E75,"yes",F9:F75,"&lt;&gt;yes") + COUNTIFS(E9:E75,"yes",F9:F75,"yes",H9:H75,"untested")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Collapsible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Scenario is registered in the playground top menu.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45" customHeight="1" s="24">
      <c r="A10" s="12" t="n">
        <v>2</v>
      </c>
      <c r="B10" s="13" t="inlineStr">
        <is>
          <t>Playground</t>
        </is>
      </c>
      <c r="C10" s="13" t="inlineStr">
        <is>
          <t>Collapsible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Collapsible playground page uses shared Canvas/Source, Anatomy, Inspector, and Log infrastructure.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45" customHeight="1" s="24">
      <c r="A11" s="12" t="n">
        <v>3</v>
      </c>
      <c r="B11" s="13" t="inlineStr">
        <is>
          <t>Playground</t>
        </is>
      </c>
      <c r="C11" s="13" t="inlineStr">
        <is>
          <t>Collapsible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Collapsible playground page uses shared Canvas/Source, Anatomy, Inspector, and Log infrastructure.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45" customHeight="1" s="24">
      <c r="A12" s="12" t="n">
        <v>4</v>
      </c>
      <c r="B12" s="13" t="inlineStr">
        <is>
          <t>Playground</t>
        </is>
      </c>
      <c r="C12" s="13" t="inlineStr">
        <is>
          <t>Collapsible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Collapsible playground page uses shared Canvas/Source, Anatomy, Inspector, and Log infrastructure.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Collapsible</t>
        </is>
      </c>
      <c r="D13" s="13" t="inlineStr">
        <is>
          <t>Supports controlled and uncontrolled open state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Worksheet planned from source/docs inventory.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Collapsible</t>
        </is>
      </c>
      <c r="D14" s="13" t="inlineStr">
        <is>
          <t>Links trigger and content with stable ARIA IDs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Worksheet planned from source/docs inventory.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Collapsible</t>
        </is>
      </c>
      <c r="D15" s="13" t="inlineStr">
        <is>
          <t>Supports mounted and unmounted closed content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Worksheet planned from source/docs inventory.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Collapsible</t>
        </is>
      </c>
      <c r="D16" s="13" t="inlineStr">
        <is>
          <t>Exposes measured content height for CSS animation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Worksheet planned from source/docs inventory.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Collapsible</t>
        </is>
      </c>
      <c r="D17" s="13" t="inlineStr">
        <is>
          <t>Supports `asChild` and `render` on every part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Worksheet planned from source/docs inventory.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Worksheet planned from source/docs inventory.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Worksheet planned from source/docs inventory.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Worksheet planned from source/docs inventory.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Worksheet planned from source/docs inventory.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Worksheet planned from source/docs inventory.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Worksheet planned from source/docs inventory.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Worksheet planned from source/docs inventory.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Worksheet planned from source/docs inventory.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open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Worksheet planned from source/docs inventory.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defaultOpen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Worksheet planned from source/docs inventory.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onOpenChange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Worksheet planned from source/docs inventory.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disabled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Worksheet planned from source/docs inventory.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[data-slot]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Worksheet planned from source/docs inventory.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[data-state]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Worksheet planned from source/docs inventory.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[data-disabled]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Worksheet planned from source/docs inventory.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Anatomy</t>
        </is>
      </c>
      <c r="C33" s="13" t="inlineStr">
        <is>
          <t>Trigger</t>
        </is>
      </c>
      <c r="D33" s="13" t="inlineStr">
        <is>
          <t>renders correct part when expected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Worksheet planned from source/docs inventory.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Anatomy</t>
        </is>
      </c>
      <c r="C34" s="13" t="inlineStr">
        <is>
          <t>Trigger</t>
        </is>
      </c>
      <c r="D34" s="13" t="inlineStr">
        <is>
          <t>appears in documented order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Worksheet planned from source/docs inventory.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Identity</t>
        </is>
      </c>
      <c r="C35" s="13" t="inlineStr">
        <is>
          <t>Trigger</t>
        </is>
      </c>
      <c r="D35" s="13" t="inlineStr">
        <is>
          <t>default tag is visible in Anatomy/Inspector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Worksheet planned from source/docs inventory.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Identity</t>
        </is>
      </c>
      <c r="C36" s="13" t="inlineStr">
        <is>
          <t>Trigger</t>
        </is>
      </c>
      <c r="D36" s="13" t="inlineStr">
        <is>
          <t>data-slot is present and correct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Worksheet planned from source/docs inventory.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30" customHeight="1" s="24">
      <c r="A37" s="12" t="n">
        <v>29</v>
      </c>
      <c r="B37" s="13" t="inlineStr">
        <is>
          <t>Props</t>
        </is>
      </c>
      <c r="C37" s="13" t="inlineStr">
        <is>
          <t>Trigger</t>
        </is>
      </c>
      <c r="D37" s="13" t="inlineStr">
        <is>
          <t>non-Atom native props pass through with data-prop-check marker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Worksheet planned from source/docs inventory.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Refs</t>
        </is>
      </c>
      <c r="C38" s="13" t="inlineStr">
        <is>
          <t>Trigger</t>
        </is>
      </c>
      <c r="D38" s="13" t="inlineStr">
        <is>
          <t>consumer ref receives the rendered element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Worksheet planned from source/docs inventory.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Composition</t>
        </is>
      </c>
      <c r="C39" s="13" t="inlineStr">
        <is>
          <t>Trigger</t>
        </is>
      </c>
      <c r="D39" s="13" t="inlineStr">
        <is>
          <t>asChild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Worksheet planned from source/docs inventory.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Composition</t>
        </is>
      </c>
      <c r="C40" s="13" t="inlineStr">
        <is>
          <t>Trigger</t>
        </is>
      </c>
      <c r="D40" s="13" t="inlineStr">
        <is>
          <t>render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Worksheet planned from source/docs inventory.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Trigger</t>
        </is>
      </c>
      <c r="D41" s="13" t="inlineStr">
        <is>
          <t>[data-slot]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Worksheet planned from source/docs inventory.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Trigger</t>
        </is>
      </c>
      <c r="D42" s="13" t="inlineStr">
        <is>
          <t>[data-state]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Worksheet planned from source/docs inventory.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State</t>
        </is>
      </c>
      <c r="C43" s="13" t="inlineStr">
        <is>
          <t>Trigger</t>
        </is>
      </c>
      <c r="D43" s="13" t="inlineStr">
        <is>
          <t>[data-disabled]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Worksheet planned from source/docs inventory.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Anatomy</t>
        </is>
      </c>
      <c r="C44" s="13" t="inlineStr">
        <is>
          <t>Content</t>
        </is>
      </c>
      <c r="D44" s="13" t="inlineStr">
        <is>
          <t>renders correct part when expected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Worksheet planned from source/docs inventory.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Content</t>
        </is>
      </c>
      <c r="D45" s="13" t="inlineStr">
        <is>
          <t>appears in documented order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Worksheet planned from source/docs inventory.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Identity</t>
        </is>
      </c>
      <c r="C46" s="13" t="inlineStr">
        <is>
          <t>Content</t>
        </is>
      </c>
      <c r="D46" s="13" t="inlineStr">
        <is>
          <t>default tag is visible in Anatomy/Inspector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Worksheet planned from source/docs inventory.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Content</t>
        </is>
      </c>
      <c r="D47" s="13" t="inlineStr">
        <is>
          <t>data-slot is present and correct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Worksheet planned from source/docs inventory.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30" customHeight="1" s="24">
      <c r="A48" s="12" t="n">
        <v>40</v>
      </c>
      <c r="B48" s="13" t="inlineStr">
        <is>
          <t>Props</t>
        </is>
      </c>
      <c r="C48" s="13" t="inlineStr">
        <is>
          <t>Content</t>
        </is>
      </c>
      <c r="D48" s="13" t="inlineStr">
        <is>
          <t>non-Atom native props pass through with data-prop-check marker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Worksheet planned from source/docs inventory.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Refs</t>
        </is>
      </c>
      <c r="C49" s="13" t="inlineStr">
        <is>
          <t>Content</t>
        </is>
      </c>
      <c r="D49" s="13" t="inlineStr">
        <is>
          <t>consumer ref receives the rendered element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Worksheet planned from source/docs inventory.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Composition</t>
        </is>
      </c>
      <c r="C50" s="13" t="inlineStr">
        <is>
          <t>Content</t>
        </is>
      </c>
      <c r="D50" s="13" t="inlineStr">
        <is>
          <t>asChild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Worksheet planned from source/docs inventory.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Composition</t>
        </is>
      </c>
      <c r="C51" s="13" t="inlineStr">
        <is>
          <t>Content</t>
        </is>
      </c>
      <c r="D51" s="13" t="inlineStr">
        <is>
          <t>render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Worksheet planned from source/docs inventory.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Content</t>
        </is>
      </c>
      <c r="D52" s="13" t="inlineStr">
        <is>
          <t>keepMounted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Worksheet planned from source/docs inventory.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Content</t>
        </is>
      </c>
      <c r="D53" s="13" t="inlineStr">
        <is>
          <t>[data-slot]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Worksheet planned from source/docs inventory.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Content</t>
        </is>
      </c>
      <c r="D54" s="13" t="inlineStr">
        <is>
          <t>[data-state]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Worksheet planned from source/docs inventory.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Content</t>
        </is>
      </c>
      <c r="D55" s="13" t="inlineStr">
        <is>
          <t>--content-height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Worksheet planned from source/docs inventory.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30" customHeight="1" s="24">
      <c r="A56" s="12" t="n">
        <v>48</v>
      </c>
      <c r="B56" s="13" t="inlineStr">
        <is>
          <t>ARIA</t>
        </is>
      </c>
      <c r="C56" s="13" t="inlineStr">
        <is>
          <t>Live DOM</t>
        </is>
      </c>
      <c r="D56" s="13" t="inlineStr">
        <is>
          <t>aria-controls is present at the correct time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Shared Anatomy/Inspector expose live ARIA/data attributes for Collapsible when the part is rendered.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ARIA</t>
        </is>
      </c>
      <c r="C57" s="13" t="inlineStr">
        <is>
          <t>Live DOM</t>
        </is>
      </c>
      <c r="D57" s="13" t="inlineStr">
        <is>
          <t>aria-disabled is present at the correct time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Worksheet planned from source/docs inventory.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30" customHeight="1" s="24">
      <c r="A58" s="12" t="n">
        <v>50</v>
      </c>
      <c r="B58" s="13" t="inlineStr">
        <is>
          <t>ARIA</t>
        </is>
      </c>
      <c r="C58" s="13" t="inlineStr">
        <is>
          <t>Live DOM</t>
        </is>
      </c>
      <c r="D58" s="13" t="inlineStr">
        <is>
          <t>aria-expanded is present at the correct time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Shared Anatomy/Inspector expose live ARIA/data attributes for Collapsible when the part is rendered.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30" customHeight="1" s="24">
      <c r="A59" s="12" t="n">
        <v>51</v>
      </c>
      <c r="B59" s="13" t="inlineStr">
        <is>
          <t>ARIA</t>
        </is>
      </c>
      <c r="C59" s="13" t="inlineStr">
        <is>
          <t>Live DOM</t>
        </is>
      </c>
      <c r="D59" s="13" t="inlineStr">
        <is>
          <t>aria-labelledby is present at the correct time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Shared Anatomy/Inspector expose live ARIA/data attributes for Collapsible when the part is rendered.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Data</t>
        </is>
      </c>
      <c r="C60" s="13" t="inlineStr">
        <is>
          <t>Live DOM</t>
        </is>
      </c>
      <c r="D60" s="13" t="inlineStr">
        <is>
          <t>data-disabled is present at the correct time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Worksheet planned from source/docs inventory.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30" customHeight="1" s="24">
      <c r="A61" s="12" t="n">
        <v>53</v>
      </c>
      <c r="B61" s="13" t="inlineStr">
        <is>
          <t>Data</t>
        </is>
      </c>
      <c r="C61" s="13" t="inlineStr">
        <is>
          <t>Live DOM</t>
        </is>
      </c>
      <c r="D61" s="13" t="inlineStr">
        <is>
          <t>data-slot is present at the correct time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Shared Anatomy/Inspector expose live ARIA/data attributes for Collapsible when the part is rendered.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30" customHeight="1" s="24">
      <c r="A62" s="12" t="n">
        <v>54</v>
      </c>
      <c r="B62" s="13" t="inlineStr">
        <is>
          <t>Data</t>
        </is>
      </c>
      <c r="C62" s="13" t="inlineStr">
        <is>
          <t>Live DOM</t>
        </is>
      </c>
      <c r="D62" s="13" t="inlineStr">
        <is>
          <t>data-state is present at the correct time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Shared Anatomy/Inspector expose live ARIA/data attributes for Collapsible when the part is rendered.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Composition</t>
        </is>
      </c>
      <c r="C63" s="13" t="inlineStr">
        <is>
          <t>Collapsible</t>
        </is>
      </c>
      <c r="D63" s="13" t="inlineStr">
        <is>
          <t>asChild preserves child content without double nesting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Worksheet planned from source/docs inventory.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Composition</t>
        </is>
      </c>
      <c r="C64" s="13" t="inlineStr">
        <is>
          <t>Collapsible</t>
        </is>
      </c>
      <c r="D64" s="13" t="inlineStr">
        <is>
          <t>asChild merges Atom props and consumer props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Worksheet planned from source/docs inventory.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30" customHeight="1" s="24">
      <c r="A65" s="12" t="n">
        <v>57</v>
      </c>
      <c r="B65" s="13" t="inlineStr">
        <is>
          <t>Composition</t>
        </is>
      </c>
      <c r="C65" s="13" t="inlineStr">
        <is>
          <t>Collapsible</t>
        </is>
      </c>
      <c r="D65" s="13" t="inlineStr">
        <is>
          <t>asChild lets preventDefault block Atom behavior where supported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Worksheet planned from source/docs inventory.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Composition</t>
        </is>
      </c>
      <c r="C66" s="13" t="inlineStr">
        <is>
          <t>Collapsible</t>
        </is>
      </c>
      <c r="D66" s="13" t="inlineStr">
        <is>
          <t>render prop renders custom element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Worksheet planned from source/docs inventory.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Composition</t>
        </is>
      </c>
      <c r="C67" s="13" t="inlineStr">
        <is>
          <t>Collapsible</t>
        </is>
      </c>
      <c r="D67" s="13" t="inlineStr">
        <is>
          <t>render prop preserves refs and behavior props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Worksheet planned from source/docs inventory.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State</t>
        </is>
      </c>
      <c r="C68" s="13" t="inlineStr">
        <is>
          <t>Root</t>
        </is>
      </c>
      <c r="D68" s="13" t="inlineStr">
        <is>
          <t>controlled state path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Worksheet planned from source/docs inventory.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State</t>
        </is>
      </c>
      <c r="C69" s="13" t="inlineStr">
        <is>
          <t>Root</t>
        </is>
      </c>
      <c r="D69" s="13" t="inlineStr">
        <is>
          <t>uncontrolled default state path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Worksheet planned from source/docs inventory.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State</t>
        </is>
      </c>
      <c r="C70" s="13" t="inlineStr">
        <is>
          <t>Root</t>
        </is>
      </c>
      <c r="D70" s="13" t="inlineStr">
        <is>
          <t>state change callback fires once with correct value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Worksheet planned from source/docs inventory.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Interaction</t>
        </is>
      </c>
      <c r="C71" s="13" t="inlineStr">
        <is>
          <t>Trigger</t>
        </is>
      </c>
      <c r="D71" s="13" t="inlineStr">
        <is>
          <t>mouse click or pointer activation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Worksheet planned from source/docs inventory.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Interaction</t>
        </is>
      </c>
      <c r="C72" s="13" t="inlineStr">
        <is>
          <t>Trigger</t>
        </is>
      </c>
      <c r="D72" s="13" t="inlineStr">
        <is>
          <t>Enter key activation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Worksheet planned from source/docs inventory.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Interaction</t>
        </is>
      </c>
      <c r="C73" s="13" t="inlineStr">
        <is>
          <t>Trigger</t>
        </is>
      </c>
      <c r="D73" s="13" t="inlineStr">
        <is>
          <t>Space key activation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Worksheet planned from source/docs inventory.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Interaction</t>
        </is>
      </c>
      <c r="C74" s="13" t="inlineStr">
        <is>
          <t>Trigger</t>
        </is>
      </c>
      <c r="D74" s="13" t="inlineStr">
        <is>
          <t>disabled trigger blocks pointer and keyboard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Worksheet planned from source/docs inventory.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Focus</t>
        </is>
      </c>
      <c r="C75" s="13" t="inlineStr">
        <is>
          <t>Trigger</t>
        </is>
      </c>
      <c r="D75" s="13" t="inlineStr">
        <is>
          <t>focus ring and focus restoration are correct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Worksheet planned from source/docs inventory.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</sheetData>
  <autoFilter ref="A8:K75"/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Collection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IFERROR(SUM(K9:K31)/COUNT(K9:K31),0)</f>
        <v/>
      </c>
      <c r="C4" s="8" t="inlineStr">
        <is>
          <t>Covered</t>
        </is>
      </c>
      <c r="D4" s="10">
        <f>COUNTIFS(E9:E31,"yes",F9:F31,"yes",H9:H31,"covered")</f>
        <v/>
      </c>
      <c r="E4" s="8" t="inlineStr">
        <is>
          <t>Partial</t>
        </is>
      </c>
      <c r="F4" s="10">
        <f>COUNTIF(H9:H31,"partial")</f>
        <v/>
      </c>
      <c r="G4" s="8" t="inlineStr">
        <is>
          <t>Missing</t>
        </is>
      </c>
      <c r="H4" s="10">
        <f>COUNTIFS(E9:E31,"&lt;&gt;yes") + COUNTIFS(E9:E31,"yes",H9:H31,"missing")</f>
        <v/>
      </c>
      <c r="I4" s="8" t="inlineStr">
        <is>
          <t>Untested</t>
        </is>
      </c>
      <c r="J4" s="10">
        <f>COUNTIFS(E9:E31,"yes",F9:F31,"&lt;&gt;yes") + COUNTIFS(E9:E31,"yes",F9:F31,"yes",H9:H31,"untested")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45" customHeight="1" s="24">
      <c r="A9" s="12" t="n">
        <v>1</v>
      </c>
      <c r="B9" s="13" t="inlineStr">
        <is>
          <t>Playground</t>
        </is>
      </c>
      <c r="C9" s="13" t="inlineStr">
        <is>
          <t>Collection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 manual test</t>
        </is>
      </c>
      <c r="H9" s="22" t="inlineStr">
        <is>
          <t>covered</t>
        </is>
      </c>
      <c r="I9" s="13" t="inlineStr">
        <is>
          <t>Collection manual batch 1: initial values, disabled skip, next/previous focus movement, footer, Anatomy, and Log verified.</t>
        </is>
      </c>
      <c r="J9" s="13" t="n"/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Collection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</t>
        </is>
      </c>
      <c r="H10" s="22" t="inlineStr">
        <is>
          <t>covered</t>
        </is>
      </c>
      <c r="I10" s="13" t="inlineStr">
        <is>
          <t>Collection playground manual verification.</t>
        </is>
      </c>
      <c r="J10" s="13" t="n"/>
      <c r="K10" s="14">
        <f>IF(AND(E10="yes",F10="yes",H10="covered"),1,IF(H10="partial",0.5,0))</f>
        <v/>
      </c>
    </row>
    <row r="11" ht="45" customHeight="1" s="24">
      <c r="A11" s="12" t="n">
        <v>3</v>
      </c>
      <c r="B11" s="13" t="inlineStr">
        <is>
          <t>Playground</t>
        </is>
      </c>
      <c r="C11" s="13" t="inlineStr">
        <is>
          <t>Collection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 manual test</t>
        </is>
      </c>
      <c r="H11" s="22" t="inlineStr">
        <is>
          <t>covered</t>
        </is>
      </c>
      <c r="I11" s="13" t="inlineStr">
        <is>
          <t>Collection manual batch 1: initial values, disabled skip, next/previous focus movement, footer, Anatomy, and Log verified.</t>
        </is>
      </c>
      <c r="J11" s="13" t="n"/>
      <c r="K11" s="14">
        <f>IF(AND(E11="yes",F11="yes",H11="covered"),1,IF(H11="partial",0.5,0))</f>
        <v/>
      </c>
    </row>
    <row r="12" ht="45" customHeight="1" s="24">
      <c r="A12" s="12" t="n">
        <v>4</v>
      </c>
      <c r="B12" s="13" t="inlineStr">
        <is>
          <t>Playground</t>
        </is>
      </c>
      <c r="C12" s="13" t="inlineStr">
        <is>
          <t>Collection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 manual test</t>
        </is>
      </c>
      <c r="H12" s="22" t="inlineStr">
        <is>
          <t>covered</t>
        </is>
      </c>
      <c r="I12" s="13" t="inlineStr">
        <is>
          <t>Collection manual batch 1: initial values, disabled skip, next/previous focus movement, footer, Anatomy, and Log verified.</t>
        </is>
      </c>
      <c r="J12" s="13" t="n"/>
      <c r="K12" s="14">
        <f>IF(AND(E12="yes",F12="yes",H12="covered"),1,IF(H12="partial",0.5,0))</f>
        <v/>
      </c>
    </row>
    <row r="13" ht="45" customHeight="1" s="24">
      <c r="A13" s="12" t="n">
        <v>5</v>
      </c>
      <c r="B13" s="13" t="inlineStr">
        <is>
          <t>Feature</t>
        </is>
      </c>
      <c r="C13" s="13" t="inlineStr">
        <is>
          <t>Collection</t>
        </is>
      </c>
      <c r="D13" s="13" t="inlineStr">
        <is>
          <t>Registers items by stable value and DOM element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 manual test</t>
        </is>
      </c>
      <c r="H13" s="22" t="inlineStr">
        <is>
          <t>covered</t>
        </is>
      </c>
      <c r="I13" s="13" t="inlineStr">
        <is>
          <t>Collection manual batch 1: initial values, disabled skip, next/previous focus movement, footer, Anatomy, and Log verified.</t>
        </is>
      </c>
      <c r="J13" s="13" t="n"/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Collection</t>
        </is>
      </c>
      <c r="D14" s="13" t="inlineStr">
        <is>
          <t>Sorts items by live document order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</t>
        </is>
      </c>
      <c r="H14" s="22" t="inlineStr">
        <is>
          <t>covered</t>
        </is>
      </c>
      <c r="I14" s="13" t="inlineStr">
        <is>
          <t>Collection playground manual verification.</t>
        </is>
      </c>
      <c r="J14" s="13" t="n"/>
      <c r="K14" s="14">
        <f>IF(AND(E14="yes",F14="yes",H14="covered"),1,IF(H14="partial",0.5,0))</f>
        <v/>
      </c>
    </row>
    <row r="15" ht="45" customHeight="1" s="24">
      <c r="A15" s="12" t="n">
        <v>7</v>
      </c>
      <c r="B15" s="13" t="inlineStr">
        <is>
          <t>Feature</t>
        </is>
      </c>
      <c r="C15" s="13" t="inlineStr">
        <is>
          <t>Collection</t>
        </is>
      </c>
      <c r="D15" s="13" t="inlineStr">
        <is>
          <t>Tracks disabled state and custom item metadata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 manual test</t>
        </is>
      </c>
      <c r="H15" s="22" t="inlineStr">
        <is>
          <t>covered</t>
        </is>
      </c>
      <c r="I15" s="13" t="inlineStr">
        <is>
          <t>Collection manual batch 1: initial values, disabled skip, next/previous focus movement, footer, Anatomy, and Log verified.</t>
        </is>
      </c>
      <c r="J15" s="13" t="n"/>
      <c r="K15" s="14">
        <f>IF(AND(E15="yes",F15="yes",H15="covered"),1,IF(H15="partial",0.5,0))</f>
        <v/>
      </c>
    </row>
    <row r="16" ht="45" customHeight="1" s="24">
      <c r="A16" s="12" t="n">
        <v>8</v>
      </c>
      <c r="B16" s="13" t="inlineStr">
        <is>
          <t>Feature</t>
        </is>
      </c>
      <c r="C16" s="13" t="inlineStr">
        <is>
          <t>Collection</t>
        </is>
      </c>
      <c r="D16" s="13" t="inlineStr">
        <is>
          <t>Provides first, last, next, previous, enabled, and raw item lookup helpers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 manual test</t>
        </is>
      </c>
      <c r="H16" s="22" t="inlineStr">
        <is>
          <t>covered</t>
        </is>
      </c>
      <c r="I16" s="13" t="inlineStr">
        <is>
          <t>Collection manual batch 1: initial values, disabled skip, next/previous focus movement, footer, Anatomy, and Log verified.</t>
        </is>
      </c>
      <c r="J16" s="13" t="n"/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Collection</t>
        </is>
      </c>
      <c r="D17" s="13" t="inlineStr">
        <is>
          <t>Warns in development when duplicate values are registered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</t>
        </is>
      </c>
      <c r="H17" s="22" t="inlineStr">
        <is>
          <t>covered</t>
        </is>
      </c>
      <c r="I17" s="13" t="inlineStr">
        <is>
          <t>Collection playground manual verification.</t>
        </is>
      </c>
      <c r="J17" s="13" t="n"/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Collection</t>
        </is>
      </c>
      <c r="D18" s="13" t="inlineStr">
        <is>
          <t>Keeps roles, keyboard behavior, and rendered structure in the component that uses the collection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</t>
        </is>
      </c>
      <c r="H18" s="22" t="inlineStr">
        <is>
          <t>covered</t>
        </is>
      </c>
      <c r="I18" s="13" t="inlineStr">
        <is>
          <t>Collection playground manual verification.</t>
        </is>
      </c>
      <c r="J18" s="13" t="n"/>
      <c r="K18" s="14">
        <f>IF(AND(E18="yes",F18="yes",H18="covered"),1,IF(H18="partial",0.5,0))</f>
        <v/>
      </c>
    </row>
    <row r="19" ht="45" customHeight="1" s="24">
      <c r="A19" s="12" t="n">
        <v>11</v>
      </c>
      <c r="B19" s="13" t="inlineStr">
        <is>
          <t>Anatomy</t>
        </is>
      </c>
      <c r="C19" s="13" t="inlineStr">
        <is>
          <t>Hook API</t>
        </is>
      </c>
      <c r="D19" s="13" t="inlineStr">
        <is>
          <t>hook API state appears in Anatomy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 manual test</t>
        </is>
      </c>
      <c r="H19" s="22" t="inlineStr">
        <is>
          <t>covered</t>
        </is>
      </c>
      <c r="I19" s="13" t="inlineStr">
        <is>
          <t>Collection manual batch 1: initial values, disabled skip, next/previous focus movement, footer, Anatomy, and Log verified.</t>
        </is>
      </c>
      <c r="J19" s="13" t="n"/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Hook API</t>
        </is>
      </c>
      <c r="D20" s="13" t="inlineStr">
        <is>
          <t>hook API appears before consumer DOM evidence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</t>
        </is>
      </c>
      <c r="H20" s="22" t="inlineStr">
        <is>
          <t>covered</t>
        </is>
      </c>
      <c r="I20" s="13" t="inlineStr">
        <is>
          <t>Collection playground manual verification.</t>
        </is>
      </c>
      <c r="J20" s="13" t="n"/>
      <c r="K20" s="14">
        <f>IF(AND(E20="yes",F20="yes",H20="covered"),1,IF(H20="partial",0.5,0))</f>
        <v/>
      </c>
    </row>
    <row r="21" ht="45" customHeight="1" s="24">
      <c r="A21" s="12" t="n">
        <v>13</v>
      </c>
      <c r="B21" s="13" t="inlineStr">
        <is>
          <t>Identity</t>
        </is>
      </c>
      <c r="C21" s="13" t="inlineStr">
        <is>
          <t>Consumer DOM</t>
        </is>
      </c>
      <c r="D21" s="13" t="inlineStr">
        <is>
          <t>demo item tag is visible in Anatomy/Inspector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 manual test</t>
        </is>
      </c>
      <c r="H21" s="22" t="inlineStr">
        <is>
          <t>covered</t>
        </is>
      </c>
      <c r="I21" s="13" t="inlineStr">
        <is>
          <t>Collection manual batch 1: initial values, disabled skip, next/previous focus movement, footer, Anatomy, and Log verified.</t>
        </is>
      </c>
      <c r="J21" s="13" t="n"/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Hook API</t>
        </is>
      </c>
      <c r="D22" s="13" t="inlineStr">
        <is>
          <t>Collection emits no data-slot because it renders no DOM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</t>
        </is>
      </c>
      <c r="H22" s="22" t="inlineStr">
        <is>
          <t>covered</t>
        </is>
      </c>
      <c r="I22" s="13" t="inlineStr">
        <is>
          <t>Collection playground manual verification.</t>
        </is>
      </c>
      <c r="J22" s="13" t="n"/>
      <c r="K22" s="14">
        <f>IF(AND(E22="yes",F22="yes",H22="covered"),1,IF(H22="partial",0.5,0))</f>
        <v/>
      </c>
    </row>
    <row r="23" ht="45" customHeight="1" s="24">
      <c r="A23" s="12" t="n">
        <v>15</v>
      </c>
      <c r="B23" s="13" t="inlineStr">
        <is>
          <t>Props</t>
        </is>
      </c>
      <c r="C23" s="13" t="inlineStr">
        <is>
          <t>Consumer DOM</t>
        </is>
      </c>
      <c r="D23" s="13" t="inlineStr">
        <is>
          <t>non-Atom marker data-prop-check appears on demo item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 manual test</t>
        </is>
      </c>
      <c r="H23" s="22" t="inlineStr">
        <is>
          <t>covered</t>
        </is>
      </c>
      <c r="I23" s="13" t="inlineStr">
        <is>
          <t>Collection manual batch 1: initial values, disabled skip, next/previous focus movement, footer, Anatomy, and Log verified.</t>
        </is>
      </c>
      <c r="J23" s="13" t="n"/>
      <c r="K23" s="14">
        <f>IF(AND(E23="yes",F23="yes",H23="covered"),1,IF(H23="partial",0.5,0))</f>
        <v/>
      </c>
    </row>
    <row r="24" ht="45" customHeight="1" s="24">
      <c r="A24" s="12" t="n">
        <v>16</v>
      </c>
      <c r="B24" s="13" t="inlineStr">
        <is>
          <t>Anatomy</t>
        </is>
      </c>
      <c r="C24" s="13" t="inlineStr">
        <is>
          <t>Consumer DOM</t>
        </is>
      </c>
      <c r="D24" s="13" t="inlineStr">
        <is>
          <t>registered items render in DOM evidence group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 manual test</t>
        </is>
      </c>
      <c r="H24" s="22" t="inlineStr">
        <is>
          <t>covered</t>
        </is>
      </c>
      <c r="I24" s="13" t="inlineStr">
        <is>
          <t>Collection manual batch 1: initial values, disabled skip, next/previous focus movement, footer, Anatomy, and Log verified.</t>
        </is>
      </c>
      <c r="J24" s="13" t="n"/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Anatomy</t>
        </is>
      </c>
      <c r="C25" s="13" t="inlineStr">
        <is>
          <t>Consumer DOM</t>
        </is>
      </c>
      <c r="D25" s="13" t="inlineStr">
        <is>
          <t>item groups follow live DOM order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</t>
        </is>
      </c>
      <c r="H25" s="22" t="inlineStr">
        <is>
          <t>covered</t>
        </is>
      </c>
      <c r="I25" s="13" t="inlineStr">
        <is>
          <t>Collection playground manual verification.</t>
        </is>
      </c>
      <c r="J25" s="13" t="n"/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Identity</t>
        </is>
      </c>
      <c r="C26" s="13" t="inlineStr">
        <is>
          <t>Consumer DOM</t>
        </is>
      </c>
      <c r="D26" s="13" t="inlineStr">
        <is>
          <t>item values are visible in Anatomy/Inspector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</t>
        </is>
      </c>
      <c r="H26" s="22" t="inlineStr">
        <is>
          <t>covered</t>
        </is>
      </c>
      <c r="I26" s="13" t="inlineStr">
        <is>
          <t>Collection playground manual verification.</t>
        </is>
      </c>
      <c r="J26" s="13" t="n"/>
      <c r="K26" s="14">
        <f>IF(AND(E26="yes",F26="yes",H26="covered"),1,IF(H26="partial",0.5,0))</f>
        <v/>
      </c>
    </row>
    <row r="27" ht="30" customHeight="1" s="24">
      <c r="A27" s="12" t="n">
        <v>19</v>
      </c>
      <c r="B27" s="13" t="inlineStr">
        <is>
          <t>Identity</t>
        </is>
      </c>
      <c r="C27" s="13" t="inlineStr">
        <is>
          <t>Hook API</t>
        </is>
      </c>
      <c r="D27" s="13" t="inlineStr">
        <is>
          <t>Collection emits no Atom data attributes because it renders no DOM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</t>
        </is>
      </c>
      <c r="H27" s="22" t="inlineStr">
        <is>
          <t>covered</t>
        </is>
      </c>
      <c r="I27" s="13" t="inlineStr">
        <is>
          <t>Collection playground manual verification.</t>
        </is>
      </c>
      <c r="J27" s="13" t="n"/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Props</t>
        </is>
      </c>
      <c r="C28" s="13" t="inlineStr">
        <is>
          <t>Consumer DOM</t>
        </is>
      </c>
      <c r="D28" s="13" t="inlineStr">
        <is>
          <t>metadata and disabled state are visible in lookup/items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</t>
        </is>
      </c>
      <c r="H28" s="22" t="inlineStr">
        <is>
          <t>covered</t>
        </is>
      </c>
      <c r="I28" s="13" t="inlineStr">
        <is>
          <t>Collection playground manual verification.</t>
        </is>
      </c>
      <c r="J28" s="13" t="n"/>
      <c r="K28" s="14">
        <f>IF(AND(E28="yes",F28="yes",H28="covered"),1,IF(H28="partial",0.5,0))</f>
        <v/>
      </c>
    </row>
    <row r="29" ht="45" customHeight="1" s="24">
      <c r="A29" s="12" t="n">
        <v>21</v>
      </c>
      <c r="B29" s="13" t="inlineStr">
        <is>
          <t>Utility</t>
        </is>
      </c>
      <c r="C29" s="13" t="inlineStr">
        <is>
          <t>Collection</t>
        </is>
      </c>
      <c r="D29" s="13" t="inlineStr">
        <is>
          <t>registers enabled and disabled items in DOM order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 manual test</t>
        </is>
      </c>
      <c r="H29" s="22" t="inlineStr">
        <is>
          <t>covered</t>
        </is>
      </c>
      <c r="I29" s="13" t="inlineStr">
        <is>
          <t>Collection manual batch 1: initial values, disabled skip, next/previous focus movement, footer, Anatomy, and Log verified.</t>
        </is>
      </c>
      <c r="J29" s="13" t="n"/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Utility</t>
        </is>
      </c>
      <c r="C30" s="13" t="inlineStr">
        <is>
          <t>Collection</t>
        </is>
      </c>
      <c r="D30" s="13" t="inlineStr">
        <is>
          <t>sorts disconnected items after connected items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</t>
        </is>
      </c>
      <c r="H30" s="22" t="inlineStr">
        <is>
          <t>covered</t>
        </is>
      </c>
      <c r="I30" s="13" t="inlineStr">
        <is>
          <t>Collection playground manual verification.</t>
        </is>
      </c>
      <c r="J30" s="13" t="n"/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Utility</t>
        </is>
      </c>
      <c r="C31" s="13" t="inlineStr">
        <is>
          <t>Collection</t>
        </is>
      </c>
      <c r="D31" s="13" t="inlineStr">
        <is>
          <t>next/previous navigation respects loop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</t>
        </is>
      </c>
      <c r="H31" s="22" t="inlineStr">
        <is>
          <t>covered</t>
        </is>
      </c>
      <c r="I31" s="13" t="inlineStr">
        <is>
          <t>Collection playground manual verification.</t>
        </is>
      </c>
      <c r="J31" s="13" t="n"/>
      <c r="K31" s="14">
        <f>IF(AND(E31="yes",F31="yes",H31="covered"),1,IF(H31="partial",0.5,0))</f>
        <v/>
      </c>
    </row>
  </sheetData>
  <autoFilter ref="A8:K31"/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Combobox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IFERROR(SUM(K9:K181)/COUNT(K9:K181),0)</f>
        <v/>
      </c>
      <c r="C4" s="8" t="inlineStr">
        <is>
          <t>Covered</t>
        </is>
      </c>
      <c r="D4" s="10">
        <f>COUNTIFS(E9:E181,"yes",F9:F181,"yes",H9:H181,"covered")</f>
        <v/>
      </c>
      <c r="E4" s="8" t="inlineStr">
        <is>
          <t>Partial</t>
        </is>
      </c>
      <c r="F4" s="10">
        <f>COUNTIF(H9:H181,"partial")</f>
        <v/>
      </c>
      <c r="G4" s="8" t="inlineStr">
        <is>
          <t>Missing</t>
        </is>
      </c>
      <c r="H4" s="10">
        <f>COUNTIFS(E9:E181,"&lt;&gt;yes") + COUNTIFS(E9:E181,"yes",H9:H181,"missing")</f>
        <v/>
      </c>
      <c r="I4" s="8" t="inlineStr">
        <is>
          <t>Untested</t>
        </is>
      </c>
      <c r="J4" s="10">
        <f>COUNTIFS(E9:E181,"yes",F9:F181,"&lt;&gt;yes") + COUNTIFS(E9:E181,"yes",F9:F181,"yes",H9:H181,"untested")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Combobox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Combobox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Combobox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Combobox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Combobox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Combobox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Combobox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Combobox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Combobox</t>
        </is>
      </c>
      <c r="D13" s="13" t="inlineStr">
        <is>
          <t>Controlled and uncontrolled selected value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Combobox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Combobox</t>
        </is>
      </c>
      <c r="D14" s="13" t="inlineStr">
        <is>
          <t>Controlled and uncontrolled input value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Combobox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Combobox</t>
        </is>
      </c>
      <c r="D15" s="13" t="inlineStr">
        <is>
          <t>Controlled and uncontrolled open state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Combobox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Combobox</t>
        </is>
      </c>
      <c r="D16" s="13" t="inlineStr">
        <is>
          <t>Keyboard navigation with `aria-activedescendant`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Combobox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Combobox</t>
        </is>
      </c>
      <c r="D17" s="13" t="inlineStr">
        <is>
          <t>Escape closes first, then clears when closed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Combobox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Combobox</t>
        </is>
      </c>
      <c r="D18" s="13" t="inlineStr">
        <is>
          <t>Stack-aware Escape dismissal when nested inside parent overlays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Combobox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30" customHeight="1" s="24">
      <c r="A19" s="12" t="n">
        <v>11</v>
      </c>
      <c r="B19" s="13" t="inlineStr">
        <is>
          <t>Feature</t>
        </is>
      </c>
      <c r="C19" s="13" t="inlineStr">
        <is>
          <t>Combobox</t>
        </is>
      </c>
      <c r="D19" s="13" t="inlineStr">
        <is>
          <t>Option groups, labels, empty/loading states, portal, and clear control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Combobox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Feature</t>
        </is>
      </c>
      <c r="C20" s="13" t="inlineStr">
        <is>
          <t>Combobox</t>
        </is>
      </c>
      <c r="D20" s="13" t="inlineStr">
        <is>
          <t>Hidden input for native form submission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Combobox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Anatomy</t>
        </is>
      </c>
      <c r="C21" s="13" t="inlineStr">
        <is>
          <t>Root</t>
        </is>
      </c>
      <c r="D21" s="13" t="inlineStr">
        <is>
          <t>renders correct part when expected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Combobox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Anatomy</t>
        </is>
      </c>
      <c r="C22" s="13" t="inlineStr">
        <is>
          <t>Root</t>
        </is>
      </c>
      <c r="D22" s="13" t="inlineStr">
        <is>
          <t>appears in documented order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Combobox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default tag is visible in Anatomy/Inspector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Combobox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Identity</t>
        </is>
      </c>
      <c r="C24" s="13" t="inlineStr">
        <is>
          <t>Root</t>
        </is>
      </c>
      <c r="D24" s="13" t="inlineStr">
        <is>
          <t>data-slot is present and correct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Combobox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30" customHeight="1" s="24">
      <c r="A25" s="12" t="n">
        <v>17</v>
      </c>
      <c r="B25" s="13" t="inlineStr">
        <is>
          <t>Props</t>
        </is>
      </c>
      <c r="C25" s="13" t="inlineStr">
        <is>
          <t>Root</t>
        </is>
      </c>
      <c r="D25" s="13" t="inlineStr">
        <is>
          <t>non-Atom native props pass through with data-prop-check marker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Combobox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Refs</t>
        </is>
      </c>
      <c r="C26" s="13" t="inlineStr">
        <is>
          <t>Root</t>
        </is>
      </c>
      <c r="D26" s="13" t="inlineStr">
        <is>
          <t>consumer ref receives the rendered element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Combobox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options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Combobox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value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Combobox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defaultValue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Combobox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onValueChange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Combobox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inputValue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Combobox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defaultInputValue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Combobox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onInputValueChange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Combobox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State</t>
        </is>
      </c>
      <c r="C34" s="13" t="inlineStr">
        <is>
          <t>Root</t>
        </is>
      </c>
      <c r="D34" s="13" t="inlineStr">
        <is>
          <t>open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Combobox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Root</t>
        </is>
      </c>
      <c r="D35" s="13" t="inlineStr">
        <is>
          <t>defaultOpen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Combobox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State</t>
        </is>
      </c>
      <c r="C36" s="13" t="inlineStr">
        <is>
          <t>Root</t>
        </is>
      </c>
      <c r="D36" s="13" t="inlineStr">
        <is>
          <t>onOpenChange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Combobox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State</t>
        </is>
      </c>
      <c r="C37" s="13" t="inlineStr">
        <is>
          <t>Root</t>
        </is>
      </c>
      <c r="D37" s="13" t="inlineStr">
        <is>
          <t>openOnFocus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Combobox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clearOnSelect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Combobox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Root</t>
        </is>
      </c>
      <c r="D39" s="13" t="inlineStr">
        <is>
          <t>disabled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Combobox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Root</t>
        </is>
      </c>
      <c r="D40" s="13" t="inlineStr">
        <is>
          <t>readOnly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Combobox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required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Combobox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State</t>
        </is>
      </c>
      <c r="C42" s="13" t="inlineStr">
        <is>
          <t>Root</t>
        </is>
      </c>
      <c r="D42" s="13" t="inlineStr">
        <is>
          <t>invalid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Combobox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Root</t>
        </is>
      </c>
      <c r="D43" s="13" t="inlineStr">
        <is>
          <t>name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Combobox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Root</t>
        </is>
      </c>
      <c r="D44" s="13" t="inlineStr">
        <is>
          <t>form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Combobox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Portal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Combobox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Portal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Combobox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Portal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Combobox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Portal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Combobox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Portal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Combobox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Portal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Combobox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Positioning</t>
        </is>
      </c>
      <c r="C51" s="13" t="inlineStr">
        <is>
          <t>Portal</t>
        </is>
      </c>
      <c r="D51" s="13" t="inlineStr">
        <is>
          <t>container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Combobox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State</t>
        </is>
      </c>
      <c r="C52" s="13" t="inlineStr">
        <is>
          <t>Portal</t>
        </is>
      </c>
      <c r="D52" s="13" t="inlineStr">
        <is>
          <t>disabled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Combobox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Anatomy</t>
        </is>
      </c>
      <c r="C53" s="13" t="inlineStr">
        <is>
          <t>Content</t>
        </is>
      </c>
      <c r="D53" s="13" t="inlineStr">
        <is>
          <t>renders correct part when expected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Combobox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Anatomy</t>
        </is>
      </c>
      <c r="C54" s="13" t="inlineStr">
        <is>
          <t>Content</t>
        </is>
      </c>
      <c r="D54" s="13" t="inlineStr">
        <is>
          <t>appears in documented order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Combobox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Identity</t>
        </is>
      </c>
      <c r="C55" s="13" t="inlineStr">
        <is>
          <t>Content</t>
        </is>
      </c>
      <c r="D55" s="13" t="inlineStr">
        <is>
          <t>default tag is visible in Anatomy/Inspector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Combobox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Identity</t>
        </is>
      </c>
      <c r="C56" s="13" t="inlineStr">
        <is>
          <t>Content</t>
        </is>
      </c>
      <c r="D56" s="13" t="inlineStr">
        <is>
          <t>data-slot is present and correct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Combobox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30" customHeight="1" s="24">
      <c r="A57" s="12" t="n">
        <v>49</v>
      </c>
      <c r="B57" s="13" t="inlineStr">
        <is>
          <t>Props</t>
        </is>
      </c>
      <c r="C57" s="13" t="inlineStr">
        <is>
          <t>Content</t>
        </is>
      </c>
      <c r="D57" s="13" t="inlineStr">
        <is>
          <t>non-Atom native props pass through with data-prop-check marker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Combobox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Refs</t>
        </is>
      </c>
      <c r="C58" s="13" t="inlineStr">
        <is>
          <t>Content</t>
        </is>
      </c>
      <c r="D58" s="13" t="inlineStr">
        <is>
          <t>consumer ref receives the rendered element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Combobox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Public API</t>
        </is>
      </c>
      <c r="C59" s="13" t="inlineStr">
        <is>
          <t>Content</t>
        </is>
      </c>
      <c r="D59" s="13" t="inlineStr">
        <is>
          <t>[data-slot]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Combobox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Content</t>
        </is>
      </c>
      <c r="D60" s="13" t="inlineStr">
        <is>
          <t>[data-state]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Combobox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Anatomy</t>
        </is>
      </c>
      <c r="C61" s="13" t="inlineStr">
        <is>
          <t>Listbox</t>
        </is>
      </c>
      <c r="D61" s="13" t="inlineStr">
        <is>
          <t>renders correct part when expected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Combobox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Anatomy</t>
        </is>
      </c>
      <c r="C62" s="13" t="inlineStr">
        <is>
          <t>Listbox</t>
        </is>
      </c>
      <c r="D62" s="13" t="inlineStr">
        <is>
          <t>appears in documented order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Combobox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Identity</t>
        </is>
      </c>
      <c r="C63" s="13" t="inlineStr">
        <is>
          <t>Listbox</t>
        </is>
      </c>
      <c r="D63" s="13" t="inlineStr">
        <is>
          <t>default tag is visible in Anatomy/Inspector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Combobox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Identity</t>
        </is>
      </c>
      <c r="C64" s="13" t="inlineStr">
        <is>
          <t>Listbox</t>
        </is>
      </c>
      <c r="D64" s="13" t="inlineStr">
        <is>
          <t>data-slot is present and correct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Combobox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30" customHeight="1" s="24">
      <c r="A65" s="12" t="n">
        <v>57</v>
      </c>
      <c r="B65" s="13" t="inlineStr">
        <is>
          <t>Props</t>
        </is>
      </c>
      <c r="C65" s="13" t="inlineStr">
        <is>
          <t>Listbox</t>
        </is>
      </c>
      <c r="D65" s="13" t="inlineStr">
        <is>
          <t>non-Atom native props pass through with data-prop-check marker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Combobox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Refs</t>
        </is>
      </c>
      <c r="C66" s="13" t="inlineStr">
        <is>
          <t>Listbox</t>
        </is>
      </c>
      <c r="D66" s="13" t="inlineStr">
        <is>
          <t>consumer ref receives the rendered element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Combobox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Public API</t>
        </is>
      </c>
      <c r="C67" s="13" t="inlineStr">
        <is>
          <t>Listbox</t>
        </is>
      </c>
      <c r="D67" s="13" t="inlineStr">
        <is>
          <t>[data-slot]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Combobox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Anatomy</t>
        </is>
      </c>
      <c r="C68" s="13" t="inlineStr">
        <is>
          <t>Group</t>
        </is>
      </c>
      <c r="D68" s="13" t="inlineStr">
        <is>
          <t>renders correct part when expected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Combobox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Anatomy</t>
        </is>
      </c>
      <c r="C69" s="13" t="inlineStr">
        <is>
          <t>Group</t>
        </is>
      </c>
      <c r="D69" s="13" t="inlineStr">
        <is>
          <t>appears in documented order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Combobox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Identity</t>
        </is>
      </c>
      <c r="C70" s="13" t="inlineStr">
        <is>
          <t>Group</t>
        </is>
      </c>
      <c r="D70" s="13" t="inlineStr">
        <is>
          <t>default tag is visible in Anatomy/Inspector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Combobox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Identity</t>
        </is>
      </c>
      <c r="C71" s="13" t="inlineStr">
        <is>
          <t>Group</t>
        </is>
      </c>
      <c r="D71" s="13" t="inlineStr">
        <is>
          <t>data-slot is present and correct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Combobox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30" customHeight="1" s="24">
      <c r="A72" s="12" t="n">
        <v>64</v>
      </c>
      <c r="B72" s="13" t="inlineStr">
        <is>
          <t>Props</t>
        </is>
      </c>
      <c r="C72" s="13" t="inlineStr">
        <is>
          <t>Group</t>
        </is>
      </c>
      <c r="D72" s="13" t="inlineStr">
        <is>
          <t>non-Atom native props pass through with data-prop-check marker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Combobox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Refs</t>
        </is>
      </c>
      <c r="C73" s="13" t="inlineStr">
        <is>
          <t>Group</t>
        </is>
      </c>
      <c r="D73" s="13" t="inlineStr">
        <is>
          <t>consumer ref receives the rendered element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Combobox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Accessibility</t>
        </is>
      </c>
      <c r="C74" s="13" t="inlineStr">
        <is>
          <t>Group</t>
        </is>
      </c>
      <c r="D74" s="13" t="inlineStr">
        <is>
          <t>aria-label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Combobox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Accessibility</t>
        </is>
      </c>
      <c r="C75" s="13" t="inlineStr">
        <is>
          <t>Group</t>
        </is>
      </c>
      <c r="D75" s="13" t="inlineStr">
        <is>
          <t>aria-labelledby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Combobox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Public API</t>
        </is>
      </c>
      <c r="C76" s="13" t="inlineStr">
        <is>
          <t>Group</t>
        </is>
      </c>
      <c r="D76" s="13" t="inlineStr">
        <is>
          <t>[data-slot]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Combobox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Anatomy</t>
        </is>
      </c>
      <c r="C77" s="13" t="inlineStr">
        <is>
          <t>Label</t>
        </is>
      </c>
      <c r="D77" s="13" t="inlineStr">
        <is>
          <t>renders correct part when expected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Combobox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Anatomy</t>
        </is>
      </c>
      <c r="C78" s="13" t="inlineStr">
        <is>
          <t>Label</t>
        </is>
      </c>
      <c r="D78" s="13" t="inlineStr">
        <is>
          <t>appears in documented order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Combobox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Identity</t>
        </is>
      </c>
      <c r="C79" s="13" t="inlineStr">
        <is>
          <t>Label</t>
        </is>
      </c>
      <c r="D79" s="13" t="inlineStr">
        <is>
          <t>default tag is visible in Anatomy/Inspector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Combobox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Label</t>
        </is>
      </c>
      <c r="D80" s="13" t="inlineStr">
        <is>
          <t>data-slot is present and correct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Combobox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Props</t>
        </is>
      </c>
      <c r="C81" s="13" t="inlineStr">
        <is>
          <t>Label</t>
        </is>
      </c>
      <c r="D81" s="13" t="inlineStr">
        <is>
          <t>non-Atom native props pass through with data-prop-check marker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Combobox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Refs</t>
        </is>
      </c>
      <c r="C82" s="13" t="inlineStr">
        <is>
          <t>Label</t>
        </is>
      </c>
      <c r="D82" s="13" t="inlineStr">
        <is>
          <t>consumer ref receives the rendered element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Combobox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Public API</t>
        </is>
      </c>
      <c r="C83" s="13" t="inlineStr">
        <is>
          <t>Label</t>
        </is>
      </c>
      <c r="D83" s="13" t="inlineStr">
        <is>
          <t>[data-slot] prop behavior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Combobox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Anatomy</t>
        </is>
      </c>
      <c r="C84" s="13" t="inlineStr">
        <is>
          <t>Item</t>
        </is>
      </c>
      <c r="D84" s="13" t="inlineStr">
        <is>
          <t>renders correct part when expected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Combobox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Anatomy</t>
        </is>
      </c>
      <c r="C85" s="13" t="inlineStr">
        <is>
          <t>Item</t>
        </is>
      </c>
      <c r="D85" s="13" t="inlineStr">
        <is>
          <t>appears in documented order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Combobox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Identity</t>
        </is>
      </c>
      <c r="C86" s="13" t="inlineStr">
        <is>
          <t>Item</t>
        </is>
      </c>
      <c r="D86" s="13" t="inlineStr">
        <is>
          <t>default tag is visible in Anatomy/Inspector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Combobox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Identity</t>
        </is>
      </c>
      <c r="C87" s="13" t="inlineStr">
        <is>
          <t>Item</t>
        </is>
      </c>
      <c r="D87" s="13" t="inlineStr">
        <is>
          <t>data-slot is present and correct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Combobox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30" customHeight="1" s="24">
      <c r="A88" s="12" t="n">
        <v>80</v>
      </c>
      <c r="B88" s="13" t="inlineStr">
        <is>
          <t>Props</t>
        </is>
      </c>
      <c r="C88" s="13" t="inlineStr">
        <is>
          <t>Item</t>
        </is>
      </c>
      <c r="D88" s="13" t="inlineStr">
        <is>
          <t>non-Atom native props pass through with data-prop-check marker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Combobox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Refs</t>
        </is>
      </c>
      <c r="C89" s="13" t="inlineStr">
        <is>
          <t>Item</t>
        </is>
      </c>
      <c r="D89" s="13" t="inlineStr">
        <is>
          <t>consumer ref receives the rendered element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Combobox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State</t>
        </is>
      </c>
      <c r="C90" s="13" t="inlineStr">
        <is>
          <t>Item</t>
        </is>
      </c>
      <c r="D90" s="13" t="inlineStr">
        <is>
          <t>value prop behavior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Combobox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Public API</t>
        </is>
      </c>
      <c r="C91" s="13" t="inlineStr">
        <is>
          <t>Item</t>
        </is>
      </c>
      <c r="D91" s="13" t="inlineStr">
        <is>
          <t>label prop behavior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Combobox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State</t>
        </is>
      </c>
      <c r="C92" s="13" t="inlineStr">
        <is>
          <t>Item</t>
        </is>
      </c>
      <c r="D92" s="13" t="inlineStr">
        <is>
          <t>disabled prop behavior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Combobox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Public API</t>
        </is>
      </c>
      <c r="C93" s="13" t="inlineStr">
        <is>
          <t>Item</t>
        </is>
      </c>
      <c r="D93" s="13" t="inlineStr">
        <is>
          <t>[data-slot] prop behavior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Combobox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Public API</t>
        </is>
      </c>
      <c r="C94" s="13" t="inlineStr">
        <is>
          <t>Item</t>
        </is>
      </c>
      <c r="D94" s="13" t="inlineStr">
        <is>
          <t>[data-state] prop behavior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Combobox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Public API</t>
        </is>
      </c>
      <c r="C95" s="13" t="inlineStr">
        <is>
          <t>Item</t>
        </is>
      </c>
      <c r="D95" s="13" t="inlineStr">
        <is>
          <t>[data-highlighted] prop behavior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Combobox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State</t>
        </is>
      </c>
      <c r="C96" s="13" t="inlineStr">
        <is>
          <t>Item</t>
        </is>
      </c>
      <c r="D96" s="13" t="inlineStr">
        <is>
          <t>[data-disabled] prop behavior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Combobox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State</t>
        </is>
      </c>
      <c r="C97" s="13" t="inlineStr">
        <is>
          <t>Item</t>
        </is>
      </c>
      <c r="D97" s="13" t="inlineStr">
        <is>
          <t>[data-value] prop behavior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Combobox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Anatomy</t>
        </is>
      </c>
      <c r="C98" s="13" t="inlineStr">
        <is>
          <t>Clear</t>
        </is>
      </c>
      <c r="D98" s="13" t="inlineStr">
        <is>
          <t>renders correct part when expected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Combobox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Anatomy</t>
        </is>
      </c>
      <c r="C99" s="13" t="inlineStr">
        <is>
          <t>Clear</t>
        </is>
      </c>
      <c r="D99" s="13" t="inlineStr">
        <is>
          <t>appears in documented order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Combobox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Identity</t>
        </is>
      </c>
      <c r="C100" s="13" t="inlineStr">
        <is>
          <t>Clear</t>
        </is>
      </c>
      <c r="D100" s="13" t="inlineStr">
        <is>
          <t>default tag is visible in Anatomy/Inspector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Combobox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Identity</t>
        </is>
      </c>
      <c r="C101" s="13" t="inlineStr">
        <is>
          <t>Clear</t>
        </is>
      </c>
      <c r="D101" s="13" t="inlineStr">
        <is>
          <t>data-slot is present and correct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Combobox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30" customHeight="1" s="24">
      <c r="A102" s="12" t="n">
        <v>94</v>
      </c>
      <c r="B102" s="13" t="inlineStr">
        <is>
          <t>Props</t>
        </is>
      </c>
      <c r="C102" s="13" t="inlineStr">
        <is>
          <t>Clear</t>
        </is>
      </c>
      <c r="D102" s="13" t="inlineStr">
        <is>
          <t>non-Atom native props pass through with data-prop-check marker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Combobox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Refs</t>
        </is>
      </c>
      <c r="C103" s="13" t="inlineStr">
        <is>
          <t>Clear</t>
        </is>
      </c>
      <c r="D103" s="13" t="inlineStr">
        <is>
          <t>consumer ref receives the rendered element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Combobox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Composition</t>
        </is>
      </c>
      <c r="C104" s="13" t="inlineStr">
        <is>
          <t>Clear</t>
        </is>
      </c>
      <c r="D104" s="13" t="inlineStr">
        <is>
          <t>asChild prop behavior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Combobox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Composition</t>
        </is>
      </c>
      <c r="C105" s="13" t="inlineStr">
        <is>
          <t>Clear</t>
        </is>
      </c>
      <c r="D105" s="13" t="inlineStr">
        <is>
          <t>render prop behavior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Combobox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Public API</t>
        </is>
      </c>
      <c r="C106" s="13" t="inlineStr">
        <is>
          <t>Clear</t>
        </is>
      </c>
      <c r="D106" s="13" t="inlineStr">
        <is>
          <t>data-slot prop behavior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Combobox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Public API</t>
        </is>
      </c>
      <c r="C107" s="13" t="inlineStr">
        <is>
          <t>Clear</t>
        </is>
      </c>
      <c r="D107" s="13" t="inlineStr">
        <is>
          <t>[data-slot] prop behavior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Combobox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Public API</t>
        </is>
      </c>
      <c r="C108" s="13" t="inlineStr">
        <is>
          <t>Clear</t>
        </is>
      </c>
      <c r="D108" s="13" t="inlineStr">
        <is>
          <t>[data-hidden] prop behavior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Combobox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Anatomy</t>
        </is>
      </c>
      <c r="C109" s="13" t="inlineStr">
        <is>
          <t>Empty</t>
        </is>
      </c>
      <c r="D109" s="13" t="inlineStr">
        <is>
          <t>renders correct part when expected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Combobox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Anatomy</t>
        </is>
      </c>
      <c r="C110" s="13" t="inlineStr">
        <is>
          <t>Empty</t>
        </is>
      </c>
      <c r="D110" s="13" t="inlineStr">
        <is>
          <t>appears in documented order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Combobox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Identity</t>
        </is>
      </c>
      <c r="C111" s="13" t="inlineStr">
        <is>
          <t>Empty</t>
        </is>
      </c>
      <c r="D111" s="13" t="inlineStr">
        <is>
          <t>default tag is visible in Anatomy/Inspector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Combobox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Identity</t>
        </is>
      </c>
      <c r="C112" s="13" t="inlineStr">
        <is>
          <t>Empty</t>
        </is>
      </c>
      <c r="D112" s="13" t="inlineStr">
        <is>
          <t>data-slot is present and correct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Combobox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30" customHeight="1" s="24">
      <c r="A113" s="12" t="n">
        <v>105</v>
      </c>
      <c r="B113" s="13" t="inlineStr">
        <is>
          <t>Props</t>
        </is>
      </c>
      <c r="C113" s="13" t="inlineStr">
        <is>
          <t>Empty</t>
        </is>
      </c>
      <c r="D113" s="13" t="inlineStr">
        <is>
          <t>non-Atom native props pass through with data-prop-check marker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Combobox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Refs</t>
        </is>
      </c>
      <c r="C114" s="13" t="inlineStr">
        <is>
          <t>Empty</t>
        </is>
      </c>
      <c r="D114" s="13" t="inlineStr">
        <is>
          <t>consumer ref receives the rendered element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Combobox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Public API</t>
        </is>
      </c>
      <c r="C115" s="13" t="inlineStr">
        <is>
          <t>Empty</t>
        </is>
      </c>
      <c r="D115" s="13" t="inlineStr">
        <is>
          <t>[data-slot] prop behavior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Combobox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Anatomy</t>
        </is>
      </c>
      <c r="C116" s="13" t="inlineStr">
        <is>
          <t>Input</t>
        </is>
      </c>
      <c r="D116" s="13" t="inlineStr">
        <is>
          <t>renders correct part when expected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Combobox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Anatomy</t>
        </is>
      </c>
      <c r="C117" s="13" t="inlineStr">
        <is>
          <t>Input</t>
        </is>
      </c>
      <c r="D117" s="13" t="inlineStr">
        <is>
          <t>appears in documented order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Combobox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Identity</t>
        </is>
      </c>
      <c r="C118" s="13" t="inlineStr">
        <is>
          <t>Input</t>
        </is>
      </c>
      <c r="D118" s="13" t="inlineStr">
        <is>
          <t>default tag is visible in Anatomy/Inspector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Combobox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Identity</t>
        </is>
      </c>
      <c r="C119" s="13" t="inlineStr">
        <is>
          <t>Input</t>
        </is>
      </c>
      <c r="D119" s="13" t="inlineStr">
        <is>
          <t>data-slot is present and correct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Combobox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30" customHeight="1" s="24">
      <c r="A120" s="12" t="n">
        <v>112</v>
      </c>
      <c r="B120" s="13" t="inlineStr">
        <is>
          <t>Props</t>
        </is>
      </c>
      <c r="C120" s="13" t="inlineStr">
        <is>
          <t>Input</t>
        </is>
      </c>
      <c r="D120" s="13" t="inlineStr">
        <is>
          <t>non-Atom native props pass through with data-prop-check marker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Combobox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Refs</t>
        </is>
      </c>
      <c r="C121" s="13" t="inlineStr">
        <is>
          <t>Input</t>
        </is>
      </c>
      <c r="D121" s="13" t="inlineStr">
        <is>
          <t>consumer ref receives the rendered element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Combobox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Public API</t>
        </is>
      </c>
      <c r="C122" s="13" t="inlineStr">
        <is>
          <t>Input</t>
        </is>
      </c>
      <c r="D122" s="13" t="inlineStr">
        <is>
          <t>data-slot prop behavior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Combobox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Public API</t>
        </is>
      </c>
      <c r="C123" s="13" t="inlineStr">
        <is>
          <t>Input</t>
        </is>
      </c>
      <c r="D123" s="13" t="inlineStr">
        <is>
          <t>[data-slot] prop behavior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Combobox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Public API</t>
        </is>
      </c>
      <c r="C124" s="13" t="inlineStr">
        <is>
          <t>Input</t>
        </is>
      </c>
      <c r="D124" s="13" t="inlineStr">
        <is>
          <t>[data-state] prop behavior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Combobox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Public API</t>
        </is>
      </c>
      <c r="C125" s="13" t="inlineStr">
        <is>
          <t>Input</t>
        </is>
      </c>
      <c r="D125" s="13" t="inlineStr">
        <is>
          <t>[data-filled] prop behavior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Combobox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State</t>
        </is>
      </c>
      <c r="C126" s="13" t="inlineStr">
        <is>
          <t>Input</t>
        </is>
      </c>
      <c r="D126" s="13" t="inlineStr">
        <is>
          <t>[data-disabled] prop behavior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Combobox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State</t>
        </is>
      </c>
      <c r="C127" s="13" t="inlineStr">
        <is>
          <t>Input</t>
        </is>
      </c>
      <c r="D127" s="13" t="inlineStr">
        <is>
          <t>[data-readonly] prop behavior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Combobox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State</t>
        </is>
      </c>
      <c r="C128" s="13" t="inlineStr">
        <is>
          <t>Input</t>
        </is>
      </c>
      <c r="D128" s="13" t="inlineStr">
        <is>
          <t>[data-invalid] prop behavior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Combobox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Anatomy</t>
        </is>
      </c>
      <c r="C129" s="13" t="inlineStr">
        <is>
          <t>Loading</t>
        </is>
      </c>
      <c r="D129" s="13" t="inlineStr">
        <is>
          <t>renders correct part when expected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Combobox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Anatomy</t>
        </is>
      </c>
      <c r="C130" s="13" t="inlineStr">
        <is>
          <t>Loading</t>
        </is>
      </c>
      <c r="D130" s="13" t="inlineStr">
        <is>
          <t>appears in documented order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Combobox playground scenario.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Identity</t>
        </is>
      </c>
      <c r="C131" s="13" t="inlineStr">
        <is>
          <t>Loading</t>
        </is>
      </c>
      <c r="D131" s="13" t="inlineStr">
        <is>
          <t>default tag is visible in Anatomy/Inspector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Combobox playground scenario.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Identity</t>
        </is>
      </c>
      <c r="C132" s="13" t="inlineStr">
        <is>
          <t>Loading</t>
        </is>
      </c>
      <c r="D132" s="13" t="inlineStr">
        <is>
          <t>data-slot is present and correct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Combobox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30" customHeight="1" s="24">
      <c r="A133" s="12" t="n">
        <v>125</v>
      </c>
      <c r="B133" s="13" t="inlineStr">
        <is>
          <t>Props</t>
        </is>
      </c>
      <c r="C133" s="13" t="inlineStr">
        <is>
          <t>Loading</t>
        </is>
      </c>
      <c r="D133" s="13" t="inlineStr">
        <is>
          <t>non-Atom native props pass through with data-prop-check marker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Combobox playground scenario.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Refs</t>
        </is>
      </c>
      <c r="C134" s="13" t="inlineStr">
        <is>
          <t>Loading</t>
        </is>
      </c>
      <c r="D134" s="13" t="inlineStr">
        <is>
          <t>consumer ref receives the rendered element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Combobox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Public API</t>
        </is>
      </c>
      <c r="C135" s="13" t="inlineStr">
        <is>
          <t>Loading</t>
        </is>
      </c>
      <c r="D135" s="13" t="inlineStr">
        <is>
          <t>[data-slot] prop behavior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Combobox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ARIA</t>
        </is>
      </c>
      <c r="C136" s="13" t="inlineStr">
        <is>
          <t>Live DOM</t>
        </is>
      </c>
      <c r="D136" s="13" t="inlineStr">
        <is>
          <t>aria-activedescendant is present at the correct time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Combobox playground scenario.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ARIA</t>
        </is>
      </c>
      <c r="C137" s="13" t="inlineStr">
        <is>
          <t>Live DOM</t>
        </is>
      </c>
      <c r="D137" s="13" t="inlineStr">
        <is>
          <t>aria-autocomplete is present at the correct time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Combobox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ARIA</t>
        </is>
      </c>
      <c r="C138" s="13" t="inlineStr">
        <is>
          <t>Live DOM</t>
        </is>
      </c>
      <c r="D138" s="13" t="inlineStr">
        <is>
          <t>aria-controls is present at the correct time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Combobox playground scenario.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ARIA</t>
        </is>
      </c>
      <c r="C139" s="13" t="inlineStr">
        <is>
          <t>Live DOM</t>
        </is>
      </c>
      <c r="D139" s="13" t="inlineStr">
        <is>
          <t>aria-disabled is present at the correct time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Combobox playground scenario.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ARIA</t>
        </is>
      </c>
      <c r="C140" s="13" t="inlineStr">
        <is>
          <t>Live DOM</t>
        </is>
      </c>
      <c r="D140" s="13" t="inlineStr">
        <is>
          <t>aria-expanded is present at the correct time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Combobox playground scenario.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15" customHeight="1" s="24">
      <c r="A141" s="12" t="n">
        <v>133</v>
      </c>
      <c r="B141" s="13" t="inlineStr">
        <is>
          <t>ARIA</t>
        </is>
      </c>
      <c r="C141" s="13" t="inlineStr">
        <is>
          <t>Live DOM</t>
        </is>
      </c>
      <c r="D141" s="13" t="inlineStr">
        <is>
          <t>aria-haspopup is present at the correct time</t>
        </is>
      </c>
      <c r="E141" s="18" t="inlineStr">
        <is>
          <t>yes</t>
        </is>
      </c>
      <c r="F141" s="19" t="inlineStr">
        <is>
          <t>no</t>
        </is>
      </c>
      <c r="G141" s="12" t="inlineStr">
        <is>
          <t>ready for manual test</t>
        </is>
      </c>
      <c r="H141" s="20" t="inlineStr">
        <is>
          <t>untested</t>
        </is>
      </c>
      <c r="I141" s="13" t="inlineStr">
        <is>
          <t>Combobox playground scenario.</t>
        </is>
      </c>
      <c r="J141" s="13" t="inlineStr">
        <is>
          <t>Manual verification needed.</t>
        </is>
      </c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ARIA</t>
        </is>
      </c>
      <c r="C142" s="13" t="inlineStr">
        <is>
          <t>Live DOM</t>
        </is>
      </c>
      <c r="D142" s="13" t="inlineStr">
        <is>
          <t>aria-hidden is present at the correct time</t>
        </is>
      </c>
      <c r="E142" s="18" t="inlineStr">
        <is>
          <t>yes</t>
        </is>
      </c>
      <c r="F142" s="19" t="inlineStr">
        <is>
          <t>no</t>
        </is>
      </c>
      <c r="G142" s="12" t="inlineStr">
        <is>
          <t>ready for manual test</t>
        </is>
      </c>
      <c r="H142" s="20" t="inlineStr">
        <is>
          <t>untested</t>
        </is>
      </c>
      <c r="I142" s="13" t="inlineStr">
        <is>
          <t>Combobox playground scenario.</t>
        </is>
      </c>
      <c r="J142" s="13" t="inlineStr">
        <is>
          <t>Manual verification needed.</t>
        </is>
      </c>
      <c r="K142" s="14">
        <f>IF(AND(E142="yes",F142="yes",H142="covered"),1,IF(H142="partial",0.5,0))</f>
        <v/>
      </c>
    </row>
    <row r="143" ht="15" customHeight="1" s="24">
      <c r="A143" s="12" t="n">
        <v>135</v>
      </c>
      <c r="B143" s="13" t="inlineStr">
        <is>
          <t>ARIA</t>
        </is>
      </c>
      <c r="C143" s="13" t="inlineStr">
        <is>
          <t>Live DOM</t>
        </is>
      </c>
      <c r="D143" s="13" t="inlineStr">
        <is>
          <t>aria-invalid is present at the correct time</t>
        </is>
      </c>
      <c r="E143" s="18" t="inlineStr">
        <is>
          <t>yes</t>
        </is>
      </c>
      <c r="F143" s="19" t="inlineStr">
        <is>
          <t>no</t>
        </is>
      </c>
      <c r="G143" s="12" t="inlineStr">
        <is>
          <t>ready for manual test</t>
        </is>
      </c>
      <c r="H143" s="20" t="inlineStr">
        <is>
          <t>untested</t>
        </is>
      </c>
      <c r="I143" s="13" t="inlineStr">
        <is>
          <t>Combobox playground scenario.</t>
        </is>
      </c>
      <c r="J143" s="13" t="inlineStr">
        <is>
          <t>Manual verification needed.</t>
        </is>
      </c>
      <c r="K143" s="14">
        <f>IF(AND(E143="yes",F143="yes",H143="covered"),1,IF(H143="partial",0.5,0))</f>
        <v/>
      </c>
    </row>
    <row r="144" ht="15" customHeight="1" s="24">
      <c r="A144" s="12" t="n">
        <v>136</v>
      </c>
      <c r="B144" s="13" t="inlineStr">
        <is>
          <t>ARIA</t>
        </is>
      </c>
      <c r="C144" s="13" t="inlineStr">
        <is>
          <t>Live DOM</t>
        </is>
      </c>
      <c r="D144" s="13" t="inlineStr">
        <is>
          <t>aria-label is present at the correct time</t>
        </is>
      </c>
      <c r="E144" s="18" t="inlineStr">
        <is>
          <t>yes</t>
        </is>
      </c>
      <c r="F144" s="19" t="inlineStr">
        <is>
          <t>no</t>
        </is>
      </c>
      <c r="G144" s="12" t="inlineStr">
        <is>
          <t>ready for manual test</t>
        </is>
      </c>
      <c r="H144" s="20" t="inlineStr">
        <is>
          <t>untested</t>
        </is>
      </c>
      <c r="I144" s="13" t="inlineStr">
        <is>
          <t>Combobox playground scenario.</t>
        </is>
      </c>
      <c r="J144" s="13" t="inlineStr">
        <is>
          <t>Manual verification needed.</t>
        </is>
      </c>
      <c r="K144" s="14">
        <f>IF(AND(E144="yes",F144="yes",H144="covered"),1,IF(H144="partial",0.5,0))</f>
        <v/>
      </c>
    </row>
    <row r="145" ht="15" customHeight="1" s="24">
      <c r="A145" s="12" t="n">
        <v>137</v>
      </c>
      <c r="B145" s="13" t="inlineStr">
        <is>
          <t>ARIA</t>
        </is>
      </c>
      <c r="C145" s="13" t="inlineStr">
        <is>
          <t>Live DOM</t>
        </is>
      </c>
      <c r="D145" s="13" t="inlineStr">
        <is>
          <t>aria-labelledby is present at the correct time</t>
        </is>
      </c>
      <c r="E145" s="18" t="inlineStr">
        <is>
          <t>yes</t>
        </is>
      </c>
      <c r="F145" s="19" t="inlineStr">
        <is>
          <t>no</t>
        </is>
      </c>
      <c r="G145" s="12" t="inlineStr">
        <is>
          <t>ready for manual test</t>
        </is>
      </c>
      <c r="H145" s="20" t="inlineStr">
        <is>
          <t>untested</t>
        </is>
      </c>
      <c r="I145" s="13" t="inlineStr">
        <is>
          <t>Combobox playground scenario.</t>
        </is>
      </c>
      <c r="J145" s="13" t="inlineStr">
        <is>
          <t>Manual verification needed.</t>
        </is>
      </c>
      <c r="K145" s="14">
        <f>IF(AND(E145="yes",F145="yes",H145="covered"),1,IF(H145="partial",0.5,0))</f>
        <v/>
      </c>
    </row>
    <row r="146" ht="15" customHeight="1" s="24">
      <c r="A146" s="12" t="n">
        <v>138</v>
      </c>
      <c r="B146" s="13" t="inlineStr">
        <is>
          <t>ARIA</t>
        </is>
      </c>
      <c r="C146" s="13" t="inlineStr">
        <is>
          <t>Live DOM</t>
        </is>
      </c>
      <c r="D146" s="13" t="inlineStr">
        <is>
          <t>aria-required is present at the correct time</t>
        </is>
      </c>
      <c r="E146" s="18" t="inlineStr">
        <is>
          <t>yes</t>
        </is>
      </c>
      <c r="F146" s="19" t="inlineStr">
        <is>
          <t>no</t>
        </is>
      </c>
      <c r="G146" s="12" t="inlineStr">
        <is>
          <t>ready for manual test</t>
        </is>
      </c>
      <c r="H146" s="20" t="inlineStr">
        <is>
          <t>untested</t>
        </is>
      </c>
      <c r="I146" s="13" t="inlineStr">
        <is>
          <t>Combobox playground scenario.</t>
        </is>
      </c>
      <c r="J146" s="13" t="inlineStr">
        <is>
          <t>Manual verification needed.</t>
        </is>
      </c>
      <c r="K146" s="14">
        <f>IF(AND(E146="yes",F146="yes",H146="covered"),1,IF(H146="partial",0.5,0))</f>
        <v/>
      </c>
    </row>
    <row r="147" ht="15" customHeight="1" s="24">
      <c r="A147" s="12" t="n">
        <v>139</v>
      </c>
      <c r="B147" s="13" t="inlineStr">
        <is>
          <t>ARIA</t>
        </is>
      </c>
      <c r="C147" s="13" t="inlineStr">
        <is>
          <t>Live DOM</t>
        </is>
      </c>
      <c r="D147" s="13" t="inlineStr">
        <is>
          <t>aria-selected is present at the correct time</t>
        </is>
      </c>
      <c r="E147" s="18" t="inlineStr">
        <is>
          <t>yes</t>
        </is>
      </c>
      <c r="F147" s="19" t="inlineStr">
        <is>
          <t>no</t>
        </is>
      </c>
      <c r="G147" s="12" t="inlineStr">
        <is>
          <t>ready for manual test</t>
        </is>
      </c>
      <c r="H147" s="20" t="inlineStr">
        <is>
          <t>untested</t>
        </is>
      </c>
      <c r="I147" s="13" t="inlineStr">
        <is>
          <t>Combobox playground scenario.</t>
        </is>
      </c>
      <c r="J147" s="13" t="inlineStr">
        <is>
          <t>Manual verification needed.</t>
        </is>
      </c>
      <c r="K147" s="14">
        <f>IF(AND(E147="yes",F147="yes",H147="covered"),1,IF(H147="partial",0.5,0))</f>
        <v/>
      </c>
    </row>
    <row r="148" ht="15" customHeight="1" s="24">
      <c r="A148" s="12" t="n">
        <v>140</v>
      </c>
      <c r="B148" s="13" t="inlineStr">
        <is>
          <t>Data</t>
        </is>
      </c>
      <c r="C148" s="13" t="inlineStr">
        <is>
          <t>Live DOM</t>
        </is>
      </c>
      <c r="D148" s="13" t="inlineStr">
        <is>
          <t>data-disabled is present at the correct time</t>
        </is>
      </c>
      <c r="E148" s="18" t="inlineStr">
        <is>
          <t>yes</t>
        </is>
      </c>
      <c r="F148" s="19" t="inlineStr">
        <is>
          <t>no</t>
        </is>
      </c>
      <c r="G148" s="12" t="inlineStr">
        <is>
          <t>ready for manual test</t>
        </is>
      </c>
      <c r="H148" s="20" t="inlineStr">
        <is>
          <t>untested</t>
        </is>
      </c>
      <c r="I148" s="13" t="inlineStr">
        <is>
          <t>Combobox playground scenario.</t>
        </is>
      </c>
      <c r="J148" s="13" t="inlineStr">
        <is>
          <t>Manual verification needed.</t>
        </is>
      </c>
      <c r="K148" s="14">
        <f>IF(AND(E148="yes",F148="yes",H148="covered"),1,IF(H148="partial",0.5,0))</f>
        <v/>
      </c>
    </row>
    <row r="149" ht="15" customHeight="1" s="24">
      <c r="A149" s="12" t="n">
        <v>141</v>
      </c>
      <c r="B149" s="13" t="inlineStr">
        <is>
          <t>Data</t>
        </is>
      </c>
      <c r="C149" s="13" t="inlineStr">
        <is>
          <t>Live DOM</t>
        </is>
      </c>
      <c r="D149" s="13" t="inlineStr">
        <is>
          <t>data-hidden is present at the correct time</t>
        </is>
      </c>
      <c r="E149" s="18" t="inlineStr">
        <is>
          <t>yes</t>
        </is>
      </c>
      <c r="F149" s="19" t="inlineStr">
        <is>
          <t>no</t>
        </is>
      </c>
      <c r="G149" s="12" t="inlineStr">
        <is>
          <t>ready for manual test</t>
        </is>
      </c>
      <c r="H149" s="20" t="inlineStr">
        <is>
          <t>untested</t>
        </is>
      </c>
      <c r="I149" s="13" t="inlineStr">
        <is>
          <t>Combobox playground scenario.</t>
        </is>
      </c>
      <c r="J149" s="13" t="inlineStr">
        <is>
          <t>Manual verification needed.</t>
        </is>
      </c>
      <c r="K149" s="14">
        <f>IF(AND(E149="yes",F149="yes",H149="covered"),1,IF(H149="partial",0.5,0))</f>
        <v/>
      </c>
    </row>
    <row r="150" ht="15" customHeight="1" s="24">
      <c r="A150" s="12" t="n">
        <v>142</v>
      </c>
      <c r="B150" s="13" t="inlineStr">
        <is>
          <t>Data</t>
        </is>
      </c>
      <c r="C150" s="13" t="inlineStr">
        <is>
          <t>Live DOM</t>
        </is>
      </c>
      <c r="D150" s="13" t="inlineStr">
        <is>
          <t>data-highlighted is present at the correct time</t>
        </is>
      </c>
      <c r="E150" s="18" t="inlineStr">
        <is>
          <t>yes</t>
        </is>
      </c>
      <c r="F150" s="19" t="inlineStr">
        <is>
          <t>no</t>
        </is>
      </c>
      <c r="G150" s="12" t="inlineStr">
        <is>
          <t>ready for manual test</t>
        </is>
      </c>
      <c r="H150" s="20" t="inlineStr">
        <is>
          <t>untested</t>
        </is>
      </c>
      <c r="I150" s="13" t="inlineStr">
        <is>
          <t>Combobox playground scenario.</t>
        </is>
      </c>
      <c r="J150" s="13" t="inlineStr">
        <is>
          <t>Manual verification needed.</t>
        </is>
      </c>
      <c r="K150" s="14">
        <f>IF(AND(E150="yes",F150="yes",H150="covered"),1,IF(H150="partial",0.5,0))</f>
        <v/>
      </c>
    </row>
    <row r="151" ht="15" customHeight="1" s="24">
      <c r="A151" s="12" t="n">
        <v>143</v>
      </c>
      <c r="B151" s="13" t="inlineStr">
        <is>
          <t>Data</t>
        </is>
      </c>
      <c r="C151" s="13" t="inlineStr">
        <is>
          <t>Live DOM</t>
        </is>
      </c>
      <c r="D151" s="13" t="inlineStr">
        <is>
          <t>data-invalid is present at the correct time</t>
        </is>
      </c>
      <c r="E151" s="18" t="inlineStr">
        <is>
          <t>yes</t>
        </is>
      </c>
      <c r="F151" s="19" t="inlineStr">
        <is>
          <t>no</t>
        </is>
      </c>
      <c r="G151" s="12" t="inlineStr">
        <is>
          <t>ready for manual test</t>
        </is>
      </c>
      <c r="H151" s="20" t="inlineStr">
        <is>
          <t>untested</t>
        </is>
      </c>
      <c r="I151" s="13" t="inlineStr">
        <is>
          <t>Combobox playground scenario.</t>
        </is>
      </c>
      <c r="J151" s="13" t="inlineStr">
        <is>
          <t>Manual verification needed.</t>
        </is>
      </c>
      <c r="K151" s="14">
        <f>IF(AND(E151="yes",F151="yes",H151="covered"),1,IF(H151="partial",0.5,0))</f>
        <v/>
      </c>
    </row>
    <row r="152" ht="15" customHeight="1" s="24">
      <c r="A152" s="12" t="n">
        <v>144</v>
      </c>
      <c r="B152" s="13" t="inlineStr">
        <is>
          <t>Data</t>
        </is>
      </c>
      <c r="C152" s="13" t="inlineStr">
        <is>
          <t>Live DOM</t>
        </is>
      </c>
      <c r="D152" s="13" t="inlineStr">
        <is>
          <t>data-positioned is present at the correct time</t>
        </is>
      </c>
      <c r="E152" s="18" t="inlineStr">
        <is>
          <t>yes</t>
        </is>
      </c>
      <c r="F152" s="19" t="inlineStr">
        <is>
          <t>no</t>
        </is>
      </c>
      <c r="G152" s="12" t="inlineStr">
        <is>
          <t>ready for manual test</t>
        </is>
      </c>
      <c r="H152" s="20" t="inlineStr">
        <is>
          <t>untested</t>
        </is>
      </c>
      <c r="I152" s="13" t="inlineStr">
        <is>
          <t>Combobox playground scenario.</t>
        </is>
      </c>
      <c r="J152" s="13" t="inlineStr">
        <is>
          <t>Manual verification needed.</t>
        </is>
      </c>
      <c r="K152" s="14">
        <f>IF(AND(E152="yes",F152="yes",H152="covered"),1,IF(H152="partial",0.5,0))</f>
        <v/>
      </c>
    </row>
    <row r="153" ht="15" customHeight="1" s="24">
      <c r="A153" s="12" t="n">
        <v>145</v>
      </c>
      <c r="B153" s="13" t="inlineStr">
        <is>
          <t>Data</t>
        </is>
      </c>
      <c r="C153" s="13" t="inlineStr">
        <is>
          <t>Live DOM</t>
        </is>
      </c>
      <c r="D153" s="13" t="inlineStr">
        <is>
          <t>data-readonly is present at the correct time</t>
        </is>
      </c>
      <c r="E153" s="18" t="inlineStr">
        <is>
          <t>yes</t>
        </is>
      </c>
      <c r="F153" s="19" t="inlineStr">
        <is>
          <t>no</t>
        </is>
      </c>
      <c r="G153" s="12" t="inlineStr">
        <is>
          <t>ready for manual test</t>
        </is>
      </c>
      <c r="H153" s="20" t="inlineStr">
        <is>
          <t>untested</t>
        </is>
      </c>
      <c r="I153" s="13" t="inlineStr">
        <is>
          <t>Combobox playground scenario.</t>
        </is>
      </c>
      <c r="J153" s="13" t="inlineStr">
        <is>
          <t>Manual verification needed.</t>
        </is>
      </c>
      <c r="K153" s="14">
        <f>IF(AND(E153="yes",F153="yes",H153="covered"),1,IF(H153="partial",0.5,0))</f>
        <v/>
      </c>
    </row>
    <row r="154" ht="15" customHeight="1" s="24">
      <c r="A154" s="12" t="n">
        <v>146</v>
      </c>
      <c r="B154" s="13" t="inlineStr">
        <is>
          <t>Data</t>
        </is>
      </c>
      <c r="C154" s="13" t="inlineStr">
        <is>
          <t>Live DOM</t>
        </is>
      </c>
      <c r="D154" s="13" t="inlineStr">
        <is>
          <t>data-slot is present at the correct time</t>
        </is>
      </c>
      <c r="E154" s="18" t="inlineStr">
        <is>
          <t>yes</t>
        </is>
      </c>
      <c r="F154" s="19" t="inlineStr">
        <is>
          <t>no</t>
        </is>
      </c>
      <c r="G154" s="12" t="inlineStr">
        <is>
          <t>ready for manual test</t>
        </is>
      </c>
      <c r="H154" s="20" t="inlineStr">
        <is>
          <t>untested</t>
        </is>
      </c>
      <c r="I154" s="13" t="inlineStr">
        <is>
          <t>Combobox playground scenario.</t>
        </is>
      </c>
      <c r="J154" s="13" t="inlineStr">
        <is>
          <t>Manual verification needed.</t>
        </is>
      </c>
      <c r="K154" s="14">
        <f>IF(AND(E154="yes",F154="yes",H154="covered"),1,IF(H154="partial",0.5,0))</f>
        <v/>
      </c>
    </row>
    <row r="155" ht="15" customHeight="1" s="24">
      <c r="A155" s="12" t="n">
        <v>147</v>
      </c>
      <c r="B155" s="13" t="inlineStr">
        <is>
          <t>Data</t>
        </is>
      </c>
      <c r="C155" s="13" t="inlineStr">
        <is>
          <t>Live DOM</t>
        </is>
      </c>
      <c r="D155" s="13" t="inlineStr">
        <is>
          <t>data-state is present at the correct time</t>
        </is>
      </c>
      <c r="E155" s="18" t="inlineStr">
        <is>
          <t>yes</t>
        </is>
      </c>
      <c r="F155" s="19" t="inlineStr">
        <is>
          <t>no</t>
        </is>
      </c>
      <c r="G155" s="12" t="inlineStr">
        <is>
          <t>ready for manual test</t>
        </is>
      </c>
      <c r="H155" s="20" t="inlineStr">
        <is>
          <t>untested</t>
        </is>
      </c>
      <c r="I155" s="13" t="inlineStr">
        <is>
          <t>Combobox playground scenario.</t>
        </is>
      </c>
      <c r="J155" s="13" t="inlineStr">
        <is>
          <t>Manual verification needed.</t>
        </is>
      </c>
      <c r="K155" s="14">
        <f>IF(AND(E155="yes",F155="yes",H155="covered"),1,IF(H155="partial",0.5,0))</f>
        <v/>
      </c>
    </row>
    <row r="156" ht="15" customHeight="1" s="24">
      <c r="A156" s="12" t="n">
        <v>148</v>
      </c>
      <c r="B156" s="13" t="inlineStr">
        <is>
          <t>Data</t>
        </is>
      </c>
      <c r="C156" s="13" t="inlineStr">
        <is>
          <t>Live DOM</t>
        </is>
      </c>
      <c r="D156" s="13" t="inlineStr">
        <is>
          <t>data-value is present at the correct time</t>
        </is>
      </c>
      <c r="E156" s="18" t="inlineStr">
        <is>
          <t>yes</t>
        </is>
      </c>
      <c r="F156" s="19" t="inlineStr">
        <is>
          <t>no</t>
        </is>
      </c>
      <c r="G156" s="12" t="inlineStr">
        <is>
          <t>ready for manual test</t>
        </is>
      </c>
      <c r="H156" s="20" t="inlineStr">
        <is>
          <t>untested</t>
        </is>
      </c>
      <c r="I156" s="13" t="inlineStr">
        <is>
          <t>Combobox playground scenario.</t>
        </is>
      </c>
      <c r="J156" s="13" t="inlineStr">
        <is>
          <t>Manual verification needed.</t>
        </is>
      </c>
      <c r="K156" s="14">
        <f>IF(AND(E156="yes",F156="yes",H156="covered"),1,IF(H156="partial",0.5,0))</f>
        <v/>
      </c>
    </row>
    <row r="157" ht="15" customHeight="1" s="24">
      <c r="A157" s="12" t="n">
        <v>149</v>
      </c>
      <c r="B157" s="13" t="inlineStr">
        <is>
          <t>Composition</t>
        </is>
      </c>
      <c r="C157" s="13" t="inlineStr">
        <is>
          <t>Combobox</t>
        </is>
      </c>
      <c r="D157" s="13" t="inlineStr">
        <is>
          <t>asChild preserves child content without double nesting</t>
        </is>
      </c>
      <c r="E157" s="18" t="inlineStr">
        <is>
          <t>yes</t>
        </is>
      </c>
      <c r="F157" s="19" t="inlineStr">
        <is>
          <t>no</t>
        </is>
      </c>
      <c r="G157" s="12" t="inlineStr">
        <is>
          <t>ready for manual test</t>
        </is>
      </c>
      <c r="H157" s="20" t="inlineStr">
        <is>
          <t>untested</t>
        </is>
      </c>
      <c r="I157" s="13" t="inlineStr">
        <is>
          <t>Combobox playground scenario.</t>
        </is>
      </c>
      <c r="J157" s="13" t="inlineStr">
        <is>
          <t>Manual verification needed.</t>
        </is>
      </c>
      <c r="K157" s="14">
        <f>IF(AND(E157="yes",F157="yes",H157="covered"),1,IF(H157="partial",0.5,0))</f>
        <v/>
      </c>
    </row>
    <row r="158" ht="15" customHeight="1" s="24">
      <c r="A158" s="12" t="n">
        <v>150</v>
      </c>
      <c r="B158" s="13" t="inlineStr">
        <is>
          <t>Composition</t>
        </is>
      </c>
      <c r="C158" s="13" t="inlineStr">
        <is>
          <t>Combobox</t>
        </is>
      </c>
      <c r="D158" s="13" t="inlineStr">
        <is>
          <t>asChild merges Atom props and consumer props</t>
        </is>
      </c>
      <c r="E158" s="18" t="inlineStr">
        <is>
          <t>yes</t>
        </is>
      </c>
      <c r="F158" s="19" t="inlineStr">
        <is>
          <t>no</t>
        </is>
      </c>
      <c r="G158" s="12" t="inlineStr">
        <is>
          <t>ready for manual test</t>
        </is>
      </c>
      <c r="H158" s="20" t="inlineStr">
        <is>
          <t>untested</t>
        </is>
      </c>
      <c r="I158" s="13" t="inlineStr">
        <is>
          <t>Combobox playground scenario.</t>
        </is>
      </c>
      <c r="J158" s="13" t="inlineStr">
        <is>
          <t>Manual verification needed.</t>
        </is>
      </c>
      <c r="K158" s="14">
        <f>IF(AND(E158="yes",F158="yes",H158="covered"),1,IF(H158="partial",0.5,0))</f>
        <v/>
      </c>
    </row>
    <row r="159" ht="30" customHeight="1" s="24">
      <c r="A159" s="12" t="n">
        <v>151</v>
      </c>
      <c r="B159" s="13" t="inlineStr">
        <is>
          <t>Composition</t>
        </is>
      </c>
      <c r="C159" s="13" t="inlineStr">
        <is>
          <t>Combobox</t>
        </is>
      </c>
      <c r="D159" s="13" t="inlineStr">
        <is>
          <t>asChild lets preventDefault block Atom behavior where supported</t>
        </is>
      </c>
      <c r="E159" s="18" t="inlineStr">
        <is>
          <t>yes</t>
        </is>
      </c>
      <c r="F159" s="19" t="inlineStr">
        <is>
          <t>no</t>
        </is>
      </c>
      <c r="G159" s="12" t="inlineStr">
        <is>
          <t>ready for manual test</t>
        </is>
      </c>
      <c r="H159" s="20" t="inlineStr">
        <is>
          <t>untested</t>
        </is>
      </c>
      <c r="I159" s="13" t="inlineStr">
        <is>
          <t>Combobox playground scenario.</t>
        </is>
      </c>
      <c r="J159" s="13" t="inlineStr">
        <is>
          <t>Manual verification needed.</t>
        </is>
      </c>
      <c r="K159" s="14">
        <f>IF(AND(E159="yes",F159="yes",H159="covered"),1,IF(H159="partial",0.5,0))</f>
        <v/>
      </c>
    </row>
    <row r="160" ht="15" customHeight="1" s="24">
      <c r="A160" s="12" t="n">
        <v>152</v>
      </c>
      <c r="B160" s="13" t="inlineStr">
        <is>
          <t>Composition</t>
        </is>
      </c>
      <c r="C160" s="13" t="inlineStr">
        <is>
          <t>Combobox</t>
        </is>
      </c>
      <c r="D160" s="13" t="inlineStr">
        <is>
          <t>render prop renders custom element</t>
        </is>
      </c>
      <c r="E160" s="18" t="inlineStr">
        <is>
          <t>yes</t>
        </is>
      </c>
      <c r="F160" s="19" t="inlineStr">
        <is>
          <t>no</t>
        </is>
      </c>
      <c r="G160" s="12" t="inlineStr">
        <is>
          <t>ready for manual test</t>
        </is>
      </c>
      <c r="H160" s="20" t="inlineStr">
        <is>
          <t>untested</t>
        </is>
      </c>
      <c r="I160" s="13" t="inlineStr">
        <is>
          <t>Combobox playground scenario.</t>
        </is>
      </c>
      <c r="J160" s="13" t="inlineStr">
        <is>
          <t>Manual verification needed.</t>
        </is>
      </c>
      <c r="K160" s="14">
        <f>IF(AND(E160="yes",F160="yes",H160="covered"),1,IF(H160="partial",0.5,0))</f>
        <v/>
      </c>
    </row>
    <row r="161" ht="15" customHeight="1" s="24">
      <c r="A161" s="12" t="n">
        <v>153</v>
      </c>
      <c r="B161" s="13" t="inlineStr">
        <is>
          <t>Composition</t>
        </is>
      </c>
      <c r="C161" s="13" t="inlineStr">
        <is>
          <t>Combobox</t>
        </is>
      </c>
      <c r="D161" s="13" t="inlineStr">
        <is>
          <t>render prop preserves refs and behavior props</t>
        </is>
      </c>
      <c r="E161" s="18" t="inlineStr">
        <is>
          <t>yes</t>
        </is>
      </c>
      <c r="F161" s="19" t="inlineStr">
        <is>
          <t>no</t>
        </is>
      </c>
      <c r="G161" s="12" t="inlineStr">
        <is>
          <t>ready for manual test</t>
        </is>
      </c>
      <c r="H161" s="20" t="inlineStr">
        <is>
          <t>untested</t>
        </is>
      </c>
      <c r="I161" s="13" t="inlineStr">
        <is>
          <t>Combobox playground scenario.</t>
        </is>
      </c>
      <c r="J161" s="13" t="inlineStr">
        <is>
          <t>Manual verification needed.</t>
        </is>
      </c>
      <c r="K161" s="14">
        <f>IF(AND(E161="yes",F161="yes",H161="covered"),1,IF(H161="partial",0.5,0))</f>
        <v/>
      </c>
    </row>
    <row r="162" ht="15" customHeight="1" s="24">
      <c r="A162" s="12" t="n">
        <v>154</v>
      </c>
      <c r="B162" s="13" t="inlineStr">
        <is>
          <t>State</t>
        </is>
      </c>
      <c r="C162" s="13" t="inlineStr">
        <is>
          <t>Root</t>
        </is>
      </c>
      <c r="D162" s="13" t="inlineStr">
        <is>
          <t>controlled state path</t>
        </is>
      </c>
      <c r="E162" s="18" t="inlineStr">
        <is>
          <t>yes</t>
        </is>
      </c>
      <c r="F162" s="19" t="inlineStr">
        <is>
          <t>no</t>
        </is>
      </c>
      <c r="G162" s="12" t="inlineStr">
        <is>
          <t>ready for manual test</t>
        </is>
      </c>
      <c r="H162" s="20" t="inlineStr">
        <is>
          <t>untested</t>
        </is>
      </c>
      <c r="I162" s="13" t="inlineStr">
        <is>
          <t>Combobox playground scenario.</t>
        </is>
      </c>
      <c r="J162" s="13" t="inlineStr">
        <is>
          <t>Manual verification needed.</t>
        </is>
      </c>
      <c r="K162" s="14">
        <f>IF(AND(E162="yes",F162="yes",H162="covered"),1,IF(H162="partial",0.5,0))</f>
        <v/>
      </c>
    </row>
    <row r="163" ht="15" customHeight="1" s="24">
      <c r="A163" s="12" t="n">
        <v>155</v>
      </c>
      <c r="B163" s="13" t="inlineStr">
        <is>
          <t>State</t>
        </is>
      </c>
      <c r="C163" s="13" t="inlineStr">
        <is>
          <t>Root</t>
        </is>
      </c>
      <c r="D163" s="13" t="inlineStr">
        <is>
          <t>uncontrolled default state path</t>
        </is>
      </c>
      <c r="E163" s="18" t="inlineStr">
        <is>
          <t>yes</t>
        </is>
      </c>
      <c r="F163" s="19" t="inlineStr">
        <is>
          <t>no</t>
        </is>
      </c>
      <c r="G163" s="12" t="inlineStr">
        <is>
          <t>ready for manual test</t>
        </is>
      </c>
      <c r="H163" s="20" t="inlineStr">
        <is>
          <t>untested</t>
        </is>
      </c>
      <c r="I163" s="13" t="inlineStr">
        <is>
          <t>Combobox playground scenario.</t>
        </is>
      </c>
      <c r="J163" s="13" t="inlineStr">
        <is>
          <t>Manual verification needed.</t>
        </is>
      </c>
      <c r="K163" s="14">
        <f>IF(AND(E163="yes",F163="yes",H163="covered"),1,IF(H163="partial",0.5,0))</f>
        <v/>
      </c>
    </row>
    <row r="164" ht="15" customHeight="1" s="24">
      <c r="A164" s="12" t="n">
        <v>156</v>
      </c>
      <c r="B164" s="13" t="inlineStr">
        <is>
          <t>State</t>
        </is>
      </c>
      <c r="C164" s="13" t="inlineStr">
        <is>
          <t>Root</t>
        </is>
      </c>
      <c r="D164" s="13" t="inlineStr">
        <is>
          <t>state change callback fires once with correct value</t>
        </is>
      </c>
      <c r="E164" s="18" t="inlineStr">
        <is>
          <t>yes</t>
        </is>
      </c>
      <c r="F164" s="19" t="inlineStr">
        <is>
          <t>no</t>
        </is>
      </c>
      <c r="G164" s="12" t="inlineStr">
        <is>
          <t>ready for manual test</t>
        </is>
      </c>
      <c r="H164" s="20" t="inlineStr">
        <is>
          <t>untested</t>
        </is>
      </c>
      <c r="I164" s="13" t="inlineStr">
        <is>
          <t>Combobox playground scenario.</t>
        </is>
      </c>
      <c r="J164" s="13" t="inlineStr">
        <is>
          <t>Manual verification needed.</t>
        </is>
      </c>
      <c r="K164" s="14">
        <f>IF(AND(E164="yes",F164="yes",H164="covered"),1,IF(H164="partial",0.5,0))</f>
        <v/>
      </c>
    </row>
    <row r="165" ht="30" customHeight="1" s="24">
      <c r="A165" s="12" t="n">
        <v>157</v>
      </c>
      <c r="B165" s="13" t="inlineStr">
        <is>
          <t>State</t>
        </is>
      </c>
      <c r="C165" s="13" t="inlineStr">
        <is>
          <t>Combobox</t>
        </is>
      </c>
      <c r="D165" s="13" t="inlineStr">
        <is>
          <t>disabled state blocks or exposes behavior correctly where supported</t>
        </is>
      </c>
      <c r="E165" s="18" t="inlineStr">
        <is>
          <t>yes</t>
        </is>
      </c>
      <c r="F165" s="19" t="inlineStr">
        <is>
          <t>no</t>
        </is>
      </c>
      <c r="G165" s="12" t="inlineStr">
        <is>
          <t>ready for manual test</t>
        </is>
      </c>
      <c r="H165" s="20" t="inlineStr">
        <is>
          <t>untested</t>
        </is>
      </c>
      <c r="I165" s="13" t="inlineStr">
        <is>
          <t>Combobox playground scenario.</t>
        </is>
      </c>
      <c r="J165" s="13" t="inlineStr">
        <is>
          <t>Manual verification needed.</t>
        </is>
      </c>
      <c r="K165" s="14">
        <f>IF(AND(E165="yes",F165="yes",H165="covered"),1,IF(H165="partial",0.5,0))</f>
        <v/>
      </c>
    </row>
    <row r="166" ht="30" customHeight="1" s="24">
      <c r="A166" s="12" t="n">
        <v>158</v>
      </c>
      <c r="B166" s="13" t="inlineStr">
        <is>
          <t>State</t>
        </is>
      </c>
      <c r="C166" s="13" t="inlineStr">
        <is>
          <t>Combobox</t>
        </is>
      </c>
      <c r="D166" s="13" t="inlineStr">
        <is>
          <t>readonly/readOnly state blocks or exposes behavior correctly where supported</t>
        </is>
      </c>
      <c r="E166" s="18" t="inlineStr">
        <is>
          <t>yes</t>
        </is>
      </c>
      <c r="F166" s="19" t="inlineStr">
        <is>
          <t>no</t>
        </is>
      </c>
      <c r="G166" s="12" t="inlineStr">
        <is>
          <t>ready for manual test</t>
        </is>
      </c>
      <c r="H166" s="20" t="inlineStr">
        <is>
          <t>untested</t>
        </is>
      </c>
      <c r="I166" s="13" t="inlineStr">
        <is>
          <t>Combobox playground scenario.</t>
        </is>
      </c>
      <c r="J166" s="13" t="inlineStr">
        <is>
          <t>Manual verification needed.</t>
        </is>
      </c>
      <c r="K166" s="14">
        <f>IF(AND(E166="yes",F166="yes",H166="covered"),1,IF(H166="partial",0.5,0))</f>
        <v/>
      </c>
    </row>
    <row r="167" ht="30" customHeight="1" s="24">
      <c r="A167" s="12" t="n">
        <v>159</v>
      </c>
      <c r="B167" s="13" t="inlineStr">
        <is>
          <t>State</t>
        </is>
      </c>
      <c r="C167" s="13" t="inlineStr">
        <is>
          <t>Combobox</t>
        </is>
      </c>
      <c r="D167" s="13" t="inlineStr">
        <is>
          <t>required state blocks or exposes behavior correctly where supported</t>
        </is>
      </c>
      <c r="E167" s="18" t="inlineStr">
        <is>
          <t>yes</t>
        </is>
      </c>
      <c r="F167" s="19" t="inlineStr">
        <is>
          <t>no</t>
        </is>
      </c>
      <c r="G167" s="12" t="inlineStr">
        <is>
          <t>ready for manual test</t>
        </is>
      </c>
      <c r="H167" s="20" t="inlineStr">
        <is>
          <t>untested</t>
        </is>
      </c>
      <c r="I167" s="13" t="inlineStr">
        <is>
          <t>Combobox playground scenario.</t>
        </is>
      </c>
      <c r="J167" s="13" t="inlineStr">
        <is>
          <t>Manual verification needed.</t>
        </is>
      </c>
      <c r="K167" s="14">
        <f>IF(AND(E167="yes",F167="yes",H167="covered"),1,IF(H167="partial",0.5,0))</f>
        <v/>
      </c>
    </row>
    <row r="168" ht="30" customHeight="1" s="24">
      <c r="A168" s="12" t="n">
        <v>160</v>
      </c>
      <c r="B168" s="13" t="inlineStr">
        <is>
          <t>State</t>
        </is>
      </c>
      <c r="C168" s="13" t="inlineStr">
        <is>
          <t>Combobox</t>
        </is>
      </c>
      <c r="D168" s="13" t="inlineStr">
        <is>
          <t>invalid state blocks or exposes behavior correctly where supported</t>
        </is>
      </c>
      <c r="E168" s="18" t="inlineStr">
        <is>
          <t>yes</t>
        </is>
      </c>
      <c r="F168" s="19" t="inlineStr">
        <is>
          <t>no</t>
        </is>
      </c>
      <c r="G168" s="12" t="inlineStr">
        <is>
          <t>ready for manual test</t>
        </is>
      </c>
      <c r="H168" s="20" t="inlineStr">
        <is>
          <t>untested</t>
        </is>
      </c>
      <c r="I168" s="13" t="inlineStr">
        <is>
          <t>Combobox playground scenario.</t>
        </is>
      </c>
      <c r="J168" s="13" t="inlineStr">
        <is>
          <t>Manual verification needed.</t>
        </is>
      </c>
      <c r="K168" s="14">
        <f>IF(AND(E168="yes",F168="yes",H168="covered"),1,IF(H168="partial",0.5,0))</f>
        <v/>
      </c>
    </row>
    <row r="169" ht="15" customHeight="1" s="24">
      <c r="A169" s="12" t="n">
        <v>161</v>
      </c>
      <c r="B169" s="13" t="inlineStr">
        <is>
          <t>Forms</t>
        </is>
      </c>
      <c r="C169" s="13" t="inlineStr">
        <is>
          <t>Combobox</t>
        </is>
      </c>
      <c r="D169" s="13" t="inlineStr">
        <is>
          <t>form value participates correctly where supported</t>
        </is>
      </c>
      <c r="E169" s="18" t="inlineStr">
        <is>
          <t>yes</t>
        </is>
      </c>
      <c r="F169" s="19" t="inlineStr">
        <is>
          <t>no</t>
        </is>
      </c>
      <c r="G169" s="12" t="inlineStr">
        <is>
          <t>ready for manual test</t>
        </is>
      </c>
      <c r="H169" s="20" t="inlineStr">
        <is>
          <t>untested</t>
        </is>
      </c>
      <c r="I169" s="13" t="inlineStr">
        <is>
          <t>Combobox playground scenario.</t>
        </is>
      </c>
      <c r="J169" s="13" t="inlineStr">
        <is>
          <t>Manual verification needed.</t>
        </is>
      </c>
      <c r="K169" s="14">
        <f>IF(AND(E169="yes",F169="yes",H169="covered"),1,IF(H169="partial",0.5,0))</f>
        <v/>
      </c>
    </row>
    <row r="170" ht="30" customHeight="1" s="24">
      <c r="A170" s="12" t="n">
        <v>162</v>
      </c>
      <c r="B170" s="13" t="inlineStr">
        <is>
          <t>Forms</t>
        </is>
      </c>
      <c r="C170" s="13" t="inlineStr">
        <is>
          <t>Combobox</t>
        </is>
      </c>
      <c r="D170" s="13" t="inlineStr">
        <is>
          <t>hidden input mirrors value/checked/disabled where supported</t>
        </is>
      </c>
      <c r="E170" s="18" t="inlineStr">
        <is>
          <t>yes</t>
        </is>
      </c>
      <c r="F170" s="19" t="inlineStr">
        <is>
          <t>no</t>
        </is>
      </c>
      <c r="G170" s="12" t="inlineStr">
        <is>
          <t>ready for manual test</t>
        </is>
      </c>
      <c r="H170" s="20" t="inlineStr">
        <is>
          <t>untested</t>
        </is>
      </c>
      <c r="I170" s="13" t="inlineStr">
        <is>
          <t>Combobox playground scenario.</t>
        </is>
      </c>
      <c r="J170" s="13" t="inlineStr">
        <is>
          <t>Manual verification needed.</t>
        </is>
      </c>
      <c r="K170" s="14">
        <f>IF(AND(E170="yes",F170="yes",H170="covered"),1,IF(H170="partial",0.5,0))</f>
        <v/>
      </c>
    </row>
    <row r="171" ht="15" customHeight="1" s="24">
      <c r="A171" s="12" t="n">
        <v>163</v>
      </c>
      <c r="B171" s="13" t="inlineStr">
        <is>
          <t>Keyboard</t>
        </is>
      </c>
      <c r="C171" s="13" t="inlineStr">
        <is>
          <t>Combobox</t>
        </is>
      </c>
      <c r="D171" s="13" t="inlineStr">
        <is>
          <t>Arrow key navigation follows documented orientation</t>
        </is>
      </c>
      <c r="E171" s="18" t="inlineStr">
        <is>
          <t>yes</t>
        </is>
      </c>
      <c r="F171" s="19" t="inlineStr">
        <is>
          <t>no</t>
        </is>
      </c>
      <c r="G171" s="12" t="inlineStr">
        <is>
          <t>ready for manual test</t>
        </is>
      </c>
      <c r="H171" s="20" t="inlineStr">
        <is>
          <t>untested</t>
        </is>
      </c>
      <c r="I171" s="13" t="inlineStr">
        <is>
          <t>Combobox playground scenario.</t>
        </is>
      </c>
      <c r="J171" s="13" t="inlineStr">
        <is>
          <t>Manual verification needed.</t>
        </is>
      </c>
      <c r="K171" s="14">
        <f>IF(AND(E171="yes",F171="yes",H171="covered"),1,IF(H171="partial",0.5,0))</f>
        <v/>
      </c>
    </row>
    <row r="172" ht="15" customHeight="1" s="24">
      <c r="A172" s="12" t="n">
        <v>164</v>
      </c>
      <c r="B172" s="13" t="inlineStr">
        <is>
          <t>Keyboard</t>
        </is>
      </c>
      <c r="C172" s="13" t="inlineStr">
        <is>
          <t>Combobox</t>
        </is>
      </c>
      <c r="D172" s="13" t="inlineStr">
        <is>
          <t>Home and End navigation where supported</t>
        </is>
      </c>
      <c r="E172" s="18" t="inlineStr">
        <is>
          <t>yes</t>
        </is>
      </c>
      <c r="F172" s="19" t="inlineStr">
        <is>
          <t>no</t>
        </is>
      </c>
      <c r="G172" s="12" t="inlineStr">
        <is>
          <t>ready for manual test</t>
        </is>
      </c>
      <c r="H172" s="20" t="inlineStr">
        <is>
          <t>untested</t>
        </is>
      </c>
      <c r="I172" s="13" t="inlineStr">
        <is>
          <t>Combobox playground scenario.</t>
        </is>
      </c>
      <c r="J172" s="13" t="inlineStr">
        <is>
          <t>Manual verification needed.</t>
        </is>
      </c>
      <c r="K172" s="14">
        <f>IF(AND(E172="yes",F172="yes",H172="covered"),1,IF(H172="partial",0.5,0))</f>
        <v/>
      </c>
    </row>
    <row r="173" ht="15" customHeight="1" s="24">
      <c r="A173" s="12" t="n">
        <v>165</v>
      </c>
      <c r="B173" s="13" t="inlineStr">
        <is>
          <t>Keyboard</t>
        </is>
      </c>
      <c r="C173" s="13" t="inlineStr">
        <is>
          <t>Combobox</t>
        </is>
      </c>
      <c r="D173" s="13" t="inlineStr">
        <is>
          <t>disabled items are skipped or exposed according to pattern</t>
        </is>
      </c>
      <c r="E173" s="18" t="inlineStr">
        <is>
          <t>yes</t>
        </is>
      </c>
      <c r="F173" s="19" t="inlineStr">
        <is>
          <t>no</t>
        </is>
      </c>
      <c r="G173" s="12" t="inlineStr">
        <is>
          <t>ready for manual test</t>
        </is>
      </c>
      <c r="H173" s="20" t="inlineStr">
        <is>
          <t>untested</t>
        </is>
      </c>
      <c r="I173" s="13" t="inlineStr">
        <is>
          <t>Combobox playground scenario.</t>
        </is>
      </c>
      <c r="J173" s="13" t="inlineStr">
        <is>
          <t>Manual verification needed.</t>
        </is>
      </c>
      <c r="K173" s="14">
        <f>IF(AND(E173="yes",F173="yes",H173="covered"),1,IF(H173="partial",0.5,0))</f>
        <v/>
      </c>
    </row>
    <row r="174" ht="15" customHeight="1" s="24">
      <c r="A174" s="12" t="n">
        <v>166</v>
      </c>
      <c r="B174" s="13" t="inlineStr">
        <is>
          <t>Keyboard</t>
        </is>
      </c>
      <c r="C174" s="13" t="inlineStr">
        <is>
          <t>Combobox</t>
        </is>
      </c>
      <c r="D174" s="13" t="inlineStr">
        <is>
          <t>typeahead/search behavior where supported</t>
        </is>
      </c>
      <c r="E174" s="18" t="inlineStr">
        <is>
          <t>yes</t>
        </is>
      </c>
      <c r="F174" s="19" t="inlineStr">
        <is>
          <t>no</t>
        </is>
      </c>
      <c r="G174" s="12" t="inlineStr">
        <is>
          <t>ready for manual test</t>
        </is>
      </c>
      <c r="H174" s="20" t="inlineStr">
        <is>
          <t>untested</t>
        </is>
      </c>
      <c r="I174" s="13" t="inlineStr">
        <is>
          <t>Combobox playground scenario.</t>
        </is>
      </c>
      <c r="J174" s="13" t="inlineStr">
        <is>
          <t>Manual verification needed.</t>
        </is>
      </c>
      <c r="K174" s="14">
        <f>IF(AND(E174="yes",F174="yes",H174="covered"),1,IF(H174="partial",0.5,0))</f>
        <v/>
      </c>
    </row>
    <row r="175" ht="15" customHeight="1" s="24">
      <c r="A175" s="12" t="n">
        <v>167</v>
      </c>
      <c r="B175" s="13" t="inlineStr">
        <is>
          <t>Focus</t>
        </is>
      </c>
      <c r="C175" s="13" t="inlineStr">
        <is>
          <t>Combobox</t>
        </is>
      </c>
      <c r="D175" s="13" t="inlineStr">
        <is>
          <t>roving focus or active descendant state is visible</t>
        </is>
      </c>
      <c r="E175" s="18" t="inlineStr">
        <is>
          <t>yes</t>
        </is>
      </c>
      <c r="F175" s="19" t="inlineStr">
        <is>
          <t>no</t>
        </is>
      </c>
      <c r="G175" s="12" t="inlineStr">
        <is>
          <t>ready for manual test</t>
        </is>
      </c>
      <c r="H175" s="20" t="inlineStr">
        <is>
          <t>untested</t>
        </is>
      </c>
      <c r="I175" s="13" t="inlineStr">
        <is>
          <t>Combobox playground scenario.</t>
        </is>
      </c>
      <c r="J175" s="13" t="inlineStr">
        <is>
          <t>Manual verification needed.</t>
        </is>
      </c>
      <c r="K175" s="14">
        <f>IF(AND(E175="yes",F175="yes",H175="covered"),1,IF(H175="partial",0.5,0))</f>
        <v/>
      </c>
    </row>
    <row r="176" ht="15" customHeight="1" s="24">
      <c r="A176" s="12" t="n">
        <v>168</v>
      </c>
      <c r="B176" s="13" t="inlineStr">
        <is>
          <t>Portal</t>
        </is>
      </c>
      <c r="C176" s="13" t="inlineStr">
        <is>
          <t>Combobox</t>
        </is>
      </c>
      <c r="D176" s="13" t="inlineStr">
        <is>
          <t>portal renders in body by default</t>
        </is>
      </c>
      <c r="E176" s="18" t="inlineStr">
        <is>
          <t>yes</t>
        </is>
      </c>
      <c r="F176" s="19" t="inlineStr">
        <is>
          <t>no</t>
        </is>
      </c>
      <c r="G176" s="12" t="inlineStr">
        <is>
          <t>ready for manual test</t>
        </is>
      </c>
      <c r="H176" s="20" t="inlineStr">
        <is>
          <t>untested</t>
        </is>
      </c>
      <c r="I176" s="13" t="inlineStr">
        <is>
          <t>Combobox playground scenario.</t>
        </is>
      </c>
      <c r="J176" s="13" t="inlineStr">
        <is>
          <t>Manual verification needed.</t>
        </is>
      </c>
      <c r="K176" s="14">
        <f>IF(AND(E176="yes",F176="yes",H176="covered"),1,IF(H176="partial",0.5,0))</f>
        <v/>
      </c>
    </row>
    <row r="177" ht="15" customHeight="1" s="24">
      <c r="A177" s="12" t="n">
        <v>169</v>
      </c>
      <c r="B177" s="13" t="inlineStr">
        <is>
          <t>Portal</t>
        </is>
      </c>
      <c r="C177" s="13" t="inlineStr">
        <is>
          <t>Combobox</t>
        </is>
      </c>
      <c r="D177" s="13" t="inlineStr">
        <is>
          <t>custom/disabled portal path works where supported</t>
        </is>
      </c>
      <c r="E177" s="18" t="inlineStr">
        <is>
          <t>yes</t>
        </is>
      </c>
      <c r="F177" s="19" t="inlineStr">
        <is>
          <t>no</t>
        </is>
      </c>
      <c r="G177" s="12" t="inlineStr">
        <is>
          <t>ready for manual test</t>
        </is>
      </c>
      <c r="H177" s="20" t="inlineStr">
        <is>
          <t>untested</t>
        </is>
      </c>
      <c r="I177" s="13" t="inlineStr">
        <is>
          <t>Combobox playground scenario.</t>
        </is>
      </c>
      <c r="J177" s="13" t="inlineStr">
        <is>
          <t>Manual verification needed.</t>
        </is>
      </c>
      <c r="K177" s="14">
        <f>IF(AND(E177="yes",F177="yes",H177="covered"),1,IF(H177="partial",0.5,0))</f>
        <v/>
      </c>
    </row>
    <row r="178" ht="15" customHeight="1" s="24">
      <c r="A178" s="12" t="n">
        <v>170</v>
      </c>
      <c r="B178" s="13" t="inlineStr">
        <is>
          <t>Positioning</t>
        </is>
      </c>
      <c r="C178" s="13" t="inlineStr">
        <is>
          <t>Combobox</t>
        </is>
      </c>
      <c r="D178" s="13" t="inlineStr">
        <is>
          <t>side options position content correctly</t>
        </is>
      </c>
      <c r="E178" s="18" t="inlineStr">
        <is>
          <t>yes</t>
        </is>
      </c>
      <c r="F178" s="19" t="inlineStr">
        <is>
          <t>no</t>
        </is>
      </c>
      <c r="G178" s="12" t="inlineStr">
        <is>
          <t>ready for manual test</t>
        </is>
      </c>
      <c r="H178" s="20" t="inlineStr">
        <is>
          <t>untested</t>
        </is>
      </c>
      <c r="I178" s="13" t="inlineStr">
        <is>
          <t>Combobox playground scenario.</t>
        </is>
      </c>
      <c r="J178" s="13" t="inlineStr">
        <is>
          <t>Manual verification needed.</t>
        </is>
      </c>
      <c r="K178" s="14">
        <f>IF(AND(E178="yes",F178="yes",H178="covered"),1,IF(H178="partial",0.5,0))</f>
        <v/>
      </c>
    </row>
    <row r="179" ht="15" customHeight="1" s="24">
      <c r="A179" s="12" t="n">
        <v>171</v>
      </c>
      <c r="B179" s="13" t="inlineStr">
        <is>
          <t>Positioning</t>
        </is>
      </c>
      <c r="C179" s="13" t="inlineStr">
        <is>
          <t>Combobox</t>
        </is>
      </c>
      <c r="D179" s="13" t="inlineStr">
        <is>
          <t>align options position content correctly</t>
        </is>
      </c>
      <c r="E179" s="18" t="inlineStr">
        <is>
          <t>yes</t>
        </is>
      </c>
      <c r="F179" s="19" t="inlineStr">
        <is>
          <t>no</t>
        </is>
      </c>
      <c r="G179" s="12" t="inlineStr">
        <is>
          <t>ready for manual test</t>
        </is>
      </c>
      <c r="H179" s="20" t="inlineStr">
        <is>
          <t>untested</t>
        </is>
      </c>
      <c r="I179" s="13" t="inlineStr">
        <is>
          <t>Combobox playground scenario.</t>
        </is>
      </c>
      <c r="J179" s="13" t="inlineStr">
        <is>
          <t>Manual verification needed.</t>
        </is>
      </c>
      <c r="K179" s="14">
        <f>IF(AND(E179="yes",F179="yes",H179="covered"),1,IF(H179="partial",0.5,0))</f>
        <v/>
      </c>
    </row>
    <row r="180" ht="15" customHeight="1" s="24">
      <c r="A180" s="12" t="n">
        <v>172</v>
      </c>
      <c r="B180" s="13" t="inlineStr">
        <is>
          <t>Positioning</t>
        </is>
      </c>
      <c r="C180" s="13" t="inlineStr">
        <is>
          <t>Combobox</t>
        </is>
      </c>
      <c r="D180" s="13" t="inlineStr">
        <is>
          <t>collision/flip/shift behavior stays in viewport</t>
        </is>
      </c>
      <c r="E180" s="18" t="inlineStr">
        <is>
          <t>yes</t>
        </is>
      </c>
      <c r="F180" s="19" t="inlineStr">
        <is>
          <t>no</t>
        </is>
      </c>
      <c r="G180" s="12" t="inlineStr">
        <is>
          <t>ready for manual test</t>
        </is>
      </c>
      <c r="H180" s="20" t="inlineStr">
        <is>
          <t>untested</t>
        </is>
      </c>
      <c r="I180" s="13" t="inlineStr">
        <is>
          <t>Combobox playground scenario.</t>
        </is>
      </c>
      <c r="J180" s="13" t="inlineStr">
        <is>
          <t>Manual verification needed.</t>
        </is>
      </c>
      <c r="K180" s="14">
        <f>IF(AND(E180="yes",F180="yes",H180="covered"),1,IF(H180="partial",0.5,0))</f>
        <v/>
      </c>
    </row>
    <row r="181" ht="30" customHeight="1" s="24">
      <c r="A181" s="12" t="n">
        <v>173</v>
      </c>
      <c r="B181" s="13" t="inlineStr">
        <is>
          <t>Positioning</t>
        </is>
      </c>
      <c r="C181" s="13" t="inlineStr">
        <is>
          <t>Combobox</t>
        </is>
      </c>
      <c r="D181" s="13" t="inlineStr">
        <is>
          <t>arrow or anchor geometry matches content where supported</t>
        </is>
      </c>
      <c r="E181" s="18" t="inlineStr">
        <is>
          <t>yes</t>
        </is>
      </c>
      <c r="F181" s="19" t="inlineStr">
        <is>
          <t>no</t>
        </is>
      </c>
      <c r="G181" s="12" t="inlineStr">
        <is>
          <t>ready for manual test</t>
        </is>
      </c>
      <c r="H181" s="20" t="inlineStr">
        <is>
          <t>untested</t>
        </is>
      </c>
      <c r="I181" s="13" t="inlineStr">
        <is>
          <t>Combobox playground scenario.</t>
        </is>
      </c>
      <c r="J181" s="13" t="inlineStr">
        <is>
          <t>Manual verification needed.</t>
        </is>
      </c>
      <c r="K181" s="14">
        <f>IF(AND(E181="yes",F181="yes",H181="covered"),1,IF(H181="partial",0.5,0))</f>
        <v/>
      </c>
    </row>
  </sheetData>
  <autoFilter ref="A8:K181"/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ContextMenu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IFERROR(SUM(K9:K195)/COUNT(K9:K195),0)</f>
        <v/>
      </c>
      <c r="C4" s="8" t="inlineStr">
        <is>
          <t>Covered</t>
        </is>
      </c>
      <c r="D4" s="10">
        <f>COUNTIFS(E9:E195,"yes",F9:F195,"yes",H9:H195,"covered")</f>
        <v/>
      </c>
      <c r="E4" s="8" t="inlineStr">
        <is>
          <t>Partial</t>
        </is>
      </c>
      <c r="F4" s="10">
        <f>COUNTIF(H9:H195,"partial")</f>
        <v/>
      </c>
      <c r="G4" s="8" t="inlineStr">
        <is>
          <t>Missing</t>
        </is>
      </c>
      <c r="H4" s="10">
        <f>COUNTIFS(E9:E195,"&lt;&gt;yes") + COUNTIFS(E9:E195,"yes",H9:H195,"missing")</f>
        <v/>
      </c>
      <c r="I4" s="8" t="inlineStr">
        <is>
          <t>Untested</t>
        </is>
      </c>
      <c r="J4" s="10">
        <f>COUNTIFS(E9:E195,"yes",F9:F195,"&lt;&gt;yes") + COUNTIFS(E9:E195,"yes",F9:F195,"yes",H9:H195,"untested")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Public API</t>
        </is>
      </c>
      <c r="C9" s="13" t="inlineStr">
        <is>
          <t>Root</t>
        </is>
      </c>
      <c r="D9" s="13" t="inlineStr">
        <is>
          <t>open prop controls context menu visibility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 manual test</t>
        </is>
      </c>
      <c r="H9" s="22" t="inlineStr">
        <is>
          <t>covered</t>
        </is>
      </c>
      <c r="I9" s="13" t="inlineStr">
        <is>
          <t>ContextMenu playground scenario.</t>
        </is>
      </c>
      <c r="J9" s="13" t="n"/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Public API</t>
        </is>
      </c>
      <c r="C10" s="13" t="inlineStr">
        <is>
          <t>Root</t>
        </is>
      </c>
      <c r="D10" s="13" t="inlineStr">
        <is>
          <t>defaultOpen initializes uncontrolled open state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 manual test</t>
        </is>
      </c>
      <c r="H10" s="22" t="inlineStr">
        <is>
          <t>covered</t>
        </is>
      </c>
      <c r="I10" s="13" t="inlineStr">
        <is>
          <t>ContextMenu playground scenario.</t>
        </is>
      </c>
      <c r="J10" s="13" t="n"/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Public API</t>
        </is>
      </c>
      <c r="C11" s="13" t="inlineStr">
        <is>
          <t>Root</t>
        </is>
      </c>
      <c r="D11" s="13" t="inlineStr">
        <is>
          <t>onOpenChange fires on open and close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 manual test</t>
        </is>
      </c>
      <c r="H11" s="22" t="inlineStr">
        <is>
          <t>covered</t>
        </is>
      </c>
      <c r="I11" s="13" t="inlineStr">
        <is>
          <t>ContextMenu playground scenario.</t>
        </is>
      </c>
      <c r="J11" s="13" t="n"/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Public API</t>
        </is>
      </c>
      <c r="C12" s="13" t="inlineStr">
        <is>
          <t>Root</t>
        </is>
      </c>
      <c r="D12" s="13" t="inlineStr">
        <is>
          <t>modal true locks scroll while open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 manual test</t>
        </is>
      </c>
      <c r="H12" s="22" t="inlineStr">
        <is>
          <t>covered</t>
        </is>
      </c>
      <c r="I12" s="13" t="inlineStr">
        <is>
          <t>ContextMenu playground scenario.</t>
        </is>
      </c>
      <c r="J12" s="13" t="n"/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Public API</t>
        </is>
      </c>
      <c r="C13" s="13" t="inlineStr">
        <is>
          <t>Root</t>
        </is>
      </c>
      <c r="D13" s="13" t="inlineStr">
        <is>
          <t>modal false leaves page scroll unlocked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 manual test</t>
        </is>
      </c>
      <c r="H13" s="22" t="inlineStr">
        <is>
          <t>covered</t>
        </is>
      </c>
      <c r="I13" s="13" t="inlineStr">
        <is>
          <t>ContextMenu playground scenario.</t>
        </is>
      </c>
      <c r="J13" s="13" t="n"/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Public API</t>
        </is>
      </c>
      <c r="C14" s="13" t="inlineStr">
        <is>
          <t>Root</t>
        </is>
      </c>
      <c r="D14" s="13" t="inlineStr">
        <is>
          <t>closeOnSelect true closes action items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 manual test</t>
        </is>
      </c>
      <c r="H14" s="22" t="inlineStr">
        <is>
          <t>covered</t>
        </is>
      </c>
      <c r="I14" s="13" t="inlineStr">
        <is>
          <t>ContextMenu playground scenario.</t>
        </is>
      </c>
      <c r="J14" s="13" t="n"/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Public API</t>
        </is>
      </c>
      <c r="C15" s="13" t="inlineStr">
        <is>
          <t>Root</t>
        </is>
      </c>
      <c r="D15" s="13" t="inlineStr">
        <is>
          <t>closeOnSelect false keeps menu open after item select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 manual test</t>
        </is>
      </c>
      <c r="H15" s="22" t="inlineStr">
        <is>
          <t>covered</t>
        </is>
      </c>
      <c r="I15" s="13" t="inlineStr">
        <is>
          <t>ContextMenu playground scenario.</t>
        </is>
      </c>
      <c r="J15" s="13" t="n"/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Public API</t>
        </is>
      </c>
      <c r="C16" s="13" t="inlineStr">
        <is>
          <t>Root</t>
        </is>
      </c>
      <c r="D16" s="13" t="inlineStr">
        <is>
          <t>loop true wraps keyboard highlight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 manual test</t>
        </is>
      </c>
      <c r="H16" s="22" t="inlineStr">
        <is>
          <t>covered</t>
        </is>
      </c>
      <c r="I16" s="13" t="inlineStr">
        <is>
          <t>ContextMenu playground scenario.</t>
        </is>
      </c>
      <c r="J16" s="13" t="n"/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Public API</t>
        </is>
      </c>
      <c r="C17" s="13" t="inlineStr">
        <is>
          <t>Root</t>
        </is>
      </c>
      <c r="D17" s="13" t="inlineStr">
        <is>
          <t>loop false stops at first and last item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 manual test</t>
        </is>
      </c>
      <c r="H17" s="22" t="inlineStr">
        <is>
          <t>covered</t>
        </is>
      </c>
      <c r="I17" s="13" t="inlineStr">
        <is>
          <t>ContextMenu playground scenario.</t>
        </is>
      </c>
      <c r="J17" s="13" t="n"/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Public API</t>
        </is>
      </c>
      <c r="C18" s="13" t="inlineStr">
        <is>
          <t>Root</t>
        </is>
      </c>
      <c r="D18" s="13" t="inlineStr">
        <is>
          <t>closeOnEscape true closes on Escape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 manual test</t>
        </is>
      </c>
      <c r="H18" s="22" t="inlineStr">
        <is>
          <t>covered</t>
        </is>
      </c>
      <c r="I18" s="13" t="inlineStr">
        <is>
          <t>ContextMenu playground scenario.</t>
        </is>
      </c>
      <c r="J18" s="13" t="n"/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Public API</t>
        </is>
      </c>
      <c r="C19" s="13" t="inlineStr">
        <is>
          <t>Root</t>
        </is>
      </c>
      <c r="D19" s="13" t="inlineStr">
        <is>
          <t>closeOnEscape false ignores Escape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 manual test</t>
        </is>
      </c>
      <c r="H19" s="22" t="inlineStr">
        <is>
          <t>covered</t>
        </is>
      </c>
      <c r="I19" s="13" t="inlineStr">
        <is>
          <t>ContextMenu playground scenario.</t>
        </is>
      </c>
      <c r="J19" s="13" t="n"/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Public API</t>
        </is>
      </c>
      <c r="C20" s="13" t="inlineStr">
        <is>
          <t>Root</t>
        </is>
      </c>
      <c r="D20" s="13" t="inlineStr">
        <is>
          <t>right-click anchor point controls content position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 manual test</t>
        </is>
      </c>
      <c r="H20" s="22" t="inlineStr">
        <is>
          <t>covered</t>
        </is>
      </c>
      <c r="I20" s="13" t="inlineStr">
        <is>
          <t>ContextMenu playground scenario.</t>
        </is>
      </c>
      <c r="J20" s="13" t="n"/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Public API</t>
        </is>
      </c>
      <c r="C21" s="13" t="inlineStr">
        <is>
          <t>Root</t>
        </is>
      </c>
      <c r="D21" s="13" t="inlineStr">
        <is>
          <t>keyboard anchor point uses trigger bounds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 manual test</t>
        </is>
      </c>
      <c r="H21" s="22" t="inlineStr">
        <is>
          <t>covered</t>
        </is>
      </c>
      <c r="I21" s="13" t="inlineStr">
        <is>
          <t>ContextMenu playground scenario.</t>
        </is>
      </c>
      <c r="J21" s="13" t="n"/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Public API</t>
        </is>
      </c>
      <c r="C22" s="13" t="inlineStr">
        <is>
          <t>Trigger</t>
        </is>
      </c>
      <c r="D22" s="13" t="inlineStr">
        <is>
          <t>renders span by default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 manual test</t>
        </is>
      </c>
      <c r="H22" s="22" t="inlineStr">
        <is>
          <t>covered</t>
        </is>
      </c>
      <c r="I22" s="13" t="inlineStr">
        <is>
          <t>ContextMenu playground scenario.</t>
        </is>
      </c>
      <c r="J22" s="13" t="n"/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Public API</t>
        </is>
      </c>
      <c r="C23" s="13" t="inlineStr">
        <is>
          <t>Trigger</t>
        </is>
      </c>
      <c r="D23" s="13" t="inlineStr">
        <is>
          <t>default trigger uses display contents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 manual test</t>
        </is>
      </c>
      <c r="H23" s="22" t="inlineStr">
        <is>
          <t>covered</t>
        </is>
      </c>
      <c r="I23" s="13" t="inlineStr">
        <is>
          <t>ContextMenu playground scenario.</t>
        </is>
      </c>
      <c r="J23" s="13" t="n"/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Public API</t>
        </is>
      </c>
      <c r="C24" s="13" t="inlineStr">
        <is>
          <t>Trigger</t>
        </is>
      </c>
      <c r="D24" s="13" t="inlineStr">
        <is>
          <t>trigger id is stable and present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 manual test</t>
        </is>
      </c>
      <c r="H24" s="22" t="inlineStr">
        <is>
          <t>covered</t>
        </is>
      </c>
      <c r="I24" s="13" t="inlineStr">
        <is>
          <t>ContextMenu playground scenario.</t>
        </is>
      </c>
      <c r="J24" s="13" t="n"/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Trigger</t>
        </is>
      </c>
      <c r="D25" s="13" t="inlineStr">
        <is>
          <t>data-slot is context-menu-trigger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 manual test</t>
        </is>
      </c>
      <c r="H25" s="22" t="inlineStr">
        <is>
          <t>covered</t>
        </is>
      </c>
      <c r="I25" s="13" t="inlineStr">
        <is>
          <t>ContextMenu playground scenario.</t>
        </is>
      </c>
      <c r="J25" s="13" t="n"/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Trigger</t>
        </is>
      </c>
      <c r="D26" s="13" t="inlineStr">
        <is>
          <t>data-state reflects open and closed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 manual test</t>
        </is>
      </c>
      <c r="H26" s="22" t="inlineStr">
        <is>
          <t>covered</t>
        </is>
      </c>
      <c r="I26" s="13" t="inlineStr">
        <is>
          <t>ContextMenu playground scenario.</t>
        </is>
      </c>
      <c r="J26" s="13" t="n"/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Trigger</t>
        </is>
      </c>
      <c r="D27" s="13" t="inlineStr">
        <is>
          <t>disabled trigger exposes data-disabled flag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 manual test</t>
        </is>
      </c>
      <c r="H27" s="22" t="inlineStr">
        <is>
          <t>covered</t>
        </is>
      </c>
      <c r="I27" s="13" t="inlineStr">
        <is>
          <t>ContextMenu playground scenario.</t>
        </is>
      </c>
      <c r="J27" s="13" t="n"/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Trigger</t>
        </is>
      </c>
      <c r="D28" s="13" t="inlineStr">
        <is>
          <t>right click prevents native browser menu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 manual test</t>
        </is>
      </c>
      <c r="H28" s="22" t="inlineStr">
        <is>
          <t>covered</t>
        </is>
      </c>
      <c r="I28" s="13" t="inlineStr">
        <is>
          <t>ContextMenu playground scenario.</t>
        </is>
      </c>
      <c r="J28" s="13" t="n"/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Trigger</t>
        </is>
      </c>
      <c r="D29" s="13" t="inlineStr">
        <is>
          <t>right click opens context menu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 manual test</t>
        </is>
      </c>
      <c r="H29" s="22" t="inlineStr">
        <is>
          <t>covered</t>
        </is>
      </c>
      <c r="I29" s="13" t="inlineStr">
        <is>
          <t>ContextMenu playground scenario.</t>
        </is>
      </c>
      <c r="J29" s="13" t="n"/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Trigger</t>
        </is>
      </c>
      <c r="D30" s="13" t="inlineStr">
        <is>
          <t>disabled right click does not open menu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 manual test</t>
        </is>
      </c>
      <c r="H30" s="22" t="inlineStr">
        <is>
          <t>covered</t>
        </is>
      </c>
      <c r="I30" s="13" t="inlineStr">
        <is>
          <t>ContextMenu playground scenario.</t>
        </is>
      </c>
      <c r="J30" s="13" t="n"/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Trigger</t>
        </is>
      </c>
      <c r="D31" s="13" t="inlineStr">
        <is>
          <t>Shift+F10 opens context menu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 manual test</t>
        </is>
      </c>
      <c r="H31" s="22" t="inlineStr">
        <is>
          <t>covered</t>
        </is>
      </c>
      <c r="I31" s="13" t="inlineStr">
        <is>
          <t>ContextMenu playground scenario.</t>
        </is>
      </c>
      <c r="J31" s="13" t="n"/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Trigger</t>
        </is>
      </c>
      <c r="D32" s="13" t="inlineStr">
        <is>
          <t>ContextMenu key opens context menu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 manual test</t>
        </is>
      </c>
      <c r="H32" s="22" t="inlineStr">
        <is>
          <t>covered</t>
        </is>
      </c>
      <c r="I32" s="13" t="inlineStr">
        <is>
          <t>ContextMenu playground scenario.</t>
        </is>
      </c>
      <c r="J32" s="13" t="n"/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Trigger</t>
        </is>
      </c>
      <c r="D33" s="13" t="inlineStr">
        <is>
          <t>consumer onContextMenu runs before Atom open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 manual test</t>
        </is>
      </c>
      <c r="H33" s="22" t="inlineStr">
        <is>
          <t>covered</t>
        </is>
      </c>
      <c r="I33" s="13" t="inlineStr">
        <is>
          <t>ContextMenu playground scenario.</t>
        </is>
      </c>
      <c r="J33" s="13" t="n"/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Trigger</t>
        </is>
      </c>
      <c r="D34" s="13" t="inlineStr">
        <is>
          <t>consumer onContextMenu can prevent Atom open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 manual test</t>
        </is>
      </c>
      <c r="H34" s="22" t="inlineStr">
        <is>
          <t>covered</t>
        </is>
      </c>
      <c r="I34" s="13" t="inlineStr">
        <is>
          <t>ContextMenu playground scenario.</t>
        </is>
      </c>
      <c r="J34" s="13" t="n"/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Trigger</t>
        </is>
      </c>
      <c r="D35" s="13" t="inlineStr">
        <is>
          <t>consumer onKeyDown can prevent keyboard open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passed manual test</t>
        </is>
      </c>
      <c r="H35" s="22" t="inlineStr">
        <is>
          <t>covered</t>
        </is>
      </c>
      <c r="I35" s="13" t="inlineStr">
        <is>
          <t>ContextMenu playground scenario.</t>
        </is>
      </c>
      <c r="J35" s="13" t="n"/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Trigger</t>
        </is>
      </c>
      <c r="D36" s="13" t="inlineStr">
        <is>
          <t>native className and data props pass through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passed manual test</t>
        </is>
      </c>
      <c r="H36" s="22" t="inlineStr">
        <is>
          <t>covered</t>
        </is>
      </c>
      <c r="I36" s="13" t="inlineStr">
        <is>
          <t>ContextMenu playground scenario.</t>
        </is>
      </c>
      <c r="J36" s="13" t="n"/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Trigger</t>
        </is>
      </c>
      <c r="D37" s="13" t="inlineStr">
        <is>
          <t>asChild trigger preserves child content without nesting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passed manual test</t>
        </is>
      </c>
      <c r="H37" s="22" t="inlineStr">
        <is>
          <t>covered</t>
        </is>
      </c>
      <c r="I37" s="13" t="inlineStr">
        <is>
          <t>ContextMenu playground scenario.</t>
        </is>
      </c>
      <c r="J37" s="13" t="n"/>
      <c r="K37" s="14">
        <f>IF(AND(E37="yes",F37="yes",H37="covered"),1,IF(H37="partial",0.5,0))</f>
        <v/>
      </c>
    </row>
    <row r="38" ht="30" customHeight="1" s="24">
      <c r="A38" s="12" t="n">
        <v>30</v>
      </c>
      <c r="B38" s="13" t="inlineStr">
        <is>
          <t>Public API</t>
        </is>
      </c>
      <c r="C38" s="13" t="inlineStr">
        <is>
          <t>Trigger</t>
        </is>
      </c>
      <c r="D38" s="13" t="inlineStr">
        <is>
          <t>asChild trigger receives ContextMenu trigger data attributes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passed manual test</t>
        </is>
      </c>
      <c r="H38" s="22" t="inlineStr">
        <is>
          <t>covered</t>
        </is>
      </c>
      <c r="I38" s="13" t="inlineStr">
        <is>
          <t>ContextMenu playground scenario.</t>
        </is>
      </c>
      <c r="J38" s="13" t="n"/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Trigger</t>
        </is>
      </c>
      <c r="D39" s="13" t="inlineStr">
        <is>
          <t>render trigger preserves custom element content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passed manual test</t>
        </is>
      </c>
      <c r="H39" s="22" t="inlineStr">
        <is>
          <t>covered</t>
        </is>
      </c>
      <c r="I39" s="13" t="inlineStr">
        <is>
          <t>ContextMenu playground scenario.</t>
        </is>
      </c>
      <c r="J39" s="13" t="n"/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Trigger</t>
        </is>
      </c>
      <c r="D40" s="13" t="inlineStr">
        <is>
          <t>render trigger receives ContextMenu trigger data attributes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passed manual test</t>
        </is>
      </c>
      <c r="H40" s="22" t="inlineStr">
        <is>
          <t>covered</t>
        </is>
      </c>
      <c r="I40" s="13" t="inlineStr">
        <is>
          <t>ContextMenu playground scenario.</t>
        </is>
      </c>
      <c r="J40" s="13" t="n"/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Content</t>
        </is>
      </c>
      <c r="D41" s="13" t="inlineStr">
        <is>
          <t>renders only while open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passed manual test</t>
        </is>
      </c>
      <c r="H41" s="22" t="inlineStr">
        <is>
          <t>covered</t>
        </is>
      </c>
      <c r="I41" s="13" t="inlineStr">
        <is>
          <t>ContextMenu playground scenario.</t>
        </is>
      </c>
      <c r="J41" s="13" t="n"/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Content</t>
        </is>
      </c>
      <c r="D42" s="13" t="inlineStr">
        <is>
          <t>role is menu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passed manual test</t>
        </is>
      </c>
      <c r="H42" s="22" t="inlineStr">
        <is>
          <t>covered</t>
        </is>
      </c>
      <c r="I42" s="13" t="inlineStr">
        <is>
          <t>ContextMenu playground scenario.</t>
        </is>
      </c>
      <c r="J42" s="13" t="n"/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Content</t>
        </is>
      </c>
      <c r="D43" s="13" t="inlineStr">
        <is>
          <t>aria-orientation is vertical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passed manual test</t>
        </is>
      </c>
      <c r="H43" s="22" t="inlineStr">
        <is>
          <t>covered</t>
        </is>
      </c>
      <c r="I43" s="13" t="inlineStr">
        <is>
          <t>ContextMenu playground scenario.</t>
        </is>
      </c>
      <c r="J43" s="13" t="n"/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Content</t>
        </is>
      </c>
      <c r="D44" s="13" t="inlineStr">
        <is>
          <t>aria-label prop names menu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passed manual test</t>
        </is>
      </c>
      <c r="H44" s="22" t="inlineStr">
        <is>
          <t>covered</t>
        </is>
      </c>
      <c r="I44" s="13" t="inlineStr">
        <is>
          <t>ContextMenu playground scenario.</t>
        </is>
      </c>
      <c r="J44" s="13" t="n"/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Public API</t>
        </is>
      </c>
      <c r="C45" s="13" t="inlineStr">
        <is>
          <t>Content</t>
        </is>
      </c>
      <c r="D45" s="13" t="inlineStr">
        <is>
          <t>aria-labelledby references trigger when ariaLabel is absent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passed manual test</t>
        </is>
      </c>
      <c r="H45" s="22" t="inlineStr">
        <is>
          <t>covered</t>
        </is>
      </c>
      <c r="I45" s="13" t="inlineStr">
        <is>
          <t>ContextMenu playground scenario.</t>
        </is>
      </c>
      <c r="J45" s="13" t="n"/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Public API</t>
        </is>
      </c>
      <c r="C46" s="13" t="inlineStr">
        <is>
          <t>Content</t>
        </is>
      </c>
      <c r="D46" s="13" t="inlineStr">
        <is>
          <t>tabindex attr is -1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passed manual test</t>
        </is>
      </c>
      <c r="H46" s="22" t="inlineStr">
        <is>
          <t>covered</t>
        </is>
      </c>
      <c r="I46" s="13" t="inlineStr">
        <is>
          <t>ContextMenu playground scenario.</t>
        </is>
      </c>
      <c r="J46" s="13" t="n"/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Public API</t>
        </is>
      </c>
      <c r="C47" s="13" t="inlineStr">
        <is>
          <t>Content</t>
        </is>
      </c>
      <c r="D47" s="13" t="inlineStr">
        <is>
          <t>id matches trigger aria-controls when available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passed manual test</t>
        </is>
      </c>
      <c r="H47" s="22" t="inlineStr">
        <is>
          <t>covered</t>
        </is>
      </c>
      <c r="I47" s="13" t="inlineStr">
        <is>
          <t>ContextMenu playground scenario.</t>
        </is>
      </c>
      <c r="J47" s="13" t="n"/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Content</t>
        </is>
      </c>
      <c r="D48" s="13" t="inlineStr">
        <is>
          <t>data-slot is menu-content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passed manual test</t>
        </is>
      </c>
      <c r="H48" s="22" t="inlineStr">
        <is>
          <t>covered</t>
        </is>
      </c>
      <c r="I48" s="13" t="inlineStr">
        <is>
          <t>ContextMenu playground scenario.</t>
        </is>
      </c>
      <c r="J48" s="13" t="n"/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Content</t>
        </is>
      </c>
      <c r="D49" s="13" t="inlineStr">
        <is>
          <t>data-state is open</t>
        </is>
      </c>
      <c r="E49" s="18" t="inlineStr">
        <is>
          <t>yes</t>
        </is>
      </c>
      <c r="F49" s="18" t="inlineStr">
        <is>
          <t>yes</t>
        </is>
      </c>
      <c r="G49" s="12" t="inlineStr">
        <is>
          <t>passed manual test</t>
        </is>
      </c>
      <c r="H49" s="22" t="inlineStr">
        <is>
          <t>covered</t>
        </is>
      </c>
      <c r="I49" s="13" t="inlineStr">
        <is>
          <t>ContextMenu playground scenario.</t>
        </is>
      </c>
      <c r="J49" s="13" t="n"/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Content</t>
        </is>
      </c>
      <c r="D50" s="13" t="inlineStr">
        <is>
          <t>data-side reflects final placement</t>
        </is>
      </c>
      <c r="E50" s="18" t="inlineStr">
        <is>
          <t>yes</t>
        </is>
      </c>
      <c r="F50" s="18" t="inlineStr">
        <is>
          <t>yes</t>
        </is>
      </c>
      <c r="G50" s="12" t="inlineStr">
        <is>
          <t>passed manual test</t>
        </is>
      </c>
      <c r="H50" s="22" t="inlineStr">
        <is>
          <t>covered</t>
        </is>
      </c>
      <c r="I50" s="13" t="inlineStr">
        <is>
          <t>ContextMenu playground scenario.</t>
        </is>
      </c>
      <c r="J50" s="13" t="n"/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Content</t>
        </is>
      </c>
      <c r="D51" s="13" t="inlineStr">
        <is>
          <t>data-align reflects final placement</t>
        </is>
      </c>
      <c r="E51" s="18" t="inlineStr">
        <is>
          <t>yes</t>
        </is>
      </c>
      <c r="F51" s="18" t="inlineStr">
        <is>
          <t>yes</t>
        </is>
      </c>
      <c r="G51" s="12" t="inlineStr">
        <is>
          <t>passed manual test</t>
        </is>
      </c>
      <c r="H51" s="22" t="inlineStr">
        <is>
          <t>covered</t>
        </is>
      </c>
      <c r="I51" s="13" t="inlineStr">
        <is>
          <t>ContextMenu playground scenario.</t>
        </is>
      </c>
      <c r="J51" s="13" t="n"/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Content</t>
        </is>
      </c>
      <c r="D52" s="13" t="inlineStr">
        <is>
          <t>data-positioned appears after positioning</t>
        </is>
      </c>
      <c r="E52" s="18" t="inlineStr">
        <is>
          <t>yes</t>
        </is>
      </c>
      <c r="F52" s="18" t="inlineStr">
        <is>
          <t>yes</t>
        </is>
      </c>
      <c r="G52" s="12" t="inlineStr">
        <is>
          <t>passed manual test</t>
        </is>
      </c>
      <c r="H52" s="22" t="inlineStr">
        <is>
          <t>covered</t>
        </is>
      </c>
      <c r="I52" s="13" t="inlineStr">
        <is>
          <t>ContextMenu playground scenario.</t>
        </is>
      </c>
      <c r="J52" s="13" t="n"/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Content</t>
        </is>
      </c>
      <c r="D53" s="13" t="inlineStr">
        <is>
          <t>side prop changes placement</t>
        </is>
      </c>
      <c r="E53" s="18" t="inlineStr">
        <is>
          <t>yes</t>
        </is>
      </c>
      <c r="F53" s="18" t="inlineStr">
        <is>
          <t>yes</t>
        </is>
      </c>
      <c r="G53" s="12" t="inlineStr">
        <is>
          <t>passed manual test</t>
        </is>
      </c>
      <c r="H53" s="22" t="inlineStr">
        <is>
          <t>covered</t>
        </is>
      </c>
      <c r="I53" s="13" t="inlineStr">
        <is>
          <t>ContextMenu playground scenario.</t>
        </is>
      </c>
      <c r="J53" s="13" t="n"/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Content</t>
        </is>
      </c>
      <c r="D54" s="13" t="inlineStr">
        <is>
          <t>align prop changes placement</t>
        </is>
      </c>
      <c r="E54" s="18" t="inlineStr">
        <is>
          <t>yes</t>
        </is>
      </c>
      <c r="F54" s="18" t="inlineStr">
        <is>
          <t>yes</t>
        </is>
      </c>
      <c r="G54" s="12" t="inlineStr">
        <is>
          <t>passed manual test</t>
        </is>
      </c>
      <c r="H54" s="22" t="inlineStr">
        <is>
          <t>covered</t>
        </is>
      </c>
      <c r="I54" s="13" t="inlineStr">
        <is>
          <t>ContextMenu playground scenario.</t>
        </is>
      </c>
      <c r="J54" s="13" t="n"/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Content</t>
        </is>
      </c>
      <c r="D55" s="13" t="inlineStr">
        <is>
          <t>sideOffset changes menu distance</t>
        </is>
      </c>
      <c r="E55" s="18" t="inlineStr">
        <is>
          <t>yes</t>
        </is>
      </c>
      <c r="F55" s="18" t="inlineStr">
        <is>
          <t>yes</t>
        </is>
      </c>
      <c r="G55" s="12" t="inlineStr">
        <is>
          <t>passed manual test</t>
        </is>
      </c>
      <c r="H55" s="22" t="inlineStr">
        <is>
          <t>covered</t>
        </is>
      </c>
      <c r="I55" s="13" t="inlineStr">
        <is>
          <t>ContextMenu playground scenario.</t>
        </is>
      </c>
      <c r="J55" s="13" t="n"/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Public API</t>
        </is>
      </c>
      <c r="C56" s="13" t="inlineStr">
        <is>
          <t>Content</t>
        </is>
      </c>
      <c r="D56" s="13" t="inlineStr">
        <is>
          <t>loop prop overrides root loop</t>
        </is>
      </c>
      <c r="E56" s="18" t="inlineStr">
        <is>
          <t>yes</t>
        </is>
      </c>
      <c r="F56" s="18" t="inlineStr">
        <is>
          <t>yes</t>
        </is>
      </c>
      <c r="G56" s="12" t="inlineStr">
        <is>
          <t>passed manual test</t>
        </is>
      </c>
      <c r="H56" s="22" t="inlineStr">
        <is>
          <t>covered</t>
        </is>
      </c>
      <c r="I56" s="13" t="inlineStr">
        <is>
          <t>ContextMenu playground scenario.</t>
        </is>
      </c>
      <c r="J56" s="13" t="n"/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Public API</t>
        </is>
      </c>
      <c r="C57" s="13" t="inlineStr">
        <is>
          <t>Content</t>
        </is>
      </c>
      <c r="D57" s="13" t="inlineStr">
        <is>
          <t>native className and data props pass through</t>
        </is>
      </c>
      <c r="E57" s="18" t="inlineStr">
        <is>
          <t>yes</t>
        </is>
      </c>
      <c r="F57" s="18" t="inlineStr">
        <is>
          <t>yes</t>
        </is>
      </c>
      <c r="G57" s="12" t="inlineStr">
        <is>
          <t>passed manual test</t>
        </is>
      </c>
      <c r="H57" s="22" t="inlineStr">
        <is>
          <t>covered</t>
        </is>
      </c>
      <c r="I57" s="13" t="inlineStr">
        <is>
          <t>ContextMenu playground scenario.</t>
        </is>
      </c>
      <c r="J57" s="13" t="n"/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Public API</t>
        </is>
      </c>
      <c r="C58" s="13" t="inlineStr">
        <is>
          <t>Content</t>
        </is>
      </c>
      <c r="D58" s="13" t="inlineStr">
        <is>
          <t>onKeyDownCapture can block Atom key behavior</t>
        </is>
      </c>
      <c r="E58" s="18" t="inlineStr">
        <is>
          <t>yes</t>
        </is>
      </c>
      <c r="F58" s="18" t="inlineStr">
        <is>
          <t>yes</t>
        </is>
      </c>
      <c r="G58" s="12" t="inlineStr">
        <is>
          <t>passed manual test</t>
        </is>
      </c>
      <c r="H58" s="22" t="inlineStr">
        <is>
          <t>covered</t>
        </is>
      </c>
      <c r="I58" s="13" t="inlineStr">
        <is>
          <t>ContextMenu playground scenario.</t>
        </is>
      </c>
      <c r="J58" s="13" t="n"/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Public API</t>
        </is>
      </c>
      <c r="C59" s="13" t="inlineStr">
        <is>
          <t>Item</t>
        </is>
      </c>
      <c r="D59" s="13" t="inlineStr">
        <is>
          <t>renders role menuitem</t>
        </is>
      </c>
      <c r="E59" s="18" t="inlineStr">
        <is>
          <t>yes</t>
        </is>
      </c>
      <c r="F59" s="18" t="inlineStr">
        <is>
          <t>yes</t>
        </is>
      </c>
      <c r="G59" s="12" t="inlineStr">
        <is>
          <t>passed manual test</t>
        </is>
      </c>
      <c r="H59" s="22" t="inlineStr">
        <is>
          <t>covered</t>
        </is>
      </c>
      <c r="I59" s="13" t="inlineStr">
        <is>
          <t>ContextMenu playground scenario.</t>
        </is>
      </c>
      <c r="J59" s="13" t="n"/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Item</t>
        </is>
      </c>
      <c r="D60" s="13" t="inlineStr">
        <is>
          <t>value appears as data-value</t>
        </is>
      </c>
      <c r="E60" s="18" t="inlineStr">
        <is>
          <t>yes</t>
        </is>
      </c>
      <c r="F60" s="18" t="inlineStr">
        <is>
          <t>yes</t>
        </is>
      </c>
      <c r="G60" s="12" t="inlineStr">
        <is>
          <t>passed manual test</t>
        </is>
      </c>
      <c r="H60" s="22" t="inlineStr">
        <is>
          <t>covered</t>
        </is>
      </c>
      <c r="I60" s="13" t="inlineStr">
        <is>
          <t>ContextMenu playground scenario.</t>
        </is>
      </c>
      <c r="J60" s="13" t="n"/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Item</t>
        </is>
      </c>
      <c r="D61" s="13" t="inlineStr">
        <is>
          <t>data-slot is menu-item</t>
        </is>
      </c>
      <c r="E61" s="18" t="inlineStr">
        <is>
          <t>yes</t>
        </is>
      </c>
      <c r="F61" s="18" t="inlineStr">
        <is>
          <t>yes</t>
        </is>
      </c>
      <c r="G61" s="12" t="inlineStr">
        <is>
          <t>passed manual test</t>
        </is>
      </c>
      <c r="H61" s="22" t="inlineStr">
        <is>
          <t>covered</t>
        </is>
      </c>
      <c r="I61" s="13" t="inlineStr">
        <is>
          <t>ContextMenu playground scenario.</t>
        </is>
      </c>
      <c r="J61" s="13" t="n"/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Item</t>
        </is>
      </c>
      <c r="D62" s="13" t="inlineStr">
        <is>
          <t>onSelect fires on click</t>
        </is>
      </c>
      <c r="E62" s="18" t="inlineStr">
        <is>
          <t>yes</t>
        </is>
      </c>
      <c r="F62" s="18" t="inlineStr">
        <is>
          <t>yes</t>
        </is>
      </c>
      <c r="G62" s="12" t="inlineStr">
        <is>
          <t>passed manual test</t>
        </is>
      </c>
      <c r="H62" s="22" t="inlineStr">
        <is>
          <t>covered</t>
        </is>
      </c>
      <c r="I62" s="13" t="inlineStr">
        <is>
          <t>ContextMenu playground scenario.</t>
        </is>
      </c>
      <c r="J62" s="13" t="n"/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Public API</t>
        </is>
      </c>
      <c r="C63" s="13" t="inlineStr">
        <is>
          <t>Item</t>
        </is>
      </c>
      <c r="D63" s="13" t="inlineStr">
        <is>
          <t>onSelect fires on Enter</t>
        </is>
      </c>
      <c r="E63" s="18" t="inlineStr">
        <is>
          <t>yes</t>
        </is>
      </c>
      <c r="F63" s="18" t="inlineStr">
        <is>
          <t>yes</t>
        </is>
      </c>
      <c r="G63" s="12" t="inlineStr">
        <is>
          <t>passed manual test</t>
        </is>
      </c>
      <c r="H63" s="22" t="inlineStr">
        <is>
          <t>covered</t>
        </is>
      </c>
      <c r="I63" s="13" t="inlineStr">
        <is>
          <t>ContextMenu playground scenario.</t>
        </is>
      </c>
      <c r="J63" s="13" t="n"/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Item</t>
        </is>
      </c>
      <c r="D64" s="13" t="inlineStr">
        <is>
          <t>onSelect fires on Space</t>
        </is>
      </c>
      <c r="E64" s="18" t="inlineStr">
        <is>
          <t>yes</t>
        </is>
      </c>
      <c r="F64" s="18" t="inlineStr">
        <is>
          <t>yes</t>
        </is>
      </c>
      <c r="G64" s="12" t="inlineStr">
        <is>
          <t>passed manual test</t>
        </is>
      </c>
      <c r="H64" s="22" t="inlineStr">
        <is>
          <t>covered</t>
        </is>
      </c>
      <c r="I64" s="13" t="inlineStr">
        <is>
          <t>ContextMenu playground scenario.</t>
        </is>
      </c>
      <c r="J64" s="13" t="n"/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Public API</t>
        </is>
      </c>
      <c r="C65" s="13" t="inlineStr">
        <is>
          <t>Item</t>
        </is>
      </c>
      <c r="D65" s="13" t="inlineStr">
        <is>
          <t>disabled item exposes aria-disabled true</t>
        </is>
      </c>
      <c r="E65" s="18" t="inlineStr">
        <is>
          <t>yes</t>
        </is>
      </c>
      <c r="F65" s="18" t="inlineStr">
        <is>
          <t>yes</t>
        </is>
      </c>
      <c r="G65" s="12" t="inlineStr">
        <is>
          <t>passed manual test</t>
        </is>
      </c>
      <c r="H65" s="22" t="inlineStr">
        <is>
          <t>covered</t>
        </is>
      </c>
      <c r="I65" s="13" t="inlineStr">
        <is>
          <t>ContextMenu playground scenario.</t>
        </is>
      </c>
      <c r="J65" s="13" t="n"/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Public API</t>
        </is>
      </c>
      <c r="C66" s="13" t="inlineStr">
        <is>
          <t>Item</t>
        </is>
      </c>
      <c r="D66" s="13" t="inlineStr">
        <is>
          <t>disabled item exposes data-disabled flag</t>
        </is>
      </c>
      <c r="E66" s="18" t="inlineStr">
        <is>
          <t>yes</t>
        </is>
      </c>
      <c r="F66" s="18" t="inlineStr">
        <is>
          <t>yes</t>
        </is>
      </c>
      <c r="G66" s="12" t="inlineStr">
        <is>
          <t>passed manual test</t>
        </is>
      </c>
      <c r="H66" s="22" t="inlineStr">
        <is>
          <t>covered</t>
        </is>
      </c>
      <c r="I66" s="13" t="inlineStr">
        <is>
          <t>ContextMenu playground scenario.</t>
        </is>
      </c>
      <c r="J66" s="13" t="n"/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Public API</t>
        </is>
      </c>
      <c r="C67" s="13" t="inlineStr">
        <is>
          <t>Item</t>
        </is>
      </c>
      <c r="D67" s="13" t="inlineStr">
        <is>
          <t>disabled item is skipped by keyboard</t>
        </is>
      </c>
      <c r="E67" s="18" t="inlineStr">
        <is>
          <t>yes</t>
        </is>
      </c>
      <c r="F67" s="18" t="inlineStr">
        <is>
          <t>yes</t>
        </is>
      </c>
      <c r="G67" s="12" t="inlineStr">
        <is>
          <t>passed manual test</t>
        </is>
      </c>
      <c r="H67" s="22" t="inlineStr">
        <is>
          <t>covered</t>
        </is>
      </c>
      <c r="I67" s="13" t="inlineStr">
        <is>
          <t>ContextMenu playground scenario.</t>
        </is>
      </c>
      <c r="J67" s="13" t="n"/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Public API</t>
        </is>
      </c>
      <c r="C68" s="13" t="inlineStr">
        <is>
          <t>Item</t>
        </is>
      </c>
      <c r="D68" s="13" t="inlineStr">
        <is>
          <t>consumer onClick can prevent Atom behavior</t>
        </is>
      </c>
      <c r="E68" s="18" t="inlineStr">
        <is>
          <t>yes</t>
        </is>
      </c>
      <c r="F68" s="18" t="inlineStr">
        <is>
          <t>yes</t>
        </is>
      </c>
      <c r="G68" s="12" t="inlineStr">
        <is>
          <t>passed manual test</t>
        </is>
      </c>
      <c r="H68" s="22" t="inlineStr">
        <is>
          <t>covered</t>
        </is>
      </c>
      <c r="I68" s="13" t="inlineStr">
        <is>
          <t>ContextMenu playground scenario.</t>
        </is>
      </c>
      <c r="J68" s="13" t="n"/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Public API</t>
        </is>
      </c>
      <c r="C69" s="13" t="inlineStr">
        <is>
          <t>Item</t>
        </is>
      </c>
      <c r="D69" s="13" t="inlineStr">
        <is>
          <t>native className and data props pass through</t>
        </is>
      </c>
      <c r="E69" s="18" t="inlineStr">
        <is>
          <t>yes</t>
        </is>
      </c>
      <c r="F69" s="18" t="inlineStr">
        <is>
          <t>yes</t>
        </is>
      </c>
      <c r="G69" s="12" t="inlineStr">
        <is>
          <t>passed manual test</t>
        </is>
      </c>
      <c r="H69" s="22" t="inlineStr">
        <is>
          <t>covered</t>
        </is>
      </c>
      <c r="I69" s="13" t="inlineStr">
        <is>
          <t>ContextMenu playground scenario.</t>
        </is>
      </c>
      <c r="J69" s="13" t="n"/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Checkbox Item</t>
        </is>
      </c>
      <c r="D70" s="13" t="inlineStr">
        <is>
          <t>renders role menuitemcheckbox</t>
        </is>
      </c>
      <c r="E70" s="18" t="inlineStr">
        <is>
          <t>yes</t>
        </is>
      </c>
      <c r="F70" s="18" t="inlineStr">
        <is>
          <t>yes</t>
        </is>
      </c>
      <c r="G70" s="12" t="inlineStr">
        <is>
          <t>passed manual test</t>
        </is>
      </c>
      <c r="H70" s="22" t="inlineStr">
        <is>
          <t>covered</t>
        </is>
      </c>
      <c r="I70" s="13" t="inlineStr">
        <is>
          <t>ContextMenu playground scenario.</t>
        </is>
      </c>
      <c r="J70" s="13" t="n"/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Public API</t>
        </is>
      </c>
      <c r="C71" s="13" t="inlineStr">
        <is>
          <t>Checkbox Item</t>
        </is>
      </c>
      <c r="D71" s="13" t="inlineStr">
        <is>
          <t>aria-checked reflects checked false</t>
        </is>
      </c>
      <c r="E71" s="18" t="inlineStr">
        <is>
          <t>yes</t>
        </is>
      </c>
      <c r="F71" s="18" t="inlineStr">
        <is>
          <t>yes</t>
        </is>
      </c>
      <c r="G71" s="12" t="inlineStr">
        <is>
          <t>passed manual test</t>
        </is>
      </c>
      <c r="H71" s="22" t="inlineStr">
        <is>
          <t>covered</t>
        </is>
      </c>
      <c r="I71" s="13" t="inlineStr">
        <is>
          <t>ContextMenu playground scenario.</t>
        </is>
      </c>
      <c r="J71" s="13" t="n"/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Checkbox Item</t>
        </is>
      </c>
      <c r="D72" s="13" t="inlineStr">
        <is>
          <t>aria-checked reflects checked true</t>
        </is>
      </c>
      <c r="E72" s="18" t="inlineStr">
        <is>
          <t>yes</t>
        </is>
      </c>
      <c r="F72" s="18" t="inlineStr">
        <is>
          <t>yes</t>
        </is>
      </c>
      <c r="G72" s="12" t="inlineStr">
        <is>
          <t>passed manual test</t>
        </is>
      </c>
      <c r="H72" s="22" t="inlineStr">
        <is>
          <t>covered</t>
        </is>
      </c>
      <c r="I72" s="13" t="inlineStr">
        <is>
          <t>ContextMenu playground scenario.</t>
        </is>
      </c>
      <c r="J72" s="13" t="n"/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Checkbox Item</t>
        </is>
      </c>
      <c r="D73" s="13" t="inlineStr">
        <is>
          <t>data-checked appears when checked</t>
        </is>
      </c>
      <c r="E73" s="18" t="inlineStr">
        <is>
          <t>yes</t>
        </is>
      </c>
      <c r="F73" s="18" t="inlineStr">
        <is>
          <t>yes</t>
        </is>
      </c>
      <c r="G73" s="12" t="inlineStr">
        <is>
          <t>passed manual test</t>
        </is>
      </c>
      <c r="H73" s="22" t="inlineStr">
        <is>
          <t>covered</t>
        </is>
      </c>
      <c r="I73" s="13" t="inlineStr">
        <is>
          <t>ContextMenu playground scenario.</t>
        </is>
      </c>
      <c r="J73" s="13" t="n"/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Public API</t>
        </is>
      </c>
      <c r="C74" s="13" t="inlineStr">
        <is>
          <t>Checkbox Item</t>
        </is>
      </c>
      <c r="D74" s="13" t="inlineStr">
        <is>
          <t>onCheckedChange fires on click</t>
        </is>
      </c>
      <c r="E74" s="18" t="inlineStr">
        <is>
          <t>yes</t>
        </is>
      </c>
      <c r="F74" s="18" t="inlineStr">
        <is>
          <t>yes</t>
        </is>
      </c>
      <c r="G74" s="12" t="inlineStr">
        <is>
          <t>passed manual test</t>
        </is>
      </c>
      <c r="H74" s="22" t="inlineStr">
        <is>
          <t>covered</t>
        </is>
      </c>
      <c r="I74" s="13" t="inlineStr">
        <is>
          <t>ContextMenu playground scenario.</t>
        </is>
      </c>
      <c r="J74" s="13" t="n"/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Public API</t>
        </is>
      </c>
      <c r="C75" s="13" t="inlineStr">
        <is>
          <t>Checkbox Item</t>
        </is>
      </c>
      <c r="D75" s="13" t="inlineStr">
        <is>
          <t>closeOnSelect false keeps menu open</t>
        </is>
      </c>
      <c r="E75" s="18" t="inlineStr">
        <is>
          <t>yes</t>
        </is>
      </c>
      <c r="F75" s="18" t="inlineStr">
        <is>
          <t>yes</t>
        </is>
      </c>
      <c r="G75" s="12" t="inlineStr">
        <is>
          <t>passed manual test</t>
        </is>
      </c>
      <c r="H75" s="22" t="inlineStr">
        <is>
          <t>covered</t>
        </is>
      </c>
      <c r="I75" s="13" t="inlineStr">
        <is>
          <t>ContextMenu playground scenario.</t>
        </is>
      </c>
      <c r="J75" s="13" t="n"/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Public API</t>
        </is>
      </c>
      <c r="C76" s="13" t="inlineStr">
        <is>
          <t>Checkbox Item</t>
        </is>
      </c>
      <c r="D76" s="13" t="inlineStr">
        <is>
          <t>closeOnSelect true closes menu</t>
        </is>
      </c>
      <c r="E76" s="18" t="inlineStr">
        <is>
          <t>yes</t>
        </is>
      </c>
      <c r="F76" s="18" t="inlineStr">
        <is>
          <t>yes</t>
        </is>
      </c>
      <c r="G76" s="12" t="inlineStr">
        <is>
          <t>passed manual test</t>
        </is>
      </c>
      <c r="H76" s="22" t="inlineStr">
        <is>
          <t>covered</t>
        </is>
      </c>
      <c r="I76" s="13" t="inlineStr">
        <is>
          <t>ContextMenu playground scenario.</t>
        </is>
      </c>
      <c r="J76" s="13" t="n"/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Public API</t>
        </is>
      </c>
      <c r="C77" s="13" t="inlineStr">
        <is>
          <t>Checkbox Item</t>
        </is>
      </c>
      <c r="D77" s="13" t="inlineStr">
        <is>
          <t>disabled checkbox is skipped</t>
        </is>
      </c>
      <c r="E77" s="18" t="inlineStr">
        <is>
          <t>yes</t>
        </is>
      </c>
      <c r="F77" s="18" t="inlineStr">
        <is>
          <t>yes</t>
        </is>
      </c>
      <c r="G77" s="12" t="inlineStr">
        <is>
          <t>passed manual test</t>
        </is>
      </c>
      <c r="H77" s="22" t="inlineStr">
        <is>
          <t>covered</t>
        </is>
      </c>
      <c r="I77" s="13" t="inlineStr">
        <is>
          <t>ContextMenu playground scenario.</t>
        </is>
      </c>
      <c r="J77" s="13" t="n"/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Public API</t>
        </is>
      </c>
      <c r="C78" s="13" t="inlineStr">
        <is>
          <t>Radio Group</t>
        </is>
      </c>
      <c r="D78" s="13" t="inlineStr">
        <is>
          <t>renders role group</t>
        </is>
      </c>
      <c r="E78" s="18" t="inlineStr">
        <is>
          <t>yes</t>
        </is>
      </c>
      <c r="F78" s="18" t="inlineStr">
        <is>
          <t>yes</t>
        </is>
      </c>
      <c r="G78" s="12" t="inlineStr">
        <is>
          <t>passed manual test</t>
        </is>
      </c>
      <c r="H78" s="22" t="inlineStr">
        <is>
          <t>covered</t>
        </is>
      </c>
      <c r="I78" s="13" t="inlineStr">
        <is>
          <t>ContextMenu playground scenario.</t>
        </is>
      </c>
      <c r="J78" s="13" t="n"/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Public API</t>
        </is>
      </c>
      <c r="C79" s="13" t="inlineStr">
        <is>
          <t>Radio Group</t>
        </is>
      </c>
      <c r="D79" s="13" t="inlineStr">
        <is>
          <t>data-slot is menu-radio-group</t>
        </is>
      </c>
      <c r="E79" s="18" t="inlineStr">
        <is>
          <t>yes</t>
        </is>
      </c>
      <c r="F79" s="18" t="inlineStr">
        <is>
          <t>yes</t>
        </is>
      </c>
      <c r="G79" s="12" t="inlineStr">
        <is>
          <t>passed manual test</t>
        </is>
      </c>
      <c r="H79" s="22" t="inlineStr">
        <is>
          <t>covered</t>
        </is>
      </c>
      <c r="I79" s="13" t="inlineStr">
        <is>
          <t>ContextMenu playground scenario.</t>
        </is>
      </c>
      <c r="J79" s="13" t="n"/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Public API</t>
        </is>
      </c>
      <c r="C80" s="13" t="inlineStr">
        <is>
          <t>Radio Group</t>
        </is>
      </c>
      <c r="D80" s="13" t="inlineStr">
        <is>
          <t>value controls checked radio item</t>
        </is>
      </c>
      <c r="E80" s="18" t="inlineStr">
        <is>
          <t>yes</t>
        </is>
      </c>
      <c r="F80" s="18" t="inlineStr">
        <is>
          <t>yes</t>
        </is>
      </c>
      <c r="G80" s="12" t="inlineStr">
        <is>
          <t>passed manual test</t>
        </is>
      </c>
      <c r="H80" s="22" t="inlineStr">
        <is>
          <t>covered</t>
        </is>
      </c>
      <c r="I80" s="13" t="inlineStr">
        <is>
          <t>ContextMenu playground scenario.</t>
        </is>
      </c>
      <c r="J80" s="13" t="n"/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Public API</t>
        </is>
      </c>
      <c r="C81" s="13" t="inlineStr">
        <is>
          <t>Radio Group</t>
        </is>
      </c>
      <c r="D81" s="13" t="inlineStr">
        <is>
          <t>onValueChange fires when radio changes</t>
        </is>
      </c>
      <c r="E81" s="18" t="inlineStr">
        <is>
          <t>yes</t>
        </is>
      </c>
      <c r="F81" s="18" t="inlineStr">
        <is>
          <t>yes</t>
        </is>
      </c>
      <c r="G81" s="12" t="inlineStr">
        <is>
          <t>passed manual test</t>
        </is>
      </c>
      <c r="H81" s="22" t="inlineStr">
        <is>
          <t>covered</t>
        </is>
      </c>
      <c r="I81" s="13" t="inlineStr">
        <is>
          <t>ContextMenu playground scenario.</t>
        </is>
      </c>
      <c r="J81" s="13" t="n"/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Public API</t>
        </is>
      </c>
      <c r="C82" s="13" t="inlineStr">
        <is>
          <t>Radio Group</t>
        </is>
      </c>
      <c r="D82" s="13" t="inlineStr">
        <is>
          <t>native className and data props pass through</t>
        </is>
      </c>
      <c r="E82" s="18" t="inlineStr">
        <is>
          <t>yes</t>
        </is>
      </c>
      <c r="F82" s="18" t="inlineStr">
        <is>
          <t>yes</t>
        </is>
      </c>
      <c r="G82" s="12" t="inlineStr">
        <is>
          <t>passed manual test</t>
        </is>
      </c>
      <c r="H82" s="22" t="inlineStr">
        <is>
          <t>covered</t>
        </is>
      </c>
      <c r="I82" s="13" t="inlineStr">
        <is>
          <t>ContextMenu playground scenario.</t>
        </is>
      </c>
      <c r="J82" s="13" t="n"/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Public API</t>
        </is>
      </c>
      <c r="C83" s="13" t="inlineStr">
        <is>
          <t>Radio Item</t>
        </is>
      </c>
      <c r="D83" s="13" t="inlineStr">
        <is>
          <t>renders role menuitemradio</t>
        </is>
      </c>
      <c r="E83" s="18" t="inlineStr">
        <is>
          <t>yes</t>
        </is>
      </c>
      <c r="F83" s="18" t="inlineStr">
        <is>
          <t>yes</t>
        </is>
      </c>
      <c r="G83" s="12" t="inlineStr">
        <is>
          <t>passed manual test</t>
        </is>
      </c>
      <c r="H83" s="22" t="inlineStr">
        <is>
          <t>covered</t>
        </is>
      </c>
      <c r="I83" s="13" t="inlineStr">
        <is>
          <t>ContextMenu playground scenario.</t>
        </is>
      </c>
      <c r="J83" s="13" t="n"/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Public API</t>
        </is>
      </c>
      <c r="C84" s="13" t="inlineStr">
        <is>
          <t>Radio Item</t>
        </is>
      </c>
      <c r="D84" s="13" t="inlineStr">
        <is>
          <t>aria-checked reflects selected item</t>
        </is>
      </c>
      <c r="E84" s="18" t="inlineStr">
        <is>
          <t>yes</t>
        </is>
      </c>
      <c r="F84" s="18" t="inlineStr">
        <is>
          <t>yes</t>
        </is>
      </c>
      <c r="G84" s="12" t="inlineStr">
        <is>
          <t>passed manual test</t>
        </is>
      </c>
      <c r="H84" s="22" t="inlineStr">
        <is>
          <t>covered</t>
        </is>
      </c>
      <c r="I84" s="13" t="inlineStr">
        <is>
          <t>ContextMenu playground scenario.</t>
        </is>
      </c>
      <c r="J84" s="13" t="n"/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Public API</t>
        </is>
      </c>
      <c r="C85" s="13" t="inlineStr">
        <is>
          <t>Radio Item</t>
        </is>
      </c>
      <c r="D85" s="13" t="inlineStr">
        <is>
          <t>data-checked appears on selected item</t>
        </is>
      </c>
      <c r="E85" s="18" t="inlineStr">
        <is>
          <t>yes</t>
        </is>
      </c>
      <c r="F85" s="18" t="inlineStr">
        <is>
          <t>yes</t>
        </is>
      </c>
      <c r="G85" s="12" t="inlineStr">
        <is>
          <t>passed manual test</t>
        </is>
      </c>
      <c r="H85" s="22" t="inlineStr">
        <is>
          <t>covered</t>
        </is>
      </c>
      <c r="I85" s="13" t="inlineStr">
        <is>
          <t>ContextMenu playground scenario.</t>
        </is>
      </c>
      <c r="J85" s="13" t="n"/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Public API</t>
        </is>
      </c>
      <c r="C86" s="13" t="inlineStr">
        <is>
          <t>Radio Item</t>
        </is>
      </c>
      <c r="D86" s="13" t="inlineStr">
        <is>
          <t>value appears as data-value without internal group id</t>
        </is>
      </c>
      <c r="E86" s="18" t="inlineStr">
        <is>
          <t>yes</t>
        </is>
      </c>
      <c r="F86" s="18" t="inlineStr">
        <is>
          <t>yes</t>
        </is>
      </c>
      <c r="G86" s="12" t="inlineStr">
        <is>
          <t>passed manual test</t>
        </is>
      </c>
      <c r="H86" s="22" t="inlineStr">
        <is>
          <t>covered</t>
        </is>
      </c>
      <c r="I86" s="13" t="inlineStr">
        <is>
          <t>ContextMenu playground scenario.</t>
        </is>
      </c>
      <c r="J86" s="13" t="n"/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Public API</t>
        </is>
      </c>
      <c r="C87" s="13" t="inlineStr">
        <is>
          <t>Radio Item</t>
        </is>
      </c>
      <c r="D87" s="13" t="inlineStr">
        <is>
          <t>disabled radio item is skipped</t>
        </is>
      </c>
      <c r="E87" s="18" t="inlineStr">
        <is>
          <t>yes</t>
        </is>
      </c>
      <c r="F87" s="18" t="inlineStr">
        <is>
          <t>yes</t>
        </is>
      </c>
      <c r="G87" s="12" t="inlineStr">
        <is>
          <t>passed manual test</t>
        </is>
      </c>
      <c r="H87" s="22" t="inlineStr">
        <is>
          <t>covered</t>
        </is>
      </c>
      <c r="I87" s="13" t="inlineStr">
        <is>
          <t>ContextMenu playground scenario.</t>
        </is>
      </c>
      <c r="J87" s="13" t="n"/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Public API</t>
        </is>
      </c>
      <c r="C88" s="13" t="inlineStr">
        <is>
          <t>Radio Item</t>
        </is>
      </c>
      <c r="D88" s="13" t="inlineStr">
        <is>
          <t>closeOnSelect false keeps menu open</t>
        </is>
      </c>
      <c r="E88" s="18" t="inlineStr">
        <is>
          <t>yes</t>
        </is>
      </c>
      <c r="F88" s="18" t="inlineStr">
        <is>
          <t>yes</t>
        </is>
      </c>
      <c r="G88" s="12" t="inlineStr">
        <is>
          <t>passed manual test</t>
        </is>
      </c>
      <c r="H88" s="22" t="inlineStr">
        <is>
          <t>covered</t>
        </is>
      </c>
      <c r="I88" s="13" t="inlineStr">
        <is>
          <t>ContextMenu playground scenario.</t>
        </is>
      </c>
      <c r="J88" s="13" t="n"/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Public API</t>
        </is>
      </c>
      <c r="C89" s="13" t="inlineStr">
        <is>
          <t>Radio Item</t>
        </is>
      </c>
      <c r="D89" s="13" t="inlineStr">
        <is>
          <t>closeOnSelect true closes menu</t>
        </is>
      </c>
      <c r="E89" s="18" t="inlineStr">
        <is>
          <t>yes</t>
        </is>
      </c>
      <c r="F89" s="18" t="inlineStr">
        <is>
          <t>yes</t>
        </is>
      </c>
      <c r="G89" s="12" t="inlineStr">
        <is>
          <t>passed manual test</t>
        </is>
      </c>
      <c r="H89" s="22" t="inlineStr">
        <is>
          <t>covered</t>
        </is>
      </c>
      <c r="I89" s="13" t="inlineStr">
        <is>
          <t>ContextMenu playground scenario.</t>
        </is>
      </c>
      <c r="J89" s="13" t="n"/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Public API</t>
        </is>
      </c>
      <c r="C90" s="13" t="inlineStr">
        <is>
          <t>Group</t>
        </is>
      </c>
      <c r="D90" s="13" t="inlineStr">
        <is>
          <t>renders role group</t>
        </is>
      </c>
      <c r="E90" s="18" t="inlineStr">
        <is>
          <t>yes</t>
        </is>
      </c>
      <c r="F90" s="18" t="inlineStr">
        <is>
          <t>yes</t>
        </is>
      </c>
      <c r="G90" s="12" t="inlineStr">
        <is>
          <t>passed manual test</t>
        </is>
      </c>
      <c r="H90" s="22" t="inlineStr">
        <is>
          <t>covered</t>
        </is>
      </c>
      <c r="I90" s="13" t="inlineStr">
        <is>
          <t>ContextMenu playground scenario.</t>
        </is>
      </c>
      <c r="J90" s="13" t="n"/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Public API</t>
        </is>
      </c>
      <c r="C91" s="13" t="inlineStr">
        <is>
          <t>Group</t>
        </is>
      </c>
      <c r="D91" s="13" t="inlineStr">
        <is>
          <t>data-slot is menu-group</t>
        </is>
      </c>
      <c r="E91" s="18" t="inlineStr">
        <is>
          <t>yes</t>
        </is>
      </c>
      <c r="F91" s="18" t="inlineStr">
        <is>
          <t>yes</t>
        </is>
      </c>
      <c r="G91" s="12" t="inlineStr">
        <is>
          <t>passed manual test</t>
        </is>
      </c>
      <c r="H91" s="22" t="inlineStr">
        <is>
          <t>covered</t>
        </is>
      </c>
      <c r="I91" s="13" t="inlineStr">
        <is>
          <t>ContextMenu playground scenario.</t>
        </is>
      </c>
      <c r="J91" s="13" t="n"/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Public API</t>
        </is>
      </c>
      <c r="C92" s="13" t="inlineStr">
        <is>
          <t>Group</t>
        </is>
      </c>
      <c r="D92" s="13" t="inlineStr">
        <is>
          <t>native className and data props pass through</t>
        </is>
      </c>
      <c r="E92" s="18" t="inlineStr">
        <is>
          <t>yes</t>
        </is>
      </c>
      <c r="F92" s="18" t="inlineStr">
        <is>
          <t>yes</t>
        </is>
      </c>
      <c r="G92" s="12" t="inlineStr">
        <is>
          <t>passed manual test</t>
        </is>
      </c>
      <c r="H92" s="22" t="inlineStr">
        <is>
          <t>covered</t>
        </is>
      </c>
      <c r="I92" s="13" t="inlineStr">
        <is>
          <t>ContextMenu playground scenario.</t>
        </is>
      </c>
      <c r="J92" s="13" t="n"/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Public API</t>
        </is>
      </c>
      <c r="C93" s="13" t="inlineStr">
        <is>
          <t>Separator</t>
        </is>
      </c>
      <c r="D93" s="13" t="inlineStr">
        <is>
          <t>renders role separator</t>
        </is>
      </c>
      <c r="E93" s="18" t="inlineStr">
        <is>
          <t>yes</t>
        </is>
      </c>
      <c r="F93" s="18" t="inlineStr">
        <is>
          <t>yes</t>
        </is>
      </c>
      <c r="G93" s="12" t="inlineStr">
        <is>
          <t>passed manual test</t>
        </is>
      </c>
      <c r="H93" s="22" t="inlineStr">
        <is>
          <t>covered</t>
        </is>
      </c>
      <c r="I93" s="13" t="inlineStr">
        <is>
          <t>ContextMenu playground scenario.</t>
        </is>
      </c>
      <c r="J93" s="13" t="n"/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Public API</t>
        </is>
      </c>
      <c r="C94" s="13" t="inlineStr">
        <is>
          <t>Separator</t>
        </is>
      </c>
      <c r="D94" s="13" t="inlineStr">
        <is>
          <t>aria-orientation is horizontal</t>
        </is>
      </c>
      <c r="E94" s="18" t="inlineStr">
        <is>
          <t>yes</t>
        </is>
      </c>
      <c r="F94" s="18" t="inlineStr">
        <is>
          <t>yes</t>
        </is>
      </c>
      <c r="G94" s="12" t="inlineStr">
        <is>
          <t>passed manual test</t>
        </is>
      </c>
      <c r="H94" s="22" t="inlineStr">
        <is>
          <t>covered</t>
        </is>
      </c>
      <c r="I94" s="13" t="inlineStr">
        <is>
          <t>ContextMenu playground scenario.</t>
        </is>
      </c>
      <c r="J94" s="13" t="n"/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Public API</t>
        </is>
      </c>
      <c r="C95" s="13" t="inlineStr">
        <is>
          <t>Separator</t>
        </is>
      </c>
      <c r="D95" s="13" t="inlineStr">
        <is>
          <t>data-slot is menu-separator</t>
        </is>
      </c>
      <c r="E95" s="18" t="inlineStr">
        <is>
          <t>yes</t>
        </is>
      </c>
      <c r="F95" s="18" t="inlineStr">
        <is>
          <t>yes</t>
        </is>
      </c>
      <c r="G95" s="12" t="inlineStr">
        <is>
          <t>passed manual test</t>
        </is>
      </c>
      <c r="H95" s="22" t="inlineStr">
        <is>
          <t>covered</t>
        </is>
      </c>
      <c r="I95" s="13" t="inlineStr">
        <is>
          <t>ContextMenu playground scenario.</t>
        </is>
      </c>
      <c r="J95" s="13" t="n"/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Public API</t>
        </is>
      </c>
      <c r="C96" s="13" t="inlineStr">
        <is>
          <t>Sub</t>
        </is>
      </c>
      <c r="D96" s="13" t="inlineStr">
        <is>
          <t>defaultOpen initializes uncontrolled submenu</t>
        </is>
      </c>
      <c r="E96" s="18" t="inlineStr">
        <is>
          <t>yes</t>
        </is>
      </c>
      <c r="F96" s="18" t="inlineStr">
        <is>
          <t>yes</t>
        </is>
      </c>
      <c r="G96" s="12" t="inlineStr">
        <is>
          <t>passed manual test</t>
        </is>
      </c>
      <c r="H96" s="22" t="inlineStr">
        <is>
          <t>covered</t>
        </is>
      </c>
      <c r="I96" s="13" t="inlineStr">
        <is>
          <t>ContextMenu playground scenario.</t>
        </is>
      </c>
      <c r="J96" s="13" t="n"/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Public API</t>
        </is>
      </c>
      <c r="C97" s="13" t="inlineStr">
        <is>
          <t>Sub</t>
        </is>
      </c>
      <c r="D97" s="13" t="inlineStr">
        <is>
          <t>open prop controls submenu</t>
        </is>
      </c>
      <c r="E97" s="18" t="inlineStr">
        <is>
          <t>yes</t>
        </is>
      </c>
      <c r="F97" s="18" t="inlineStr">
        <is>
          <t>yes</t>
        </is>
      </c>
      <c r="G97" s="12" t="inlineStr">
        <is>
          <t>passed manual test</t>
        </is>
      </c>
      <c r="H97" s="22" t="inlineStr">
        <is>
          <t>covered</t>
        </is>
      </c>
      <c r="I97" s="13" t="inlineStr">
        <is>
          <t>ContextMenu playground scenario.</t>
        </is>
      </c>
      <c r="J97" s="13" t="n"/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Public API</t>
        </is>
      </c>
      <c r="C98" s="13" t="inlineStr">
        <is>
          <t>Sub</t>
        </is>
      </c>
      <c r="D98" s="13" t="inlineStr">
        <is>
          <t>onOpenChange fires for controlled submenu</t>
        </is>
      </c>
      <c r="E98" s="18" t="inlineStr">
        <is>
          <t>yes</t>
        </is>
      </c>
      <c r="F98" s="18" t="inlineStr">
        <is>
          <t>yes</t>
        </is>
      </c>
      <c r="G98" s="12" t="inlineStr">
        <is>
          <t>passed manual test</t>
        </is>
      </c>
      <c r="H98" s="22" t="inlineStr">
        <is>
          <t>covered</t>
        </is>
      </c>
      <c r="I98" s="13" t="inlineStr">
        <is>
          <t>ContextMenu playground scenario.</t>
        </is>
      </c>
      <c r="J98" s="13" t="n"/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Public API</t>
        </is>
      </c>
      <c r="C99" s="13" t="inlineStr">
        <is>
          <t>Sub</t>
        </is>
      </c>
      <c r="D99" s="13" t="inlineStr">
        <is>
          <t>only one uncontrolled submenu is open at a time</t>
        </is>
      </c>
      <c r="E99" s="18" t="inlineStr">
        <is>
          <t>yes</t>
        </is>
      </c>
      <c r="F99" s="18" t="inlineStr">
        <is>
          <t>yes</t>
        </is>
      </c>
      <c r="G99" s="12" t="inlineStr">
        <is>
          <t>passed manual test</t>
        </is>
      </c>
      <c r="H99" s="22" t="inlineStr">
        <is>
          <t>covered</t>
        </is>
      </c>
      <c r="I99" s="13" t="inlineStr">
        <is>
          <t>ContextMenu playground scenario.</t>
        </is>
      </c>
      <c r="J99" s="13" t="n"/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Public API</t>
        </is>
      </c>
      <c r="C100" s="13" t="inlineStr">
        <is>
          <t>Sub Trigger</t>
        </is>
      </c>
      <c r="D100" s="13" t="inlineStr">
        <is>
          <t>renders role menuitem</t>
        </is>
      </c>
      <c r="E100" s="18" t="inlineStr">
        <is>
          <t>yes</t>
        </is>
      </c>
      <c r="F100" s="18" t="inlineStr">
        <is>
          <t>yes</t>
        </is>
      </c>
      <c r="G100" s="12" t="inlineStr">
        <is>
          <t>passed manual test</t>
        </is>
      </c>
      <c r="H100" s="22" t="inlineStr">
        <is>
          <t>covered</t>
        </is>
      </c>
      <c r="I100" s="13" t="inlineStr">
        <is>
          <t>ContextMenu playground scenario.</t>
        </is>
      </c>
      <c r="J100" s="13" t="n"/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Public API</t>
        </is>
      </c>
      <c r="C101" s="13" t="inlineStr">
        <is>
          <t>Sub Trigger</t>
        </is>
      </c>
      <c r="D101" s="13" t="inlineStr">
        <is>
          <t>aria-haspopup is menu</t>
        </is>
      </c>
      <c r="E101" s="18" t="inlineStr">
        <is>
          <t>yes</t>
        </is>
      </c>
      <c r="F101" s="18" t="inlineStr">
        <is>
          <t>yes</t>
        </is>
      </c>
      <c r="G101" s="12" t="inlineStr">
        <is>
          <t>passed manual test</t>
        </is>
      </c>
      <c r="H101" s="22" t="inlineStr">
        <is>
          <t>covered</t>
        </is>
      </c>
      <c r="I101" s="13" t="inlineStr">
        <is>
          <t>ContextMenu playground scenario.</t>
        </is>
      </c>
      <c r="J101" s="13" t="n"/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Public API</t>
        </is>
      </c>
      <c r="C102" s="13" t="inlineStr">
        <is>
          <t>Sub Trigger</t>
        </is>
      </c>
      <c r="D102" s="13" t="inlineStr">
        <is>
          <t>aria-expanded reflects submenu open state</t>
        </is>
      </c>
      <c r="E102" s="18" t="inlineStr">
        <is>
          <t>yes</t>
        </is>
      </c>
      <c r="F102" s="18" t="inlineStr">
        <is>
          <t>yes</t>
        </is>
      </c>
      <c r="G102" s="12" t="inlineStr">
        <is>
          <t>passed manual test</t>
        </is>
      </c>
      <c r="H102" s="22" t="inlineStr">
        <is>
          <t>covered</t>
        </is>
      </c>
      <c r="I102" s="13" t="inlineStr">
        <is>
          <t>ContextMenu playground scenario.</t>
        </is>
      </c>
      <c r="J102" s="13" t="n"/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Public API</t>
        </is>
      </c>
      <c r="C103" s="13" t="inlineStr">
        <is>
          <t>Sub Trigger</t>
        </is>
      </c>
      <c r="D103" s="13" t="inlineStr">
        <is>
          <t>data-state reflects submenu state</t>
        </is>
      </c>
      <c r="E103" s="18" t="inlineStr">
        <is>
          <t>yes</t>
        </is>
      </c>
      <c r="F103" s="18" t="inlineStr">
        <is>
          <t>yes</t>
        </is>
      </c>
      <c r="G103" s="12" t="inlineStr">
        <is>
          <t>passed manual test</t>
        </is>
      </c>
      <c r="H103" s="22" t="inlineStr">
        <is>
          <t>covered</t>
        </is>
      </c>
      <c r="I103" s="13" t="inlineStr">
        <is>
          <t>ContextMenu playground scenario.</t>
        </is>
      </c>
      <c r="J103" s="13" t="n"/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Public API</t>
        </is>
      </c>
      <c r="C104" s="13" t="inlineStr">
        <is>
          <t>Sub Trigger</t>
        </is>
      </c>
      <c r="D104" s="13" t="inlineStr">
        <is>
          <t>data-slot is menu-sub-trigger</t>
        </is>
      </c>
      <c r="E104" s="18" t="inlineStr">
        <is>
          <t>yes</t>
        </is>
      </c>
      <c r="F104" s="18" t="inlineStr">
        <is>
          <t>yes</t>
        </is>
      </c>
      <c r="G104" s="12" t="inlineStr">
        <is>
          <t>passed manual test</t>
        </is>
      </c>
      <c r="H104" s="22" t="inlineStr">
        <is>
          <t>covered</t>
        </is>
      </c>
      <c r="I104" s="13" t="inlineStr">
        <is>
          <t>ContextMenu playground scenario.</t>
        </is>
      </c>
      <c r="J104" s="13" t="n"/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Public API</t>
        </is>
      </c>
      <c r="C105" s="13" t="inlineStr">
        <is>
          <t>Sub Trigger</t>
        </is>
      </c>
      <c r="D105" s="13" t="inlineStr">
        <is>
          <t>hover opens submenu after delay</t>
        </is>
      </c>
      <c r="E105" s="18" t="inlineStr">
        <is>
          <t>yes</t>
        </is>
      </c>
      <c r="F105" s="18" t="inlineStr">
        <is>
          <t>yes</t>
        </is>
      </c>
      <c r="G105" s="12" t="inlineStr">
        <is>
          <t>passed manual test</t>
        </is>
      </c>
      <c r="H105" s="22" t="inlineStr">
        <is>
          <t>covered</t>
        </is>
      </c>
      <c r="I105" s="13" t="inlineStr">
        <is>
          <t>ContextMenu playground scenario.</t>
        </is>
      </c>
      <c r="J105" s="13" t="n"/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Public API</t>
        </is>
      </c>
      <c r="C106" s="13" t="inlineStr">
        <is>
          <t>Sub Trigger</t>
        </is>
      </c>
      <c r="D106" s="13" t="inlineStr">
        <is>
          <t>click toggles submenu</t>
        </is>
      </c>
      <c r="E106" s="18" t="inlineStr">
        <is>
          <t>yes</t>
        </is>
      </c>
      <c r="F106" s="18" t="inlineStr">
        <is>
          <t>yes</t>
        </is>
      </c>
      <c r="G106" s="12" t="inlineStr">
        <is>
          <t>passed manual test</t>
        </is>
      </c>
      <c r="H106" s="22" t="inlineStr">
        <is>
          <t>covered</t>
        </is>
      </c>
      <c r="I106" s="13" t="inlineStr">
        <is>
          <t>ContextMenu playground scenario.</t>
        </is>
      </c>
      <c r="J106" s="13" t="n"/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Public API</t>
        </is>
      </c>
      <c r="C107" s="13" t="inlineStr">
        <is>
          <t>Sub Trigger</t>
        </is>
      </c>
      <c r="D107" s="13" t="inlineStr">
        <is>
          <t>ArrowRight opens submenu</t>
        </is>
      </c>
      <c r="E107" s="18" t="inlineStr">
        <is>
          <t>yes</t>
        </is>
      </c>
      <c r="F107" s="18" t="inlineStr">
        <is>
          <t>yes</t>
        </is>
      </c>
      <c r="G107" s="12" t="inlineStr">
        <is>
          <t>passed manual test</t>
        </is>
      </c>
      <c r="H107" s="22" t="inlineStr">
        <is>
          <t>covered</t>
        </is>
      </c>
      <c r="I107" s="13" t="inlineStr">
        <is>
          <t>ContextMenu playground scenario.</t>
        </is>
      </c>
      <c r="J107" s="13" t="n"/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Public API</t>
        </is>
      </c>
      <c r="C108" s="13" t="inlineStr">
        <is>
          <t>Sub Trigger</t>
        </is>
      </c>
      <c r="D108" s="13" t="inlineStr">
        <is>
          <t>disabled sub trigger is skipped</t>
        </is>
      </c>
      <c r="E108" s="18" t="inlineStr">
        <is>
          <t>yes</t>
        </is>
      </c>
      <c r="F108" s="18" t="inlineStr">
        <is>
          <t>yes</t>
        </is>
      </c>
      <c r="G108" s="12" t="inlineStr">
        <is>
          <t>passed manual test</t>
        </is>
      </c>
      <c r="H108" s="22" t="inlineStr">
        <is>
          <t>covered</t>
        </is>
      </c>
      <c r="I108" s="13" t="inlineStr">
        <is>
          <t>ContextMenu playground scenario.</t>
        </is>
      </c>
      <c r="J108" s="13" t="n"/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Public API</t>
        </is>
      </c>
      <c r="C109" s="13" t="inlineStr">
        <is>
          <t>Sub Trigger</t>
        </is>
      </c>
      <c r="D109" s="13" t="inlineStr">
        <is>
          <t>textValue is used for typeahead</t>
        </is>
      </c>
      <c r="E109" s="18" t="inlineStr">
        <is>
          <t>yes</t>
        </is>
      </c>
      <c r="F109" s="18" t="inlineStr">
        <is>
          <t>yes</t>
        </is>
      </c>
      <c r="G109" s="12" t="inlineStr">
        <is>
          <t>passed manual test</t>
        </is>
      </c>
      <c r="H109" s="22" t="inlineStr">
        <is>
          <t>covered</t>
        </is>
      </c>
      <c r="I109" s="13" t="inlineStr">
        <is>
          <t>ContextMenu playground scenario.</t>
        </is>
      </c>
      <c r="J109" s="13" t="n"/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Public API</t>
        </is>
      </c>
      <c r="C110" s="13" t="inlineStr">
        <is>
          <t>Sub Content</t>
        </is>
      </c>
      <c r="D110" s="13" t="inlineStr">
        <is>
          <t>renders role menu</t>
        </is>
      </c>
      <c r="E110" s="18" t="inlineStr">
        <is>
          <t>yes</t>
        </is>
      </c>
      <c r="F110" s="18" t="inlineStr">
        <is>
          <t>yes</t>
        </is>
      </c>
      <c r="G110" s="12" t="inlineStr">
        <is>
          <t>passed manual test</t>
        </is>
      </c>
      <c r="H110" s="22" t="inlineStr">
        <is>
          <t>covered</t>
        </is>
      </c>
      <c r="I110" s="13" t="inlineStr">
        <is>
          <t>ContextMenu playground scenario.</t>
        </is>
      </c>
      <c r="J110" s="13" t="n"/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Public API</t>
        </is>
      </c>
      <c r="C111" s="13" t="inlineStr">
        <is>
          <t>Sub Content</t>
        </is>
      </c>
      <c r="D111" s="13" t="inlineStr">
        <is>
          <t>aria-label prop names submenu</t>
        </is>
      </c>
      <c r="E111" s="18" t="inlineStr">
        <is>
          <t>yes</t>
        </is>
      </c>
      <c r="F111" s="18" t="inlineStr">
        <is>
          <t>yes</t>
        </is>
      </c>
      <c r="G111" s="12" t="inlineStr">
        <is>
          <t>passed manual test</t>
        </is>
      </c>
      <c r="H111" s="22" t="inlineStr">
        <is>
          <t>covered</t>
        </is>
      </c>
      <c r="I111" s="13" t="inlineStr">
        <is>
          <t>ContextMenu playground scenario.</t>
        </is>
      </c>
      <c r="J111" s="13" t="n"/>
      <c r="K111" s="14">
        <f>IF(AND(E111="yes",F111="yes",H111="covered"),1,IF(H111="partial",0.5,0))</f>
        <v/>
      </c>
    </row>
    <row r="112" ht="30" customHeight="1" s="24">
      <c r="A112" s="12" t="n">
        <v>104</v>
      </c>
      <c r="B112" s="13" t="inlineStr">
        <is>
          <t>Public API</t>
        </is>
      </c>
      <c r="C112" s="13" t="inlineStr">
        <is>
          <t>Sub Content</t>
        </is>
      </c>
      <c r="D112" s="13" t="inlineStr">
        <is>
          <t>aria-labelledby references sub trigger when ariaLabel is absent</t>
        </is>
      </c>
      <c r="E112" s="18" t="inlineStr">
        <is>
          <t>yes</t>
        </is>
      </c>
      <c r="F112" s="18" t="inlineStr">
        <is>
          <t>yes</t>
        </is>
      </c>
      <c r="G112" s="12" t="inlineStr">
        <is>
          <t>passed manual test</t>
        </is>
      </c>
      <c r="H112" s="22" t="inlineStr">
        <is>
          <t>covered</t>
        </is>
      </c>
      <c r="I112" s="13" t="inlineStr">
        <is>
          <t>ContextMenu playground scenario.</t>
        </is>
      </c>
      <c r="J112" s="13" t="n"/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Public API</t>
        </is>
      </c>
      <c r="C113" s="13" t="inlineStr">
        <is>
          <t>Sub Content</t>
        </is>
      </c>
      <c r="D113" s="13" t="inlineStr">
        <is>
          <t>data-slot is menu-sub-content</t>
        </is>
      </c>
      <c r="E113" s="18" t="inlineStr">
        <is>
          <t>yes</t>
        </is>
      </c>
      <c r="F113" s="18" t="inlineStr">
        <is>
          <t>yes</t>
        </is>
      </c>
      <c r="G113" s="12" t="inlineStr">
        <is>
          <t>passed manual test</t>
        </is>
      </c>
      <c r="H113" s="22" t="inlineStr">
        <is>
          <t>covered</t>
        </is>
      </c>
      <c r="I113" s="13" t="inlineStr">
        <is>
          <t>ContextMenu playground scenario.</t>
        </is>
      </c>
      <c r="J113" s="13" t="n"/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Public API</t>
        </is>
      </c>
      <c r="C114" s="13" t="inlineStr">
        <is>
          <t>Sub Content</t>
        </is>
      </c>
      <c r="D114" s="13" t="inlineStr">
        <is>
          <t>data-state is open</t>
        </is>
      </c>
      <c r="E114" s="18" t="inlineStr">
        <is>
          <t>yes</t>
        </is>
      </c>
      <c r="F114" s="18" t="inlineStr">
        <is>
          <t>yes</t>
        </is>
      </c>
      <c r="G114" s="12" t="inlineStr">
        <is>
          <t>passed manual test</t>
        </is>
      </c>
      <c r="H114" s="22" t="inlineStr">
        <is>
          <t>covered</t>
        </is>
      </c>
      <c r="I114" s="13" t="inlineStr">
        <is>
          <t>ContextMenu playground scenario.</t>
        </is>
      </c>
      <c r="J114" s="13" t="n"/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Public API</t>
        </is>
      </c>
      <c r="C115" s="13" t="inlineStr">
        <is>
          <t>Sub Content</t>
        </is>
      </c>
      <c r="D115" s="13" t="inlineStr">
        <is>
          <t>data-side reflects final placement</t>
        </is>
      </c>
      <c r="E115" s="18" t="inlineStr">
        <is>
          <t>yes</t>
        </is>
      </c>
      <c r="F115" s="18" t="inlineStr">
        <is>
          <t>yes</t>
        </is>
      </c>
      <c r="G115" s="12" t="inlineStr">
        <is>
          <t>passed manual test</t>
        </is>
      </c>
      <c r="H115" s="22" t="inlineStr">
        <is>
          <t>covered</t>
        </is>
      </c>
      <c r="I115" s="13" t="inlineStr">
        <is>
          <t>ContextMenu playground scenario.</t>
        </is>
      </c>
      <c r="J115" s="13" t="n"/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Public API</t>
        </is>
      </c>
      <c r="C116" s="13" t="inlineStr">
        <is>
          <t>Sub Content</t>
        </is>
      </c>
      <c r="D116" s="13" t="inlineStr">
        <is>
          <t>data-positioned appears after positioning</t>
        </is>
      </c>
      <c r="E116" s="18" t="inlineStr">
        <is>
          <t>yes</t>
        </is>
      </c>
      <c r="F116" s="18" t="inlineStr">
        <is>
          <t>yes</t>
        </is>
      </c>
      <c r="G116" s="12" t="inlineStr">
        <is>
          <t>passed manual test</t>
        </is>
      </c>
      <c r="H116" s="22" t="inlineStr">
        <is>
          <t>covered</t>
        </is>
      </c>
      <c r="I116" s="13" t="inlineStr">
        <is>
          <t>ContextMenu playground scenario.</t>
        </is>
      </c>
      <c r="J116" s="13" t="n"/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Public API</t>
        </is>
      </c>
      <c r="C117" s="13" t="inlineStr">
        <is>
          <t>Sub Content</t>
        </is>
      </c>
      <c r="D117" s="13" t="inlineStr">
        <is>
          <t>sideOffset changes submenu distance</t>
        </is>
      </c>
      <c r="E117" s="18" t="inlineStr">
        <is>
          <t>yes</t>
        </is>
      </c>
      <c r="F117" s="18" t="inlineStr">
        <is>
          <t>yes</t>
        </is>
      </c>
      <c r="G117" s="12" t="inlineStr">
        <is>
          <t>passed manual test</t>
        </is>
      </c>
      <c r="H117" s="22" t="inlineStr">
        <is>
          <t>covered</t>
        </is>
      </c>
      <c r="I117" s="13" t="inlineStr">
        <is>
          <t>ContextMenu playground scenario.</t>
        </is>
      </c>
      <c r="J117" s="13" t="n"/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Public API</t>
        </is>
      </c>
      <c r="C118" s="13" t="inlineStr">
        <is>
          <t>Sub Content</t>
        </is>
      </c>
      <c r="D118" s="13" t="inlineStr">
        <is>
          <t>loop prop controls submenu wrapping</t>
        </is>
      </c>
      <c r="E118" s="18" t="inlineStr">
        <is>
          <t>yes</t>
        </is>
      </c>
      <c r="F118" s="18" t="inlineStr">
        <is>
          <t>yes</t>
        </is>
      </c>
      <c r="G118" s="12" t="inlineStr">
        <is>
          <t>passed manual test</t>
        </is>
      </c>
      <c r="H118" s="22" t="inlineStr">
        <is>
          <t>covered</t>
        </is>
      </c>
      <c r="I118" s="13" t="inlineStr">
        <is>
          <t>ContextMenu playground scenario.</t>
        </is>
      </c>
      <c r="J118" s="13" t="n"/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Interaction</t>
        </is>
      </c>
      <c r="C119" s="13" t="inlineStr">
        <is>
          <t>Open And Close</t>
        </is>
      </c>
      <c r="D119" s="13" t="inlineStr">
        <is>
          <t>right click opens at pointer location</t>
        </is>
      </c>
      <c r="E119" s="18" t="inlineStr">
        <is>
          <t>yes</t>
        </is>
      </c>
      <c r="F119" s="18" t="inlineStr">
        <is>
          <t>yes</t>
        </is>
      </c>
      <c r="G119" s="12" t="inlineStr">
        <is>
          <t>passed manual test</t>
        </is>
      </c>
      <c r="H119" s="22" t="inlineStr">
        <is>
          <t>covered</t>
        </is>
      </c>
      <c r="I119" s="13" t="inlineStr">
        <is>
          <t>ContextMenu playground scenario.</t>
        </is>
      </c>
      <c r="J119" s="13" t="n"/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Interaction</t>
        </is>
      </c>
      <c r="C120" s="13" t="inlineStr">
        <is>
          <t>Open And Close</t>
        </is>
      </c>
      <c r="D120" s="13" t="inlineStr">
        <is>
          <t>keyboard opens at trigger center</t>
        </is>
      </c>
      <c r="E120" s="18" t="inlineStr">
        <is>
          <t>yes</t>
        </is>
      </c>
      <c r="F120" s="18" t="inlineStr">
        <is>
          <t>yes</t>
        </is>
      </c>
      <c r="G120" s="12" t="inlineStr">
        <is>
          <t>passed manual test</t>
        </is>
      </c>
      <c r="H120" s="22" t="inlineStr">
        <is>
          <t>covered</t>
        </is>
      </c>
      <c r="I120" s="13" t="inlineStr">
        <is>
          <t>ContextMenu playground scenario.</t>
        </is>
      </c>
      <c r="J120" s="13" t="n"/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Interaction</t>
        </is>
      </c>
      <c r="C121" s="13" t="inlineStr">
        <is>
          <t>Open And Close</t>
        </is>
      </c>
      <c r="D121" s="13" t="inlineStr">
        <is>
          <t>outside click closes menu</t>
        </is>
      </c>
      <c r="E121" s="18" t="inlineStr">
        <is>
          <t>yes</t>
        </is>
      </c>
      <c r="F121" s="18" t="inlineStr">
        <is>
          <t>yes</t>
        </is>
      </c>
      <c r="G121" s="12" t="inlineStr">
        <is>
          <t>passed manual test</t>
        </is>
      </c>
      <c r="H121" s="22" t="inlineStr">
        <is>
          <t>covered</t>
        </is>
      </c>
      <c r="I121" s="13" t="inlineStr">
        <is>
          <t>ContextMenu playground scenario.</t>
        </is>
      </c>
      <c r="J121" s="13" t="n"/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Interaction</t>
        </is>
      </c>
      <c r="C122" s="13" t="inlineStr">
        <is>
          <t>Open And Close</t>
        </is>
      </c>
      <c r="D122" s="13" t="inlineStr">
        <is>
          <t>Tab closes menu and returns focus to trigger</t>
        </is>
      </c>
      <c r="E122" s="18" t="inlineStr">
        <is>
          <t>yes</t>
        </is>
      </c>
      <c r="F122" s="18" t="inlineStr">
        <is>
          <t>yes</t>
        </is>
      </c>
      <c r="G122" s="12" t="inlineStr">
        <is>
          <t>passed manual test</t>
        </is>
      </c>
      <c r="H122" s="22" t="inlineStr">
        <is>
          <t>covered</t>
        </is>
      </c>
      <c r="I122" s="13" t="inlineStr">
        <is>
          <t>ContextMenu playground scenario.</t>
        </is>
      </c>
      <c r="J122" s="13" t="n"/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Interaction</t>
        </is>
      </c>
      <c r="C123" s="13" t="inlineStr">
        <is>
          <t>Open And Close</t>
        </is>
      </c>
      <c r="D123" s="13" t="inlineStr">
        <is>
          <t>Escape closes menu when no submenu is open</t>
        </is>
      </c>
      <c r="E123" s="18" t="inlineStr">
        <is>
          <t>yes</t>
        </is>
      </c>
      <c r="F123" s="18" t="inlineStr">
        <is>
          <t>yes</t>
        </is>
      </c>
      <c r="G123" s="12" t="inlineStr">
        <is>
          <t>passed manual test</t>
        </is>
      </c>
      <c r="H123" s="22" t="inlineStr">
        <is>
          <t>covered</t>
        </is>
      </c>
      <c r="I123" s="13" t="inlineStr">
        <is>
          <t>ContextMenu playground scenario.</t>
        </is>
      </c>
      <c r="J123" s="13" t="n"/>
      <c r="K123" s="14">
        <f>IF(AND(E123="yes",F123="yes",H123="covered"),1,IF(H123="partial",0.5,0))</f>
        <v/>
      </c>
    </row>
    <row r="124" ht="30" customHeight="1" s="24">
      <c r="A124" s="12" t="n">
        <v>116</v>
      </c>
      <c r="B124" s="13" t="inlineStr">
        <is>
          <t>Interaction</t>
        </is>
      </c>
      <c r="C124" s="13" t="inlineStr">
        <is>
          <t>Open And Close</t>
        </is>
      </c>
      <c r="D124" s="13" t="inlineStr">
        <is>
          <t>Escape closes submenu first and returns focus to parent content</t>
        </is>
      </c>
      <c r="E124" s="18" t="inlineStr">
        <is>
          <t>yes</t>
        </is>
      </c>
      <c r="F124" s="18" t="inlineStr">
        <is>
          <t>yes</t>
        </is>
      </c>
      <c r="G124" s="12" t="inlineStr">
        <is>
          <t>passed manual test</t>
        </is>
      </c>
      <c r="H124" s="22" t="inlineStr">
        <is>
          <t>covered</t>
        </is>
      </c>
      <c r="I124" s="13" t="inlineStr">
        <is>
          <t>ContextMenu playground scenario.</t>
        </is>
      </c>
      <c r="J124" s="13" t="n"/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Interaction</t>
        </is>
      </c>
      <c r="C125" s="13" t="inlineStr">
        <is>
          <t>Open And Close</t>
        </is>
      </c>
      <c r="D125" s="13" t="inlineStr">
        <is>
          <t>selecting action item closes menu when enabled</t>
        </is>
      </c>
      <c r="E125" s="18" t="inlineStr">
        <is>
          <t>yes</t>
        </is>
      </c>
      <c r="F125" s="18" t="inlineStr">
        <is>
          <t>yes</t>
        </is>
      </c>
      <c r="G125" s="12" t="inlineStr">
        <is>
          <t>passed manual test</t>
        </is>
      </c>
      <c r="H125" s="22" t="inlineStr">
        <is>
          <t>covered</t>
        </is>
      </c>
      <c r="I125" s="13" t="inlineStr">
        <is>
          <t>ContextMenu playground scenario.</t>
        </is>
      </c>
      <c r="J125" s="13" t="n"/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Interaction</t>
        </is>
      </c>
      <c r="C126" s="13" t="inlineStr">
        <is>
          <t>Open And Close</t>
        </is>
      </c>
      <c r="D126" s="13" t="inlineStr">
        <is>
          <t>selecting checkbox/radio can keep menu open</t>
        </is>
      </c>
      <c r="E126" s="18" t="inlineStr">
        <is>
          <t>yes</t>
        </is>
      </c>
      <c r="F126" s="18" t="inlineStr">
        <is>
          <t>yes</t>
        </is>
      </c>
      <c r="G126" s="12" t="inlineStr">
        <is>
          <t>passed manual test</t>
        </is>
      </c>
      <c r="H126" s="22" t="inlineStr">
        <is>
          <t>covered</t>
        </is>
      </c>
      <c r="I126" s="13" t="inlineStr">
        <is>
          <t>ContextMenu playground scenario.</t>
        </is>
      </c>
      <c r="J126" s="13" t="n"/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Interaction</t>
        </is>
      </c>
      <c r="C127" s="13" t="inlineStr">
        <is>
          <t>Open And Close</t>
        </is>
      </c>
      <c r="D127" s="13" t="inlineStr">
        <is>
          <t>selecting submenu item closes submenu and parent menu</t>
        </is>
      </c>
      <c r="E127" s="18" t="inlineStr">
        <is>
          <t>yes</t>
        </is>
      </c>
      <c r="F127" s="18" t="inlineStr">
        <is>
          <t>yes</t>
        </is>
      </c>
      <c r="G127" s="12" t="inlineStr">
        <is>
          <t>passed manual test</t>
        </is>
      </c>
      <c r="H127" s="22" t="inlineStr">
        <is>
          <t>covered</t>
        </is>
      </c>
      <c r="I127" s="13" t="inlineStr">
        <is>
          <t>ContextMenu playground scenario.</t>
        </is>
      </c>
      <c r="J127" s="13" t="n"/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Keyboard</t>
        </is>
      </c>
      <c r="C128" s="13" t="inlineStr">
        <is>
          <t>Navigation</t>
        </is>
      </c>
      <c r="D128" s="13" t="inlineStr">
        <is>
          <t>ArrowDown moves highlight forward</t>
        </is>
      </c>
      <c r="E128" s="18" t="inlineStr">
        <is>
          <t>yes</t>
        </is>
      </c>
      <c r="F128" s="18" t="inlineStr">
        <is>
          <t>yes</t>
        </is>
      </c>
      <c r="G128" s="12" t="inlineStr">
        <is>
          <t>passed manual test</t>
        </is>
      </c>
      <c r="H128" s="22" t="inlineStr">
        <is>
          <t>covered</t>
        </is>
      </c>
      <c r="I128" s="13" t="inlineStr">
        <is>
          <t>ContextMenu playground scenario.</t>
        </is>
      </c>
      <c r="J128" s="13" t="n"/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Keyboard</t>
        </is>
      </c>
      <c r="C129" s="13" t="inlineStr">
        <is>
          <t>Navigation</t>
        </is>
      </c>
      <c r="D129" s="13" t="inlineStr">
        <is>
          <t>ArrowUp moves highlight backward</t>
        </is>
      </c>
      <c r="E129" s="18" t="inlineStr">
        <is>
          <t>yes</t>
        </is>
      </c>
      <c r="F129" s="18" t="inlineStr">
        <is>
          <t>yes</t>
        </is>
      </c>
      <c r="G129" s="12" t="inlineStr">
        <is>
          <t>passed manual test</t>
        </is>
      </c>
      <c r="H129" s="22" t="inlineStr">
        <is>
          <t>covered</t>
        </is>
      </c>
      <c r="I129" s="13" t="inlineStr">
        <is>
          <t>ContextMenu playground scenario.</t>
        </is>
      </c>
      <c r="J129" s="13" t="n"/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Keyboard</t>
        </is>
      </c>
      <c r="C130" s="13" t="inlineStr">
        <is>
          <t>Navigation</t>
        </is>
      </c>
      <c r="D130" s="13" t="inlineStr">
        <is>
          <t>Home moves highlight to first item</t>
        </is>
      </c>
      <c r="E130" s="18" t="inlineStr">
        <is>
          <t>yes</t>
        </is>
      </c>
      <c r="F130" s="18" t="inlineStr">
        <is>
          <t>yes</t>
        </is>
      </c>
      <c r="G130" s="12" t="inlineStr">
        <is>
          <t>passed manual test</t>
        </is>
      </c>
      <c r="H130" s="22" t="inlineStr">
        <is>
          <t>covered</t>
        </is>
      </c>
      <c r="I130" s="13" t="inlineStr">
        <is>
          <t>ContextMenu playground scenario.</t>
        </is>
      </c>
      <c r="J130" s="13" t="n"/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Keyboard</t>
        </is>
      </c>
      <c r="C131" s="13" t="inlineStr">
        <is>
          <t>Navigation</t>
        </is>
      </c>
      <c r="D131" s="13" t="inlineStr">
        <is>
          <t>End moves highlight to last item</t>
        </is>
      </c>
      <c r="E131" s="18" t="inlineStr">
        <is>
          <t>yes</t>
        </is>
      </c>
      <c r="F131" s="18" t="inlineStr">
        <is>
          <t>yes</t>
        </is>
      </c>
      <c r="G131" s="12" t="inlineStr">
        <is>
          <t>passed manual test</t>
        </is>
      </c>
      <c r="H131" s="22" t="inlineStr">
        <is>
          <t>covered</t>
        </is>
      </c>
      <c r="I131" s="13" t="inlineStr">
        <is>
          <t>ContextMenu playground scenario.</t>
        </is>
      </c>
      <c r="J131" s="13" t="n"/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Keyboard</t>
        </is>
      </c>
      <c r="C132" s="13" t="inlineStr">
        <is>
          <t>Navigation</t>
        </is>
      </c>
      <c r="D132" s="13" t="inlineStr">
        <is>
          <t>disabled items are skipped</t>
        </is>
      </c>
      <c r="E132" s="18" t="inlineStr">
        <is>
          <t>yes</t>
        </is>
      </c>
      <c r="F132" s="18" t="inlineStr">
        <is>
          <t>yes</t>
        </is>
      </c>
      <c r="G132" s="12" t="inlineStr">
        <is>
          <t>passed manual test</t>
        </is>
      </c>
      <c r="H132" s="22" t="inlineStr">
        <is>
          <t>covered</t>
        </is>
      </c>
      <c r="I132" s="13" t="inlineStr">
        <is>
          <t>ContextMenu playground scenario.</t>
        </is>
      </c>
      <c r="J132" s="13" t="n"/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Keyboard</t>
        </is>
      </c>
      <c r="C133" s="13" t="inlineStr">
        <is>
          <t>Navigation</t>
        </is>
      </c>
      <c r="D133" s="13" t="inlineStr">
        <is>
          <t>loop forward wraps to first</t>
        </is>
      </c>
      <c r="E133" s="18" t="inlineStr">
        <is>
          <t>yes</t>
        </is>
      </c>
      <c r="F133" s="18" t="inlineStr">
        <is>
          <t>yes</t>
        </is>
      </c>
      <c r="G133" s="12" t="inlineStr">
        <is>
          <t>passed manual test</t>
        </is>
      </c>
      <c r="H133" s="22" t="inlineStr">
        <is>
          <t>covered</t>
        </is>
      </c>
      <c r="I133" s="13" t="inlineStr">
        <is>
          <t>ContextMenu playground scenario.</t>
        </is>
      </c>
      <c r="J133" s="13" t="n"/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Keyboard</t>
        </is>
      </c>
      <c r="C134" s="13" t="inlineStr">
        <is>
          <t>Navigation</t>
        </is>
      </c>
      <c r="D134" s="13" t="inlineStr">
        <is>
          <t>loop backward wraps to last</t>
        </is>
      </c>
      <c r="E134" s="18" t="inlineStr">
        <is>
          <t>yes</t>
        </is>
      </c>
      <c r="F134" s="18" t="inlineStr">
        <is>
          <t>yes</t>
        </is>
      </c>
      <c r="G134" s="12" t="inlineStr">
        <is>
          <t>passed manual test</t>
        </is>
      </c>
      <c r="H134" s="22" t="inlineStr">
        <is>
          <t>covered</t>
        </is>
      </c>
      <c r="I134" s="13" t="inlineStr">
        <is>
          <t>ContextMenu playground scenario.</t>
        </is>
      </c>
      <c r="J134" s="13" t="n"/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Keyboard</t>
        </is>
      </c>
      <c r="C135" s="13" t="inlineStr">
        <is>
          <t>Navigation</t>
        </is>
      </c>
      <c r="D135" s="13" t="inlineStr">
        <is>
          <t>loop off does not wrap forward</t>
        </is>
      </c>
      <c r="E135" s="18" t="inlineStr">
        <is>
          <t>yes</t>
        </is>
      </c>
      <c r="F135" s="18" t="inlineStr">
        <is>
          <t>yes</t>
        </is>
      </c>
      <c r="G135" s="12" t="inlineStr">
        <is>
          <t>passed manual test</t>
        </is>
      </c>
      <c r="H135" s="22" t="inlineStr">
        <is>
          <t>covered</t>
        </is>
      </c>
      <c r="I135" s="13" t="inlineStr">
        <is>
          <t>ContextMenu playground scenario.</t>
        </is>
      </c>
      <c r="J135" s="13" t="n"/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Keyboard</t>
        </is>
      </c>
      <c r="C136" s="13" t="inlineStr">
        <is>
          <t>Navigation</t>
        </is>
      </c>
      <c r="D136" s="13" t="inlineStr">
        <is>
          <t>loop off does not wrap backward</t>
        </is>
      </c>
      <c r="E136" s="18" t="inlineStr">
        <is>
          <t>yes</t>
        </is>
      </c>
      <c r="F136" s="18" t="inlineStr">
        <is>
          <t>yes</t>
        </is>
      </c>
      <c r="G136" s="12" t="inlineStr">
        <is>
          <t>passed manual test</t>
        </is>
      </c>
      <c r="H136" s="22" t="inlineStr">
        <is>
          <t>covered</t>
        </is>
      </c>
      <c r="I136" s="13" t="inlineStr">
        <is>
          <t>ContextMenu playground scenario.</t>
        </is>
      </c>
      <c r="J136" s="13" t="n"/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Keyboard</t>
        </is>
      </c>
      <c r="C137" s="13" t="inlineStr">
        <is>
          <t>Navigation</t>
        </is>
      </c>
      <c r="D137" s="13" t="inlineStr">
        <is>
          <t>Enter activates highlighted item</t>
        </is>
      </c>
      <c r="E137" s="18" t="inlineStr">
        <is>
          <t>yes</t>
        </is>
      </c>
      <c r="F137" s="18" t="inlineStr">
        <is>
          <t>yes</t>
        </is>
      </c>
      <c r="G137" s="12" t="inlineStr">
        <is>
          <t>passed manual test</t>
        </is>
      </c>
      <c r="H137" s="22" t="inlineStr">
        <is>
          <t>covered</t>
        </is>
      </c>
      <c r="I137" s="13" t="inlineStr">
        <is>
          <t>ContextMenu playground scenario.</t>
        </is>
      </c>
      <c r="J137" s="13" t="n"/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Keyboard</t>
        </is>
      </c>
      <c r="C138" s="13" t="inlineStr">
        <is>
          <t>Navigation</t>
        </is>
      </c>
      <c r="D138" s="13" t="inlineStr">
        <is>
          <t>Space activates highlighted item</t>
        </is>
      </c>
      <c r="E138" s="18" t="inlineStr">
        <is>
          <t>yes</t>
        </is>
      </c>
      <c r="F138" s="18" t="inlineStr">
        <is>
          <t>yes</t>
        </is>
      </c>
      <c r="G138" s="12" t="inlineStr">
        <is>
          <t>passed manual test</t>
        </is>
      </c>
      <c r="H138" s="22" t="inlineStr">
        <is>
          <t>covered</t>
        </is>
      </c>
      <c r="I138" s="13" t="inlineStr">
        <is>
          <t>ContextMenu playground scenario.</t>
        </is>
      </c>
      <c r="J138" s="13" t="n"/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Keyboard</t>
        </is>
      </c>
      <c r="C139" s="13" t="inlineStr">
        <is>
          <t>Navigation</t>
        </is>
      </c>
      <c r="D139" s="13" t="inlineStr">
        <is>
          <t>typeahead highlights matching item</t>
        </is>
      </c>
      <c r="E139" s="18" t="inlineStr">
        <is>
          <t>yes</t>
        </is>
      </c>
      <c r="F139" s="18" t="inlineStr">
        <is>
          <t>yes</t>
        </is>
      </c>
      <c r="G139" s="12" t="inlineStr">
        <is>
          <t>passed manual test</t>
        </is>
      </c>
      <c r="H139" s="22" t="inlineStr">
        <is>
          <t>covered</t>
        </is>
      </c>
      <c r="I139" s="13" t="inlineStr">
        <is>
          <t>ContextMenu playground scenario.</t>
        </is>
      </c>
      <c r="J139" s="13" t="n"/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Keyboard</t>
        </is>
      </c>
      <c r="C140" s="13" t="inlineStr">
        <is>
          <t>Navigation</t>
        </is>
      </c>
      <c r="D140" s="13" t="inlineStr">
        <is>
          <t>single-character typeahead cycles same-letter matches</t>
        </is>
      </c>
      <c r="E140" s="18" t="inlineStr">
        <is>
          <t>yes</t>
        </is>
      </c>
      <c r="F140" s="18" t="inlineStr">
        <is>
          <t>yes</t>
        </is>
      </c>
      <c r="G140" s="12" t="inlineStr">
        <is>
          <t>passed manual test</t>
        </is>
      </c>
      <c r="H140" s="22" t="inlineStr">
        <is>
          <t>covered</t>
        </is>
      </c>
      <c r="I140" s="13" t="inlineStr">
        <is>
          <t>ContextMenu playground scenario.</t>
        </is>
      </c>
      <c r="J140" s="13" t="n"/>
      <c r="K140" s="14">
        <f>IF(AND(E140="yes",F140="yes",H140="covered"),1,IF(H140="partial",0.5,0))</f>
        <v/>
      </c>
    </row>
    <row r="141" ht="15" customHeight="1" s="24">
      <c r="A141" s="12" t="n">
        <v>133</v>
      </c>
      <c r="B141" s="13" t="inlineStr">
        <is>
          <t>Keyboard</t>
        </is>
      </c>
      <c r="C141" s="13" t="inlineStr">
        <is>
          <t>Navigation</t>
        </is>
      </c>
      <c r="D141" s="13" t="inlineStr">
        <is>
          <t>multi-character typeahead matches exact prefix</t>
        </is>
      </c>
      <c r="E141" s="18" t="inlineStr">
        <is>
          <t>yes</t>
        </is>
      </c>
      <c r="F141" s="18" t="inlineStr">
        <is>
          <t>yes</t>
        </is>
      </c>
      <c r="G141" s="12" t="inlineStr">
        <is>
          <t>passed manual test</t>
        </is>
      </c>
      <c r="H141" s="22" t="inlineStr">
        <is>
          <t>covered</t>
        </is>
      </c>
      <c r="I141" s="13" t="inlineStr">
        <is>
          <t>ContextMenu playground scenario.</t>
        </is>
      </c>
      <c r="J141" s="13" t="n"/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Keyboard</t>
        </is>
      </c>
      <c r="C142" s="13" t="inlineStr">
        <is>
          <t>Navigation</t>
        </is>
      </c>
      <c r="D142" s="13" t="inlineStr">
        <is>
          <t>submenu has independent highlight state</t>
        </is>
      </c>
      <c r="E142" s="18" t="inlineStr">
        <is>
          <t>yes</t>
        </is>
      </c>
      <c r="F142" s="18" t="inlineStr">
        <is>
          <t>yes</t>
        </is>
      </c>
      <c r="G142" s="12" t="inlineStr">
        <is>
          <t>passed manual test</t>
        </is>
      </c>
      <c r="H142" s="22" t="inlineStr">
        <is>
          <t>covered</t>
        </is>
      </c>
      <c r="I142" s="13" t="inlineStr">
        <is>
          <t>ContextMenu playground scenario.</t>
        </is>
      </c>
      <c r="J142" s="13" t="n"/>
      <c r="K142" s="14">
        <f>IF(AND(E142="yes",F142="yes",H142="covered"),1,IF(H142="partial",0.5,0))</f>
        <v/>
      </c>
    </row>
    <row r="143" ht="15" customHeight="1" s="24">
      <c r="A143" s="12" t="n">
        <v>135</v>
      </c>
      <c r="B143" s="13" t="inlineStr">
        <is>
          <t>Keyboard</t>
        </is>
      </c>
      <c r="C143" s="13" t="inlineStr">
        <is>
          <t>Navigation</t>
        </is>
      </c>
      <c r="D143" s="13" t="inlineStr">
        <is>
          <t>ArrowLeft closes submenu</t>
        </is>
      </c>
      <c r="E143" s="18" t="inlineStr">
        <is>
          <t>yes</t>
        </is>
      </c>
      <c r="F143" s="18" t="inlineStr">
        <is>
          <t>yes</t>
        </is>
      </c>
      <c r="G143" s="12" t="inlineStr">
        <is>
          <t>passed manual test</t>
        </is>
      </c>
      <c r="H143" s="22" t="inlineStr">
        <is>
          <t>covered</t>
        </is>
      </c>
      <c r="I143" s="13" t="inlineStr">
        <is>
          <t>ContextMenu playground scenario.</t>
        </is>
      </c>
      <c r="J143" s="13" t="n"/>
      <c r="K143" s="14">
        <f>IF(AND(E143="yes",F143="yes",H143="covered"),1,IF(H143="partial",0.5,0))</f>
        <v/>
      </c>
    </row>
    <row r="144" ht="15" customHeight="1" s="24">
      <c r="A144" s="12" t="n">
        <v>136</v>
      </c>
      <c r="B144" s="13" t="inlineStr">
        <is>
          <t>Keyboard</t>
        </is>
      </c>
      <c r="C144" s="13" t="inlineStr">
        <is>
          <t>Navigation</t>
        </is>
      </c>
      <c r="D144" s="13" t="inlineStr">
        <is>
          <t>ArrowRight opens nested submenu from submenu</t>
        </is>
      </c>
      <c r="E144" s="18" t="inlineStr">
        <is>
          <t>yes</t>
        </is>
      </c>
      <c r="F144" s="18" t="inlineStr">
        <is>
          <t>yes</t>
        </is>
      </c>
      <c r="G144" s="12" t="inlineStr">
        <is>
          <t>passed manual test</t>
        </is>
      </c>
      <c r="H144" s="22" t="inlineStr">
        <is>
          <t>covered</t>
        </is>
      </c>
      <c r="I144" s="13" t="inlineStr">
        <is>
          <t>ContextMenu playground scenario.</t>
        </is>
      </c>
      <c r="J144" s="13" t="n"/>
      <c r="K144" s="14">
        <f>IF(AND(E144="yes",F144="yes",H144="covered"),1,IF(H144="partial",0.5,0))</f>
        <v/>
      </c>
    </row>
    <row r="145" ht="15" customHeight="1" s="24">
      <c r="A145" s="12" t="n">
        <v>137</v>
      </c>
      <c r="B145" s="13" t="inlineStr">
        <is>
          <t>Pointer</t>
        </is>
      </c>
      <c r="C145" s="13" t="inlineStr">
        <is>
          <t>Highlight</t>
        </is>
      </c>
      <c r="D145" s="13" t="inlineStr">
        <is>
          <t>pointer open starts with no highlighted item</t>
        </is>
      </c>
      <c r="E145" s="18" t="inlineStr">
        <is>
          <t>yes</t>
        </is>
      </c>
      <c r="F145" s="18" t="inlineStr">
        <is>
          <t>yes</t>
        </is>
      </c>
      <c r="G145" s="12" t="inlineStr">
        <is>
          <t>passed manual test</t>
        </is>
      </c>
      <c r="H145" s="22" t="inlineStr">
        <is>
          <t>covered</t>
        </is>
      </c>
      <c r="I145" s="13" t="inlineStr">
        <is>
          <t>ContextMenu playground scenario.</t>
        </is>
      </c>
      <c r="J145" s="13" t="n"/>
      <c r="K145" s="14">
        <f>IF(AND(E145="yes",F145="yes",H145="covered"),1,IF(H145="partial",0.5,0))</f>
        <v/>
      </c>
    </row>
    <row r="146" ht="15" customHeight="1" s="24">
      <c r="A146" s="12" t="n">
        <v>138</v>
      </c>
      <c r="B146" s="13" t="inlineStr">
        <is>
          <t>Pointer</t>
        </is>
      </c>
      <c r="C146" s="13" t="inlineStr">
        <is>
          <t>Highlight</t>
        </is>
      </c>
      <c r="D146" s="13" t="inlineStr">
        <is>
          <t>hovering item highlights it</t>
        </is>
      </c>
      <c r="E146" s="18" t="inlineStr">
        <is>
          <t>yes</t>
        </is>
      </c>
      <c r="F146" s="18" t="inlineStr">
        <is>
          <t>yes</t>
        </is>
      </c>
      <c r="G146" s="12" t="inlineStr">
        <is>
          <t>passed manual test</t>
        </is>
      </c>
      <c r="H146" s="22" t="inlineStr">
        <is>
          <t>covered</t>
        </is>
      </c>
      <c r="I146" s="13" t="inlineStr">
        <is>
          <t>ContextMenu playground scenario.</t>
        </is>
      </c>
      <c r="J146" s="13" t="n"/>
      <c r="K146" s="14">
        <f>IF(AND(E146="yes",F146="yes",H146="covered"),1,IF(H146="partial",0.5,0))</f>
        <v/>
      </c>
    </row>
    <row r="147" ht="15" customHeight="1" s="24">
      <c r="A147" s="12" t="n">
        <v>139</v>
      </c>
      <c r="B147" s="13" t="inlineStr">
        <is>
          <t>Pointer</t>
        </is>
      </c>
      <c r="C147" s="13" t="inlineStr">
        <is>
          <t>Highlight</t>
        </is>
      </c>
      <c r="D147" s="13" t="inlineStr">
        <is>
          <t>hovering disabled item does not highlight it</t>
        </is>
      </c>
      <c r="E147" s="18" t="inlineStr">
        <is>
          <t>yes</t>
        </is>
      </c>
      <c r="F147" s="18" t="inlineStr">
        <is>
          <t>yes</t>
        </is>
      </c>
      <c r="G147" s="12" t="inlineStr">
        <is>
          <t>passed manual test</t>
        </is>
      </c>
      <c r="H147" s="22" t="inlineStr">
        <is>
          <t>covered</t>
        </is>
      </c>
      <c r="I147" s="13" t="inlineStr">
        <is>
          <t>ContextMenu playground scenario.</t>
        </is>
      </c>
      <c r="J147" s="13" t="n"/>
      <c r="K147" s="14">
        <f>IF(AND(E147="yes",F147="yes",H147="covered"),1,IF(H147="partial",0.5,0))</f>
        <v/>
      </c>
    </row>
    <row r="148" ht="15" customHeight="1" s="24">
      <c r="A148" s="12" t="n">
        <v>140</v>
      </c>
      <c r="B148" s="13" t="inlineStr">
        <is>
          <t>Pointer</t>
        </is>
      </c>
      <c r="C148" s="13" t="inlineStr">
        <is>
          <t>Highlight</t>
        </is>
      </c>
      <c r="D148" s="13" t="inlineStr">
        <is>
          <t>hovering item closes previously open submenu</t>
        </is>
      </c>
      <c r="E148" s="18" t="inlineStr">
        <is>
          <t>yes</t>
        </is>
      </c>
      <c r="F148" s="18" t="inlineStr">
        <is>
          <t>yes</t>
        </is>
      </c>
      <c r="G148" s="12" t="inlineStr">
        <is>
          <t>passed manual test</t>
        </is>
      </c>
      <c r="H148" s="22" t="inlineStr">
        <is>
          <t>covered</t>
        </is>
      </c>
      <c r="I148" s="13" t="inlineStr">
        <is>
          <t>ContextMenu playground scenario.</t>
        </is>
      </c>
      <c r="J148" s="13" t="n"/>
      <c r="K148" s="14">
        <f>IF(AND(E148="yes",F148="yes",H148="covered"),1,IF(H148="partial",0.5,0))</f>
        <v/>
      </c>
    </row>
    <row r="149" ht="30" customHeight="1" s="24">
      <c r="A149" s="12" t="n">
        <v>141</v>
      </c>
      <c r="B149" s="13" t="inlineStr">
        <is>
          <t>Pointer</t>
        </is>
      </c>
      <c r="C149" s="13" t="inlineStr">
        <is>
          <t>Highlight</t>
        </is>
      </c>
      <c r="D149" s="13" t="inlineStr">
        <is>
          <t>reopening from pointer does not alternate stale first highlight</t>
        </is>
      </c>
      <c r="E149" s="18" t="inlineStr">
        <is>
          <t>yes</t>
        </is>
      </c>
      <c r="F149" s="18" t="inlineStr">
        <is>
          <t>yes</t>
        </is>
      </c>
      <c r="G149" s="12" t="inlineStr">
        <is>
          <t>passed manual test</t>
        </is>
      </c>
      <c r="H149" s="22" t="inlineStr">
        <is>
          <t>covered</t>
        </is>
      </c>
      <c r="I149" s="13" t="inlineStr">
        <is>
          <t>ContextMenu playground scenario.</t>
        </is>
      </c>
      <c r="J149" s="13" t="n"/>
      <c r="K149" s="14">
        <f>IF(AND(E149="yes",F149="yes",H149="covered"),1,IF(H149="partial",0.5,0))</f>
        <v/>
      </c>
    </row>
    <row r="150" ht="15" customHeight="1" s="24">
      <c r="A150" s="12" t="n">
        <v>142</v>
      </c>
      <c r="B150" s="13" t="inlineStr">
        <is>
          <t>Accessibility</t>
        </is>
      </c>
      <c r="C150" s="13" t="inlineStr">
        <is>
          <t>Relationships</t>
        </is>
      </c>
      <c r="D150" s="13" t="inlineStr">
        <is>
          <t>trigger has accessible text</t>
        </is>
      </c>
      <c r="E150" s="18" t="inlineStr">
        <is>
          <t>yes</t>
        </is>
      </c>
      <c r="F150" s="18" t="inlineStr">
        <is>
          <t>yes</t>
        </is>
      </c>
      <c r="G150" s="12" t="inlineStr">
        <is>
          <t>passed manual test</t>
        </is>
      </c>
      <c r="H150" s="22" t="inlineStr">
        <is>
          <t>covered</t>
        </is>
      </c>
      <c r="I150" s="13" t="inlineStr">
        <is>
          <t>ContextMenu playground scenario.</t>
        </is>
      </c>
      <c r="J150" s="13" t="n"/>
      <c r="K150" s="14">
        <f>IF(AND(E150="yes",F150="yes",H150="covered"),1,IF(H150="partial",0.5,0))</f>
        <v/>
      </c>
    </row>
    <row r="151" ht="15" customHeight="1" s="24">
      <c r="A151" s="12" t="n">
        <v>143</v>
      </c>
      <c r="B151" s="13" t="inlineStr">
        <is>
          <t>Accessibility</t>
        </is>
      </c>
      <c r="C151" s="13" t="inlineStr">
        <is>
          <t>Relationships</t>
        </is>
      </c>
      <c r="D151" s="13" t="inlineStr">
        <is>
          <t>content has accessible name</t>
        </is>
      </c>
      <c r="E151" s="18" t="inlineStr">
        <is>
          <t>yes</t>
        </is>
      </c>
      <c r="F151" s="18" t="inlineStr">
        <is>
          <t>yes</t>
        </is>
      </c>
      <c r="G151" s="12" t="inlineStr">
        <is>
          <t>passed manual test</t>
        </is>
      </c>
      <c r="H151" s="22" t="inlineStr">
        <is>
          <t>covered</t>
        </is>
      </c>
      <c r="I151" s="13" t="inlineStr">
        <is>
          <t>ContextMenu playground scenario.</t>
        </is>
      </c>
      <c r="J151" s="13" t="n"/>
      <c r="K151" s="14">
        <f>IF(AND(E151="yes",F151="yes",H151="covered"),1,IF(H151="partial",0.5,0))</f>
        <v/>
      </c>
    </row>
    <row r="152" ht="15" customHeight="1" s="24">
      <c r="A152" s="12" t="n">
        <v>144</v>
      </c>
      <c r="B152" s="13" t="inlineStr">
        <is>
          <t>Accessibility</t>
        </is>
      </c>
      <c r="C152" s="13" t="inlineStr">
        <is>
          <t>Relationships</t>
        </is>
      </c>
      <c r="D152" s="13" t="inlineStr">
        <is>
          <t>content references trigger when unnamed</t>
        </is>
      </c>
      <c r="E152" s="18" t="inlineStr">
        <is>
          <t>yes</t>
        </is>
      </c>
      <c r="F152" s="18" t="inlineStr">
        <is>
          <t>yes</t>
        </is>
      </c>
      <c r="G152" s="12" t="inlineStr">
        <is>
          <t>passed manual test</t>
        </is>
      </c>
      <c r="H152" s="22" t="inlineStr">
        <is>
          <t>covered</t>
        </is>
      </c>
      <c r="I152" s="13" t="inlineStr">
        <is>
          <t>ContextMenu playground scenario.</t>
        </is>
      </c>
      <c r="J152" s="13" t="n"/>
      <c r="K152" s="14">
        <f>IF(AND(E152="yes",F152="yes",H152="covered"),1,IF(H152="partial",0.5,0))</f>
        <v/>
      </c>
    </row>
    <row r="153" ht="15" customHeight="1" s="24">
      <c r="A153" s="12" t="n">
        <v>145</v>
      </c>
      <c r="B153" s="13" t="inlineStr">
        <is>
          <t>Accessibility</t>
        </is>
      </c>
      <c r="C153" s="13" t="inlineStr">
        <is>
          <t>Relationships</t>
        </is>
      </c>
      <c r="D153" s="13" t="inlineStr">
        <is>
          <t>sub content references sub trigger when unnamed</t>
        </is>
      </c>
      <c r="E153" s="18" t="inlineStr">
        <is>
          <t>yes</t>
        </is>
      </c>
      <c r="F153" s="18" t="inlineStr">
        <is>
          <t>yes</t>
        </is>
      </c>
      <c r="G153" s="12" t="inlineStr">
        <is>
          <t>passed manual test</t>
        </is>
      </c>
      <c r="H153" s="22" t="inlineStr">
        <is>
          <t>covered</t>
        </is>
      </c>
      <c r="I153" s="13" t="inlineStr">
        <is>
          <t>ContextMenu playground scenario.</t>
        </is>
      </c>
      <c r="J153" s="13" t="n"/>
      <c r="K153" s="14">
        <f>IF(AND(E153="yes",F153="yes",H153="covered"),1,IF(H153="partial",0.5,0))</f>
        <v/>
      </c>
    </row>
    <row r="154" ht="15" customHeight="1" s="24">
      <c r="A154" s="12" t="n">
        <v>146</v>
      </c>
      <c r="B154" s="13" t="inlineStr">
        <is>
          <t>Accessibility</t>
        </is>
      </c>
      <c r="C154" s="13" t="inlineStr">
        <is>
          <t>Relationships</t>
        </is>
      </c>
      <c r="D154" s="13" t="inlineStr">
        <is>
          <t>checked states are exposed through aria-checked</t>
        </is>
      </c>
      <c r="E154" s="18" t="inlineStr">
        <is>
          <t>yes</t>
        </is>
      </c>
      <c r="F154" s="18" t="inlineStr">
        <is>
          <t>yes</t>
        </is>
      </c>
      <c r="G154" s="12" t="inlineStr">
        <is>
          <t>passed manual test</t>
        </is>
      </c>
      <c r="H154" s="22" t="inlineStr">
        <is>
          <t>covered</t>
        </is>
      </c>
      <c r="I154" s="13" t="inlineStr">
        <is>
          <t>ContextMenu playground scenario.</t>
        </is>
      </c>
      <c r="J154" s="13" t="n"/>
      <c r="K154" s="14">
        <f>IF(AND(E154="yes",F154="yes",H154="covered"),1,IF(H154="partial",0.5,0))</f>
        <v/>
      </c>
    </row>
    <row r="155" ht="15" customHeight="1" s="24">
      <c r="A155" s="12" t="n">
        <v>147</v>
      </c>
      <c r="B155" s="13" t="inlineStr">
        <is>
          <t>Accessibility</t>
        </is>
      </c>
      <c r="C155" s="13" t="inlineStr">
        <is>
          <t>Relationships</t>
        </is>
      </c>
      <c r="D155" s="13" t="inlineStr">
        <is>
          <t>disabled states are exposed through aria-disabled</t>
        </is>
      </c>
      <c r="E155" s="18" t="inlineStr">
        <is>
          <t>yes</t>
        </is>
      </c>
      <c r="F155" s="18" t="inlineStr">
        <is>
          <t>yes</t>
        </is>
      </c>
      <c r="G155" s="12" t="inlineStr">
        <is>
          <t>passed manual test</t>
        </is>
      </c>
      <c r="H155" s="22" t="inlineStr">
        <is>
          <t>covered</t>
        </is>
      </c>
      <c r="I155" s="13" t="inlineStr">
        <is>
          <t>ContextMenu playground scenario.</t>
        </is>
      </c>
      <c r="J155" s="13" t="n"/>
      <c r="K155" s="14">
        <f>IF(AND(E155="yes",F155="yes",H155="covered"),1,IF(H155="partial",0.5,0))</f>
        <v/>
      </c>
    </row>
    <row r="156" ht="15" customHeight="1" s="24">
      <c r="A156" s="12" t="n">
        <v>148</v>
      </c>
      <c r="B156" s="13" t="inlineStr">
        <is>
          <t>Accessibility</t>
        </is>
      </c>
      <c r="C156" s="13" t="inlineStr">
        <is>
          <t>Relationships</t>
        </is>
      </c>
      <c r="D156" s="13" t="inlineStr">
        <is>
          <t>nested ContextMenu Escape does not close parent overlay</t>
        </is>
      </c>
      <c r="E156" s="18" t="inlineStr">
        <is>
          <t>yes</t>
        </is>
      </c>
      <c r="F156" s="18" t="inlineStr">
        <is>
          <t>yes</t>
        </is>
      </c>
      <c r="G156" s="12" t="inlineStr">
        <is>
          <t>passed manual test</t>
        </is>
      </c>
      <c r="H156" s="22" t="inlineStr">
        <is>
          <t>covered</t>
        </is>
      </c>
      <c r="I156" s="13" t="inlineStr">
        <is>
          <t>ContextMenu playground scenario.</t>
        </is>
      </c>
      <c r="J156" s="13" t="n"/>
      <c r="K156" s="14">
        <f>IF(AND(E156="yes",F156="yes",H156="covered"),1,IF(H156="partial",0.5,0))</f>
        <v/>
      </c>
    </row>
    <row r="157" ht="15" customHeight="1" s="24">
      <c r="A157" s="12" t="n">
        <v>149</v>
      </c>
      <c r="B157" s="13" t="inlineStr">
        <is>
          <t>Composition</t>
        </is>
      </c>
      <c r="C157" s="13" t="inlineStr">
        <is>
          <t>Trigger Composition</t>
        </is>
      </c>
      <c r="D157" s="13" t="inlineStr">
        <is>
          <t>trigger asChild preserves child content</t>
        </is>
      </c>
      <c r="E157" s="18" t="inlineStr">
        <is>
          <t>yes</t>
        </is>
      </c>
      <c r="F157" s="18" t="inlineStr">
        <is>
          <t>yes</t>
        </is>
      </c>
      <c r="G157" s="12" t="inlineStr">
        <is>
          <t>passed manual test</t>
        </is>
      </c>
      <c r="H157" s="22" t="inlineStr">
        <is>
          <t>covered</t>
        </is>
      </c>
      <c r="I157" s="13" t="inlineStr">
        <is>
          <t>ContextMenu playground scenario.</t>
        </is>
      </c>
      <c r="J157" s="13" t="n"/>
      <c r="K157" s="14">
        <f>IF(AND(E157="yes",F157="yes",H157="covered"),1,IF(H157="partial",0.5,0))</f>
        <v/>
      </c>
    </row>
    <row r="158" ht="15" customHeight="1" s="24">
      <c r="A158" s="12" t="n">
        <v>150</v>
      </c>
      <c r="B158" s="13" t="inlineStr">
        <is>
          <t>Composition</t>
        </is>
      </c>
      <c r="C158" s="13" t="inlineStr">
        <is>
          <t>Trigger Composition</t>
        </is>
      </c>
      <c r="D158" s="13" t="inlineStr">
        <is>
          <t>trigger render preserves child content</t>
        </is>
      </c>
      <c r="E158" s="18" t="inlineStr">
        <is>
          <t>yes</t>
        </is>
      </c>
      <c r="F158" s="18" t="inlineStr">
        <is>
          <t>yes</t>
        </is>
      </c>
      <c r="G158" s="12" t="inlineStr">
        <is>
          <t>passed manual test</t>
        </is>
      </c>
      <c r="H158" s="22" t="inlineStr">
        <is>
          <t>covered</t>
        </is>
      </c>
      <c r="I158" s="13" t="inlineStr">
        <is>
          <t>ContextMenu playground scenario.</t>
        </is>
      </c>
      <c r="J158" s="13" t="n"/>
      <c r="K158" s="14">
        <f>IF(AND(E158="yes",F158="yes",H158="covered"),1,IF(H158="partial",0.5,0))</f>
        <v/>
      </c>
    </row>
    <row r="159" ht="15" customHeight="1" s="24">
      <c r="A159" s="12" t="n">
        <v>151</v>
      </c>
      <c r="B159" s="13" t="inlineStr">
        <is>
          <t>Composition</t>
        </is>
      </c>
      <c r="C159" s="13" t="inlineStr">
        <is>
          <t>Item Composition</t>
        </is>
      </c>
      <c r="D159" s="13" t="inlineStr">
        <is>
          <t>Item asChild preserves child content</t>
        </is>
      </c>
      <c r="E159" s="18" t="inlineStr">
        <is>
          <t>yes</t>
        </is>
      </c>
      <c r="F159" s="18" t="inlineStr">
        <is>
          <t>yes</t>
        </is>
      </c>
      <c r="G159" s="12" t="inlineStr">
        <is>
          <t>passed manual test</t>
        </is>
      </c>
      <c r="H159" s="22" t="inlineStr">
        <is>
          <t>covered</t>
        </is>
      </c>
      <c r="I159" s="13" t="inlineStr">
        <is>
          <t>ContextMenu playground scenario.</t>
        </is>
      </c>
      <c r="J159" s="13" t="n"/>
      <c r="K159" s="14">
        <f>IF(AND(E159="yes",F159="yes",H159="covered"),1,IF(H159="partial",0.5,0))</f>
        <v/>
      </c>
    </row>
    <row r="160" ht="15" customHeight="1" s="24">
      <c r="A160" s="12" t="n">
        <v>152</v>
      </c>
      <c r="B160" s="13" t="inlineStr">
        <is>
          <t>Composition</t>
        </is>
      </c>
      <c r="C160" s="13" t="inlineStr">
        <is>
          <t>Item Composition</t>
        </is>
      </c>
      <c r="D160" s="13" t="inlineStr">
        <is>
          <t>Item render preserves child content</t>
        </is>
      </c>
      <c r="E160" s="18" t="inlineStr">
        <is>
          <t>yes</t>
        </is>
      </c>
      <c r="F160" s="18" t="inlineStr">
        <is>
          <t>yes</t>
        </is>
      </c>
      <c r="G160" s="12" t="inlineStr">
        <is>
          <t>passed manual test</t>
        </is>
      </c>
      <c r="H160" s="22" t="inlineStr">
        <is>
          <t>covered</t>
        </is>
      </c>
      <c r="I160" s="13" t="inlineStr">
        <is>
          <t>ContextMenu playground scenario.</t>
        </is>
      </c>
      <c r="J160" s="13" t="n"/>
      <c r="K160" s="14">
        <f>IF(AND(E160="yes",F160="yes",H160="covered"),1,IF(H160="partial",0.5,0))</f>
        <v/>
      </c>
    </row>
    <row r="161" ht="15" customHeight="1" s="24">
      <c r="A161" s="12" t="n">
        <v>153</v>
      </c>
      <c r="B161" s="13" t="inlineStr">
        <is>
          <t>Composition</t>
        </is>
      </c>
      <c r="C161" s="13" t="inlineStr">
        <is>
          <t>Native Props</t>
        </is>
      </c>
      <c r="D161" s="13" t="inlineStr">
        <is>
          <t>Trigger native props pass through</t>
        </is>
      </c>
      <c r="E161" s="18" t="inlineStr">
        <is>
          <t>yes</t>
        </is>
      </c>
      <c r="F161" s="18" t="inlineStr">
        <is>
          <t>yes</t>
        </is>
      </c>
      <c r="G161" s="12" t="inlineStr">
        <is>
          <t>passed manual test</t>
        </is>
      </c>
      <c r="H161" s="22" t="inlineStr">
        <is>
          <t>covered</t>
        </is>
      </c>
      <c r="I161" s="13" t="inlineStr">
        <is>
          <t>ContextMenu playground scenario.</t>
        </is>
      </c>
      <c r="J161" s="13" t="n"/>
      <c r="K161" s="14">
        <f>IF(AND(E161="yes",F161="yes",H161="covered"),1,IF(H161="partial",0.5,0))</f>
        <v/>
      </c>
    </row>
    <row r="162" ht="15" customHeight="1" s="24">
      <c r="A162" s="12" t="n">
        <v>154</v>
      </c>
      <c r="B162" s="13" t="inlineStr">
        <is>
          <t>Composition</t>
        </is>
      </c>
      <c r="C162" s="13" t="inlineStr">
        <is>
          <t>Native Props</t>
        </is>
      </c>
      <c r="D162" s="13" t="inlineStr">
        <is>
          <t>Content native props pass through</t>
        </is>
      </c>
      <c r="E162" s="18" t="inlineStr">
        <is>
          <t>yes</t>
        </is>
      </c>
      <c r="F162" s="18" t="inlineStr">
        <is>
          <t>yes</t>
        </is>
      </c>
      <c r="G162" s="12" t="inlineStr">
        <is>
          <t>passed manual test</t>
        </is>
      </c>
      <c r="H162" s="22" t="inlineStr">
        <is>
          <t>covered</t>
        </is>
      </c>
      <c r="I162" s="13" t="inlineStr">
        <is>
          <t>ContextMenu playground scenario.</t>
        </is>
      </c>
      <c r="J162" s="13" t="n"/>
      <c r="K162" s="14">
        <f>IF(AND(E162="yes",F162="yes",H162="covered"),1,IF(H162="partial",0.5,0))</f>
        <v/>
      </c>
    </row>
    <row r="163" ht="15" customHeight="1" s="24">
      <c r="A163" s="12" t="n">
        <v>155</v>
      </c>
      <c r="B163" s="13" t="inlineStr">
        <is>
          <t>Composition</t>
        </is>
      </c>
      <c r="C163" s="13" t="inlineStr">
        <is>
          <t>Native Props</t>
        </is>
      </c>
      <c r="D163" s="13" t="inlineStr">
        <is>
          <t>Item native props pass through</t>
        </is>
      </c>
      <c r="E163" s="18" t="inlineStr">
        <is>
          <t>yes</t>
        </is>
      </c>
      <c r="F163" s="18" t="inlineStr">
        <is>
          <t>yes</t>
        </is>
      </c>
      <c r="G163" s="12" t="inlineStr">
        <is>
          <t>passed manual test</t>
        </is>
      </c>
      <c r="H163" s="22" t="inlineStr">
        <is>
          <t>covered</t>
        </is>
      </c>
      <c r="I163" s="13" t="inlineStr">
        <is>
          <t>ContextMenu playground scenario.</t>
        </is>
      </c>
      <c r="J163" s="13" t="n"/>
      <c r="K163" s="14">
        <f>IF(AND(E163="yes",F163="yes",H163="covered"),1,IF(H163="partial",0.5,0))</f>
        <v/>
      </c>
    </row>
    <row r="164" ht="15" customHeight="1" s="24">
      <c r="A164" s="12" t="n">
        <v>156</v>
      </c>
      <c r="B164" s="13" t="inlineStr">
        <is>
          <t>Composition</t>
        </is>
      </c>
      <c r="C164" s="13" t="inlineStr">
        <is>
          <t>Native Props</t>
        </is>
      </c>
      <c r="D164" s="13" t="inlineStr">
        <is>
          <t>CheckboxItem native props pass through</t>
        </is>
      </c>
      <c r="E164" s="18" t="inlineStr">
        <is>
          <t>yes</t>
        </is>
      </c>
      <c r="F164" s="18" t="inlineStr">
        <is>
          <t>yes</t>
        </is>
      </c>
      <c r="G164" s="12" t="inlineStr">
        <is>
          <t>passed manual test</t>
        </is>
      </c>
      <c r="H164" s="22" t="inlineStr">
        <is>
          <t>covered</t>
        </is>
      </c>
      <c r="I164" s="13" t="inlineStr">
        <is>
          <t>ContextMenu playground scenario.</t>
        </is>
      </c>
      <c r="J164" s="13" t="n"/>
      <c r="K164" s="14">
        <f>IF(AND(E164="yes",F164="yes",H164="covered"),1,IF(H164="partial",0.5,0))</f>
        <v/>
      </c>
    </row>
    <row r="165" ht="15" customHeight="1" s="24">
      <c r="A165" s="12" t="n">
        <v>157</v>
      </c>
      <c r="B165" s="13" t="inlineStr">
        <is>
          <t>Composition</t>
        </is>
      </c>
      <c r="C165" s="13" t="inlineStr">
        <is>
          <t>Native Props</t>
        </is>
      </c>
      <c r="D165" s="13" t="inlineStr">
        <is>
          <t>RadioGroup native props pass through</t>
        </is>
      </c>
      <c r="E165" s="18" t="inlineStr">
        <is>
          <t>yes</t>
        </is>
      </c>
      <c r="F165" s="18" t="inlineStr">
        <is>
          <t>yes</t>
        </is>
      </c>
      <c r="G165" s="12" t="inlineStr">
        <is>
          <t>passed manual test</t>
        </is>
      </c>
      <c r="H165" s="22" t="inlineStr">
        <is>
          <t>covered</t>
        </is>
      </c>
      <c r="I165" s="13" t="inlineStr">
        <is>
          <t>ContextMenu playground scenario.</t>
        </is>
      </c>
      <c r="J165" s="13" t="n"/>
      <c r="K165" s="14">
        <f>IF(AND(E165="yes",F165="yes",H165="covered"),1,IF(H165="partial",0.5,0))</f>
        <v/>
      </c>
    </row>
    <row r="166" ht="15" customHeight="1" s="24">
      <c r="A166" s="12" t="n">
        <v>158</v>
      </c>
      <c r="B166" s="13" t="inlineStr">
        <is>
          <t>Composition</t>
        </is>
      </c>
      <c r="C166" s="13" t="inlineStr">
        <is>
          <t>Native Props</t>
        </is>
      </c>
      <c r="D166" s="13" t="inlineStr">
        <is>
          <t>RadioItem native props pass through</t>
        </is>
      </c>
      <c r="E166" s="18" t="inlineStr">
        <is>
          <t>yes</t>
        </is>
      </c>
      <c r="F166" s="18" t="inlineStr">
        <is>
          <t>yes</t>
        </is>
      </c>
      <c r="G166" s="12" t="inlineStr">
        <is>
          <t>passed manual test</t>
        </is>
      </c>
      <c r="H166" s="22" t="inlineStr">
        <is>
          <t>covered</t>
        </is>
      </c>
      <c r="I166" s="13" t="inlineStr">
        <is>
          <t>ContextMenu playground scenario.</t>
        </is>
      </c>
      <c r="J166" s="13" t="n"/>
      <c r="K166" s="14">
        <f>IF(AND(E166="yes",F166="yes",H166="covered"),1,IF(H166="partial",0.5,0))</f>
        <v/>
      </c>
    </row>
    <row r="167" ht="15" customHeight="1" s="24">
      <c r="A167" s="12" t="n">
        <v>159</v>
      </c>
      <c r="B167" s="13" t="inlineStr">
        <is>
          <t>Composition</t>
        </is>
      </c>
      <c r="C167" s="13" t="inlineStr">
        <is>
          <t>Native Props</t>
        </is>
      </c>
      <c r="D167" s="13" t="inlineStr">
        <is>
          <t>Group native props pass through</t>
        </is>
      </c>
      <c r="E167" s="18" t="inlineStr">
        <is>
          <t>yes</t>
        </is>
      </c>
      <c r="F167" s="18" t="inlineStr">
        <is>
          <t>yes</t>
        </is>
      </c>
      <c r="G167" s="12" t="inlineStr">
        <is>
          <t>passed manual test</t>
        </is>
      </c>
      <c r="H167" s="22" t="inlineStr">
        <is>
          <t>covered</t>
        </is>
      </c>
      <c r="I167" s="13" t="inlineStr">
        <is>
          <t>ContextMenu playground scenario.</t>
        </is>
      </c>
      <c r="J167" s="13" t="n"/>
      <c r="K167" s="14">
        <f>IF(AND(E167="yes",F167="yes",H167="covered"),1,IF(H167="partial",0.5,0))</f>
        <v/>
      </c>
    </row>
    <row r="168" ht="15" customHeight="1" s="24">
      <c r="A168" s="12" t="n">
        <v>160</v>
      </c>
      <c r="B168" s="13" t="inlineStr">
        <is>
          <t>Composition</t>
        </is>
      </c>
      <c r="C168" s="13" t="inlineStr">
        <is>
          <t>Native Props</t>
        </is>
      </c>
      <c r="D168" s="13" t="inlineStr">
        <is>
          <t>SubContent native props pass through</t>
        </is>
      </c>
      <c r="E168" s="18" t="inlineStr">
        <is>
          <t>yes</t>
        </is>
      </c>
      <c r="F168" s="18" t="inlineStr">
        <is>
          <t>yes</t>
        </is>
      </c>
      <c r="G168" s="12" t="inlineStr">
        <is>
          <t>passed manual test</t>
        </is>
      </c>
      <c r="H168" s="22" t="inlineStr">
        <is>
          <t>covered</t>
        </is>
      </c>
      <c r="I168" s="13" t="inlineStr">
        <is>
          <t>ContextMenu playground scenario.</t>
        </is>
      </c>
      <c r="J168" s="13" t="n"/>
      <c r="K168" s="14">
        <f>IF(AND(E168="yes",F168="yes",H168="covered"),1,IF(H168="partial",0.5,0))</f>
        <v/>
      </c>
    </row>
    <row r="169" ht="15" customHeight="1" s="24">
      <c r="A169" s="12" t="n">
        <v>161</v>
      </c>
      <c r="B169" s="13" t="inlineStr">
        <is>
          <t>Styling Hooks</t>
        </is>
      </c>
      <c r="C169" s="13" t="inlineStr">
        <is>
          <t>Data Attributes</t>
        </is>
      </c>
      <c r="D169" s="13" t="inlineStr">
        <is>
          <t>trigger open state visible through data-state</t>
        </is>
      </c>
      <c r="E169" s="18" t="inlineStr">
        <is>
          <t>yes</t>
        </is>
      </c>
      <c r="F169" s="18" t="inlineStr">
        <is>
          <t>yes</t>
        </is>
      </c>
      <c r="G169" s="12" t="inlineStr">
        <is>
          <t>passed manual test</t>
        </is>
      </c>
      <c r="H169" s="22" t="inlineStr">
        <is>
          <t>covered</t>
        </is>
      </c>
      <c r="I169" s="13" t="inlineStr">
        <is>
          <t>ContextMenu playground scenario.</t>
        </is>
      </c>
      <c r="J169" s="13" t="n"/>
      <c r="K169" s="14">
        <f>IF(AND(E169="yes",F169="yes",H169="covered"),1,IF(H169="partial",0.5,0))</f>
        <v/>
      </c>
    </row>
    <row r="170" ht="15" customHeight="1" s="24">
      <c r="A170" s="12" t="n">
        <v>162</v>
      </c>
      <c r="B170" s="13" t="inlineStr">
        <is>
          <t>Styling Hooks</t>
        </is>
      </c>
      <c r="C170" s="13" t="inlineStr">
        <is>
          <t>Data Attributes</t>
        </is>
      </c>
      <c r="D170" s="13" t="inlineStr">
        <is>
          <t>content open state visible through data-state</t>
        </is>
      </c>
      <c r="E170" s="18" t="inlineStr">
        <is>
          <t>yes</t>
        </is>
      </c>
      <c r="F170" s="18" t="inlineStr">
        <is>
          <t>yes</t>
        </is>
      </c>
      <c r="G170" s="12" t="inlineStr">
        <is>
          <t>passed manual test</t>
        </is>
      </c>
      <c r="H170" s="22" t="inlineStr">
        <is>
          <t>covered</t>
        </is>
      </c>
      <c r="I170" s="13" t="inlineStr">
        <is>
          <t>ContextMenu playground scenario.</t>
        </is>
      </c>
      <c r="J170" s="13" t="n"/>
      <c r="K170" s="14">
        <f>IF(AND(E170="yes",F170="yes",H170="covered"),1,IF(H170="partial",0.5,0))</f>
        <v/>
      </c>
    </row>
    <row r="171" ht="15" customHeight="1" s="24">
      <c r="A171" s="12" t="n">
        <v>163</v>
      </c>
      <c r="B171" s="13" t="inlineStr">
        <is>
          <t>Styling Hooks</t>
        </is>
      </c>
      <c r="C171" s="13" t="inlineStr">
        <is>
          <t>Data Attributes</t>
        </is>
      </c>
      <c r="D171" s="13" t="inlineStr">
        <is>
          <t>disabled trigger visible through data-disabled</t>
        </is>
      </c>
      <c r="E171" s="18" t="inlineStr">
        <is>
          <t>yes</t>
        </is>
      </c>
      <c r="F171" s="18" t="inlineStr">
        <is>
          <t>yes</t>
        </is>
      </c>
      <c r="G171" s="12" t="inlineStr">
        <is>
          <t>passed manual test</t>
        </is>
      </c>
      <c r="H171" s="22" t="inlineStr">
        <is>
          <t>covered</t>
        </is>
      </c>
      <c r="I171" s="13" t="inlineStr">
        <is>
          <t>ContextMenu playground scenario.</t>
        </is>
      </c>
      <c r="J171" s="13" t="n"/>
      <c r="K171" s="14">
        <f>IF(AND(E171="yes",F171="yes",H171="covered"),1,IF(H171="partial",0.5,0))</f>
        <v/>
      </c>
    </row>
    <row r="172" ht="15" customHeight="1" s="24">
      <c r="A172" s="12" t="n">
        <v>164</v>
      </c>
      <c r="B172" s="13" t="inlineStr">
        <is>
          <t>Styling Hooks</t>
        </is>
      </c>
      <c r="C172" s="13" t="inlineStr">
        <is>
          <t>Data Attributes</t>
        </is>
      </c>
      <c r="D172" s="13" t="inlineStr">
        <is>
          <t>disabled item visible through data-disabled</t>
        </is>
      </c>
      <c r="E172" s="18" t="inlineStr">
        <is>
          <t>yes</t>
        </is>
      </c>
      <c r="F172" s="18" t="inlineStr">
        <is>
          <t>yes</t>
        </is>
      </c>
      <c r="G172" s="12" t="inlineStr">
        <is>
          <t>passed manual test</t>
        </is>
      </c>
      <c r="H172" s="22" t="inlineStr">
        <is>
          <t>covered</t>
        </is>
      </c>
      <c r="I172" s="13" t="inlineStr">
        <is>
          <t>ContextMenu playground scenario.</t>
        </is>
      </c>
      <c r="J172" s="13" t="n"/>
      <c r="K172" s="14">
        <f>IF(AND(E172="yes",F172="yes",H172="covered"),1,IF(H172="partial",0.5,0))</f>
        <v/>
      </c>
    </row>
    <row r="173" ht="15" customHeight="1" s="24">
      <c r="A173" s="12" t="n">
        <v>165</v>
      </c>
      <c r="B173" s="13" t="inlineStr">
        <is>
          <t>Styling Hooks</t>
        </is>
      </c>
      <c r="C173" s="13" t="inlineStr">
        <is>
          <t>Data Attributes</t>
        </is>
      </c>
      <c r="D173" s="13" t="inlineStr">
        <is>
          <t>checked item visible through data-checked</t>
        </is>
      </c>
      <c r="E173" s="18" t="inlineStr">
        <is>
          <t>yes</t>
        </is>
      </c>
      <c r="F173" s="18" t="inlineStr">
        <is>
          <t>yes</t>
        </is>
      </c>
      <c r="G173" s="12" t="inlineStr">
        <is>
          <t>passed manual test</t>
        </is>
      </c>
      <c r="H173" s="22" t="inlineStr">
        <is>
          <t>covered</t>
        </is>
      </c>
      <c r="I173" s="13" t="inlineStr">
        <is>
          <t>ContextMenu playground scenario.</t>
        </is>
      </c>
      <c r="J173" s="13" t="n"/>
      <c r="K173" s="14">
        <f>IF(AND(E173="yes",F173="yes",H173="covered"),1,IF(H173="partial",0.5,0))</f>
        <v/>
      </c>
    </row>
    <row r="174" ht="15" customHeight="1" s="24">
      <c r="A174" s="12" t="n">
        <v>166</v>
      </c>
      <c r="B174" s="13" t="inlineStr">
        <is>
          <t>Styling Hooks</t>
        </is>
      </c>
      <c r="C174" s="13" t="inlineStr">
        <is>
          <t>Data Attributes</t>
        </is>
      </c>
      <c r="D174" s="13" t="inlineStr">
        <is>
          <t>positioned state visible through data-positioned</t>
        </is>
      </c>
      <c r="E174" s="18" t="inlineStr">
        <is>
          <t>yes</t>
        </is>
      </c>
      <c r="F174" s="18" t="inlineStr">
        <is>
          <t>yes</t>
        </is>
      </c>
      <c r="G174" s="12" t="inlineStr">
        <is>
          <t>passed manual test</t>
        </is>
      </c>
      <c r="H174" s="22" t="inlineStr">
        <is>
          <t>covered</t>
        </is>
      </c>
      <c r="I174" s="13" t="inlineStr">
        <is>
          <t>ContextMenu playground scenario.</t>
        </is>
      </c>
      <c r="J174" s="13" t="n"/>
      <c r="K174" s="14">
        <f>IF(AND(E174="yes",F174="yes",H174="covered"),1,IF(H174="partial",0.5,0))</f>
        <v/>
      </c>
    </row>
    <row r="175" ht="30" customHeight="1" s="24">
      <c r="A175" s="12" t="n">
        <v>167</v>
      </c>
      <c r="B175" s="13" t="inlineStr">
        <is>
          <t>Portal And Positioning</t>
        </is>
      </c>
      <c r="C175" s="13" t="inlineStr">
        <is>
          <t>Portal</t>
        </is>
      </c>
      <c r="D175" s="13" t="inlineStr">
        <is>
          <t>content portals to body</t>
        </is>
      </c>
      <c r="E175" s="18" t="inlineStr">
        <is>
          <t>yes</t>
        </is>
      </c>
      <c r="F175" s="18" t="inlineStr">
        <is>
          <t>yes</t>
        </is>
      </c>
      <c r="G175" s="12" t="inlineStr">
        <is>
          <t>passed manual test</t>
        </is>
      </c>
      <c r="H175" s="22" t="inlineStr">
        <is>
          <t>covered</t>
        </is>
      </c>
      <c r="I175" s="13" t="inlineStr">
        <is>
          <t>ContextMenu playground scenario.</t>
        </is>
      </c>
      <c r="J175" s="13" t="n"/>
      <c r="K175" s="14">
        <f>IF(AND(E175="yes",F175="yes",H175="covered"),1,IF(H175="partial",0.5,0))</f>
        <v/>
      </c>
    </row>
    <row r="176" ht="30" customHeight="1" s="24">
      <c r="A176" s="12" t="n">
        <v>168</v>
      </c>
      <c r="B176" s="13" t="inlineStr">
        <is>
          <t>Portal And Positioning</t>
        </is>
      </c>
      <c r="C176" s="13" t="inlineStr">
        <is>
          <t>Portal</t>
        </is>
      </c>
      <c r="D176" s="13" t="inlineStr">
        <is>
          <t>sub content portals to body</t>
        </is>
      </c>
      <c r="E176" s="18" t="inlineStr">
        <is>
          <t>yes</t>
        </is>
      </c>
      <c r="F176" s="18" t="inlineStr">
        <is>
          <t>yes</t>
        </is>
      </c>
      <c r="G176" s="12" t="inlineStr">
        <is>
          <t>passed manual test</t>
        </is>
      </c>
      <c r="H176" s="22" t="inlineStr">
        <is>
          <t>covered</t>
        </is>
      </c>
      <c r="I176" s="13" t="inlineStr">
        <is>
          <t>ContextMenu playground scenario.</t>
        </is>
      </c>
      <c r="J176" s="13" t="n"/>
      <c r="K176" s="14">
        <f>IF(AND(E176="yes",F176="yes",H176="covered"),1,IF(H176="partial",0.5,0))</f>
        <v/>
      </c>
    </row>
    <row r="177" ht="30" customHeight="1" s="24">
      <c r="A177" s="12" t="n">
        <v>169</v>
      </c>
      <c r="B177" s="13" t="inlineStr">
        <is>
          <t>Portal And Positioning</t>
        </is>
      </c>
      <c r="C177" s="13" t="inlineStr">
        <is>
          <t>Portal</t>
        </is>
      </c>
      <c r="D177" s="13" t="inlineStr">
        <is>
          <t>content positions relative to pointer anchor</t>
        </is>
      </c>
      <c r="E177" s="18" t="inlineStr">
        <is>
          <t>yes</t>
        </is>
      </c>
      <c r="F177" s="18" t="inlineStr">
        <is>
          <t>yes</t>
        </is>
      </c>
      <c r="G177" s="12" t="inlineStr">
        <is>
          <t>passed manual test</t>
        </is>
      </c>
      <c r="H177" s="22" t="inlineStr">
        <is>
          <t>covered</t>
        </is>
      </c>
      <c r="I177" s="13" t="inlineStr">
        <is>
          <t>ContextMenu playground scenario.</t>
        </is>
      </c>
      <c r="J177" s="13" t="n"/>
      <c r="K177" s="14">
        <f>IF(AND(E177="yes",F177="yes",H177="covered"),1,IF(H177="partial",0.5,0))</f>
        <v/>
      </c>
    </row>
    <row r="178" ht="30" customHeight="1" s="24">
      <c r="A178" s="12" t="n">
        <v>170</v>
      </c>
      <c r="B178" s="13" t="inlineStr">
        <is>
          <t>Portal And Positioning</t>
        </is>
      </c>
      <c r="C178" s="13" t="inlineStr">
        <is>
          <t>Portal</t>
        </is>
      </c>
      <c r="D178" s="13" t="inlineStr">
        <is>
          <t>content positions relative to trigger for keyboard open</t>
        </is>
      </c>
      <c r="E178" s="18" t="inlineStr">
        <is>
          <t>yes</t>
        </is>
      </c>
      <c r="F178" s="18" t="inlineStr">
        <is>
          <t>yes</t>
        </is>
      </c>
      <c r="G178" s="12" t="inlineStr">
        <is>
          <t>passed manual test</t>
        </is>
      </c>
      <c r="H178" s="22" t="inlineStr">
        <is>
          <t>covered</t>
        </is>
      </c>
      <c r="I178" s="13" t="inlineStr">
        <is>
          <t>ContextMenu playground scenario.</t>
        </is>
      </c>
      <c r="J178" s="13" t="n"/>
      <c r="K178" s="14">
        <f>IF(AND(E178="yes",F178="yes",H178="covered"),1,IF(H178="partial",0.5,0))</f>
        <v/>
      </c>
    </row>
    <row r="179" ht="30" customHeight="1" s="24">
      <c r="A179" s="12" t="n">
        <v>171</v>
      </c>
      <c r="B179" s="13" t="inlineStr">
        <is>
          <t>Portal And Positioning</t>
        </is>
      </c>
      <c r="C179" s="13" t="inlineStr">
        <is>
          <t>Portal</t>
        </is>
      </c>
      <c r="D179" s="13" t="inlineStr">
        <is>
          <t>placement flips or shifts near viewport edge</t>
        </is>
      </c>
      <c r="E179" s="18" t="inlineStr">
        <is>
          <t>yes</t>
        </is>
      </c>
      <c r="F179" s="18" t="inlineStr">
        <is>
          <t>yes</t>
        </is>
      </c>
      <c r="G179" s="12" t="inlineStr">
        <is>
          <t>passed manual test</t>
        </is>
      </c>
      <c r="H179" s="22" t="inlineStr">
        <is>
          <t>covered</t>
        </is>
      </c>
      <c r="I179" s="13" t="inlineStr">
        <is>
          <t>ContextMenu playground scenario.</t>
        </is>
      </c>
      <c r="J179" s="13" t="n"/>
      <c r="K179" s="14">
        <f>IF(AND(E179="yes",F179="yes",H179="covered"),1,IF(H179="partial",0.5,0))</f>
        <v/>
      </c>
    </row>
    <row r="180" ht="15" customHeight="1" s="24">
      <c r="A180" s="12" t="n">
        <v>172</v>
      </c>
      <c r="B180" s="13" t="inlineStr">
        <is>
          <t>Regression</t>
        </is>
      </c>
      <c r="C180" s="13" t="inlineStr">
        <is>
          <t>Recent Fixes</t>
        </is>
      </c>
      <c r="D180" s="13" t="inlineStr">
        <is>
          <t>Escape closes topmost context menu before parent overlay</t>
        </is>
      </c>
      <c r="E180" s="18" t="inlineStr">
        <is>
          <t>yes</t>
        </is>
      </c>
      <c r="F180" s="18" t="inlineStr">
        <is>
          <t>yes</t>
        </is>
      </c>
      <c r="G180" s="12" t="inlineStr">
        <is>
          <t>passed manual test</t>
        </is>
      </c>
      <c r="H180" s="22" t="inlineStr">
        <is>
          <t>covered</t>
        </is>
      </c>
      <c r="I180" s="13" t="inlineStr">
        <is>
          <t>ContextMenu playground scenario.</t>
        </is>
      </c>
      <c r="J180" s="13" t="n"/>
      <c r="K180" s="14">
        <f>IF(AND(E180="yes",F180="yes",H180="covered"),1,IF(H180="partial",0.5,0))</f>
        <v/>
      </c>
    </row>
    <row r="181" ht="15" customHeight="1" s="24">
      <c r="A181" s="12" t="n">
        <v>173</v>
      </c>
      <c r="B181" s="13" t="inlineStr">
        <is>
          <t>Regression</t>
        </is>
      </c>
      <c r="C181" s="13" t="inlineStr">
        <is>
          <t>Recent Fixes</t>
        </is>
      </c>
      <c r="D181" s="13" t="inlineStr">
        <is>
          <t>typeahead same-letter cycling works in context menu</t>
        </is>
      </c>
      <c r="E181" s="18" t="inlineStr">
        <is>
          <t>yes</t>
        </is>
      </c>
      <c r="F181" s="18" t="inlineStr">
        <is>
          <t>yes</t>
        </is>
      </c>
      <c r="G181" s="12" t="inlineStr">
        <is>
          <t>passed manual test</t>
        </is>
      </c>
      <c r="H181" s="22" t="inlineStr">
        <is>
          <t>covered</t>
        </is>
      </c>
      <c r="I181" s="13" t="inlineStr">
        <is>
          <t>ContextMenu playground scenario.</t>
        </is>
      </c>
      <c r="J181" s="13" t="n"/>
      <c r="K181" s="14">
        <f>IF(AND(E181="yes",F181="yes",H181="covered"),1,IF(H181="partial",0.5,0))</f>
        <v/>
      </c>
    </row>
    <row r="182" ht="15" customHeight="1" s="24">
      <c r="A182" s="12" t="n">
        <v>174</v>
      </c>
      <c r="B182" s="13" t="inlineStr">
        <is>
          <t>Regression</t>
        </is>
      </c>
      <c r="C182" s="13" t="inlineStr">
        <is>
          <t>Recent Fixes</t>
        </is>
      </c>
      <c r="D182" s="13" t="inlineStr">
        <is>
          <t>trigger disabled right click does not open menu</t>
        </is>
      </c>
      <c r="E182" s="18" t="inlineStr">
        <is>
          <t>yes</t>
        </is>
      </c>
      <c r="F182" s="18" t="inlineStr">
        <is>
          <t>yes</t>
        </is>
      </c>
      <c r="G182" s="12" t="inlineStr">
        <is>
          <t>passed manual test</t>
        </is>
      </c>
      <c r="H182" s="22" t="inlineStr">
        <is>
          <t>covered</t>
        </is>
      </c>
      <c r="I182" s="13" t="inlineStr">
        <is>
          <t>ContextMenu playground scenario.</t>
        </is>
      </c>
      <c r="J182" s="13" t="n"/>
      <c r="K182" s="14">
        <f>IF(AND(E182="yes",F182="yes",H182="covered"),1,IF(H182="partial",0.5,0))</f>
        <v/>
      </c>
    </row>
    <row r="183" ht="15" customHeight="1" s="24">
      <c r="A183" s="12" t="n">
        <v>175</v>
      </c>
      <c r="B183" s="13" t="inlineStr">
        <is>
          <t>Regression</t>
        </is>
      </c>
      <c r="C183" s="13" t="inlineStr">
        <is>
          <t>Recent Fixes</t>
        </is>
      </c>
      <c r="D183" s="13" t="inlineStr">
        <is>
          <t>trigger asChild composition keeps one child element</t>
        </is>
      </c>
      <c r="E183" s="18" t="inlineStr">
        <is>
          <t>yes</t>
        </is>
      </c>
      <c r="F183" s="18" t="inlineStr">
        <is>
          <t>yes</t>
        </is>
      </c>
      <c r="G183" s="12" t="inlineStr">
        <is>
          <t>passed manual test</t>
        </is>
      </c>
      <c r="H183" s="22" t="inlineStr">
        <is>
          <t>covered</t>
        </is>
      </c>
      <c r="I183" s="13" t="inlineStr">
        <is>
          <t>ContextMenu playground scenario.</t>
        </is>
      </c>
      <c r="J183" s="13" t="n"/>
      <c r="K183" s="14">
        <f>IF(AND(E183="yes",F183="yes",H183="covered"),1,IF(H183="partial",0.5,0))</f>
        <v/>
      </c>
    </row>
    <row r="184" ht="15" customHeight="1" s="24">
      <c r="A184" s="12" t="n">
        <v>176</v>
      </c>
      <c r="B184" s="13" t="inlineStr">
        <is>
          <t>Regression</t>
        </is>
      </c>
      <c r="C184" s="13" t="inlineStr">
        <is>
          <t>Recent Fixes</t>
        </is>
      </c>
      <c r="D184" s="13" t="inlineStr">
        <is>
          <t>outside click closes portalled context menu</t>
        </is>
      </c>
      <c r="E184" s="18" t="inlineStr">
        <is>
          <t>yes</t>
        </is>
      </c>
      <c r="F184" s="18" t="inlineStr">
        <is>
          <t>yes</t>
        </is>
      </c>
      <c r="G184" s="12" t="inlineStr">
        <is>
          <t>passed manual test</t>
        </is>
      </c>
      <c r="H184" s="22" t="inlineStr">
        <is>
          <t>covered</t>
        </is>
      </c>
      <c r="I184" s="13" t="inlineStr">
        <is>
          <t>ContextMenu playground scenario.</t>
        </is>
      </c>
      <c r="J184" s="13" t="n"/>
      <c r="K184" s="14">
        <f>IF(AND(E184="yes",F184="yes",H184="covered"),1,IF(H184="partial",0.5,0))</f>
        <v/>
      </c>
    </row>
    <row r="185" ht="15" customHeight="1" s="24">
      <c r="A185" s="12" t="n">
        <v>177</v>
      </c>
      <c r="B185" s="13" t="inlineStr">
        <is>
          <t>Regression</t>
        </is>
      </c>
      <c r="C185" s="13" t="inlineStr">
        <is>
          <t>Recent Fixes</t>
        </is>
      </c>
      <c r="D185" s="13" t="inlineStr">
        <is>
          <t>submenu focus returns to parent content on close</t>
        </is>
      </c>
      <c r="E185" s="18" t="inlineStr">
        <is>
          <t>yes</t>
        </is>
      </c>
      <c r="F185" s="18" t="inlineStr">
        <is>
          <t>yes</t>
        </is>
      </c>
      <c r="G185" s="12" t="inlineStr">
        <is>
          <t>passed manual test</t>
        </is>
      </c>
      <c r="H185" s="22" t="inlineStr">
        <is>
          <t>covered</t>
        </is>
      </c>
      <c r="I185" s="13" t="inlineStr">
        <is>
          <t>ContextMenu playground scenario.</t>
        </is>
      </c>
      <c r="J185" s="13" t="n"/>
      <c r="K185" s="14">
        <f>IF(AND(E185="yes",F185="yes",H185="covered"),1,IF(H185="partial",0.5,0))</f>
        <v/>
      </c>
    </row>
    <row r="186" ht="30" customHeight="1" s="24">
      <c r="A186" s="12" t="n">
        <v>178</v>
      </c>
      <c r="B186" s="13" t="inlineStr">
        <is>
          <t>Regression</t>
        </is>
      </c>
      <c r="C186" s="13" t="inlineStr">
        <is>
          <t>Recent Fixes</t>
        </is>
      </c>
      <c r="D186" s="13" t="inlineStr">
        <is>
          <t>hovering non-item content does not reset highlight to first item</t>
        </is>
      </c>
      <c r="E186" s="18" t="inlineStr">
        <is>
          <t>yes</t>
        </is>
      </c>
      <c r="F186" s="18" t="inlineStr">
        <is>
          <t>yes</t>
        </is>
      </c>
      <c r="G186" s="12" t="inlineStr">
        <is>
          <t>passed manual test</t>
        </is>
      </c>
      <c r="H186" s="22" t="inlineStr">
        <is>
          <t>covered</t>
        </is>
      </c>
      <c r="I186" s="13" t="inlineStr">
        <is>
          <t>ContextMenu playground scenario.</t>
        </is>
      </c>
      <c r="J186" s="13" t="n"/>
      <c r="K186" s="14">
        <f>IF(AND(E186="yes",F186="yes",H186="covered"),1,IF(H186="partial",0.5,0))</f>
        <v/>
      </c>
    </row>
    <row r="187" ht="45" customHeight="1" s="24">
      <c r="A187" s="12" t="n">
        <v>179</v>
      </c>
      <c r="B187" s="13" t="inlineStr">
        <is>
          <t>Mobile</t>
        </is>
      </c>
      <c r="C187" s="13" t="inlineStr">
        <is>
          <t>Touch</t>
        </is>
      </c>
      <c r="D187" s="13" t="inlineStr">
        <is>
          <t>long press opens context menu where supported</t>
        </is>
      </c>
      <c r="E187" s="18" t="inlineStr">
        <is>
          <t>yes</t>
        </is>
      </c>
      <c r="F187" s="18" t="inlineStr">
        <is>
          <t>yes</t>
        </is>
      </c>
      <c r="G187" s="12" t="inlineStr">
        <is>
          <t>partial: mobile browser support is inconsistent</t>
        </is>
      </c>
      <c r="H187" s="19" t="inlineStr">
        <is>
          <t>partial</t>
        </is>
      </c>
      <c r="I187" s="13" t="inlineStr">
        <is>
          <t>ContextMenu playground scenario; reliable mobile trigger is Open Menu.</t>
        </is>
      </c>
      <c r="J187" s="13" t="inlineStr">
        <is>
          <t>Native long press did not fire contextmenu in tested mobile Safari/Chrome.</t>
        </is>
      </c>
      <c r="K187" s="14">
        <f>IF(AND(E187="yes",F187="yes",H187="covered"),1,IF(H187="partial",0.5,0))</f>
        <v/>
      </c>
    </row>
    <row r="188" ht="15" customHeight="1" s="24">
      <c r="A188" s="12" t="n">
        <v>180</v>
      </c>
      <c r="B188" s="13" t="inlineStr">
        <is>
          <t>Mobile</t>
        </is>
      </c>
      <c r="C188" s="13" t="inlineStr">
        <is>
          <t>Touch</t>
        </is>
      </c>
      <c r="D188" s="13" t="inlineStr">
        <is>
          <t>touch outside closes context menu</t>
        </is>
      </c>
      <c r="E188" s="18" t="inlineStr">
        <is>
          <t>yes</t>
        </is>
      </c>
      <c r="F188" s="18" t="inlineStr">
        <is>
          <t>yes</t>
        </is>
      </c>
      <c r="G188" s="12" t="inlineStr">
        <is>
          <t>passed manual test</t>
        </is>
      </c>
      <c r="H188" s="22" t="inlineStr">
        <is>
          <t>covered</t>
        </is>
      </c>
      <c r="I188" s="13" t="inlineStr">
        <is>
          <t>ContextMenu playground scenario.</t>
        </is>
      </c>
      <c r="J188" s="13" t="n"/>
      <c r="K188" s="14">
        <f>IF(AND(E188="yes",F188="yes",H188="covered"),1,IF(H188="partial",0.5,0))</f>
        <v/>
      </c>
    </row>
    <row r="189" ht="15" customHeight="1" s="24">
      <c r="A189" s="12" t="n">
        <v>181</v>
      </c>
      <c r="B189" s="13" t="inlineStr">
        <is>
          <t>Mobile</t>
        </is>
      </c>
      <c r="C189" s="13" t="inlineStr">
        <is>
          <t>Touch</t>
        </is>
      </c>
      <c r="D189" s="13" t="inlineStr">
        <is>
          <t>touch selects action item</t>
        </is>
      </c>
      <c r="E189" s="18" t="inlineStr">
        <is>
          <t>yes</t>
        </is>
      </c>
      <c r="F189" s="18" t="inlineStr">
        <is>
          <t>yes</t>
        </is>
      </c>
      <c r="G189" s="12" t="inlineStr">
        <is>
          <t>passed manual test</t>
        </is>
      </c>
      <c r="H189" s="22" t="inlineStr">
        <is>
          <t>covered</t>
        </is>
      </c>
      <c r="I189" s="13" t="inlineStr">
        <is>
          <t>ContextMenu playground scenario.</t>
        </is>
      </c>
      <c r="J189" s="13" t="n"/>
      <c r="K189" s="14">
        <f>IF(AND(E189="yes",F189="yes",H189="covered"),1,IF(H189="partial",0.5,0))</f>
        <v/>
      </c>
    </row>
    <row r="190" ht="15" customHeight="1" s="24">
      <c r="A190" s="12" t="n">
        <v>182</v>
      </c>
      <c r="B190" s="13" t="inlineStr">
        <is>
          <t>Mobile</t>
        </is>
      </c>
      <c r="C190" s="13" t="inlineStr">
        <is>
          <t>Touch</t>
        </is>
      </c>
      <c r="D190" s="13" t="inlineStr">
        <is>
          <t>touch toggles checkbox item</t>
        </is>
      </c>
      <c r="E190" s="18" t="inlineStr">
        <is>
          <t>yes</t>
        </is>
      </c>
      <c r="F190" s="18" t="inlineStr">
        <is>
          <t>yes</t>
        </is>
      </c>
      <c r="G190" s="12" t="inlineStr">
        <is>
          <t>passed manual test</t>
        </is>
      </c>
      <c r="H190" s="22" t="inlineStr">
        <is>
          <t>covered</t>
        </is>
      </c>
      <c r="I190" s="13" t="inlineStr">
        <is>
          <t>ContextMenu playground scenario.</t>
        </is>
      </c>
      <c r="J190" s="13" t="n"/>
      <c r="K190" s="14">
        <f>IF(AND(E190="yes",F190="yes",H190="covered"),1,IF(H190="partial",0.5,0))</f>
        <v/>
      </c>
    </row>
    <row r="191" ht="15" customHeight="1" s="24">
      <c r="A191" s="12" t="n">
        <v>183</v>
      </c>
      <c r="B191" s="13" t="inlineStr">
        <is>
          <t>Mobile</t>
        </is>
      </c>
      <c r="C191" s="13" t="inlineStr">
        <is>
          <t>Touch</t>
        </is>
      </c>
      <c r="D191" s="13" t="inlineStr">
        <is>
          <t>touch selects radio item</t>
        </is>
      </c>
      <c r="E191" s="18" t="inlineStr">
        <is>
          <t>yes</t>
        </is>
      </c>
      <c r="F191" s="18" t="inlineStr">
        <is>
          <t>yes</t>
        </is>
      </c>
      <c r="G191" s="12" t="inlineStr">
        <is>
          <t>passed manual test</t>
        </is>
      </c>
      <c r="H191" s="22" t="inlineStr">
        <is>
          <t>covered</t>
        </is>
      </c>
      <c r="I191" s="13" t="inlineStr">
        <is>
          <t>ContextMenu playground scenario.</t>
        </is>
      </c>
      <c r="J191" s="13" t="n"/>
      <c r="K191" s="14">
        <f>IF(AND(E191="yes",F191="yes",H191="covered"),1,IF(H191="partial",0.5,0))</f>
        <v/>
      </c>
    </row>
    <row r="192" ht="15" customHeight="1" s="24">
      <c r="A192" s="12" t="n">
        <v>184</v>
      </c>
      <c r="B192" s="13" t="inlineStr">
        <is>
          <t>Mobile</t>
        </is>
      </c>
      <c r="C192" s="13" t="inlineStr">
        <is>
          <t>Touch</t>
        </is>
      </c>
      <c r="D192" s="13" t="inlineStr">
        <is>
          <t>touch opens submenu</t>
        </is>
      </c>
      <c r="E192" s="18" t="inlineStr">
        <is>
          <t>yes</t>
        </is>
      </c>
      <c r="F192" s="18" t="inlineStr">
        <is>
          <t>yes</t>
        </is>
      </c>
      <c r="G192" s="12" t="inlineStr">
        <is>
          <t>passed manual test</t>
        </is>
      </c>
      <c r="H192" s="22" t="inlineStr">
        <is>
          <t>covered</t>
        </is>
      </c>
      <c r="I192" s="13" t="inlineStr">
        <is>
          <t>ContextMenu playground scenario.</t>
        </is>
      </c>
      <c r="J192" s="13" t="n"/>
      <c r="K192" s="14">
        <f>IF(AND(E192="yes",F192="yes",H192="covered"),1,IF(H192="partial",0.5,0))</f>
        <v/>
      </c>
    </row>
    <row r="193" ht="30" customHeight="1" s="24">
      <c r="A193" s="12" t="n">
        <v>185</v>
      </c>
      <c r="B193" s="13" t="inlineStr">
        <is>
          <t>Direction</t>
        </is>
      </c>
      <c r="C193" s="13" t="inlineStr">
        <is>
          <t>Submenu</t>
        </is>
      </c>
      <c r="D193" s="13" t="inlineStr">
        <is>
          <t>reads Direction.Provider context for submenu keyboard behavior</t>
        </is>
      </c>
      <c r="E193" s="21" t="inlineStr">
        <is>
          <t>yes</t>
        </is>
      </c>
      <c r="F193" s="19" t="inlineStr">
        <is>
          <t>yes</t>
        </is>
      </c>
      <c r="G193" s="12" t="inlineStr">
        <is>
          <t>pass</t>
        </is>
      </c>
      <c r="H193" s="21" t="inlineStr">
        <is>
          <t>covered</t>
        </is>
      </c>
      <c r="I193" s="13" t="inlineStr">
        <is>
          <t>ContextMenu playground direction scenario; manually verified.</t>
        </is>
      </c>
      <c r="J193" s="13" t="inlineStr">
        <is>
          <t>Complete.</t>
        </is>
      </c>
      <c r="K193" s="14">
        <f>IF(AND(E193="yes",F193="yes",H193="covered"),1,IF(H193="partial",0.5,0))</f>
        <v/>
      </c>
    </row>
    <row r="194" ht="30" customHeight="1" s="24">
      <c r="A194" s="12" t="n">
        <v>186</v>
      </c>
      <c r="B194" s="13" t="inlineStr">
        <is>
          <t>Direction</t>
        </is>
      </c>
      <c r="C194" s="13" t="inlineStr">
        <is>
          <t>Submenu</t>
        </is>
      </c>
      <c r="D194" s="13" t="inlineStr">
        <is>
          <t>RTL mirrors submenu ArrowLeft and ArrowRight open/close behavior</t>
        </is>
      </c>
      <c r="E194" s="21" t="inlineStr">
        <is>
          <t>yes</t>
        </is>
      </c>
      <c r="F194" s="19" t="inlineStr">
        <is>
          <t>yes</t>
        </is>
      </c>
      <c r="G194" s="12" t="inlineStr">
        <is>
          <t>pass</t>
        </is>
      </c>
      <c r="H194" s="21" t="inlineStr">
        <is>
          <t>covered</t>
        </is>
      </c>
      <c r="I194" s="13" t="inlineStr">
        <is>
          <t>ContextMenu playground direction scenario; manually verified.</t>
        </is>
      </c>
      <c r="J194" s="13" t="inlineStr">
        <is>
          <t>Complete.</t>
        </is>
      </c>
      <c r="K194" s="14">
        <f>IF(AND(E194="yes",F194="yes",H194="covered"),1,IF(H194="partial",0.5,0))</f>
        <v/>
      </c>
    </row>
    <row r="195" ht="30" customHeight="1" s="24">
      <c r="A195" s="12" t="n">
        <v>187</v>
      </c>
      <c r="B195" s="13" t="inlineStr">
        <is>
          <t>Playground</t>
        </is>
      </c>
      <c r="C195" s="13" t="inlineStr">
        <is>
          <t>Direction controls</t>
        </is>
      </c>
      <c r="D195" s="13" t="inlineStr">
        <is>
          <t>scenario exposes provider direction controls</t>
        </is>
      </c>
      <c r="E195" s="21" t="inlineStr">
        <is>
          <t>yes</t>
        </is>
      </c>
      <c r="F195" s="19" t="inlineStr">
        <is>
          <t>yes</t>
        </is>
      </c>
      <c r="G195" s="12" t="inlineStr">
        <is>
          <t>pass</t>
        </is>
      </c>
      <c r="H195" s="21" t="inlineStr">
        <is>
          <t>covered</t>
        </is>
      </c>
      <c r="I195" s="13" t="inlineStr">
        <is>
          <t>ContextMenu playground direction scenario; manually verified.</t>
        </is>
      </c>
      <c r="J195" s="13" t="inlineStr">
        <is>
          <t>Complete.</t>
        </is>
      </c>
      <c r="K195" s="14">
        <f>IF(AND(E195="yes",F195="yes",H195="covered"),1,IF(H195="partial",0.5,0))</f>
        <v/>
      </c>
    </row>
  </sheetData>
  <autoFilter ref="A8:K195"/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DataGrid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IFERROR(SUM(K9:K191)/COUNT(K9:K191),0)</f>
        <v/>
      </c>
      <c r="C4" s="8" t="inlineStr">
        <is>
          <t>Covered</t>
        </is>
      </c>
      <c r="D4" s="10">
        <f>COUNTIFS(E9:E191,"yes",F9:F191,"yes",H9:H191,"covered")</f>
        <v/>
      </c>
      <c r="E4" s="8" t="inlineStr">
        <is>
          <t>Partial</t>
        </is>
      </c>
      <c r="F4" s="10">
        <f>COUNTIF(H9:H191,"partial")</f>
        <v/>
      </c>
      <c r="G4" s="8" t="inlineStr">
        <is>
          <t>Missing</t>
        </is>
      </c>
      <c r="H4" s="10">
        <f>COUNTIFS(E9:E191,"&lt;&gt;yes") + COUNTIFS(E9:E191,"yes",H9:H191,"missing")</f>
        <v/>
      </c>
      <c r="I4" s="8" t="inlineStr">
        <is>
          <t>Untested</t>
        </is>
      </c>
      <c r="J4" s="10">
        <f>COUNTIFS(E9:E191,"yes",F9:F191,"&lt;&gt;yes") + COUNTIFS(E9:E191,"yes",F9:F191,"yes",H9:H191,"untested")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DataGrid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DataGrid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DataGrid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DataGrid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DataGrid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DataGrid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DataGrid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DataGrid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Feature</t>
        </is>
      </c>
      <c r="C13" s="13" t="inlineStr">
        <is>
          <t>DataGrid</t>
        </is>
      </c>
      <c r="D13" s="13" t="inlineStr">
        <is>
          <t>Implements `role="grid"` with row, column header, and gridcell parts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DataGrid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Feature</t>
        </is>
      </c>
      <c r="C14" s="13" t="inlineStr">
        <is>
          <t>DataGrid</t>
        </is>
      </c>
      <c r="D14" s="13" t="inlineStr">
        <is>
          <t>Uses collection registration for DOM-ordered keyboard navigation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DataGrid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DataGrid</t>
        </is>
      </c>
      <c r="D15" s="13" t="inlineStr">
        <is>
          <t>Supports controlled and uncontrolled active cell state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DataGrid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DataGrid</t>
        </is>
      </c>
      <c r="D16" s="13" t="inlineStr">
        <is>
          <t>Supports none, single, and multiple row selection modes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DataGrid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DataGrid</t>
        </is>
      </c>
      <c r="D17" s="13" t="inlineStr">
        <is>
          <t>Supports row click selection, disabled/read-only state, row and column counts, and optional row wrapping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DataGrid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DataGrid</t>
        </is>
      </c>
      <c r="D18" s="13" t="inlineStr">
        <is>
          <t>Keeps sorting models, filtering, resizing, editing, and virtualization outside the primitive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DataGrid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DataGrid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DataGrid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DataGrid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DataGrid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DataGrid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DataGrid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DataGrid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DataGrid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DataGrid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activeCell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DataGrid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defaultActiveCell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DataGrid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onActiveCellChange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DataGrid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selectionMode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DataGrid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disabled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DataGrid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readOnly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DataGrid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loop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DataGrid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wrapRows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DataGrid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rowCount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DataGrid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columnCount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DataGrid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selectOnRowClick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DataGrid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Root</t>
        </is>
      </c>
      <c r="D39" s="13" t="inlineStr">
        <is>
          <t>[data-slot]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DataGrid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Root</t>
        </is>
      </c>
      <c r="D40" s="13" t="inlineStr">
        <is>
          <t>[data-focused]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DataGrid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[data-disabled]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DataGrid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State</t>
        </is>
      </c>
      <c r="C42" s="13" t="inlineStr">
        <is>
          <t>Root</t>
        </is>
      </c>
      <c r="D42" s="13" t="inlineStr">
        <is>
          <t>[data-readonly]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DataGrid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Root</t>
        </is>
      </c>
      <c r="D43" s="13" t="inlineStr">
        <is>
          <t>[data-selection-mode]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DataGrid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Anatomy</t>
        </is>
      </c>
      <c r="C44" s="13" t="inlineStr">
        <is>
          <t>Body</t>
        </is>
      </c>
      <c r="D44" s="13" t="inlineStr">
        <is>
          <t>renders correct part when expected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DataGrid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Body</t>
        </is>
      </c>
      <c r="D45" s="13" t="inlineStr">
        <is>
          <t>appears in documented order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DataGrid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Identity</t>
        </is>
      </c>
      <c r="C46" s="13" t="inlineStr">
        <is>
          <t>Body</t>
        </is>
      </c>
      <c r="D46" s="13" t="inlineStr">
        <is>
          <t>default tag is visible in Anatomy/Inspector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DataGrid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Body</t>
        </is>
      </c>
      <c r="D47" s="13" t="inlineStr">
        <is>
          <t>data-slot is present and correct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DataGrid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30" customHeight="1" s="24">
      <c r="A48" s="12" t="n">
        <v>40</v>
      </c>
      <c r="B48" s="13" t="inlineStr">
        <is>
          <t>Props</t>
        </is>
      </c>
      <c r="C48" s="13" t="inlineStr">
        <is>
          <t>Body</t>
        </is>
      </c>
      <c r="D48" s="13" t="inlineStr">
        <is>
          <t>non-Atom native props pass through with data-prop-check marker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DataGrid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Refs</t>
        </is>
      </c>
      <c r="C49" s="13" t="inlineStr">
        <is>
          <t>Body</t>
        </is>
      </c>
      <c r="D49" s="13" t="inlineStr">
        <is>
          <t>consumer ref receives the rendered element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DataGrid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Anatomy</t>
        </is>
      </c>
      <c r="C50" s="13" t="inlineStr">
        <is>
          <t>Caption</t>
        </is>
      </c>
      <c r="D50" s="13" t="inlineStr">
        <is>
          <t>renders correct part when expected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DataGrid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Anatomy</t>
        </is>
      </c>
      <c r="C51" s="13" t="inlineStr">
        <is>
          <t>Caption</t>
        </is>
      </c>
      <c r="D51" s="13" t="inlineStr">
        <is>
          <t>appears in documented order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DataGrid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Identity</t>
        </is>
      </c>
      <c r="C52" s="13" t="inlineStr">
        <is>
          <t>Caption</t>
        </is>
      </c>
      <c r="D52" s="13" t="inlineStr">
        <is>
          <t>default tag is visible in Anatomy/Inspector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DataGrid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Identity</t>
        </is>
      </c>
      <c r="C53" s="13" t="inlineStr">
        <is>
          <t>Caption</t>
        </is>
      </c>
      <c r="D53" s="13" t="inlineStr">
        <is>
          <t>data-slot is present and correct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DataGrid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30" customHeight="1" s="24">
      <c r="A54" s="12" t="n">
        <v>46</v>
      </c>
      <c r="B54" s="13" t="inlineStr">
        <is>
          <t>Props</t>
        </is>
      </c>
      <c r="C54" s="13" t="inlineStr">
        <is>
          <t>Caption</t>
        </is>
      </c>
      <c r="D54" s="13" t="inlineStr">
        <is>
          <t>non-Atom native props pass through with data-prop-check marker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DataGrid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Refs</t>
        </is>
      </c>
      <c r="C55" s="13" t="inlineStr">
        <is>
          <t>Caption</t>
        </is>
      </c>
      <c r="D55" s="13" t="inlineStr">
        <is>
          <t>consumer ref receives the rendered element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DataGrid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Cell</t>
        </is>
      </c>
      <c r="D56" s="13" t="inlineStr">
        <is>
          <t>renders correct part when expected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DataGrid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Cell</t>
        </is>
      </c>
      <c r="D57" s="13" t="inlineStr">
        <is>
          <t>appears in documented order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DataGrid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Cell</t>
        </is>
      </c>
      <c r="D58" s="13" t="inlineStr">
        <is>
          <t>default tag is visible in Anatomy/Inspector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DataGrid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Cell</t>
        </is>
      </c>
      <c r="D59" s="13" t="inlineStr">
        <is>
          <t>data-slot is present and correct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DataGrid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Props</t>
        </is>
      </c>
      <c r="C60" s="13" t="inlineStr">
        <is>
          <t>Cell</t>
        </is>
      </c>
      <c r="D60" s="13" t="inlineStr">
        <is>
          <t>non-Atom native props pass through with data-prop-check marker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DataGrid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Refs</t>
        </is>
      </c>
      <c r="C61" s="13" t="inlineStr">
        <is>
          <t>Cell</t>
        </is>
      </c>
      <c r="D61" s="13" t="inlineStr">
        <is>
          <t>consumer ref receives the rendered element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DataGrid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Cell</t>
        </is>
      </c>
      <c r="D62" s="13" t="inlineStr">
        <is>
          <t>columnIndex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DataGrid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Public API</t>
        </is>
      </c>
      <c r="C63" s="13" t="inlineStr">
        <is>
          <t>Cell</t>
        </is>
      </c>
      <c r="D63" s="13" t="inlineStr">
        <is>
          <t>index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DataGrid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State</t>
        </is>
      </c>
      <c r="C64" s="13" t="inlineStr">
        <is>
          <t>Cell</t>
        </is>
      </c>
      <c r="D64" s="13" t="inlineStr">
        <is>
          <t>disabled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DataGrid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Public API</t>
        </is>
      </c>
      <c r="C65" s="13" t="inlineStr">
        <is>
          <t>Cell</t>
        </is>
      </c>
      <c r="D65" s="13" t="inlineStr">
        <is>
          <t>[data-active]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DataGrid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State</t>
        </is>
      </c>
      <c r="C66" s="13" t="inlineStr">
        <is>
          <t>Cell</t>
        </is>
      </c>
      <c r="D66" s="13" t="inlineStr">
        <is>
          <t>[data-selected]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DataGrid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State</t>
        </is>
      </c>
      <c r="C67" s="13" t="inlineStr">
        <is>
          <t>Cell</t>
        </is>
      </c>
      <c r="D67" s="13" t="inlineStr">
        <is>
          <t>[data-disabled]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DataGrid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Anatomy</t>
        </is>
      </c>
      <c r="C68" s="13" t="inlineStr">
        <is>
          <t>ColumnHeader</t>
        </is>
      </c>
      <c r="D68" s="13" t="inlineStr">
        <is>
          <t>renders correct part when expected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DataGrid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Anatomy</t>
        </is>
      </c>
      <c r="C69" s="13" t="inlineStr">
        <is>
          <t>ColumnHeader</t>
        </is>
      </c>
      <c r="D69" s="13" t="inlineStr">
        <is>
          <t>appears in documented order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DataGrid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Identity</t>
        </is>
      </c>
      <c r="C70" s="13" t="inlineStr">
        <is>
          <t>ColumnHeader</t>
        </is>
      </c>
      <c r="D70" s="13" t="inlineStr">
        <is>
          <t>default tag is visible in Anatomy/Inspector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DataGrid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Identity</t>
        </is>
      </c>
      <c r="C71" s="13" t="inlineStr">
        <is>
          <t>ColumnHeader</t>
        </is>
      </c>
      <c r="D71" s="13" t="inlineStr">
        <is>
          <t>data-slot is present and correct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DataGrid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30" customHeight="1" s="24">
      <c r="A72" s="12" t="n">
        <v>64</v>
      </c>
      <c r="B72" s="13" t="inlineStr">
        <is>
          <t>Props</t>
        </is>
      </c>
      <c r="C72" s="13" t="inlineStr">
        <is>
          <t>ColumnHeader</t>
        </is>
      </c>
      <c r="D72" s="13" t="inlineStr">
        <is>
          <t>non-Atom native props pass through with data-prop-check marker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DataGrid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Refs</t>
        </is>
      </c>
      <c r="C73" s="13" t="inlineStr">
        <is>
          <t>ColumnHeader</t>
        </is>
      </c>
      <c r="D73" s="13" t="inlineStr">
        <is>
          <t>consumer ref receives the rendered element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DataGrid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Public API</t>
        </is>
      </c>
      <c r="C74" s="13" t="inlineStr">
        <is>
          <t>ColumnHeader</t>
        </is>
      </c>
      <c r="D74" s="13" t="inlineStr">
        <is>
          <t>columnIndex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DataGrid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Public API</t>
        </is>
      </c>
      <c r="C75" s="13" t="inlineStr">
        <is>
          <t>ColumnHeader</t>
        </is>
      </c>
      <c r="D75" s="13" t="inlineStr">
        <is>
          <t>index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DataGrid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Public API</t>
        </is>
      </c>
      <c r="C76" s="13" t="inlineStr">
        <is>
          <t>ColumnHeader</t>
        </is>
      </c>
      <c r="D76" s="13" t="inlineStr">
        <is>
          <t>sortDirection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DataGrid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State</t>
        </is>
      </c>
      <c r="C77" s="13" t="inlineStr">
        <is>
          <t>ColumnHeader</t>
        </is>
      </c>
      <c r="D77" s="13" t="inlineStr">
        <is>
          <t>disabled prop behavior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DataGrid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Anatomy</t>
        </is>
      </c>
      <c r="C78" s="13" t="inlineStr">
        <is>
          <t>Footer</t>
        </is>
      </c>
      <c r="D78" s="13" t="inlineStr">
        <is>
          <t>renders correct part when expected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DataGrid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Anatomy</t>
        </is>
      </c>
      <c r="C79" s="13" t="inlineStr">
        <is>
          <t>Footer</t>
        </is>
      </c>
      <c r="D79" s="13" t="inlineStr">
        <is>
          <t>appears in documented order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DataGrid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Footer</t>
        </is>
      </c>
      <c r="D80" s="13" t="inlineStr">
        <is>
          <t>default tag is visible in Anatomy/Inspector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DataGrid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Identity</t>
        </is>
      </c>
      <c r="C81" s="13" t="inlineStr">
        <is>
          <t>Footer</t>
        </is>
      </c>
      <c r="D81" s="13" t="inlineStr">
        <is>
          <t>data-slot is present and correct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DataGrid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Props</t>
        </is>
      </c>
      <c r="C82" s="13" t="inlineStr">
        <is>
          <t>Footer</t>
        </is>
      </c>
      <c r="D82" s="13" t="inlineStr">
        <is>
          <t>non-Atom native props pass through with data-prop-check marker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DataGrid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Refs</t>
        </is>
      </c>
      <c r="C83" s="13" t="inlineStr">
        <is>
          <t>Footer</t>
        </is>
      </c>
      <c r="D83" s="13" t="inlineStr">
        <is>
          <t>consumer ref receives the rendered element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DataGrid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Anatomy</t>
        </is>
      </c>
      <c r="C84" s="13" t="inlineStr">
        <is>
          <t>GridBody</t>
        </is>
      </c>
      <c r="D84" s="13" t="inlineStr">
        <is>
          <t>renders correct part when expected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DataGrid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Anatomy</t>
        </is>
      </c>
      <c r="C85" s="13" t="inlineStr">
        <is>
          <t>GridBody</t>
        </is>
      </c>
      <c r="D85" s="13" t="inlineStr">
        <is>
          <t>appears in documented order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DataGrid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Identity</t>
        </is>
      </c>
      <c r="C86" s="13" t="inlineStr">
        <is>
          <t>GridBody</t>
        </is>
      </c>
      <c r="D86" s="13" t="inlineStr">
        <is>
          <t>default tag is visible in Anatomy/Inspector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DataGrid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Identity</t>
        </is>
      </c>
      <c r="C87" s="13" t="inlineStr">
        <is>
          <t>GridBody</t>
        </is>
      </c>
      <c r="D87" s="13" t="inlineStr">
        <is>
          <t>data-slot is present and correct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DataGrid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30" customHeight="1" s="24">
      <c r="A88" s="12" t="n">
        <v>80</v>
      </c>
      <c r="B88" s="13" t="inlineStr">
        <is>
          <t>Props</t>
        </is>
      </c>
      <c r="C88" s="13" t="inlineStr">
        <is>
          <t>GridBody</t>
        </is>
      </c>
      <c r="D88" s="13" t="inlineStr">
        <is>
          <t>non-Atom native props pass through with data-prop-check marker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DataGrid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Refs</t>
        </is>
      </c>
      <c r="C89" s="13" t="inlineStr">
        <is>
          <t>GridBody</t>
        </is>
      </c>
      <c r="D89" s="13" t="inlineStr">
        <is>
          <t>consumer ref receives the rendered element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DataGrid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Anatomy</t>
        </is>
      </c>
      <c r="C90" s="13" t="inlineStr">
        <is>
          <t>GridCaption</t>
        </is>
      </c>
      <c r="D90" s="13" t="inlineStr">
        <is>
          <t>renders correct part when expected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DataGrid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Anatomy</t>
        </is>
      </c>
      <c r="C91" s="13" t="inlineStr">
        <is>
          <t>GridCaption</t>
        </is>
      </c>
      <c r="D91" s="13" t="inlineStr">
        <is>
          <t>appears in documented order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DataGrid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Identity</t>
        </is>
      </c>
      <c r="C92" s="13" t="inlineStr">
        <is>
          <t>GridCaption</t>
        </is>
      </c>
      <c r="D92" s="13" t="inlineStr">
        <is>
          <t>default tag is visible in Anatomy/Inspector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DataGrid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Identity</t>
        </is>
      </c>
      <c r="C93" s="13" t="inlineStr">
        <is>
          <t>GridCaption</t>
        </is>
      </c>
      <c r="D93" s="13" t="inlineStr">
        <is>
          <t>data-slot is present and correct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DataGrid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30" customHeight="1" s="24">
      <c r="A94" s="12" t="n">
        <v>86</v>
      </c>
      <c r="B94" s="13" t="inlineStr">
        <is>
          <t>Props</t>
        </is>
      </c>
      <c r="C94" s="13" t="inlineStr">
        <is>
          <t>GridCaption</t>
        </is>
      </c>
      <c r="D94" s="13" t="inlineStr">
        <is>
          <t>non-Atom native props pass through with data-prop-check marker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DataGrid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Refs</t>
        </is>
      </c>
      <c r="C95" s="13" t="inlineStr">
        <is>
          <t>GridCaption</t>
        </is>
      </c>
      <c r="D95" s="13" t="inlineStr">
        <is>
          <t>consumer ref receives the rendered element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DataGrid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Anatomy</t>
        </is>
      </c>
      <c r="C96" s="13" t="inlineStr">
        <is>
          <t>GridCell</t>
        </is>
      </c>
      <c r="D96" s="13" t="inlineStr">
        <is>
          <t>renders correct part when expected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DataGrid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Anatomy</t>
        </is>
      </c>
      <c r="C97" s="13" t="inlineStr">
        <is>
          <t>GridCell</t>
        </is>
      </c>
      <c r="D97" s="13" t="inlineStr">
        <is>
          <t>appears in documented order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DataGrid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Identity</t>
        </is>
      </c>
      <c r="C98" s="13" t="inlineStr">
        <is>
          <t>GridCell</t>
        </is>
      </c>
      <c r="D98" s="13" t="inlineStr">
        <is>
          <t>default tag is visible in Anatomy/Inspector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DataGrid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Identity</t>
        </is>
      </c>
      <c r="C99" s="13" t="inlineStr">
        <is>
          <t>GridCell</t>
        </is>
      </c>
      <c r="D99" s="13" t="inlineStr">
        <is>
          <t>data-slot is present and correct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DataGrid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30" customHeight="1" s="24">
      <c r="A100" s="12" t="n">
        <v>92</v>
      </c>
      <c r="B100" s="13" t="inlineStr">
        <is>
          <t>Props</t>
        </is>
      </c>
      <c r="C100" s="13" t="inlineStr">
        <is>
          <t>GridCell</t>
        </is>
      </c>
      <c r="D100" s="13" t="inlineStr">
        <is>
          <t>non-Atom native props pass through with data-prop-check marker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DataGrid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Refs</t>
        </is>
      </c>
      <c r="C101" s="13" t="inlineStr">
        <is>
          <t>GridCell</t>
        </is>
      </c>
      <c r="D101" s="13" t="inlineStr">
        <is>
          <t>consumer ref receives the rendered element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DataGrid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Anatomy</t>
        </is>
      </c>
      <c r="C102" s="13" t="inlineStr">
        <is>
          <t>GridColumnHeader</t>
        </is>
      </c>
      <c r="D102" s="13" t="inlineStr">
        <is>
          <t>renders correct part when expected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DataGrid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Anatomy</t>
        </is>
      </c>
      <c r="C103" s="13" t="inlineStr">
        <is>
          <t>GridColumnHeader</t>
        </is>
      </c>
      <c r="D103" s="13" t="inlineStr">
        <is>
          <t>appears in documented order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DataGrid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Identity</t>
        </is>
      </c>
      <c r="C104" s="13" t="inlineStr">
        <is>
          <t>GridColumnHeader</t>
        </is>
      </c>
      <c r="D104" s="13" t="inlineStr">
        <is>
          <t>default tag is visible in Anatomy/Inspector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DataGrid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Identity</t>
        </is>
      </c>
      <c r="C105" s="13" t="inlineStr">
        <is>
          <t>GridColumnHeader</t>
        </is>
      </c>
      <c r="D105" s="13" t="inlineStr">
        <is>
          <t>data-slot is present and correct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DataGrid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30" customHeight="1" s="24">
      <c r="A106" s="12" t="n">
        <v>98</v>
      </c>
      <c r="B106" s="13" t="inlineStr">
        <is>
          <t>Props</t>
        </is>
      </c>
      <c r="C106" s="13" t="inlineStr">
        <is>
          <t>GridColumnHeader</t>
        </is>
      </c>
      <c r="D106" s="13" t="inlineStr">
        <is>
          <t>non-Atom native props pass through with data-prop-check marker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DataGrid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Refs</t>
        </is>
      </c>
      <c r="C107" s="13" t="inlineStr">
        <is>
          <t>GridColumnHeader</t>
        </is>
      </c>
      <c r="D107" s="13" t="inlineStr">
        <is>
          <t>consumer ref receives the rendered element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DataGrid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Anatomy</t>
        </is>
      </c>
      <c r="C108" s="13" t="inlineStr">
        <is>
          <t>GridFooter</t>
        </is>
      </c>
      <c r="D108" s="13" t="inlineStr">
        <is>
          <t>renders correct part when expected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DataGrid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Anatomy</t>
        </is>
      </c>
      <c r="C109" s="13" t="inlineStr">
        <is>
          <t>GridFooter</t>
        </is>
      </c>
      <c r="D109" s="13" t="inlineStr">
        <is>
          <t>appears in documented order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DataGrid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Identity</t>
        </is>
      </c>
      <c r="C110" s="13" t="inlineStr">
        <is>
          <t>GridFooter</t>
        </is>
      </c>
      <c r="D110" s="13" t="inlineStr">
        <is>
          <t>default tag is visible in Anatomy/Inspector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DataGrid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Identity</t>
        </is>
      </c>
      <c r="C111" s="13" t="inlineStr">
        <is>
          <t>GridFooter</t>
        </is>
      </c>
      <c r="D111" s="13" t="inlineStr">
        <is>
          <t>data-slot is present and correct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DataGrid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30" customHeight="1" s="24">
      <c r="A112" s="12" t="n">
        <v>104</v>
      </c>
      <c r="B112" s="13" t="inlineStr">
        <is>
          <t>Props</t>
        </is>
      </c>
      <c r="C112" s="13" t="inlineStr">
        <is>
          <t>GridFooter</t>
        </is>
      </c>
      <c r="D112" s="13" t="inlineStr">
        <is>
          <t>non-Atom native props pass through with data-prop-check marker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DataGrid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Refs</t>
        </is>
      </c>
      <c r="C113" s="13" t="inlineStr">
        <is>
          <t>GridFooter</t>
        </is>
      </c>
      <c r="D113" s="13" t="inlineStr">
        <is>
          <t>consumer ref receives the rendered element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DataGrid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Anatomy</t>
        </is>
      </c>
      <c r="C114" s="13" t="inlineStr">
        <is>
          <t>GridHeader</t>
        </is>
      </c>
      <c r="D114" s="13" t="inlineStr">
        <is>
          <t>renders correct part when expected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DataGrid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Anatomy</t>
        </is>
      </c>
      <c r="C115" s="13" t="inlineStr">
        <is>
          <t>GridHeader</t>
        </is>
      </c>
      <c r="D115" s="13" t="inlineStr">
        <is>
          <t>appears in documented order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DataGrid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Identity</t>
        </is>
      </c>
      <c r="C116" s="13" t="inlineStr">
        <is>
          <t>GridHeader</t>
        </is>
      </c>
      <c r="D116" s="13" t="inlineStr">
        <is>
          <t>default tag is visible in Anatomy/Inspector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DataGrid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Identity</t>
        </is>
      </c>
      <c r="C117" s="13" t="inlineStr">
        <is>
          <t>GridHeader</t>
        </is>
      </c>
      <c r="D117" s="13" t="inlineStr">
        <is>
          <t>data-slot is present and correct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DataGrid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30" customHeight="1" s="24">
      <c r="A118" s="12" t="n">
        <v>110</v>
      </c>
      <c r="B118" s="13" t="inlineStr">
        <is>
          <t>Props</t>
        </is>
      </c>
      <c r="C118" s="13" t="inlineStr">
        <is>
          <t>GridHeader</t>
        </is>
      </c>
      <c r="D118" s="13" t="inlineStr">
        <is>
          <t>non-Atom native props pass through with data-prop-check marker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DataGrid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Refs</t>
        </is>
      </c>
      <c r="C119" s="13" t="inlineStr">
        <is>
          <t>GridHeader</t>
        </is>
      </c>
      <c r="D119" s="13" t="inlineStr">
        <is>
          <t>consumer ref receives the rendered element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DataGrid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Anatomy</t>
        </is>
      </c>
      <c r="C120" s="13" t="inlineStr">
        <is>
          <t>GridRow</t>
        </is>
      </c>
      <c r="D120" s="13" t="inlineStr">
        <is>
          <t>renders correct part when expected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DataGrid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Anatomy</t>
        </is>
      </c>
      <c r="C121" s="13" t="inlineStr">
        <is>
          <t>GridRow</t>
        </is>
      </c>
      <c r="D121" s="13" t="inlineStr">
        <is>
          <t>appears in documented order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DataGrid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Identity</t>
        </is>
      </c>
      <c r="C122" s="13" t="inlineStr">
        <is>
          <t>GridRow</t>
        </is>
      </c>
      <c r="D122" s="13" t="inlineStr">
        <is>
          <t>default tag is visible in Anatomy/Inspector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DataGrid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Identity</t>
        </is>
      </c>
      <c r="C123" s="13" t="inlineStr">
        <is>
          <t>GridRow</t>
        </is>
      </c>
      <c r="D123" s="13" t="inlineStr">
        <is>
          <t>data-slot is present and correct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DataGrid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30" customHeight="1" s="24">
      <c r="A124" s="12" t="n">
        <v>116</v>
      </c>
      <c r="B124" s="13" t="inlineStr">
        <is>
          <t>Props</t>
        </is>
      </c>
      <c r="C124" s="13" t="inlineStr">
        <is>
          <t>GridRow</t>
        </is>
      </c>
      <c r="D124" s="13" t="inlineStr">
        <is>
          <t>non-Atom native props pass through with data-prop-check marker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DataGrid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Refs</t>
        </is>
      </c>
      <c r="C125" s="13" t="inlineStr">
        <is>
          <t>GridRow</t>
        </is>
      </c>
      <c r="D125" s="13" t="inlineStr">
        <is>
          <t>consumer ref receives the rendered element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DataGrid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Anatomy</t>
        </is>
      </c>
      <c r="C126" s="13" t="inlineStr">
        <is>
          <t>Header</t>
        </is>
      </c>
      <c r="D126" s="13" t="inlineStr">
        <is>
          <t>renders correct part when expected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DataGrid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Anatomy</t>
        </is>
      </c>
      <c r="C127" s="13" t="inlineStr">
        <is>
          <t>Header</t>
        </is>
      </c>
      <c r="D127" s="13" t="inlineStr">
        <is>
          <t>appears in documented order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DataGrid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Identity</t>
        </is>
      </c>
      <c r="C128" s="13" t="inlineStr">
        <is>
          <t>Header</t>
        </is>
      </c>
      <c r="D128" s="13" t="inlineStr">
        <is>
          <t>default tag is visible in Anatomy/Inspector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DataGrid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Identity</t>
        </is>
      </c>
      <c r="C129" s="13" t="inlineStr">
        <is>
          <t>Header</t>
        </is>
      </c>
      <c r="D129" s="13" t="inlineStr">
        <is>
          <t>data-slot is present and correct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DataGrid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30" customHeight="1" s="24">
      <c r="A130" s="12" t="n">
        <v>122</v>
      </c>
      <c r="B130" s="13" t="inlineStr">
        <is>
          <t>Props</t>
        </is>
      </c>
      <c r="C130" s="13" t="inlineStr">
        <is>
          <t>Header</t>
        </is>
      </c>
      <c r="D130" s="13" t="inlineStr">
        <is>
          <t>non-Atom native props pass through with data-prop-check marker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DataGrid playground scenario.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Refs</t>
        </is>
      </c>
      <c r="C131" s="13" t="inlineStr">
        <is>
          <t>Header</t>
        </is>
      </c>
      <c r="D131" s="13" t="inlineStr">
        <is>
          <t>consumer ref receives the rendered element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DataGrid playground scenario.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Anatomy</t>
        </is>
      </c>
      <c r="C132" s="13" t="inlineStr">
        <is>
          <t>Row</t>
        </is>
      </c>
      <c r="D132" s="13" t="inlineStr">
        <is>
          <t>renders correct part when expected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DataGrid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Anatomy</t>
        </is>
      </c>
      <c r="C133" s="13" t="inlineStr">
        <is>
          <t>Row</t>
        </is>
      </c>
      <c r="D133" s="13" t="inlineStr">
        <is>
          <t>appears in documented order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DataGrid playground scenario.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Identity</t>
        </is>
      </c>
      <c r="C134" s="13" t="inlineStr">
        <is>
          <t>Row</t>
        </is>
      </c>
      <c r="D134" s="13" t="inlineStr">
        <is>
          <t>default tag is visible in Anatomy/Inspector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DataGrid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Identity</t>
        </is>
      </c>
      <c r="C135" s="13" t="inlineStr">
        <is>
          <t>Row</t>
        </is>
      </c>
      <c r="D135" s="13" t="inlineStr">
        <is>
          <t>data-slot is present and correct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DataGrid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30" customHeight="1" s="24">
      <c r="A136" s="12" t="n">
        <v>128</v>
      </c>
      <c r="B136" s="13" t="inlineStr">
        <is>
          <t>Props</t>
        </is>
      </c>
      <c r="C136" s="13" t="inlineStr">
        <is>
          <t>Row</t>
        </is>
      </c>
      <c r="D136" s="13" t="inlineStr">
        <is>
          <t>non-Atom native props pass through with data-prop-check marker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DataGrid playground scenario.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Refs</t>
        </is>
      </c>
      <c r="C137" s="13" t="inlineStr">
        <is>
          <t>Row</t>
        </is>
      </c>
      <c r="D137" s="13" t="inlineStr">
        <is>
          <t>consumer ref receives the rendered element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DataGrid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Public API</t>
        </is>
      </c>
      <c r="C138" s="13" t="inlineStr">
        <is>
          <t>Row</t>
        </is>
      </c>
      <c r="D138" s="13" t="inlineStr">
        <is>
          <t>rowIndex prop behavior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DataGrid playground scenario.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Public API</t>
        </is>
      </c>
      <c r="C139" s="13" t="inlineStr">
        <is>
          <t>Row</t>
        </is>
      </c>
      <c r="D139" s="13" t="inlineStr">
        <is>
          <t>index prop behavior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DataGrid playground scenario.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State</t>
        </is>
      </c>
      <c r="C140" s="13" t="inlineStr">
        <is>
          <t>Row</t>
        </is>
      </c>
      <c r="D140" s="13" t="inlineStr">
        <is>
          <t>value prop behavior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DataGrid playground scenario.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15" customHeight="1" s="24">
      <c r="A141" s="12" t="n">
        <v>133</v>
      </c>
      <c r="B141" s="13" t="inlineStr">
        <is>
          <t>State</t>
        </is>
      </c>
      <c r="C141" s="13" t="inlineStr">
        <is>
          <t>Row</t>
        </is>
      </c>
      <c r="D141" s="13" t="inlineStr">
        <is>
          <t>disabled prop behavior</t>
        </is>
      </c>
      <c r="E141" s="18" t="inlineStr">
        <is>
          <t>yes</t>
        </is>
      </c>
      <c r="F141" s="19" t="inlineStr">
        <is>
          <t>no</t>
        </is>
      </c>
      <c r="G141" s="12" t="inlineStr">
        <is>
          <t>ready for manual test</t>
        </is>
      </c>
      <c r="H141" s="20" t="inlineStr">
        <is>
          <t>untested</t>
        </is>
      </c>
      <c r="I141" s="13" t="inlineStr">
        <is>
          <t>DataGrid playground scenario.</t>
        </is>
      </c>
      <c r="J141" s="13" t="inlineStr">
        <is>
          <t>Manual verification needed.</t>
        </is>
      </c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Public API</t>
        </is>
      </c>
      <c r="C142" s="13" t="inlineStr">
        <is>
          <t>Row</t>
        </is>
      </c>
      <c r="D142" s="13" t="inlineStr">
        <is>
          <t>selectable prop behavior</t>
        </is>
      </c>
      <c r="E142" s="18" t="inlineStr">
        <is>
          <t>yes</t>
        </is>
      </c>
      <c r="F142" s="19" t="inlineStr">
        <is>
          <t>no</t>
        </is>
      </c>
      <c r="G142" s="12" t="inlineStr">
        <is>
          <t>ready for manual test</t>
        </is>
      </c>
      <c r="H142" s="20" t="inlineStr">
        <is>
          <t>untested</t>
        </is>
      </c>
      <c r="I142" s="13" t="inlineStr">
        <is>
          <t>DataGrid playground scenario.</t>
        </is>
      </c>
      <c r="J142" s="13" t="inlineStr">
        <is>
          <t>Manual verification needed.</t>
        </is>
      </c>
      <c r="K142" s="14">
        <f>IF(AND(E142="yes",F142="yes",H142="covered"),1,IF(H142="partial",0.5,0))</f>
        <v/>
      </c>
    </row>
    <row r="143" ht="15" customHeight="1" s="24">
      <c r="A143" s="12" t="n">
        <v>135</v>
      </c>
      <c r="B143" s="13" t="inlineStr">
        <is>
          <t>ARIA</t>
        </is>
      </c>
      <c r="C143" s="13" t="inlineStr">
        <is>
          <t>Live DOM</t>
        </is>
      </c>
      <c r="D143" s="13" t="inlineStr">
        <is>
          <t>aria-activedescendant is present at the correct time</t>
        </is>
      </c>
      <c r="E143" s="18" t="inlineStr">
        <is>
          <t>yes</t>
        </is>
      </c>
      <c r="F143" s="19" t="inlineStr">
        <is>
          <t>no</t>
        </is>
      </c>
      <c r="G143" s="12" t="inlineStr">
        <is>
          <t>ready for manual test</t>
        </is>
      </c>
      <c r="H143" s="20" t="inlineStr">
        <is>
          <t>untested</t>
        </is>
      </c>
      <c r="I143" s="13" t="inlineStr">
        <is>
          <t>DataGrid playground scenario.</t>
        </is>
      </c>
      <c r="J143" s="13" t="inlineStr">
        <is>
          <t>Manual verification needed.</t>
        </is>
      </c>
      <c r="K143" s="14">
        <f>IF(AND(E143="yes",F143="yes",H143="covered"),1,IF(H143="partial",0.5,0))</f>
        <v/>
      </c>
    </row>
    <row r="144" ht="15" customHeight="1" s="24">
      <c r="A144" s="12" t="n">
        <v>136</v>
      </c>
      <c r="B144" s="13" t="inlineStr">
        <is>
          <t>ARIA</t>
        </is>
      </c>
      <c r="C144" s="13" t="inlineStr">
        <is>
          <t>Live DOM</t>
        </is>
      </c>
      <c r="D144" s="13" t="inlineStr">
        <is>
          <t>aria-colcount is present at the correct time</t>
        </is>
      </c>
      <c r="E144" s="18" t="inlineStr">
        <is>
          <t>yes</t>
        </is>
      </c>
      <c r="F144" s="19" t="inlineStr">
        <is>
          <t>no</t>
        </is>
      </c>
      <c r="G144" s="12" t="inlineStr">
        <is>
          <t>ready for manual test</t>
        </is>
      </c>
      <c r="H144" s="20" t="inlineStr">
        <is>
          <t>untested</t>
        </is>
      </c>
      <c r="I144" s="13" t="inlineStr">
        <is>
          <t>DataGrid playground scenario.</t>
        </is>
      </c>
      <c r="J144" s="13" t="inlineStr">
        <is>
          <t>Manual verification needed.</t>
        </is>
      </c>
      <c r="K144" s="14">
        <f>IF(AND(E144="yes",F144="yes",H144="covered"),1,IF(H144="partial",0.5,0))</f>
        <v/>
      </c>
    </row>
    <row r="145" ht="15" customHeight="1" s="24">
      <c r="A145" s="12" t="n">
        <v>137</v>
      </c>
      <c r="B145" s="13" t="inlineStr">
        <is>
          <t>ARIA</t>
        </is>
      </c>
      <c r="C145" s="13" t="inlineStr">
        <is>
          <t>Live DOM</t>
        </is>
      </c>
      <c r="D145" s="13" t="inlineStr">
        <is>
          <t>aria-colindex is present at the correct time</t>
        </is>
      </c>
      <c r="E145" s="18" t="inlineStr">
        <is>
          <t>yes</t>
        </is>
      </c>
      <c r="F145" s="19" t="inlineStr">
        <is>
          <t>no</t>
        </is>
      </c>
      <c r="G145" s="12" t="inlineStr">
        <is>
          <t>ready for manual test</t>
        </is>
      </c>
      <c r="H145" s="20" t="inlineStr">
        <is>
          <t>untested</t>
        </is>
      </c>
      <c r="I145" s="13" t="inlineStr">
        <is>
          <t>DataGrid playground scenario.</t>
        </is>
      </c>
      <c r="J145" s="13" t="inlineStr">
        <is>
          <t>Manual verification needed.</t>
        </is>
      </c>
      <c r="K145" s="14">
        <f>IF(AND(E145="yes",F145="yes",H145="covered"),1,IF(H145="partial",0.5,0))</f>
        <v/>
      </c>
    </row>
    <row r="146" ht="15" customHeight="1" s="24">
      <c r="A146" s="12" t="n">
        <v>138</v>
      </c>
      <c r="B146" s="13" t="inlineStr">
        <is>
          <t>ARIA</t>
        </is>
      </c>
      <c r="C146" s="13" t="inlineStr">
        <is>
          <t>Live DOM</t>
        </is>
      </c>
      <c r="D146" s="13" t="inlineStr">
        <is>
          <t>aria-disabled is present at the correct time</t>
        </is>
      </c>
      <c r="E146" s="18" t="inlineStr">
        <is>
          <t>yes</t>
        </is>
      </c>
      <c r="F146" s="19" t="inlineStr">
        <is>
          <t>no</t>
        </is>
      </c>
      <c r="G146" s="12" t="inlineStr">
        <is>
          <t>ready for manual test</t>
        </is>
      </c>
      <c r="H146" s="20" t="inlineStr">
        <is>
          <t>untested</t>
        </is>
      </c>
      <c r="I146" s="13" t="inlineStr">
        <is>
          <t>DataGrid playground scenario.</t>
        </is>
      </c>
      <c r="J146" s="13" t="inlineStr">
        <is>
          <t>Manual verification needed.</t>
        </is>
      </c>
      <c r="K146" s="14">
        <f>IF(AND(E146="yes",F146="yes",H146="covered"),1,IF(H146="partial",0.5,0))</f>
        <v/>
      </c>
    </row>
    <row r="147" ht="15" customHeight="1" s="24">
      <c r="A147" s="12" t="n">
        <v>139</v>
      </c>
      <c r="B147" s="13" t="inlineStr">
        <is>
          <t>ARIA</t>
        </is>
      </c>
      <c r="C147" s="13" t="inlineStr">
        <is>
          <t>Live DOM</t>
        </is>
      </c>
      <c r="D147" s="13" t="inlineStr">
        <is>
          <t>aria-multiselectable is present at the correct time</t>
        </is>
      </c>
      <c r="E147" s="18" t="inlineStr">
        <is>
          <t>yes</t>
        </is>
      </c>
      <c r="F147" s="19" t="inlineStr">
        <is>
          <t>no</t>
        </is>
      </c>
      <c r="G147" s="12" t="inlineStr">
        <is>
          <t>ready for manual test</t>
        </is>
      </c>
      <c r="H147" s="20" t="inlineStr">
        <is>
          <t>untested</t>
        </is>
      </c>
      <c r="I147" s="13" t="inlineStr">
        <is>
          <t>DataGrid playground scenario.</t>
        </is>
      </c>
      <c r="J147" s="13" t="inlineStr">
        <is>
          <t>Manual verification needed.</t>
        </is>
      </c>
      <c r="K147" s="14">
        <f>IF(AND(E147="yes",F147="yes",H147="covered"),1,IF(H147="partial",0.5,0))</f>
        <v/>
      </c>
    </row>
    <row r="148" ht="15" customHeight="1" s="24">
      <c r="A148" s="12" t="n">
        <v>140</v>
      </c>
      <c r="B148" s="13" t="inlineStr">
        <is>
          <t>ARIA</t>
        </is>
      </c>
      <c r="C148" s="13" t="inlineStr">
        <is>
          <t>Live DOM</t>
        </is>
      </c>
      <c r="D148" s="13" t="inlineStr">
        <is>
          <t>aria-readonly is present at the correct time</t>
        </is>
      </c>
      <c r="E148" s="18" t="inlineStr">
        <is>
          <t>yes</t>
        </is>
      </c>
      <c r="F148" s="19" t="inlineStr">
        <is>
          <t>no</t>
        </is>
      </c>
      <c r="G148" s="12" t="inlineStr">
        <is>
          <t>ready for manual test</t>
        </is>
      </c>
      <c r="H148" s="20" t="inlineStr">
        <is>
          <t>untested</t>
        </is>
      </c>
      <c r="I148" s="13" t="inlineStr">
        <is>
          <t>DataGrid playground scenario.</t>
        </is>
      </c>
      <c r="J148" s="13" t="inlineStr">
        <is>
          <t>Manual verification needed.</t>
        </is>
      </c>
      <c r="K148" s="14">
        <f>IF(AND(E148="yes",F148="yes",H148="covered"),1,IF(H148="partial",0.5,0))</f>
        <v/>
      </c>
    </row>
    <row r="149" ht="15" customHeight="1" s="24">
      <c r="A149" s="12" t="n">
        <v>141</v>
      </c>
      <c r="B149" s="13" t="inlineStr">
        <is>
          <t>ARIA</t>
        </is>
      </c>
      <c r="C149" s="13" t="inlineStr">
        <is>
          <t>Live DOM</t>
        </is>
      </c>
      <c r="D149" s="13" t="inlineStr">
        <is>
          <t>aria-rowcount is present at the correct time</t>
        </is>
      </c>
      <c r="E149" s="18" t="inlineStr">
        <is>
          <t>yes</t>
        </is>
      </c>
      <c r="F149" s="19" t="inlineStr">
        <is>
          <t>no</t>
        </is>
      </c>
      <c r="G149" s="12" t="inlineStr">
        <is>
          <t>ready for manual test</t>
        </is>
      </c>
      <c r="H149" s="20" t="inlineStr">
        <is>
          <t>untested</t>
        </is>
      </c>
      <c r="I149" s="13" t="inlineStr">
        <is>
          <t>DataGrid playground scenario.</t>
        </is>
      </c>
      <c r="J149" s="13" t="inlineStr">
        <is>
          <t>Manual verification needed.</t>
        </is>
      </c>
      <c r="K149" s="14">
        <f>IF(AND(E149="yes",F149="yes",H149="covered"),1,IF(H149="partial",0.5,0))</f>
        <v/>
      </c>
    </row>
    <row r="150" ht="15" customHeight="1" s="24">
      <c r="A150" s="12" t="n">
        <v>142</v>
      </c>
      <c r="B150" s="13" t="inlineStr">
        <is>
          <t>ARIA</t>
        </is>
      </c>
      <c r="C150" s="13" t="inlineStr">
        <is>
          <t>Live DOM</t>
        </is>
      </c>
      <c r="D150" s="13" t="inlineStr">
        <is>
          <t>aria-rowindex is present at the correct time</t>
        </is>
      </c>
      <c r="E150" s="18" t="inlineStr">
        <is>
          <t>yes</t>
        </is>
      </c>
      <c r="F150" s="19" t="inlineStr">
        <is>
          <t>no</t>
        </is>
      </c>
      <c r="G150" s="12" t="inlineStr">
        <is>
          <t>ready for manual test</t>
        </is>
      </c>
      <c r="H150" s="20" t="inlineStr">
        <is>
          <t>untested</t>
        </is>
      </c>
      <c r="I150" s="13" t="inlineStr">
        <is>
          <t>DataGrid playground scenario.</t>
        </is>
      </c>
      <c r="J150" s="13" t="inlineStr">
        <is>
          <t>Manual verification needed.</t>
        </is>
      </c>
      <c r="K150" s="14">
        <f>IF(AND(E150="yes",F150="yes",H150="covered"),1,IF(H150="partial",0.5,0))</f>
        <v/>
      </c>
    </row>
    <row r="151" ht="15" customHeight="1" s="24">
      <c r="A151" s="12" t="n">
        <v>143</v>
      </c>
      <c r="B151" s="13" t="inlineStr">
        <is>
          <t>ARIA</t>
        </is>
      </c>
      <c r="C151" s="13" t="inlineStr">
        <is>
          <t>Live DOM</t>
        </is>
      </c>
      <c r="D151" s="13" t="inlineStr">
        <is>
          <t>aria-selected is present at the correct time</t>
        </is>
      </c>
      <c r="E151" s="18" t="inlineStr">
        <is>
          <t>yes</t>
        </is>
      </c>
      <c r="F151" s="19" t="inlineStr">
        <is>
          <t>no</t>
        </is>
      </c>
      <c r="G151" s="12" t="inlineStr">
        <is>
          <t>ready for manual test</t>
        </is>
      </c>
      <c r="H151" s="20" t="inlineStr">
        <is>
          <t>untested</t>
        </is>
      </c>
      <c r="I151" s="13" t="inlineStr">
        <is>
          <t>DataGrid playground scenario.</t>
        </is>
      </c>
      <c r="J151" s="13" t="inlineStr">
        <is>
          <t>Manual verification needed.</t>
        </is>
      </c>
      <c r="K151" s="14">
        <f>IF(AND(E151="yes",F151="yes",H151="covered"),1,IF(H151="partial",0.5,0))</f>
        <v/>
      </c>
    </row>
    <row r="152" ht="15" customHeight="1" s="24">
      <c r="A152" s="12" t="n">
        <v>144</v>
      </c>
      <c r="B152" s="13" t="inlineStr">
        <is>
          <t>ARIA</t>
        </is>
      </c>
      <c r="C152" s="13" t="inlineStr">
        <is>
          <t>Live DOM</t>
        </is>
      </c>
      <c r="D152" s="13" t="inlineStr">
        <is>
          <t>aria-sort is present at the correct time</t>
        </is>
      </c>
      <c r="E152" s="18" t="inlineStr">
        <is>
          <t>yes</t>
        </is>
      </c>
      <c r="F152" s="19" t="inlineStr">
        <is>
          <t>no</t>
        </is>
      </c>
      <c r="G152" s="12" t="inlineStr">
        <is>
          <t>ready for manual test</t>
        </is>
      </c>
      <c r="H152" s="20" t="inlineStr">
        <is>
          <t>untested</t>
        </is>
      </c>
      <c r="I152" s="13" t="inlineStr">
        <is>
          <t>DataGrid playground scenario.</t>
        </is>
      </c>
      <c r="J152" s="13" t="inlineStr">
        <is>
          <t>Manual verification needed.</t>
        </is>
      </c>
      <c r="K152" s="14">
        <f>IF(AND(E152="yes",F152="yes",H152="covered"),1,IF(H152="partial",0.5,0))</f>
        <v/>
      </c>
    </row>
    <row r="153" ht="15" customHeight="1" s="24">
      <c r="A153" s="12" t="n">
        <v>145</v>
      </c>
      <c r="B153" s="13" t="inlineStr">
        <is>
          <t>Data</t>
        </is>
      </c>
      <c r="C153" s="13" t="inlineStr">
        <is>
          <t>Live DOM</t>
        </is>
      </c>
      <c r="D153" s="13" t="inlineStr">
        <is>
          <t>data-active is present at the correct time</t>
        </is>
      </c>
      <c r="E153" s="18" t="inlineStr">
        <is>
          <t>yes</t>
        </is>
      </c>
      <c r="F153" s="19" t="inlineStr">
        <is>
          <t>no</t>
        </is>
      </c>
      <c r="G153" s="12" t="inlineStr">
        <is>
          <t>ready for manual test</t>
        </is>
      </c>
      <c r="H153" s="20" t="inlineStr">
        <is>
          <t>untested</t>
        </is>
      </c>
      <c r="I153" s="13" t="inlineStr">
        <is>
          <t>DataGrid playground scenario.</t>
        </is>
      </c>
      <c r="J153" s="13" t="inlineStr">
        <is>
          <t>Manual verification needed.</t>
        </is>
      </c>
      <c r="K153" s="14">
        <f>IF(AND(E153="yes",F153="yes",H153="covered"),1,IF(H153="partial",0.5,0))</f>
        <v/>
      </c>
    </row>
    <row r="154" ht="15" customHeight="1" s="24">
      <c r="A154" s="12" t="n">
        <v>146</v>
      </c>
      <c r="B154" s="13" t="inlineStr">
        <is>
          <t>Data</t>
        </is>
      </c>
      <c r="C154" s="13" t="inlineStr">
        <is>
          <t>Live DOM</t>
        </is>
      </c>
      <c r="D154" s="13" t="inlineStr">
        <is>
          <t>data-column-count is present at the correct time</t>
        </is>
      </c>
      <c r="E154" s="18" t="inlineStr">
        <is>
          <t>yes</t>
        </is>
      </c>
      <c r="F154" s="19" t="inlineStr">
        <is>
          <t>no</t>
        </is>
      </c>
      <c r="G154" s="12" t="inlineStr">
        <is>
          <t>ready for manual test</t>
        </is>
      </c>
      <c r="H154" s="20" t="inlineStr">
        <is>
          <t>untested</t>
        </is>
      </c>
      <c r="I154" s="13" t="inlineStr">
        <is>
          <t>DataGrid playground scenario.</t>
        </is>
      </c>
      <c r="J154" s="13" t="inlineStr">
        <is>
          <t>Manual verification needed.</t>
        </is>
      </c>
      <c r="K154" s="14">
        <f>IF(AND(E154="yes",F154="yes",H154="covered"),1,IF(H154="partial",0.5,0))</f>
        <v/>
      </c>
    </row>
    <row r="155" ht="15" customHeight="1" s="24">
      <c r="A155" s="12" t="n">
        <v>147</v>
      </c>
      <c r="B155" s="13" t="inlineStr">
        <is>
          <t>Data</t>
        </is>
      </c>
      <c r="C155" s="13" t="inlineStr">
        <is>
          <t>Live DOM</t>
        </is>
      </c>
      <c r="D155" s="13" t="inlineStr">
        <is>
          <t>data-column-index is present at the correct time</t>
        </is>
      </c>
      <c r="E155" s="18" t="inlineStr">
        <is>
          <t>yes</t>
        </is>
      </c>
      <c r="F155" s="19" t="inlineStr">
        <is>
          <t>no</t>
        </is>
      </c>
      <c r="G155" s="12" t="inlineStr">
        <is>
          <t>ready for manual test</t>
        </is>
      </c>
      <c r="H155" s="20" t="inlineStr">
        <is>
          <t>untested</t>
        </is>
      </c>
      <c r="I155" s="13" t="inlineStr">
        <is>
          <t>DataGrid playground scenario.</t>
        </is>
      </c>
      <c r="J155" s="13" t="inlineStr">
        <is>
          <t>Manual verification needed.</t>
        </is>
      </c>
      <c r="K155" s="14">
        <f>IF(AND(E155="yes",F155="yes",H155="covered"),1,IF(H155="partial",0.5,0))</f>
        <v/>
      </c>
    </row>
    <row r="156" ht="15" customHeight="1" s="24">
      <c r="A156" s="12" t="n">
        <v>148</v>
      </c>
      <c r="B156" s="13" t="inlineStr">
        <is>
          <t>Data</t>
        </is>
      </c>
      <c r="C156" s="13" t="inlineStr">
        <is>
          <t>Live DOM</t>
        </is>
      </c>
      <c r="D156" s="13" t="inlineStr">
        <is>
          <t>data-disabled is present at the correct time</t>
        </is>
      </c>
      <c r="E156" s="18" t="inlineStr">
        <is>
          <t>yes</t>
        </is>
      </c>
      <c r="F156" s="19" t="inlineStr">
        <is>
          <t>no</t>
        </is>
      </c>
      <c r="G156" s="12" t="inlineStr">
        <is>
          <t>ready for manual test</t>
        </is>
      </c>
      <c r="H156" s="20" t="inlineStr">
        <is>
          <t>untested</t>
        </is>
      </c>
      <c r="I156" s="13" t="inlineStr">
        <is>
          <t>DataGrid playground scenario.</t>
        </is>
      </c>
      <c r="J156" s="13" t="inlineStr">
        <is>
          <t>Manual verification needed.</t>
        </is>
      </c>
      <c r="K156" s="14">
        <f>IF(AND(E156="yes",F156="yes",H156="covered"),1,IF(H156="partial",0.5,0))</f>
        <v/>
      </c>
    </row>
    <row r="157" ht="15" customHeight="1" s="24">
      <c r="A157" s="12" t="n">
        <v>149</v>
      </c>
      <c r="B157" s="13" t="inlineStr">
        <is>
          <t>Data</t>
        </is>
      </c>
      <c r="C157" s="13" t="inlineStr">
        <is>
          <t>Live DOM</t>
        </is>
      </c>
      <c r="D157" s="13" t="inlineStr">
        <is>
          <t>data-focused is present at the correct time</t>
        </is>
      </c>
      <c r="E157" s="18" t="inlineStr">
        <is>
          <t>yes</t>
        </is>
      </c>
      <c r="F157" s="19" t="inlineStr">
        <is>
          <t>no</t>
        </is>
      </c>
      <c r="G157" s="12" t="inlineStr">
        <is>
          <t>ready for manual test</t>
        </is>
      </c>
      <c r="H157" s="20" t="inlineStr">
        <is>
          <t>untested</t>
        </is>
      </c>
      <c r="I157" s="13" t="inlineStr">
        <is>
          <t>DataGrid playground scenario.</t>
        </is>
      </c>
      <c r="J157" s="13" t="inlineStr">
        <is>
          <t>Manual verification needed.</t>
        </is>
      </c>
      <c r="K157" s="14">
        <f>IF(AND(E157="yes",F157="yes",H157="covered"),1,IF(H157="partial",0.5,0))</f>
        <v/>
      </c>
    </row>
    <row r="158" ht="15" customHeight="1" s="24">
      <c r="A158" s="12" t="n">
        <v>150</v>
      </c>
      <c r="B158" s="13" t="inlineStr">
        <is>
          <t>Data</t>
        </is>
      </c>
      <c r="C158" s="13" t="inlineStr">
        <is>
          <t>Live DOM</t>
        </is>
      </c>
      <c r="D158" s="13" t="inlineStr">
        <is>
          <t>data-grid is present at the correct time</t>
        </is>
      </c>
      <c r="E158" s="18" t="inlineStr">
        <is>
          <t>yes</t>
        </is>
      </c>
      <c r="F158" s="19" t="inlineStr">
        <is>
          <t>no</t>
        </is>
      </c>
      <c r="G158" s="12" t="inlineStr">
        <is>
          <t>ready for manual test</t>
        </is>
      </c>
      <c r="H158" s="20" t="inlineStr">
        <is>
          <t>untested</t>
        </is>
      </c>
      <c r="I158" s="13" t="inlineStr">
        <is>
          <t>DataGrid playground scenario.</t>
        </is>
      </c>
      <c r="J158" s="13" t="inlineStr">
        <is>
          <t>Manual verification needed.</t>
        </is>
      </c>
      <c r="K158" s="14">
        <f>IF(AND(E158="yes",F158="yes",H158="covered"),1,IF(H158="partial",0.5,0))</f>
        <v/>
      </c>
    </row>
    <row r="159" ht="15" customHeight="1" s="24">
      <c r="A159" s="12" t="n">
        <v>151</v>
      </c>
      <c r="B159" s="13" t="inlineStr">
        <is>
          <t>Data</t>
        </is>
      </c>
      <c r="C159" s="13" t="inlineStr">
        <is>
          <t>Live DOM</t>
        </is>
      </c>
      <c r="D159" s="13" t="inlineStr">
        <is>
          <t>data-grid- is present at the correct time</t>
        </is>
      </c>
      <c r="E159" s="18" t="inlineStr">
        <is>
          <t>yes</t>
        </is>
      </c>
      <c r="F159" s="19" t="inlineStr">
        <is>
          <t>no</t>
        </is>
      </c>
      <c r="G159" s="12" t="inlineStr">
        <is>
          <t>ready for manual test</t>
        </is>
      </c>
      <c r="H159" s="20" t="inlineStr">
        <is>
          <t>untested</t>
        </is>
      </c>
      <c r="I159" s="13" t="inlineStr">
        <is>
          <t>DataGrid playground scenario.</t>
        </is>
      </c>
      <c r="J159" s="13" t="inlineStr">
        <is>
          <t>Manual verification needed.</t>
        </is>
      </c>
      <c r="K159" s="14">
        <f>IF(AND(E159="yes",F159="yes",H159="covered"),1,IF(H159="partial",0.5,0))</f>
        <v/>
      </c>
    </row>
    <row r="160" ht="15" customHeight="1" s="24">
      <c r="A160" s="12" t="n">
        <v>152</v>
      </c>
      <c r="B160" s="13" t="inlineStr">
        <is>
          <t>Data</t>
        </is>
      </c>
      <c r="C160" s="13" t="inlineStr">
        <is>
          <t>Live DOM</t>
        </is>
      </c>
      <c r="D160" s="13" t="inlineStr">
        <is>
          <t>data-grid-body is present at the correct time</t>
        </is>
      </c>
      <c r="E160" s="18" t="inlineStr">
        <is>
          <t>yes</t>
        </is>
      </c>
      <c r="F160" s="19" t="inlineStr">
        <is>
          <t>no</t>
        </is>
      </c>
      <c r="G160" s="12" t="inlineStr">
        <is>
          <t>ready for manual test</t>
        </is>
      </c>
      <c r="H160" s="20" t="inlineStr">
        <is>
          <t>untested</t>
        </is>
      </c>
      <c r="I160" s="13" t="inlineStr">
        <is>
          <t>DataGrid playground scenario.</t>
        </is>
      </c>
      <c r="J160" s="13" t="inlineStr">
        <is>
          <t>Manual verification needed.</t>
        </is>
      </c>
      <c r="K160" s="14">
        <f>IF(AND(E160="yes",F160="yes",H160="covered"),1,IF(H160="partial",0.5,0))</f>
        <v/>
      </c>
    </row>
    <row r="161" ht="15" customHeight="1" s="24">
      <c r="A161" s="12" t="n">
        <v>153</v>
      </c>
      <c r="B161" s="13" t="inlineStr">
        <is>
          <t>Data</t>
        </is>
      </c>
      <c r="C161" s="13" t="inlineStr">
        <is>
          <t>Live DOM</t>
        </is>
      </c>
      <c r="D161" s="13" t="inlineStr">
        <is>
          <t>data-grid-caption is present at the correct time</t>
        </is>
      </c>
      <c r="E161" s="18" t="inlineStr">
        <is>
          <t>yes</t>
        </is>
      </c>
      <c r="F161" s="19" t="inlineStr">
        <is>
          <t>no</t>
        </is>
      </c>
      <c r="G161" s="12" t="inlineStr">
        <is>
          <t>ready for manual test</t>
        </is>
      </c>
      <c r="H161" s="20" t="inlineStr">
        <is>
          <t>untested</t>
        </is>
      </c>
      <c r="I161" s="13" t="inlineStr">
        <is>
          <t>DataGrid playground scenario.</t>
        </is>
      </c>
      <c r="J161" s="13" t="inlineStr">
        <is>
          <t>Manual verification needed.</t>
        </is>
      </c>
      <c r="K161" s="14">
        <f>IF(AND(E161="yes",F161="yes",H161="covered"),1,IF(H161="partial",0.5,0))</f>
        <v/>
      </c>
    </row>
    <row r="162" ht="15" customHeight="1" s="24">
      <c r="A162" s="12" t="n">
        <v>154</v>
      </c>
      <c r="B162" s="13" t="inlineStr">
        <is>
          <t>Data</t>
        </is>
      </c>
      <c r="C162" s="13" t="inlineStr">
        <is>
          <t>Live DOM</t>
        </is>
      </c>
      <c r="D162" s="13" t="inlineStr">
        <is>
          <t>data-grid-cell is present at the correct time</t>
        </is>
      </c>
      <c r="E162" s="18" t="inlineStr">
        <is>
          <t>yes</t>
        </is>
      </c>
      <c r="F162" s="19" t="inlineStr">
        <is>
          <t>no</t>
        </is>
      </c>
      <c r="G162" s="12" t="inlineStr">
        <is>
          <t>ready for manual test</t>
        </is>
      </c>
      <c r="H162" s="20" t="inlineStr">
        <is>
          <t>untested</t>
        </is>
      </c>
      <c r="I162" s="13" t="inlineStr">
        <is>
          <t>DataGrid playground scenario.</t>
        </is>
      </c>
      <c r="J162" s="13" t="inlineStr">
        <is>
          <t>Manual verification needed.</t>
        </is>
      </c>
      <c r="K162" s="14">
        <f>IF(AND(E162="yes",F162="yes",H162="covered"),1,IF(H162="partial",0.5,0))</f>
        <v/>
      </c>
    </row>
    <row r="163" ht="15" customHeight="1" s="24">
      <c r="A163" s="12" t="n">
        <v>155</v>
      </c>
      <c r="B163" s="13" t="inlineStr">
        <is>
          <t>Data</t>
        </is>
      </c>
      <c r="C163" s="13" t="inlineStr">
        <is>
          <t>Live DOM</t>
        </is>
      </c>
      <c r="D163" s="13" t="inlineStr">
        <is>
          <t>data-grid-column-header is present at the correct time</t>
        </is>
      </c>
      <c r="E163" s="18" t="inlineStr">
        <is>
          <t>yes</t>
        </is>
      </c>
      <c r="F163" s="19" t="inlineStr">
        <is>
          <t>no</t>
        </is>
      </c>
      <c r="G163" s="12" t="inlineStr">
        <is>
          <t>ready for manual test</t>
        </is>
      </c>
      <c r="H163" s="20" t="inlineStr">
        <is>
          <t>untested</t>
        </is>
      </c>
      <c r="I163" s="13" t="inlineStr">
        <is>
          <t>DataGrid playground scenario.</t>
        </is>
      </c>
      <c r="J163" s="13" t="inlineStr">
        <is>
          <t>Manual verification needed.</t>
        </is>
      </c>
      <c r="K163" s="14">
        <f>IF(AND(E163="yes",F163="yes",H163="covered"),1,IF(H163="partial",0.5,0))</f>
        <v/>
      </c>
    </row>
    <row r="164" ht="15" customHeight="1" s="24">
      <c r="A164" s="12" t="n">
        <v>156</v>
      </c>
      <c r="B164" s="13" t="inlineStr">
        <is>
          <t>Data</t>
        </is>
      </c>
      <c r="C164" s="13" t="inlineStr">
        <is>
          <t>Live DOM</t>
        </is>
      </c>
      <c r="D164" s="13" t="inlineStr">
        <is>
          <t>data-grid-footer is present at the correct time</t>
        </is>
      </c>
      <c r="E164" s="18" t="inlineStr">
        <is>
          <t>yes</t>
        </is>
      </c>
      <c r="F164" s="19" t="inlineStr">
        <is>
          <t>no</t>
        </is>
      </c>
      <c r="G164" s="12" t="inlineStr">
        <is>
          <t>ready for manual test</t>
        </is>
      </c>
      <c r="H164" s="20" t="inlineStr">
        <is>
          <t>untested</t>
        </is>
      </c>
      <c r="I164" s="13" t="inlineStr">
        <is>
          <t>DataGrid playground scenario.</t>
        </is>
      </c>
      <c r="J164" s="13" t="inlineStr">
        <is>
          <t>Manual verification needed.</t>
        </is>
      </c>
      <c r="K164" s="14">
        <f>IF(AND(E164="yes",F164="yes",H164="covered"),1,IF(H164="partial",0.5,0))</f>
        <v/>
      </c>
    </row>
    <row r="165" ht="15" customHeight="1" s="24">
      <c r="A165" s="12" t="n">
        <v>157</v>
      </c>
      <c r="B165" s="13" t="inlineStr">
        <is>
          <t>Data</t>
        </is>
      </c>
      <c r="C165" s="13" t="inlineStr">
        <is>
          <t>Live DOM</t>
        </is>
      </c>
      <c r="D165" s="13" t="inlineStr">
        <is>
          <t>data-grid-header is present at the correct time</t>
        </is>
      </c>
      <c r="E165" s="18" t="inlineStr">
        <is>
          <t>yes</t>
        </is>
      </c>
      <c r="F165" s="19" t="inlineStr">
        <is>
          <t>no</t>
        </is>
      </c>
      <c r="G165" s="12" t="inlineStr">
        <is>
          <t>ready for manual test</t>
        </is>
      </c>
      <c r="H165" s="20" t="inlineStr">
        <is>
          <t>untested</t>
        </is>
      </c>
      <c r="I165" s="13" t="inlineStr">
        <is>
          <t>DataGrid playground scenario.</t>
        </is>
      </c>
      <c r="J165" s="13" t="inlineStr">
        <is>
          <t>Manual verification needed.</t>
        </is>
      </c>
      <c r="K165" s="14">
        <f>IF(AND(E165="yes",F165="yes",H165="covered"),1,IF(H165="partial",0.5,0))</f>
        <v/>
      </c>
    </row>
    <row r="166" ht="15" customHeight="1" s="24">
      <c r="A166" s="12" t="n">
        <v>158</v>
      </c>
      <c r="B166" s="13" t="inlineStr">
        <is>
          <t>Data</t>
        </is>
      </c>
      <c r="C166" s="13" t="inlineStr">
        <is>
          <t>Live DOM</t>
        </is>
      </c>
      <c r="D166" s="13" t="inlineStr">
        <is>
          <t>data-grid-row is present at the correct time</t>
        </is>
      </c>
      <c r="E166" s="18" t="inlineStr">
        <is>
          <t>yes</t>
        </is>
      </c>
      <c r="F166" s="19" t="inlineStr">
        <is>
          <t>no</t>
        </is>
      </c>
      <c r="G166" s="12" t="inlineStr">
        <is>
          <t>ready for manual test</t>
        </is>
      </c>
      <c r="H166" s="20" t="inlineStr">
        <is>
          <t>untested</t>
        </is>
      </c>
      <c r="I166" s="13" t="inlineStr">
        <is>
          <t>DataGrid playground scenario.</t>
        </is>
      </c>
      <c r="J166" s="13" t="inlineStr">
        <is>
          <t>Manual verification needed.</t>
        </is>
      </c>
      <c r="K166" s="14">
        <f>IF(AND(E166="yes",F166="yes",H166="covered"),1,IF(H166="partial",0.5,0))</f>
        <v/>
      </c>
    </row>
    <row r="167" ht="15" customHeight="1" s="24">
      <c r="A167" s="12" t="n">
        <v>159</v>
      </c>
      <c r="B167" s="13" t="inlineStr">
        <is>
          <t>Data</t>
        </is>
      </c>
      <c r="C167" s="13" t="inlineStr">
        <is>
          <t>Live DOM</t>
        </is>
      </c>
      <c r="D167" s="13" t="inlineStr">
        <is>
          <t>data-readonly is present at the correct time</t>
        </is>
      </c>
      <c r="E167" s="18" t="inlineStr">
        <is>
          <t>yes</t>
        </is>
      </c>
      <c r="F167" s="19" t="inlineStr">
        <is>
          <t>no</t>
        </is>
      </c>
      <c r="G167" s="12" t="inlineStr">
        <is>
          <t>ready for manual test</t>
        </is>
      </c>
      <c r="H167" s="20" t="inlineStr">
        <is>
          <t>untested</t>
        </is>
      </c>
      <c r="I167" s="13" t="inlineStr">
        <is>
          <t>DataGrid playground scenario.</t>
        </is>
      </c>
      <c r="J167" s="13" t="inlineStr">
        <is>
          <t>Manual verification needed.</t>
        </is>
      </c>
      <c r="K167" s="14">
        <f>IF(AND(E167="yes",F167="yes",H167="covered"),1,IF(H167="partial",0.5,0))</f>
        <v/>
      </c>
    </row>
    <row r="168" ht="15" customHeight="1" s="24">
      <c r="A168" s="12" t="n">
        <v>160</v>
      </c>
      <c r="B168" s="13" t="inlineStr">
        <is>
          <t>Data</t>
        </is>
      </c>
      <c r="C168" s="13" t="inlineStr">
        <is>
          <t>Live DOM</t>
        </is>
      </c>
      <c r="D168" s="13" t="inlineStr">
        <is>
          <t>data-row-count is present at the correct time</t>
        </is>
      </c>
      <c r="E168" s="18" t="inlineStr">
        <is>
          <t>yes</t>
        </is>
      </c>
      <c r="F168" s="19" t="inlineStr">
        <is>
          <t>no</t>
        </is>
      </c>
      <c r="G168" s="12" t="inlineStr">
        <is>
          <t>ready for manual test</t>
        </is>
      </c>
      <c r="H168" s="20" t="inlineStr">
        <is>
          <t>untested</t>
        </is>
      </c>
      <c r="I168" s="13" t="inlineStr">
        <is>
          <t>DataGrid playground scenario.</t>
        </is>
      </c>
      <c r="J168" s="13" t="inlineStr">
        <is>
          <t>Manual verification needed.</t>
        </is>
      </c>
      <c r="K168" s="14">
        <f>IF(AND(E168="yes",F168="yes",H168="covered"),1,IF(H168="partial",0.5,0))</f>
        <v/>
      </c>
    </row>
    <row r="169" ht="15" customHeight="1" s="24">
      <c r="A169" s="12" t="n">
        <v>161</v>
      </c>
      <c r="B169" s="13" t="inlineStr">
        <is>
          <t>Data</t>
        </is>
      </c>
      <c r="C169" s="13" t="inlineStr">
        <is>
          <t>Live DOM</t>
        </is>
      </c>
      <c r="D169" s="13" t="inlineStr">
        <is>
          <t>data-row-index is present at the correct time</t>
        </is>
      </c>
      <c r="E169" s="18" t="inlineStr">
        <is>
          <t>yes</t>
        </is>
      </c>
      <c r="F169" s="19" t="inlineStr">
        <is>
          <t>no</t>
        </is>
      </c>
      <c r="G169" s="12" t="inlineStr">
        <is>
          <t>ready for manual test</t>
        </is>
      </c>
      <c r="H169" s="20" t="inlineStr">
        <is>
          <t>untested</t>
        </is>
      </c>
      <c r="I169" s="13" t="inlineStr">
        <is>
          <t>DataGrid playground scenario.</t>
        </is>
      </c>
      <c r="J169" s="13" t="inlineStr">
        <is>
          <t>Manual verification needed.</t>
        </is>
      </c>
      <c r="K169" s="14">
        <f>IF(AND(E169="yes",F169="yes",H169="covered"),1,IF(H169="partial",0.5,0))</f>
        <v/>
      </c>
    </row>
    <row r="170" ht="15" customHeight="1" s="24">
      <c r="A170" s="12" t="n">
        <v>162</v>
      </c>
      <c r="B170" s="13" t="inlineStr">
        <is>
          <t>Data</t>
        </is>
      </c>
      <c r="C170" s="13" t="inlineStr">
        <is>
          <t>Live DOM</t>
        </is>
      </c>
      <c r="D170" s="13" t="inlineStr">
        <is>
          <t>data-selected is present at the correct time</t>
        </is>
      </c>
      <c r="E170" s="18" t="inlineStr">
        <is>
          <t>yes</t>
        </is>
      </c>
      <c r="F170" s="19" t="inlineStr">
        <is>
          <t>no</t>
        </is>
      </c>
      <c r="G170" s="12" t="inlineStr">
        <is>
          <t>ready for manual test</t>
        </is>
      </c>
      <c r="H170" s="20" t="inlineStr">
        <is>
          <t>untested</t>
        </is>
      </c>
      <c r="I170" s="13" t="inlineStr">
        <is>
          <t>DataGrid playground scenario.</t>
        </is>
      </c>
      <c r="J170" s="13" t="inlineStr">
        <is>
          <t>Manual verification needed.</t>
        </is>
      </c>
      <c r="K170" s="14">
        <f>IF(AND(E170="yes",F170="yes",H170="covered"),1,IF(H170="partial",0.5,0))</f>
        <v/>
      </c>
    </row>
    <row r="171" ht="15" customHeight="1" s="24">
      <c r="A171" s="12" t="n">
        <v>163</v>
      </c>
      <c r="B171" s="13" t="inlineStr">
        <is>
          <t>Data</t>
        </is>
      </c>
      <c r="C171" s="13" t="inlineStr">
        <is>
          <t>Live DOM</t>
        </is>
      </c>
      <c r="D171" s="13" t="inlineStr">
        <is>
          <t>data-selection-mode is present at the correct time</t>
        </is>
      </c>
      <c r="E171" s="18" t="inlineStr">
        <is>
          <t>yes</t>
        </is>
      </c>
      <c r="F171" s="19" t="inlineStr">
        <is>
          <t>no</t>
        </is>
      </c>
      <c r="G171" s="12" t="inlineStr">
        <is>
          <t>ready for manual test</t>
        </is>
      </c>
      <c r="H171" s="20" t="inlineStr">
        <is>
          <t>untested</t>
        </is>
      </c>
      <c r="I171" s="13" t="inlineStr">
        <is>
          <t>DataGrid playground scenario.</t>
        </is>
      </c>
      <c r="J171" s="13" t="inlineStr">
        <is>
          <t>Manual verification needed.</t>
        </is>
      </c>
      <c r="K171" s="14">
        <f>IF(AND(E171="yes",F171="yes",H171="covered"),1,IF(H171="partial",0.5,0))</f>
        <v/>
      </c>
    </row>
    <row r="172" ht="15" customHeight="1" s="24">
      <c r="A172" s="12" t="n">
        <v>164</v>
      </c>
      <c r="B172" s="13" t="inlineStr">
        <is>
          <t>Data</t>
        </is>
      </c>
      <c r="C172" s="13" t="inlineStr">
        <is>
          <t>Live DOM</t>
        </is>
      </c>
      <c r="D172" s="13" t="inlineStr">
        <is>
          <t>data-slot is present at the correct time</t>
        </is>
      </c>
      <c r="E172" s="18" t="inlineStr">
        <is>
          <t>yes</t>
        </is>
      </c>
      <c r="F172" s="19" t="inlineStr">
        <is>
          <t>no</t>
        </is>
      </c>
      <c r="G172" s="12" t="inlineStr">
        <is>
          <t>ready for manual test</t>
        </is>
      </c>
      <c r="H172" s="20" t="inlineStr">
        <is>
          <t>untested</t>
        </is>
      </c>
      <c r="I172" s="13" t="inlineStr">
        <is>
          <t>DataGrid playground scenario.</t>
        </is>
      </c>
      <c r="J172" s="13" t="inlineStr">
        <is>
          <t>Manual verification needed.</t>
        </is>
      </c>
      <c r="K172" s="14">
        <f>IF(AND(E172="yes",F172="yes",H172="covered"),1,IF(H172="partial",0.5,0))</f>
        <v/>
      </c>
    </row>
    <row r="173" ht="15" customHeight="1" s="24">
      <c r="A173" s="12" t="n">
        <v>165</v>
      </c>
      <c r="B173" s="13" t="inlineStr">
        <is>
          <t>Data</t>
        </is>
      </c>
      <c r="C173" s="13" t="inlineStr">
        <is>
          <t>Live DOM</t>
        </is>
      </c>
      <c r="D173" s="13" t="inlineStr">
        <is>
          <t>data-sort is present at the correct time</t>
        </is>
      </c>
      <c r="E173" s="18" t="inlineStr">
        <is>
          <t>yes</t>
        </is>
      </c>
      <c r="F173" s="19" t="inlineStr">
        <is>
          <t>no</t>
        </is>
      </c>
      <c r="G173" s="12" t="inlineStr">
        <is>
          <t>ready for manual test</t>
        </is>
      </c>
      <c r="H173" s="20" t="inlineStr">
        <is>
          <t>untested</t>
        </is>
      </c>
      <c r="I173" s="13" t="inlineStr">
        <is>
          <t>DataGrid playground scenario.</t>
        </is>
      </c>
      <c r="J173" s="13" t="inlineStr">
        <is>
          <t>Manual verification needed.</t>
        </is>
      </c>
      <c r="K173" s="14">
        <f>IF(AND(E173="yes",F173="yes",H173="covered"),1,IF(H173="partial",0.5,0))</f>
        <v/>
      </c>
    </row>
    <row r="174" ht="15" customHeight="1" s="24">
      <c r="A174" s="12" t="n">
        <v>166</v>
      </c>
      <c r="B174" s="13" t="inlineStr">
        <is>
          <t>Data</t>
        </is>
      </c>
      <c r="C174" s="13" t="inlineStr">
        <is>
          <t>Live DOM</t>
        </is>
      </c>
      <c r="D174" s="13" t="inlineStr">
        <is>
          <t>data-value is present at the correct time</t>
        </is>
      </c>
      <c r="E174" s="18" t="inlineStr">
        <is>
          <t>yes</t>
        </is>
      </c>
      <c r="F174" s="19" t="inlineStr">
        <is>
          <t>no</t>
        </is>
      </c>
      <c r="G174" s="12" t="inlineStr">
        <is>
          <t>ready for manual test</t>
        </is>
      </c>
      <c r="H174" s="20" t="inlineStr">
        <is>
          <t>untested</t>
        </is>
      </c>
      <c r="I174" s="13" t="inlineStr">
        <is>
          <t>DataGrid playground scenario.</t>
        </is>
      </c>
      <c r="J174" s="13" t="inlineStr">
        <is>
          <t>Manual verification needed.</t>
        </is>
      </c>
      <c r="K174" s="14">
        <f>IF(AND(E174="yes",F174="yes",H174="covered"),1,IF(H174="partial",0.5,0))</f>
        <v/>
      </c>
    </row>
    <row r="175" ht="15" customHeight="1" s="24">
      <c r="A175" s="12" t="n">
        <v>167</v>
      </c>
      <c r="B175" s="13" t="inlineStr">
        <is>
          <t>Composition</t>
        </is>
      </c>
      <c r="C175" s="13" t="inlineStr">
        <is>
          <t>DataGrid</t>
        </is>
      </c>
      <c r="D175" s="13" t="inlineStr">
        <is>
          <t>asChild preserves child content without double nesting</t>
        </is>
      </c>
      <c r="E175" s="18" t="inlineStr">
        <is>
          <t>yes</t>
        </is>
      </c>
      <c r="F175" s="19" t="inlineStr">
        <is>
          <t>no</t>
        </is>
      </c>
      <c r="G175" s="12" t="inlineStr">
        <is>
          <t>ready for manual test</t>
        </is>
      </c>
      <c r="H175" s="20" t="inlineStr">
        <is>
          <t>untested</t>
        </is>
      </c>
      <c r="I175" s="13" t="inlineStr">
        <is>
          <t>DataGrid playground scenario.</t>
        </is>
      </c>
      <c r="J175" s="13" t="inlineStr">
        <is>
          <t>Manual verification needed.</t>
        </is>
      </c>
      <c r="K175" s="14">
        <f>IF(AND(E175="yes",F175="yes",H175="covered"),1,IF(H175="partial",0.5,0))</f>
        <v/>
      </c>
    </row>
    <row r="176" ht="15" customHeight="1" s="24">
      <c r="A176" s="12" t="n">
        <v>168</v>
      </c>
      <c r="B176" s="13" t="inlineStr">
        <is>
          <t>Composition</t>
        </is>
      </c>
      <c r="C176" s="13" t="inlineStr">
        <is>
          <t>DataGrid</t>
        </is>
      </c>
      <c r="D176" s="13" t="inlineStr">
        <is>
          <t>asChild merges Atom props and consumer props</t>
        </is>
      </c>
      <c r="E176" s="18" t="inlineStr">
        <is>
          <t>yes</t>
        </is>
      </c>
      <c r="F176" s="19" t="inlineStr">
        <is>
          <t>no</t>
        </is>
      </c>
      <c r="G176" s="12" t="inlineStr">
        <is>
          <t>ready for manual test</t>
        </is>
      </c>
      <c r="H176" s="20" t="inlineStr">
        <is>
          <t>untested</t>
        </is>
      </c>
      <c r="I176" s="13" t="inlineStr">
        <is>
          <t>DataGrid playground scenario.</t>
        </is>
      </c>
      <c r="J176" s="13" t="inlineStr">
        <is>
          <t>Manual verification needed.</t>
        </is>
      </c>
      <c r="K176" s="14">
        <f>IF(AND(E176="yes",F176="yes",H176="covered"),1,IF(H176="partial",0.5,0))</f>
        <v/>
      </c>
    </row>
    <row r="177" ht="30" customHeight="1" s="24">
      <c r="A177" s="12" t="n">
        <v>169</v>
      </c>
      <c r="B177" s="13" t="inlineStr">
        <is>
          <t>Composition</t>
        </is>
      </c>
      <c r="C177" s="13" t="inlineStr">
        <is>
          <t>DataGrid</t>
        </is>
      </c>
      <c r="D177" s="13" t="inlineStr">
        <is>
          <t>asChild lets preventDefault block Atom behavior where supported</t>
        </is>
      </c>
      <c r="E177" s="18" t="inlineStr">
        <is>
          <t>yes</t>
        </is>
      </c>
      <c r="F177" s="19" t="inlineStr">
        <is>
          <t>no</t>
        </is>
      </c>
      <c r="G177" s="12" t="inlineStr">
        <is>
          <t>ready for manual test</t>
        </is>
      </c>
      <c r="H177" s="20" t="inlineStr">
        <is>
          <t>untested</t>
        </is>
      </c>
      <c r="I177" s="13" t="inlineStr">
        <is>
          <t>DataGrid playground scenario.</t>
        </is>
      </c>
      <c r="J177" s="13" t="inlineStr">
        <is>
          <t>Manual verification needed.</t>
        </is>
      </c>
      <c r="K177" s="14">
        <f>IF(AND(E177="yes",F177="yes",H177="covered"),1,IF(H177="partial",0.5,0))</f>
        <v/>
      </c>
    </row>
    <row r="178" ht="15" customHeight="1" s="24">
      <c r="A178" s="12" t="n">
        <v>170</v>
      </c>
      <c r="B178" s="13" t="inlineStr">
        <is>
          <t>Composition</t>
        </is>
      </c>
      <c r="C178" s="13" t="inlineStr">
        <is>
          <t>DataGrid</t>
        </is>
      </c>
      <c r="D178" s="13" t="inlineStr">
        <is>
          <t>render prop renders custom element</t>
        </is>
      </c>
      <c r="E178" s="18" t="inlineStr">
        <is>
          <t>yes</t>
        </is>
      </c>
      <c r="F178" s="19" t="inlineStr">
        <is>
          <t>no</t>
        </is>
      </c>
      <c r="G178" s="12" t="inlineStr">
        <is>
          <t>ready for manual test</t>
        </is>
      </c>
      <c r="H178" s="20" t="inlineStr">
        <is>
          <t>untested</t>
        </is>
      </c>
      <c r="I178" s="13" t="inlineStr">
        <is>
          <t>DataGrid playground scenario.</t>
        </is>
      </c>
      <c r="J178" s="13" t="inlineStr">
        <is>
          <t>Manual verification needed.</t>
        </is>
      </c>
      <c r="K178" s="14">
        <f>IF(AND(E178="yes",F178="yes",H178="covered"),1,IF(H178="partial",0.5,0))</f>
        <v/>
      </c>
    </row>
    <row r="179" ht="15" customHeight="1" s="24">
      <c r="A179" s="12" t="n">
        <v>171</v>
      </c>
      <c r="B179" s="13" t="inlineStr">
        <is>
          <t>Composition</t>
        </is>
      </c>
      <c r="C179" s="13" t="inlineStr">
        <is>
          <t>DataGrid</t>
        </is>
      </c>
      <c r="D179" s="13" t="inlineStr">
        <is>
          <t>render prop preserves refs and behavior props</t>
        </is>
      </c>
      <c r="E179" s="18" t="inlineStr">
        <is>
          <t>yes</t>
        </is>
      </c>
      <c r="F179" s="19" t="inlineStr">
        <is>
          <t>no</t>
        </is>
      </c>
      <c r="G179" s="12" t="inlineStr">
        <is>
          <t>ready for manual test</t>
        </is>
      </c>
      <c r="H179" s="20" t="inlineStr">
        <is>
          <t>untested</t>
        </is>
      </c>
      <c r="I179" s="13" t="inlineStr">
        <is>
          <t>DataGrid playground scenario.</t>
        </is>
      </c>
      <c r="J179" s="13" t="inlineStr">
        <is>
          <t>Manual verification needed.</t>
        </is>
      </c>
      <c r="K179" s="14">
        <f>IF(AND(E179="yes",F179="yes",H179="covered"),1,IF(H179="partial",0.5,0))</f>
        <v/>
      </c>
    </row>
    <row r="180" ht="15" customHeight="1" s="24">
      <c r="A180" s="12" t="n">
        <v>172</v>
      </c>
      <c r="B180" s="13" t="inlineStr">
        <is>
          <t>State</t>
        </is>
      </c>
      <c r="C180" s="13" t="inlineStr">
        <is>
          <t>Root</t>
        </is>
      </c>
      <c r="D180" s="13" t="inlineStr">
        <is>
          <t>controlled state path</t>
        </is>
      </c>
      <c r="E180" s="18" t="inlineStr">
        <is>
          <t>yes</t>
        </is>
      </c>
      <c r="F180" s="19" t="inlineStr">
        <is>
          <t>no</t>
        </is>
      </c>
      <c r="G180" s="12" t="inlineStr">
        <is>
          <t>ready for manual test</t>
        </is>
      </c>
      <c r="H180" s="20" t="inlineStr">
        <is>
          <t>untested</t>
        </is>
      </c>
      <c r="I180" s="13" t="inlineStr">
        <is>
          <t>DataGrid playground scenario.</t>
        </is>
      </c>
      <c r="J180" s="13" t="inlineStr">
        <is>
          <t>Manual verification needed.</t>
        </is>
      </c>
      <c r="K180" s="14">
        <f>IF(AND(E180="yes",F180="yes",H180="covered"),1,IF(H180="partial",0.5,0))</f>
        <v/>
      </c>
    </row>
    <row r="181" ht="15" customHeight="1" s="24">
      <c r="A181" s="12" t="n">
        <v>173</v>
      </c>
      <c r="B181" s="13" t="inlineStr">
        <is>
          <t>State</t>
        </is>
      </c>
      <c r="C181" s="13" t="inlineStr">
        <is>
          <t>Root</t>
        </is>
      </c>
      <c r="D181" s="13" t="inlineStr">
        <is>
          <t>uncontrolled default state path</t>
        </is>
      </c>
      <c r="E181" s="18" t="inlineStr">
        <is>
          <t>yes</t>
        </is>
      </c>
      <c r="F181" s="19" t="inlineStr">
        <is>
          <t>no</t>
        </is>
      </c>
      <c r="G181" s="12" t="inlineStr">
        <is>
          <t>ready for manual test</t>
        </is>
      </c>
      <c r="H181" s="20" t="inlineStr">
        <is>
          <t>untested</t>
        </is>
      </c>
      <c r="I181" s="13" t="inlineStr">
        <is>
          <t>DataGrid playground scenario.</t>
        </is>
      </c>
      <c r="J181" s="13" t="inlineStr">
        <is>
          <t>Manual verification needed.</t>
        </is>
      </c>
      <c r="K181" s="14">
        <f>IF(AND(E181="yes",F181="yes",H181="covered"),1,IF(H181="partial",0.5,0))</f>
        <v/>
      </c>
    </row>
    <row r="182" ht="15" customHeight="1" s="24">
      <c r="A182" s="12" t="n">
        <v>174</v>
      </c>
      <c r="B182" s="13" t="inlineStr">
        <is>
          <t>State</t>
        </is>
      </c>
      <c r="C182" s="13" t="inlineStr">
        <is>
          <t>Root</t>
        </is>
      </c>
      <c r="D182" s="13" t="inlineStr">
        <is>
          <t>state change callback fires once with correct value</t>
        </is>
      </c>
      <c r="E182" s="18" t="inlineStr">
        <is>
          <t>yes</t>
        </is>
      </c>
      <c r="F182" s="19" t="inlineStr">
        <is>
          <t>no</t>
        </is>
      </c>
      <c r="G182" s="12" t="inlineStr">
        <is>
          <t>ready for manual test</t>
        </is>
      </c>
      <c r="H182" s="20" t="inlineStr">
        <is>
          <t>untested</t>
        </is>
      </c>
      <c r="I182" s="13" t="inlineStr">
        <is>
          <t>DataGrid playground scenario.</t>
        </is>
      </c>
      <c r="J182" s="13" t="inlineStr">
        <is>
          <t>Manual verification needed.</t>
        </is>
      </c>
      <c r="K182" s="14">
        <f>IF(AND(E182="yes",F182="yes",H182="covered"),1,IF(H182="partial",0.5,0))</f>
        <v/>
      </c>
    </row>
    <row r="183" ht="15" customHeight="1" s="24">
      <c r="A183" s="12" t="n">
        <v>175</v>
      </c>
      <c r="B183" s="13" t="inlineStr">
        <is>
          <t>Keyboard</t>
        </is>
      </c>
      <c r="C183" s="13" t="inlineStr">
        <is>
          <t>DataGrid</t>
        </is>
      </c>
      <c r="D183" s="13" t="inlineStr">
        <is>
          <t>Arrow key navigation follows documented orientation</t>
        </is>
      </c>
      <c r="E183" s="18" t="inlineStr">
        <is>
          <t>yes</t>
        </is>
      </c>
      <c r="F183" s="19" t="inlineStr">
        <is>
          <t>no</t>
        </is>
      </c>
      <c r="G183" s="12" t="inlineStr">
        <is>
          <t>ready for manual test</t>
        </is>
      </c>
      <c r="H183" s="20" t="inlineStr">
        <is>
          <t>untested</t>
        </is>
      </c>
      <c r="I183" s="13" t="inlineStr">
        <is>
          <t>DataGrid playground scenario.</t>
        </is>
      </c>
      <c r="J183" s="13" t="inlineStr">
        <is>
          <t>Manual verification needed.</t>
        </is>
      </c>
      <c r="K183" s="14">
        <f>IF(AND(E183="yes",F183="yes",H183="covered"),1,IF(H183="partial",0.5,0))</f>
        <v/>
      </c>
    </row>
    <row r="184" ht="15" customHeight="1" s="24">
      <c r="A184" s="12" t="n">
        <v>176</v>
      </c>
      <c r="B184" s="13" t="inlineStr">
        <is>
          <t>Keyboard</t>
        </is>
      </c>
      <c r="C184" s="13" t="inlineStr">
        <is>
          <t>DataGrid</t>
        </is>
      </c>
      <c r="D184" s="13" t="inlineStr">
        <is>
          <t>Home and End navigation where supported</t>
        </is>
      </c>
      <c r="E184" s="18" t="inlineStr">
        <is>
          <t>yes</t>
        </is>
      </c>
      <c r="F184" s="19" t="inlineStr">
        <is>
          <t>no</t>
        </is>
      </c>
      <c r="G184" s="12" t="inlineStr">
        <is>
          <t>ready for manual test</t>
        </is>
      </c>
      <c r="H184" s="20" t="inlineStr">
        <is>
          <t>untested</t>
        </is>
      </c>
      <c r="I184" s="13" t="inlineStr">
        <is>
          <t>DataGrid playground scenario.</t>
        </is>
      </c>
      <c r="J184" s="13" t="inlineStr">
        <is>
          <t>Manual verification needed.</t>
        </is>
      </c>
      <c r="K184" s="14">
        <f>IF(AND(E184="yes",F184="yes",H184="covered"),1,IF(H184="partial",0.5,0))</f>
        <v/>
      </c>
    </row>
    <row r="185" ht="15" customHeight="1" s="24">
      <c r="A185" s="12" t="n">
        <v>177</v>
      </c>
      <c r="B185" s="13" t="inlineStr">
        <is>
          <t>Keyboard</t>
        </is>
      </c>
      <c r="C185" s="13" t="inlineStr">
        <is>
          <t>DataGrid</t>
        </is>
      </c>
      <c r="D185" s="13" t="inlineStr">
        <is>
          <t>disabled items are skipped or exposed according to pattern</t>
        </is>
      </c>
      <c r="E185" s="18" t="inlineStr">
        <is>
          <t>yes</t>
        </is>
      </c>
      <c r="F185" s="19" t="inlineStr">
        <is>
          <t>no</t>
        </is>
      </c>
      <c r="G185" s="12" t="inlineStr">
        <is>
          <t>ready for manual test</t>
        </is>
      </c>
      <c r="H185" s="20" t="inlineStr">
        <is>
          <t>untested</t>
        </is>
      </c>
      <c r="I185" s="13" t="inlineStr">
        <is>
          <t>DataGrid playground scenario.</t>
        </is>
      </c>
      <c r="J185" s="13" t="inlineStr">
        <is>
          <t>Manual verification needed.</t>
        </is>
      </c>
      <c r="K185" s="14">
        <f>IF(AND(E185="yes",F185="yes",H185="covered"),1,IF(H185="partial",0.5,0))</f>
        <v/>
      </c>
    </row>
    <row r="186" ht="15" customHeight="1" s="24">
      <c r="A186" s="12" t="n">
        <v>178</v>
      </c>
      <c r="B186" s="13" t="inlineStr">
        <is>
          <t>Keyboard</t>
        </is>
      </c>
      <c r="C186" s="13" t="inlineStr">
        <is>
          <t>DataGrid</t>
        </is>
      </c>
      <c r="D186" s="13" t="inlineStr">
        <is>
          <t>typeahead/search behavior where supported</t>
        </is>
      </c>
      <c r="E186" s="18" t="inlineStr">
        <is>
          <t>yes</t>
        </is>
      </c>
      <c r="F186" s="19" t="inlineStr">
        <is>
          <t>no</t>
        </is>
      </c>
      <c r="G186" s="12" t="inlineStr">
        <is>
          <t>ready for manual test</t>
        </is>
      </c>
      <c r="H186" s="20" t="inlineStr">
        <is>
          <t>untested</t>
        </is>
      </c>
      <c r="I186" s="13" t="inlineStr">
        <is>
          <t>DataGrid playground scenario.</t>
        </is>
      </c>
      <c r="J186" s="13" t="inlineStr">
        <is>
          <t>Manual verification needed.</t>
        </is>
      </c>
      <c r="K186" s="14">
        <f>IF(AND(E186="yes",F186="yes",H186="covered"),1,IF(H186="partial",0.5,0))</f>
        <v/>
      </c>
    </row>
    <row r="187" ht="15" customHeight="1" s="24">
      <c r="A187" s="12" t="n">
        <v>179</v>
      </c>
      <c r="B187" s="13" t="inlineStr">
        <is>
          <t>Focus</t>
        </is>
      </c>
      <c r="C187" s="13" t="inlineStr">
        <is>
          <t>DataGrid</t>
        </is>
      </c>
      <c r="D187" s="13" t="inlineStr">
        <is>
          <t>roving focus or active descendant state is visible</t>
        </is>
      </c>
      <c r="E187" s="18" t="inlineStr">
        <is>
          <t>yes</t>
        </is>
      </c>
      <c r="F187" s="19" t="inlineStr">
        <is>
          <t>no</t>
        </is>
      </c>
      <c r="G187" s="12" t="inlineStr">
        <is>
          <t>ready for manual test</t>
        </is>
      </c>
      <c r="H187" s="20" t="inlineStr">
        <is>
          <t>untested</t>
        </is>
      </c>
      <c r="I187" s="13" t="inlineStr">
        <is>
          <t>DataGrid playground scenario.</t>
        </is>
      </c>
      <c r="J187" s="13" t="inlineStr">
        <is>
          <t>Manual verification needed.</t>
        </is>
      </c>
      <c r="K187" s="14">
        <f>IF(AND(E187="yes",F187="yes",H187="covered"),1,IF(H187="partial",0.5,0))</f>
        <v/>
      </c>
    </row>
    <row r="188" ht="30" customHeight="1" s="24">
      <c r="A188" s="12" t="n">
        <v>180</v>
      </c>
      <c r="B188" s="13" t="inlineStr">
        <is>
          <t>Direction</t>
        </is>
      </c>
      <c r="C188" s="13" t="inlineStr">
        <is>
          <t>Grid</t>
        </is>
      </c>
      <c r="D188" s="13" t="inlineStr">
        <is>
          <t>reads Direction.Provider context for horizontal cell navigation</t>
        </is>
      </c>
      <c r="E188" s="21" t="inlineStr">
        <is>
          <t>no</t>
        </is>
      </c>
      <c r="F188" s="19" t="inlineStr">
        <is>
          <t>no</t>
        </is>
      </c>
      <c r="G188" s="12" t="inlineStr">
        <is>
          <t>missing</t>
        </is>
      </c>
      <c r="H188" s="21" t="inlineStr">
        <is>
          <t>missing</t>
        </is>
      </c>
      <c r="I188" s="13" t="n"/>
      <c r="J188" s="13" t="inlineStr">
        <is>
          <t>Add Direction.Provider fallback before testing RTL grid arrows.</t>
        </is>
      </c>
      <c r="K188" s="14">
        <f>IF(AND(E188="yes",F188="yes",H188="covered"),1,IF(H188="partial",0.5,0))</f>
        <v/>
      </c>
    </row>
    <row r="189" ht="15" customHeight="1" s="24">
      <c r="A189" s="12" t="n">
        <v>181</v>
      </c>
      <c r="B189" s="13" t="inlineStr">
        <is>
          <t>Direction</t>
        </is>
      </c>
      <c r="C189" s="13" t="inlineStr">
        <is>
          <t>Grid</t>
        </is>
      </c>
      <c r="D189" s="13" t="inlineStr">
        <is>
          <t>RTL mirrors ArrowLeft and ArrowRight cell movement</t>
        </is>
      </c>
      <c r="E189" s="21" t="inlineStr">
        <is>
          <t>no</t>
        </is>
      </c>
      <c r="F189" s="19" t="inlineStr">
        <is>
          <t>no</t>
        </is>
      </c>
      <c r="G189" s="12" t="inlineStr">
        <is>
          <t>missing</t>
        </is>
      </c>
      <c r="H189" s="21" t="inlineStr">
        <is>
          <t>missing</t>
        </is>
      </c>
      <c r="I189" s="13" t="n"/>
      <c r="J189" s="13" t="inlineStr">
        <is>
          <t>Implement and test RTL cell navigation.</t>
        </is>
      </c>
      <c r="K189" s="14">
        <f>IF(AND(E189="yes",F189="yes",H189="covered"),1,IF(H189="partial",0.5,0))</f>
        <v/>
      </c>
    </row>
    <row r="190" ht="30" customHeight="1" s="24">
      <c r="A190" s="12" t="n">
        <v>182</v>
      </c>
      <c r="B190" s="13" t="inlineStr">
        <is>
          <t>Direction</t>
        </is>
      </c>
      <c r="C190" s="13" t="inlineStr">
        <is>
          <t>Grid</t>
        </is>
      </c>
      <c r="D190" s="13" t="inlineStr">
        <is>
          <t>row start and row end respect RTL direction</t>
        </is>
      </c>
      <c r="E190" s="21" t="inlineStr">
        <is>
          <t>no</t>
        </is>
      </c>
      <c r="F190" s="19" t="inlineStr">
        <is>
          <t>no</t>
        </is>
      </c>
      <c r="G190" s="12" t="inlineStr">
        <is>
          <t>missing</t>
        </is>
      </c>
      <c r="H190" s="21" t="inlineStr">
        <is>
          <t>missing</t>
        </is>
      </c>
      <c r="I190" s="13" t="n"/>
      <c r="J190" s="13" t="inlineStr">
        <is>
          <t>Implement and test RTL row-start/row-end semantics.</t>
        </is>
      </c>
      <c r="K190" s="14">
        <f>IF(AND(E190="yes",F190="yes",H190="covered"),1,IF(H190="partial",0.5,0))</f>
        <v/>
      </c>
    </row>
    <row r="191" ht="30" customHeight="1" s="24">
      <c r="A191" s="12" t="n">
        <v>183</v>
      </c>
      <c r="B191" s="13" t="inlineStr">
        <is>
          <t>Playground</t>
        </is>
      </c>
      <c r="C191" s="13" t="inlineStr">
        <is>
          <t>Direction controls</t>
        </is>
      </c>
      <c r="D191" s="13" t="inlineStr">
        <is>
          <t>scenario exposes provider direction controls</t>
        </is>
      </c>
      <c r="E191" s="21" t="inlineStr">
        <is>
          <t>no</t>
        </is>
      </c>
      <c r="F191" s="19" t="inlineStr">
        <is>
          <t>no</t>
        </is>
      </c>
      <c r="G191" s="12" t="inlineStr">
        <is>
          <t>missing</t>
        </is>
      </c>
      <c r="H191" s="21" t="inlineStr">
        <is>
          <t>missing</t>
        </is>
      </c>
      <c r="I191" s="13" t="n"/>
      <c r="J191" s="13" t="inlineStr">
        <is>
          <t>Add provider direction controls to the playground scenario.</t>
        </is>
      </c>
      <c r="K191" s="14">
        <f>IF(AND(E191="yes",F191="yes",H191="covered"),1,IF(H191="partial",0.5,0))</f>
        <v/>
      </c>
    </row>
  </sheetData>
  <autoFilter ref="A8:K191"/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Dialog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IFERROR(SUM(K9:K101)/COUNT(K9:K101),0)</f>
        <v/>
      </c>
      <c r="C4" s="8" t="inlineStr">
        <is>
          <t>Covered</t>
        </is>
      </c>
      <c r="D4" s="10">
        <f>COUNTIFS(E9:E101,"yes",F9:F101,"yes",H9:H101,"covered")</f>
        <v/>
      </c>
      <c r="E4" s="8" t="inlineStr">
        <is>
          <t>Partial</t>
        </is>
      </c>
      <c r="F4" s="10">
        <f>COUNTIF(H9:H101,"partial")</f>
        <v/>
      </c>
      <c r="G4" s="8" t="inlineStr">
        <is>
          <t>Missing</t>
        </is>
      </c>
      <c r="H4" s="10">
        <f>COUNTIFS(E9:E101,"&lt;&gt;yes") + COUNTIFS(E9:E101,"yes",H9:H101,"missing")</f>
        <v/>
      </c>
      <c r="I4" s="8" t="inlineStr">
        <is>
          <t>Untested</t>
        </is>
      </c>
      <c r="J4" s="10">
        <f>COUNTIFS(E9:E101,"yes",F9:F101,"&lt;&gt;yes") + COUNTIFS(E9:E101,"yes",F9:F101,"yes",H9:H101,"untested")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Public API</t>
        </is>
      </c>
      <c r="C9" s="13" t="inlineStr">
        <is>
          <t>Root</t>
        </is>
      </c>
      <c r="D9" s="13" t="inlineStr">
        <is>
          <t>controlled open prop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</t>
        </is>
      </c>
      <c r="H9" s="22" t="inlineStr">
        <is>
          <t>covered</t>
        </is>
      </c>
      <c r="I9" s="13" t="inlineStr">
        <is>
          <t>Dialog playground scenario; manually verified.</t>
        </is>
      </c>
      <c r="J9" s="13" t="inlineStr">
        <is>
          <t>Complete.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Public API</t>
        </is>
      </c>
      <c r="C10" s="13" t="inlineStr">
        <is>
          <t>Root</t>
        </is>
      </c>
      <c r="D10" s="13" t="inlineStr">
        <is>
          <t>defaultOpen / uncontrolled state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</t>
        </is>
      </c>
      <c r="H10" s="22" t="inlineStr">
        <is>
          <t>covered</t>
        </is>
      </c>
      <c r="I10" s="13" t="inlineStr">
        <is>
          <t>Dialog playground scenario; manually verified.</t>
        </is>
      </c>
      <c r="J10" s="13" t="inlineStr">
        <is>
          <t>Complete.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Public API</t>
        </is>
      </c>
      <c r="C11" s="13" t="inlineStr">
        <is>
          <t>Root</t>
        </is>
      </c>
      <c r="D11" s="13" t="inlineStr">
        <is>
          <t>onOpenChange callback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</t>
        </is>
      </c>
      <c r="H11" s="22" t="inlineStr">
        <is>
          <t>covered</t>
        </is>
      </c>
      <c r="I11" s="13" t="inlineStr">
        <is>
          <t>Dialog playground scenario; manually verified.</t>
        </is>
      </c>
      <c r="J11" s="13" t="inlineStr">
        <is>
          <t>Complete.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Public API</t>
        </is>
      </c>
      <c r="C12" s="13" t="inlineStr">
        <is>
          <t>Root</t>
        </is>
      </c>
      <c r="D12" s="13" t="inlineStr">
        <is>
          <t>onOpenChange close reason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</t>
        </is>
      </c>
      <c r="H12" s="22" t="inlineStr">
        <is>
          <t>covered</t>
        </is>
      </c>
      <c r="I12" s="13" t="inlineStr">
        <is>
          <t>Dialog playground scenario; manually verified.</t>
        </is>
      </c>
      <c r="J12" s="13" t="inlineStr">
        <is>
          <t>Complete.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Public API</t>
        </is>
      </c>
      <c r="C13" s="13" t="inlineStr">
        <is>
          <t>Root</t>
        </is>
      </c>
      <c r="D13" s="13" t="inlineStr">
        <is>
          <t>disabled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</t>
        </is>
      </c>
      <c r="H13" s="22" t="inlineStr">
        <is>
          <t>covered</t>
        </is>
      </c>
      <c r="I13" s="13" t="inlineStr">
        <is>
          <t>Dialog playground scenario; manually verified.</t>
        </is>
      </c>
      <c r="J13" s="13" t="inlineStr">
        <is>
          <t>Complete.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Public API</t>
        </is>
      </c>
      <c r="C14" s="13" t="inlineStr">
        <is>
          <t>Root</t>
        </is>
      </c>
      <c r="D14" s="13" t="inlineStr">
        <is>
          <t>closeOnEscape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</t>
        </is>
      </c>
      <c r="H14" s="22" t="inlineStr">
        <is>
          <t>covered</t>
        </is>
      </c>
      <c r="I14" s="13" t="inlineStr">
        <is>
          <t>Dialog playground scenario; manually verified.</t>
        </is>
      </c>
      <c r="J14" s="13" t="inlineStr">
        <is>
          <t>Complete.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Public API</t>
        </is>
      </c>
      <c r="C15" s="13" t="inlineStr">
        <is>
          <t>Root</t>
        </is>
      </c>
      <c r="D15" s="13" t="inlineStr">
        <is>
          <t>closeOnBackdropClick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</t>
        </is>
      </c>
      <c r="H15" s="22" t="inlineStr">
        <is>
          <t>covered</t>
        </is>
      </c>
      <c r="I15" s="13" t="inlineStr">
        <is>
          <t>Dialog playground scenario; manually verified.</t>
        </is>
      </c>
      <c r="J15" s="13" t="inlineStr">
        <is>
          <t>Complete.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Public API</t>
        </is>
      </c>
      <c r="C16" s="13" t="inlineStr">
        <is>
          <t>Root</t>
        </is>
      </c>
      <c r="D16" s="13" t="inlineStr">
        <is>
          <t>keepMounted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</t>
        </is>
      </c>
      <c r="H16" s="22" t="inlineStr">
        <is>
          <t>covered</t>
        </is>
      </c>
      <c r="I16" s="13" t="inlineStr">
        <is>
          <t>Dialog playground scenario; manually verified.</t>
        </is>
      </c>
      <c r="J16" s="13" t="inlineStr">
        <is>
          <t>Complete.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Public API</t>
        </is>
      </c>
      <c r="C17" s="13" t="inlineStr">
        <is>
          <t>Trigger</t>
        </is>
      </c>
      <c r="D17" s="13" t="inlineStr">
        <is>
          <t>click opens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</t>
        </is>
      </c>
      <c r="H17" s="22" t="inlineStr">
        <is>
          <t>covered</t>
        </is>
      </c>
      <c r="I17" s="13" t="inlineStr">
        <is>
          <t>Dialog playground scenario; manually verified.</t>
        </is>
      </c>
      <c r="J17" s="13" t="inlineStr">
        <is>
          <t>Complete.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Public API</t>
        </is>
      </c>
      <c r="C18" s="13" t="inlineStr">
        <is>
          <t>Trigger</t>
        </is>
      </c>
      <c r="D18" s="13" t="inlineStr">
        <is>
          <t>Enter opens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</t>
        </is>
      </c>
      <c r="H18" s="22" t="inlineStr">
        <is>
          <t>covered</t>
        </is>
      </c>
      <c r="I18" s="13" t="inlineStr">
        <is>
          <t>Dialog playground scenario; manually verified.</t>
        </is>
      </c>
      <c r="J18" s="13" t="inlineStr">
        <is>
          <t>Complete.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Public API</t>
        </is>
      </c>
      <c r="C19" s="13" t="inlineStr">
        <is>
          <t>Trigger</t>
        </is>
      </c>
      <c r="D19" s="13" t="inlineStr">
        <is>
          <t>Space opens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</t>
        </is>
      </c>
      <c r="H19" s="22" t="inlineStr">
        <is>
          <t>covered</t>
        </is>
      </c>
      <c r="I19" s="13" t="inlineStr">
        <is>
          <t>Dialog playground scenario; manually verified.</t>
        </is>
      </c>
      <c r="J19" s="13" t="inlineStr">
        <is>
          <t>Complete.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Public API</t>
        </is>
      </c>
      <c r="C20" s="13" t="inlineStr">
        <is>
          <t>Trigger</t>
        </is>
      </c>
      <c r="D20" s="13" t="inlineStr">
        <is>
          <t>disabled blocks click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</t>
        </is>
      </c>
      <c r="H20" s="22" t="inlineStr">
        <is>
          <t>covered</t>
        </is>
      </c>
      <c r="I20" s="13" t="inlineStr">
        <is>
          <t>Dialog playground scenario; manually verified.</t>
        </is>
      </c>
      <c r="J20" s="13" t="inlineStr">
        <is>
          <t>Complete.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Public API</t>
        </is>
      </c>
      <c r="C21" s="13" t="inlineStr">
        <is>
          <t>Trigger</t>
        </is>
      </c>
      <c r="D21" s="13" t="inlineStr">
        <is>
          <t>disabled blocks Enter/Space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</t>
        </is>
      </c>
      <c r="H21" s="22" t="inlineStr">
        <is>
          <t>covered</t>
        </is>
      </c>
      <c r="I21" s="13" t="inlineStr">
        <is>
          <t>Dialog playground scenario; manually verified.</t>
        </is>
      </c>
      <c r="J21" s="13" t="inlineStr">
        <is>
          <t>Complete.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Public API</t>
        </is>
      </c>
      <c r="C22" s="13" t="inlineStr">
        <is>
          <t>Trigger</t>
        </is>
      </c>
      <c r="D22" s="13" t="inlineStr">
        <is>
          <t>data-state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</t>
        </is>
      </c>
      <c r="H22" s="22" t="inlineStr">
        <is>
          <t>covered</t>
        </is>
      </c>
      <c r="I22" s="13" t="inlineStr">
        <is>
          <t>Dialog playground scenario; manually verified.</t>
        </is>
      </c>
      <c r="J22" s="13" t="inlineStr">
        <is>
          <t>Complete.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Public API</t>
        </is>
      </c>
      <c r="C23" s="13" t="inlineStr">
        <is>
          <t>Trigger</t>
        </is>
      </c>
      <c r="D23" s="13" t="inlineStr">
        <is>
          <t>aria-controls id match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</t>
        </is>
      </c>
      <c r="H23" s="22" t="inlineStr">
        <is>
          <t>covered</t>
        </is>
      </c>
      <c r="I23" s="13" t="inlineStr">
        <is>
          <t>Dialog playground scenario; manually verified.</t>
        </is>
      </c>
      <c r="J23" s="13" t="inlineStr">
        <is>
          <t>Complete.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Public API</t>
        </is>
      </c>
      <c r="C24" s="13" t="inlineStr">
        <is>
          <t>Trigger</t>
        </is>
      </c>
      <c r="D24" s="13" t="inlineStr">
        <is>
          <t>aria-haspopup / aria-expanded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</t>
        </is>
      </c>
      <c r="H24" s="22" t="inlineStr">
        <is>
          <t>covered</t>
        </is>
      </c>
      <c r="I24" s="13" t="inlineStr">
        <is>
          <t>Dialog playground scenario; manually verified.</t>
        </is>
      </c>
      <c r="J24" s="13" t="inlineStr">
        <is>
          <t>Complete.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Trigger</t>
        </is>
      </c>
      <c r="D25" s="13" t="inlineStr">
        <is>
          <t>asChild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</t>
        </is>
      </c>
      <c r="H25" s="22" t="inlineStr">
        <is>
          <t>covered</t>
        </is>
      </c>
      <c r="I25" s="13" t="inlineStr">
        <is>
          <t>Dialog playground scenario; manually verified.</t>
        </is>
      </c>
      <c r="J25" s="13" t="inlineStr">
        <is>
          <t>Complete.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Composition</t>
        </is>
      </c>
      <c r="C26" s="13" t="inlineStr">
        <is>
          <t>Trigger</t>
        </is>
      </c>
      <c r="D26" s="13" t="inlineStr">
        <is>
          <t>render prop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</t>
        </is>
      </c>
      <c r="H26" s="22" t="inlineStr">
        <is>
          <t>covered</t>
        </is>
      </c>
      <c r="I26" s="13" t="inlineStr">
        <is>
          <t>Dialog playground scenario; manually verified.</t>
        </is>
      </c>
      <c r="J26" s="13" t="inlineStr">
        <is>
          <t>Complete.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Composition</t>
        </is>
      </c>
      <c r="C27" s="13" t="inlineStr">
        <is>
          <t>Trigger</t>
        </is>
      </c>
      <c r="D27" s="13" t="inlineStr">
        <is>
          <t>merged onClick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</t>
        </is>
      </c>
      <c r="H27" s="22" t="inlineStr">
        <is>
          <t>covered</t>
        </is>
      </c>
      <c r="I27" s="13" t="inlineStr">
        <is>
          <t>Dialog playground scenario; manually verified.</t>
        </is>
      </c>
      <c r="J27" s="13" t="inlineStr">
        <is>
          <t>Complete.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Composition</t>
        </is>
      </c>
      <c r="C28" s="13" t="inlineStr">
        <is>
          <t>Trigger</t>
        </is>
      </c>
      <c r="D28" s="13" t="inlineStr">
        <is>
          <t>merged onKeyDown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</t>
        </is>
      </c>
      <c r="H28" s="22" t="inlineStr">
        <is>
          <t>covered</t>
        </is>
      </c>
      <c r="I28" s="13" t="inlineStr">
        <is>
          <t>Dialog playground scenario; manually verified.</t>
        </is>
      </c>
      <c r="J28" s="13" t="inlineStr">
        <is>
          <t>Complete.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Refs</t>
        </is>
      </c>
      <c r="C29" s="13" t="inlineStr">
        <is>
          <t>Trigger</t>
        </is>
      </c>
      <c r="D29" s="13" t="inlineStr">
        <is>
          <t>ref receives element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</t>
        </is>
      </c>
      <c r="H29" s="22" t="inlineStr">
        <is>
          <t>covered</t>
        </is>
      </c>
      <c r="I29" s="13" t="inlineStr">
        <is>
          <t>Dialog playground scenario; manually verified.</t>
        </is>
      </c>
      <c r="J29" s="13" t="inlineStr">
        <is>
          <t>Complete.</t>
        </is>
      </c>
      <c r="K29" s="14">
        <f>IF(AND(E29="yes",F29="yes",H29="covered"),1,IF(H29="partial",0.5,0))</f>
        <v/>
      </c>
    </row>
    <row r="30" ht="45" customHeight="1" s="24">
      <c r="A30" s="12" t="n">
        <v>22</v>
      </c>
      <c r="B30" s="13" t="inlineStr">
        <is>
          <t>Props</t>
        </is>
      </c>
      <c r="C30" s="13" t="inlineStr">
        <is>
          <t>Trigger</t>
        </is>
      </c>
      <c r="D30" s="13" t="inlineStr">
        <is>
          <t>native button props passthrough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</t>
        </is>
      </c>
      <c r="H30" s="22" t="inlineStr">
        <is>
          <t>covered</t>
        </is>
      </c>
      <c r="I30" s="13" t="inlineStr">
        <is>
          <t>Verify the part forwards a non-Atom-owned data-prop-check marker in the live raw Data group or Inspector.</t>
        </is>
      </c>
      <c r="J30" s="13" t="inlineStr">
        <is>
          <t>Do not add a curated Native props row; the DOM data-prop-check marker is the evidence.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Styling hooks</t>
        </is>
      </c>
      <c r="C31" s="13" t="inlineStr">
        <is>
          <t>Trigger</t>
        </is>
      </c>
      <c r="D31" s="13" t="inlineStr">
        <is>
          <t>className passthrough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</t>
        </is>
      </c>
      <c r="H31" s="22" t="inlineStr">
        <is>
          <t>covered</t>
        </is>
      </c>
      <c r="I31" s="13" t="inlineStr">
        <is>
          <t>Dialog playground scenario; manually verified.</t>
        </is>
      </c>
      <c r="J31" s="13" t="inlineStr">
        <is>
          <t>Complete.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Styling hooks</t>
        </is>
      </c>
      <c r="C32" s="13" t="inlineStr">
        <is>
          <t>Trigger</t>
        </is>
      </c>
      <c r="D32" s="13" t="inlineStr">
        <is>
          <t>data-slot override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</t>
        </is>
      </c>
      <c r="H32" s="22" t="inlineStr">
        <is>
          <t>covered</t>
        </is>
      </c>
      <c r="I32" s="13" t="inlineStr">
        <is>
          <t>Dialog playground scenario; manually verified.</t>
        </is>
      </c>
      <c r="J32" s="13" t="inlineStr">
        <is>
          <t>Complete.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Portal</t>
        </is>
      </c>
      <c r="D33" s="13" t="inlineStr">
        <is>
          <t>content mounts in body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</t>
        </is>
      </c>
      <c r="H33" s="22" t="inlineStr">
        <is>
          <t>covered</t>
        </is>
      </c>
      <c r="I33" s="13" t="inlineStr">
        <is>
          <t>Dialog playground scenario; manually verified.</t>
        </is>
      </c>
      <c r="J33" s="13" t="inlineStr">
        <is>
          <t>Complete.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Portal</t>
        </is>
      </c>
      <c r="D34" s="13" t="inlineStr">
        <is>
          <t>content not inside canvas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</t>
        </is>
      </c>
      <c r="H34" s="22" t="inlineStr">
        <is>
          <t>covered</t>
        </is>
      </c>
      <c r="I34" s="13" t="inlineStr">
        <is>
          <t>Dialog playground scenario; manually verified.</t>
        </is>
      </c>
      <c r="J34" s="13" t="inlineStr">
        <is>
          <t>Complete.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Portal</t>
        </is>
      </c>
      <c r="D35" s="13" t="inlineStr">
        <is>
          <t>unmounts after close without keepMounted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</t>
        </is>
      </c>
      <c r="H35" s="22" t="inlineStr">
        <is>
          <t>covered</t>
        </is>
      </c>
      <c r="I35" s="13" t="inlineStr">
        <is>
          <t>Dialog playground scenario; manually verified.</t>
        </is>
      </c>
      <c r="J35" s="13" t="inlineStr">
        <is>
          <t>Complete.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Portal</t>
        </is>
      </c>
      <c r="D36" s="13" t="inlineStr">
        <is>
          <t>stays mounted with keepMounted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</t>
        </is>
      </c>
      <c r="H36" s="22" t="inlineStr">
        <is>
          <t>covered</t>
        </is>
      </c>
      <c r="I36" s="13" t="inlineStr">
        <is>
          <t>Dialog playground scenario; manually verified.</t>
        </is>
      </c>
      <c r="J36" s="13" t="inlineStr">
        <is>
          <t>Complete.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Overlay</t>
        </is>
      </c>
      <c r="D37" s="13" t="inlineStr">
        <is>
          <t>renders when open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</t>
        </is>
      </c>
      <c r="H37" s="22" t="inlineStr">
        <is>
          <t>covered</t>
        </is>
      </c>
      <c r="I37" s="13" t="inlineStr">
        <is>
          <t>Dialog playground scenario; manually verified.</t>
        </is>
      </c>
      <c r="J37" s="13" t="inlineStr">
        <is>
          <t>Complete.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Overlay</t>
        </is>
      </c>
      <c r="D38" s="13" t="inlineStr">
        <is>
          <t>data-state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</t>
        </is>
      </c>
      <c r="H38" s="22" t="inlineStr">
        <is>
          <t>covered</t>
        </is>
      </c>
      <c r="I38" s="13" t="inlineStr">
        <is>
          <t>Dialog playground scenario; manually verified.</t>
        </is>
      </c>
      <c r="J38" s="13" t="inlineStr">
        <is>
          <t>Complete.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Interaction</t>
        </is>
      </c>
      <c r="C39" s="13" t="inlineStr">
        <is>
          <t>Overlay</t>
        </is>
      </c>
      <c r="D39" s="13" t="inlineStr">
        <is>
          <t>backdrop click closes when enabled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</t>
        </is>
      </c>
      <c r="H39" s="22" t="inlineStr">
        <is>
          <t>covered</t>
        </is>
      </c>
      <c r="I39" s="13" t="inlineStr">
        <is>
          <t>Dialog playground scenario; manually verified.</t>
        </is>
      </c>
      <c r="J39" s="13" t="inlineStr">
        <is>
          <t>Complete.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Interaction</t>
        </is>
      </c>
      <c r="C40" s="13" t="inlineStr">
        <is>
          <t>Overlay</t>
        </is>
      </c>
      <c r="D40" s="13" t="inlineStr">
        <is>
          <t>backdrop click does not close when disabled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</t>
        </is>
      </c>
      <c r="H40" s="22" t="inlineStr">
        <is>
          <t>covered</t>
        </is>
      </c>
      <c r="I40" s="13" t="inlineStr">
        <is>
          <t>Dialog playground scenario; manually verified.</t>
        </is>
      </c>
      <c r="J40" s="13" t="inlineStr">
        <is>
          <t>Complete.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Composition</t>
        </is>
      </c>
      <c r="C41" s="13" t="inlineStr">
        <is>
          <t>Overlay</t>
        </is>
      </c>
      <c r="D41" s="13" t="inlineStr">
        <is>
          <t>user onClick merges with close behavior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</t>
        </is>
      </c>
      <c r="H41" s="22" t="inlineStr">
        <is>
          <t>covered</t>
        </is>
      </c>
      <c r="I41" s="13" t="inlineStr">
        <is>
          <t>Dialog playground scenario; manually verified.</t>
        </is>
      </c>
      <c r="J41" s="13" t="inlineStr">
        <is>
          <t>Complete.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Refs</t>
        </is>
      </c>
      <c r="C42" s="13" t="inlineStr">
        <is>
          <t>Overlay</t>
        </is>
      </c>
      <c r="D42" s="13" t="inlineStr">
        <is>
          <t>ref receives element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</t>
        </is>
      </c>
      <c r="H42" s="22" t="inlineStr">
        <is>
          <t>covered</t>
        </is>
      </c>
      <c r="I42" s="13" t="inlineStr">
        <is>
          <t>Dialog playground scenario; manually verified.</t>
        </is>
      </c>
      <c r="J42" s="13" t="inlineStr">
        <is>
          <t>Complete.</t>
        </is>
      </c>
      <c r="K42" s="14">
        <f>IF(AND(E42="yes",F42="yes",H42="covered"),1,IF(H42="partial",0.5,0))</f>
        <v/>
      </c>
    </row>
    <row r="43" ht="45" customHeight="1" s="24">
      <c r="A43" s="12" t="n">
        <v>35</v>
      </c>
      <c r="B43" s="13" t="inlineStr">
        <is>
          <t>Props</t>
        </is>
      </c>
      <c r="C43" s="13" t="inlineStr">
        <is>
          <t>Overlay</t>
        </is>
      </c>
      <c r="D43" s="13" t="inlineStr">
        <is>
          <t>native div props passthrough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</t>
        </is>
      </c>
      <c r="H43" s="22" t="inlineStr">
        <is>
          <t>covered</t>
        </is>
      </c>
      <c r="I43" s="13" t="inlineStr">
        <is>
          <t>Verify the part forwards a non-Atom-owned data-prop-check marker in the live raw Data group or Inspector.</t>
        </is>
      </c>
      <c r="J43" s="13" t="inlineStr">
        <is>
          <t>Do not add a curated Native props row; the DOM data-prop-check marker is the evidence.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Styling hooks</t>
        </is>
      </c>
      <c r="C44" s="13" t="inlineStr">
        <is>
          <t>Overlay</t>
        </is>
      </c>
      <c r="D44" s="13" t="inlineStr">
        <is>
          <t>className passthrough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</t>
        </is>
      </c>
      <c r="H44" s="22" t="inlineStr">
        <is>
          <t>covered</t>
        </is>
      </c>
      <c r="I44" s="13" t="inlineStr">
        <is>
          <t>Dialog playground scenario; manually verified.</t>
        </is>
      </c>
      <c r="J44" s="13" t="inlineStr">
        <is>
          <t>Complete.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Styling hooks</t>
        </is>
      </c>
      <c r="C45" s="13" t="inlineStr">
        <is>
          <t>Overlay</t>
        </is>
      </c>
      <c r="D45" s="13" t="inlineStr">
        <is>
          <t>data-slot override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</t>
        </is>
      </c>
      <c r="H45" s="22" t="inlineStr">
        <is>
          <t>covered</t>
        </is>
      </c>
      <c r="I45" s="13" t="inlineStr">
        <is>
          <t>Dialog playground scenario; manually verified.</t>
        </is>
      </c>
      <c r="J45" s="13" t="inlineStr">
        <is>
          <t>Complete.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Public API</t>
        </is>
      </c>
      <c r="C46" s="13" t="inlineStr">
        <is>
          <t>Content</t>
        </is>
      </c>
      <c r="D46" s="13" t="inlineStr">
        <is>
          <t>renders when open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</t>
        </is>
      </c>
      <c r="H46" s="22" t="inlineStr">
        <is>
          <t>covered</t>
        </is>
      </c>
      <c r="I46" s="13" t="inlineStr">
        <is>
          <t>Dialog playground scenario; manually verified.</t>
        </is>
      </c>
      <c r="J46" s="13" t="inlineStr">
        <is>
          <t>Complete.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Public API</t>
        </is>
      </c>
      <c r="C47" s="13" t="inlineStr">
        <is>
          <t>Content</t>
        </is>
      </c>
      <c r="D47" s="13" t="inlineStr">
        <is>
          <t>unmounts when closed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</t>
        </is>
      </c>
      <c r="H47" s="22" t="inlineStr">
        <is>
          <t>covered</t>
        </is>
      </c>
      <c r="I47" s="13" t="inlineStr">
        <is>
          <t>Dialog playground scenario; manually verified.</t>
        </is>
      </c>
      <c r="J47" s="13" t="inlineStr">
        <is>
          <t>Complete.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Content</t>
        </is>
      </c>
      <c r="D48" s="13" t="inlineStr">
        <is>
          <t>hidden with keepMounted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</t>
        </is>
      </c>
      <c r="H48" s="22" t="inlineStr">
        <is>
          <t>covered</t>
        </is>
      </c>
      <c r="I48" s="13" t="inlineStr">
        <is>
          <t>Dialog playground scenario; manually verified.</t>
        </is>
      </c>
      <c r="J48" s="13" t="inlineStr">
        <is>
          <t>Complete.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Content</t>
        </is>
      </c>
      <c r="D49" s="13" t="inlineStr">
        <is>
          <t>role dialog</t>
        </is>
      </c>
      <c r="E49" s="18" t="inlineStr">
        <is>
          <t>yes</t>
        </is>
      </c>
      <c r="F49" s="18" t="inlineStr">
        <is>
          <t>yes</t>
        </is>
      </c>
      <c r="G49" s="12" t="inlineStr">
        <is>
          <t>pass</t>
        </is>
      </c>
      <c r="H49" s="22" t="inlineStr">
        <is>
          <t>covered</t>
        </is>
      </c>
      <c r="I49" s="13" t="inlineStr">
        <is>
          <t>Dialog playground scenario; manually verified.</t>
        </is>
      </c>
      <c r="J49" s="13" t="inlineStr">
        <is>
          <t>Complete.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Content</t>
        </is>
      </c>
      <c r="D50" s="13" t="inlineStr">
        <is>
          <t>role alertdialog</t>
        </is>
      </c>
      <c r="E50" s="18" t="inlineStr">
        <is>
          <t>yes</t>
        </is>
      </c>
      <c r="F50" s="18" t="inlineStr">
        <is>
          <t>yes</t>
        </is>
      </c>
      <c r="G50" s="12" t="inlineStr">
        <is>
          <t>pass</t>
        </is>
      </c>
      <c r="H50" s="22" t="inlineStr">
        <is>
          <t>covered</t>
        </is>
      </c>
      <c r="I50" s="13" t="inlineStr">
        <is>
          <t>Dialog playground scenario; manually verified.</t>
        </is>
      </c>
      <c r="J50" s="13" t="inlineStr">
        <is>
          <t>Complete.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Content</t>
        </is>
      </c>
      <c r="D51" s="13" t="inlineStr">
        <is>
          <t>tabIndex -1</t>
        </is>
      </c>
      <c r="E51" s="18" t="inlineStr">
        <is>
          <t>yes</t>
        </is>
      </c>
      <c r="F51" s="18" t="inlineStr">
        <is>
          <t>yes</t>
        </is>
      </c>
      <c r="G51" s="12" t="inlineStr">
        <is>
          <t>pass</t>
        </is>
      </c>
      <c r="H51" s="22" t="inlineStr">
        <is>
          <t>covered</t>
        </is>
      </c>
      <c r="I51" s="13" t="inlineStr">
        <is>
          <t>Dialog playground scenario; manually verified.</t>
        </is>
      </c>
      <c r="J51" s="13" t="inlineStr">
        <is>
          <t>Complete.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Content</t>
        </is>
      </c>
      <c r="D52" s="13" t="inlineStr">
        <is>
          <t>data-state</t>
        </is>
      </c>
      <c r="E52" s="18" t="inlineStr">
        <is>
          <t>yes</t>
        </is>
      </c>
      <c r="F52" s="18" t="inlineStr">
        <is>
          <t>yes</t>
        </is>
      </c>
      <c r="G52" s="12" t="inlineStr">
        <is>
          <t>pass</t>
        </is>
      </c>
      <c r="H52" s="22" t="inlineStr">
        <is>
          <t>covered</t>
        </is>
      </c>
      <c r="I52" s="13" t="inlineStr">
        <is>
          <t>Dialog playground scenario; manually verified.</t>
        </is>
      </c>
      <c r="J52" s="13" t="inlineStr">
        <is>
          <t>Complete.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Content</t>
        </is>
      </c>
      <c r="D53" s="13" t="inlineStr">
        <is>
          <t>data-positioned</t>
        </is>
      </c>
      <c r="E53" s="18" t="inlineStr">
        <is>
          <t>yes</t>
        </is>
      </c>
      <c r="F53" s="18" t="inlineStr">
        <is>
          <t>yes</t>
        </is>
      </c>
      <c r="G53" s="12" t="inlineStr">
        <is>
          <t>pass</t>
        </is>
      </c>
      <c r="H53" s="22" t="inlineStr">
        <is>
          <t>covered</t>
        </is>
      </c>
      <c r="I53" s="13" t="inlineStr">
        <is>
          <t>Dialog playground scenario; manually verified.</t>
        </is>
      </c>
      <c r="J53" s="13" t="inlineStr">
        <is>
          <t>Complete.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Accessibility</t>
        </is>
      </c>
      <c r="C54" s="13" t="inlineStr">
        <is>
          <t>Content</t>
        </is>
      </c>
      <c r="D54" s="13" t="inlineStr">
        <is>
          <t>aria-modal</t>
        </is>
      </c>
      <c r="E54" s="18" t="inlineStr">
        <is>
          <t>yes</t>
        </is>
      </c>
      <c r="F54" s="18" t="inlineStr">
        <is>
          <t>yes</t>
        </is>
      </c>
      <c r="G54" s="12" t="inlineStr">
        <is>
          <t>pass</t>
        </is>
      </c>
      <c r="H54" s="22" t="inlineStr">
        <is>
          <t>covered</t>
        </is>
      </c>
      <c r="I54" s="13" t="inlineStr">
        <is>
          <t>Dialog playground scenario; manually verified.</t>
        </is>
      </c>
      <c r="J54" s="13" t="inlineStr">
        <is>
          <t>Complete.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Accessibility</t>
        </is>
      </c>
      <c r="C55" s="13" t="inlineStr">
        <is>
          <t>Content</t>
        </is>
      </c>
      <c r="D55" s="13" t="inlineStr">
        <is>
          <t>aria-labelledby</t>
        </is>
      </c>
      <c r="E55" s="18" t="inlineStr">
        <is>
          <t>yes</t>
        </is>
      </c>
      <c r="F55" s="18" t="inlineStr">
        <is>
          <t>yes</t>
        </is>
      </c>
      <c r="G55" s="12" t="inlineStr">
        <is>
          <t>pass</t>
        </is>
      </c>
      <c r="H55" s="22" t="inlineStr">
        <is>
          <t>covered</t>
        </is>
      </c>
      <c r="I55" s="13" t="inlineStr">
        <is>
          <t>Dialog playground scenario; manually verified.</t>
        </is>
      </c>
      <c r="J55" s="13" t="inlineStr">
        <is>
          <t>Complete.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Accessibility</t>
        </is>
      </c>
      <c r="C56" s="13" t="inlineStr">
        <is>
          <t>Content</t>
        </is>
      </c>
      <c r="D56" s="13" t="inlineStr">
        <is>
          <t>aria-describedby</t>
        </is>
      </c>
      <c r="E56" s="18" t="inlineStr">
        <is>
          <t>yes</t>
        </is>
      </c>
      <c r="F56" s="18" t="inlineStr">
        <is>
          <t>yes</t>
        </is>
      </c>
      <c r="G56" s="12" t="inlineStr">
        <is>
          <t>pass</t>
        </is>
      </c>
      <c r="H56" s="22" t="inlineStr">
        <is>
          <t>covered</t>
        </is>
      </c>
      <c r="I56" s="13" t="inlineStr">
        <is>
          <t>Dialog playground scenario; manually verified.</t>
        </is>
      </c>
      <c r="J56" s="13" t="inlineStr">
        <is>
          <t>Complete.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Accessibility</t>
        </is>
      </c>
      <c r="C57" s="13" t="inlineStr">
        <is>
          <t>Content</t>
        </is>
      </c>
      <c r="D57" s="13" t="inlineStr">
        <is>
          <t>aria-label fallback</t>
        </is>
      </c>
      <c r="E57" s="18" t="inlineStr">
        <is>
          <t>yes</t>
        </is>
      </c>
      <c r="F57" s="18" t="inlineStr">
        <is>
          <t>yes</t>
        </is>
      </c>
      <c r="G57" s="12" t="inlineStr">
        <is>
          <t>pass</t>
        </is>
      </c>
      <c r="H57" s="22" t="inlineStr">
        <is>
          <t>covered</t>
        </is>
      </c>
      <c r="I57" s="13" t="inlineStr">
        <is>
          <t>Dialog playground scenario; manually verified.</t>
        </is>
      </c>
      <c r="J57" s="13" t="inlineStr">
        <is>
          <t>Complete.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Interaction</t>
        </is>
      </c>
      <c r="C58" s="13" t="inlineStr">
        <is>
          <t>Content</t>
        </is>
      </c>
      <c r="D58" s="13" t="inlineStr">
        <is>
          <t>click inside content does not close</t>
        </is>
      </c>
      <c r="E58" s="18" t="inlineStr">
        <is>
          <t>yes</t>
        </is>
      </c>
      <c r="F58" s="18" t="inlineStr">
        <is>
          <t>yes</t>
        </is>
      </c>
      <c r="G58" s="12" t="inlineStr">
        <is>
          <t>pass</t>
        </is>
      </c>
      <c r="H58" s="22" t="inlineStr">
        <is>
          <t>covered</t>
        </is>
      </c>
      <c r="I58" s="13" t="inlineStr">
        <is>
          <t>Dialog playground scenario; manually verified.</t>
        </is>
      </c>
      <c r="J58" s="13" t="inlineStr">
        <is>
          <t>Complete.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Interaction</t>
        </is>
      </c>
      <c r="C59" s="13" t="inlineStr">
        <is>
          <t>Content</t>
        </is>
      </c>
      <c r="D59" s="13" t="inlineStr">
        <is>
          <t>first focusable receives focus on open</t>
        </is>
      </c>
      <c r="E59" s="18" t="inlineStr">
        <is>
          <t>yes</t>
        </is>
      </c>
      <c r="F59" s="18" t="inlineStr">
        <is>
          <t>yes</t>
        </is>
      </c>
      <c r="G59" s="12" t="inlineStr">
        <is>
          <t>pass</t>
        </is>
      </c>
      <c r="H59" s="22" t="inlineStr">
        <is>
          <t>covered</t>
        </is>
      </c>
      <c r="I59" s="13" t="inlineStr">
        <is>
          <t>Dialog playground scenario; manually verified.</t>
        </is>
      </c>
      <c r="J59" s="13" t="inlineStr">
        <is>
          <t>Complete.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Interaction</t>
        </is>
      </c>
      <c r="C60" s="13" t="inlineStr">
        <is>
          <t>Content</t>
        </is>
      </c>
      <c r="D60" s="13" t="inlineStr">
        <is>
          <t>no focusable child focuses content</t>
        </is>
      </c>
      <c r="E60" s="18" t="inlineStr">
        <is>
          <t>yes</t>
        </is>
      </c>
      <c r="F60" s="18" t="inlineStr">
        <is>
          <t>yes</t>
        </is>
      </c>
      <c r="G60" s="12" t="inlineStr">
        <is>
          <t>pass</t>
        </is>
      </c>
      <c r="H60" s="22" t="inlineStr">
        <is>
          <t>covered</t>
        </is>
      </c>
      <c r="I60" s="13" t="inlineStr">
        <is>
          <t>Dialog playground scenario; manually verified.</t>
        </is>
      </c>
      <c r="J60" s="13" t="inlineStr">
        <is>
          <t>Complete.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Interaction</t>
        </is>
      </c>
      <c r="C61" s="13" t="inlineStr">
        <is>
          <t>Content</t>
        </is>
      </c>
      <c r="D61" s="13" t="inlineStr">
        <is>
          <t>focus trap Tab loop</t>
        </is>
      </c>
      <c r="E61" s="18" t="inlineStr">
        <is>
          <t>yes</t>
        </is>
      </c>
      <c r="F61" s="18" t="inlineStr">
        <is>
          <t>yes</t>
        </is>
      </c>
      <c r="G61" s="12" t="inlineStr">
        <is>
          <t>pass</t>
        </is>
      </c>
      <c r="H61" s="22" t="inlineStr">
        <is>
          <t>covered</t>
        </is>
      </c>
      <c r="I61" s="13" t="inlineStr">
        <is>
          <t>Dialog playground scenario; manually verified.</t>
        </is>
      </c>
      <c r="J61" s="13" t="inlineStr">
        <is>
          <t>Complete.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Interaction</t>
        </is>
      </c>
      <c r="C62" s="13" t="inlineStr">
        <is>
          <t>Content</t>
        </is>
      </c>
      <c r="D62" s="13" t="inlineStr">
        <is>
          <t>focus trap Shift+Tab loop</t>
        </is>
      </c>
      <c r="E62" s="18" t="inlineStr">
        <is>
          <t>yes</t>
        </is>
      </c>
      <c r="F62" s="18" t="inlineStr">
        <is>
          <t>yes</t>
        </is>
      </c>
      <c r="G62" s="12" t="inlineStr">
        <is>
          <t>pass</t>
        </is>
      </c>
      <c r="H62" s="22" t="inlineStr">
        <is>
          <t>covered</t>
        </is>
      </c>
      <c r="I62" s="13" t="inlineStr">
        <is>
          <t>Dialog playground scenario; manually verified.</t>
        </is>
      </c>
      <c r="J62" s="13" t="inlineStr">
        <is>
          <t>Complete.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Interaction</t>
        </is>
      </c>
      <c r="C63" s="13" t="inlineStr">
        <is>
          <t>Content</t>
        </is>
      </c>
      <c r="D63" s="13" t="inlineStr">
        <is>
          <t>focus cannot escape behind dialog</t>
        </is>
      </c>
      <c r="E63" s="18" t="inlineStr">
        <is>
          <t>yes</t>
        </is>
      </c>
      <c r="F63" s="18" t="inlineStr">
        <is>
          <t>yes</t>
        </is>
      </c>
      <c r="G63" s="12" t="inlineStr">
        <is>
          <t>pass</t>
        </is>
      </c>
      <c r="H63" s="22" t="inlineStr">
        <is>
          <t>covered</t>
        </is>
      </c>
      <c r="I63" s="13" t="inlineStr">
        <is>
          <t>Dialog playground scenario; manually verified.</t>
        </is>
      </c>
      <c r="J63" s="13" t="inlineStr">
        <is>
          <t>Complete.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Interaction</t>
        </is>
      </c>
      <c r="C64" s="13" t="inlineStr">
        <is>
          <t>Content</t>
        </is>
      </c>
      <c r="D64" s="13" t="inlineStr">
        <is>
          <t>focus restores to trigger after close</t>
        </is>
      </c>
      <c r="E64" s="18" t="inlineStr">
        <is>
          <t>yes</t>
        </is>
      </c>
      <c r="F64" s="18" t="inlineStr">
        <is>
          <t>yes</t>
        </is>
      </c>
      <c r="G64" s="12" t="inlineStr">
        <is>
          <t>pass</t>
        </is>
      </c>
      <c r="H64" s="22" t="inlineStr">
        <is>
          <t>covered</t>
        </is>
      </c>
      <c r="I64" s="13" t="inlineStr">
        <is>
          <t>Dialog playground scenario; manually verified.</t>
        </is>
      </c>
      <c r="J64" s="13" t="inlineStr">
        <is>
          <t>Complete.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Interaction</t>
        </is>
      </c>
      <c r="C65" s="13" t="inlineStr">
        <is>
          <t>Content</t>
        </is>
      </c>
      <c r="D65" s="13" t="inlineStr">
        <is>
          <t>scroll lock on open</t>
        </is>
      </c>
      <c r="E65" s="18" t="inlineStr">
        <is>
          <t>yes</t>
        </is>
      </c>
      <c r="F65" s="18" t="inlineStr">
        <is>
          <t>yes</t>
        </is>
      </c>
      <c r="G65" s="12" t="inlineStr">
        <is>
          <t>pass</t>
        </is>
      </c>
      <c r="H65" s="22" t="inlineStr">
        <is>
          <t>covered</t>
        </is>
      </c>
      <c r="I65" s="13" t="inlineStr">
        <is>
          <t>Dialog playground scenario; manually verified.</t>
        </is>
      </c>
      <c r="J65" s="13" t="inlineStr">
        <is>
          <t>Complete.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Refs</t>
        </is>
      </c>
      <c r="C66" s="13" t="inlineStr">
        <is>
          <t>Content</t>
        </is>
      </c>
      <c r="D66" s="13" t="inlineStr">
        <is>
          <t>ref receives element</t>
        </is>
      </c>
      <c r="E66" s="18" t="inlineStr">
        <is>
          <t>yes</t>
        </is>
      </c>
      <c r="F66" s="18" t="inlineStr">
        <is>
          <t>yes</t>
        </is>
      </c>
      <c r="G66" s="12" t="inlineStr">
        <is>
          <t>pass</t>
        </is>
      </c>
      <c r="H66" s="22" t="inlineStr">
        <is>
          <t>covered</t>
        </is>
      </c>
      <c r="I66" s="13" t="inlineStr">
        <is>
          <t>Dialog playground scenario; manually verified.</t>
        </is>
      </c>
      <c r="J66" s="13" t="inlineStr">
        <is>
          <t>Complete.</t>
        </is>
      </c>
      <c r="K66" s="14">
        <f>IF(AND(E66="yes",F66="yes",H66="covered"),1,IF(H66="partial",0.5,0))</f>
        <v/>
      </c>
    </row>
    <row r="67" ht="45" customHeight="1" s="24">
      <c r="A67" s="12" t="n">
        <v>59</v>
      </c>
      <c r="B67" s="13" t="inlineStr">
        <is>
          <t>Props</t>
        </is>
      </c>
      <c r="C67" s="13" t="inlineStr">
        <is>
          <t>Content</t>
        </is>
      </c>
      <c r="D67" s="13" t="inlineStr">
        <is>
          <t>native div props passthrough</t>
        </is>
      </c>
      <c r="E67" s="18" t="inlineStr">
        <is>
          <t>yes</t>
        </is>
      </c>
      <c r="F67" s="18" t="inlineStr">
        <is>
          <t>yes</t>
        </is>
      </c>
      <c r="G67" s="12" t="inlineStr">
        <is>
          <t>pass</t>
        </is>
      </c>
      <c r="H67" s="22" t="inlineStr">
        <is>
          <t>covered</t>
        </is>
      </c>
      <c r="I67" s="13" t="inlineStr">
        <is>
          <t>Verify the part forwards a non-Atom-owned data-prop-check marker in the live raw Data group or Inspector.</t>
        </is>
      </c>
      <c r="J67" s="13" t="inlineStr">
        <is>
          <t>Do not add a curated Native props row; the DOM data-prop-check marker is the evidence.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Styling hooks</t>
        </is>
      </c>
      <c r="C68" s="13" t="inlineStr">
        <is>
          <t>Content</t>
        </is>
      </c>
      <c r="D68" s="13" t="inlineStr">
        <is>
          <t>className passthrough</t>
        </is>
      </c>
      <c r="E68" s="18" t="inlineStr">
        <is>
          <t>yes</t>
        </is>
      </c>
      <c r="F68" s="18" t="inlineStr">
        <is>
          <t>yes</t>
        </is>
      </c>
      <c r="G68" s="12" t="inlineStr">
        <is>
          <t>pass</t>
        </is>
      </c>
      <c r="H68" s="22" t="inlineStr">
        <is>
          <t>covered</t>
        </is>
      </c>
      <c r="I68" s="13" t="inlineStr">
        <is>
          <t>Dialog playground scenario; manually verified.</t>
        </is>
      </c>
      <c r="J68" s="13" t="inlineStr">
        <is>
          <t>Complete.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Styling hooks</t>
        </is>
      </c>
      <c r="C69" s="13" t="inlineStr">
        <is>
          <t>Content</t>
        </is>
      </c>
      <c r="D69" s="13" t="inlineStr">
        <is>
          <t>data-slot override</t>
        </is>
      </c>
      <c r="E69" s="18" t="inlineStr">
        <is>
          <t>yes</t>
        </is>
      </c>
      <c r="F69" s="18" t="inlineStr">
        <is>
          <t>yes</t>
        </is>
      </c>
      <c r="G69" s="12" t="inlineStr">
        <is>
          <t>pass</t>
        </is>
      </c>
      <c r="H69" s="22" t="inlineStr">
        <is>
          <t>covered</t>
        </is>
      </c>
      <c r="I69" s="13" t="inlineStr">
        <is>
          <t>Dialog playground scenario; manually verified.</t>
        </is>
      </c>
      <c r="J69" s="13" t="inlineStr">
        <is>
          <t>Complete.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Title</t>
        </is>
      </c>
      <c r="D70" s="13" t="inlineStr">
        <is>
          <t>renders title</t>
        </is>
      </c>
      <c r="E70" s="18" t="inlineStr">
        <is>
          <t>yes</t>
        </is>
      </c>
      <c r="F70" s="18" t="inlineStr">
        <is>
          <t>yes</t>
        </is>
      </c>
      <c r="G70" s="12" t="inlineStr">
        <is>
          <t>pass</t>
        </is>
      </c>
      <c r="H70" s="22" t="inlineStr">
        <is>
          <t>covered</t>
        </is>
      </c>
      <c r="I70" s="13" t="inlineStr">
        <is>
          <t>Dialog playground scenario; manually verified.</t>
        </is>
      </c>
      <c r="J70" s="13" t="inlineStr">
        <is>
          <t>Complete.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Public API</t>
        </is>
      </c>
      <c r="C71" s="13" t="inlineStr">
        <is>
          <t>Title</t>
        </is>
      </c>
      <c r="D71" s="13" t="inlineStr">
        <is>
          <t>id matches aria-labelledby</t>
        </is>
      </c>
      <c r="E71" s="18" t="inlineStr">
        <is>
          <t>yes</t>
        </is>
      </c>
      <c r="F71" s="18" t="inlineStr">
        <is>
          <t>yes</t>
        </is>
      </c>
      <c r="G71" s="12" t="inlineStr">
        <is>
          <t>pass</t>
        </is>
      </c>
      <c r="H71" s="22" t="inlineStr">
        <is>
          <t>covered</t>
        </is>
      </c>
      <c r="I71" s="13" t="inlineStr">
        <is>
          <t>Dialog playground scenario; manually verified.</t>
        </is>
      </c>
      <c r="J71" s="13" t="inlineStr">
        <is>
          <t>Complete.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Title</t>
        </is>
      </c>
      <c r="D72" s="13" t="inlineStr">
        <is>
          <t>heading level default</t>
        </is>
      </c>
      <c r="E72" s="18" t="inlineStr">
        <is>
          <t>yes</t>
        </is>
      </c>
      <c r="F72" s="18" t="inlineStr">
        <is>
          <t>yes</t>
        </is>
      </c>
      <c r="G72" s="12" t="inlineStr">
        <is>
          <t>pass</t>
        </is>
      </c>
      <c r="H72" s="22" t="inlineStr">
        <is>
          <t>covered</t>
        </is>
      </c>
      <c r="I72" s="13" t="inlineStr">
        <is>
          <t>Dialog playground scenario; manually verified.</t>
        </is>
      </c>
      <c r="J72" s="13" t="inlineStr">
        <is>
          <t>Complete.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Title</t>
        </is>
      </c>
      <c r="D73" s="13" t="inlineStr">
        <is>
          <t>heading level as prop</t>
        </is>
      </c>
      <c r="E73" s="18" t="inlineStr">
        <is>
          <t>yes</t>
        </is>
      </c>
      <c r="F73" s="18" t="inlineStr">
        <is>
          <t>yes</t>
        </is>
      </c>
      <c r="G73" s="12" t="inlineStr">
        <is>
          <t>pass</t>
        </is>
      </c>
      <c r="H73" s="22" t="inlineStr">
        <is>
          <t>covered</t>
        </is>
      </c>
      <c r="I73" s="13" t="inlineStr">
        <is>
          <t>Dialog playground scenario; manually verified.</t>
        </is>
      </c>
      <c r="J73" s="13" t="inlineStr">
        <is>
          <t>Complete.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Refs</t>
        </is>
      </c>
      <c r="C74" s="13" t="inlineStr">
        <is>
          <t>Title</t>
        </is>
      </c>
      <c r="D74" s="13" t="inlineStr">
        <is>
          <t>ref receives heading</t>
        </is>
      </c>
      <c r="E74" s="18" t="inlineStr">
        <is>
          <t>yes</t>
        </is>
      </c>
      <c r="F74" s="18" t="inlineStr">
        <is>
          <t>yes</t>
        </is>
      </c>
      <c r="G74" s="12" t="inlineStr">
        <is>
          <t>pass</t>
        </is>
      </c>
      <c r="H74" s="22" t="inlineStr">
        <is>
          <t>covered</t>
        </is>
      </c>
      <c r="I74" s="13" t="inlineStr">
        <is>
          <t>Dialog playground scenario; manually verified.</t>
        </is>
      </c>
      <c r="J74" s="13" t="inlineStr">
        <is>
          <t>Complete.</t>
        </is>
      </c>
      <c r="K74" s="14">
        <f>IF(AND(E74="yes",F74="yes",H74="covered"),1,IF(H74="partial",0.5,0))</f>
        <v/>
      </c>
    </row>
    <row r="75" ht="45" customHeight="1" s="24">
      <c r="A75" s="12" t="n">
        <v>67</v>
      </c>
      <c r="B75" s="13" t="inlineStr">
        <is>
          <t>Props</t>
        </is>
      </c>
      <c r="C75" s="13" t="inlineStr">
        <is>
          <t>Title</t>
        </is>
      </c>
      <c r="D75" s="13" t="inlineStr">
        <is>
          <t>heading props passthrough</t>
        </is>
      </c>
      <c r="E75" s="18" t="inlineStr">
        <is>
          <t>yes</t>
        </is>
      </c>
      <c r="F75" s="18" t="inlineStr">
        <is>
          <t>yes</t>
        </is>
      </c>
      <c r="G75" s="12" t="inlineStr">
        <is>
          <t>pass</t>
        </is>
      </c>
      <c r="H75" s="22" t="inlineStr">
        <is>
          <t>covered</t>
        </is>
      </c>
      <c r="I75" s="13" t="inlineStr">
        <is>
          <t>Verify the part forwards a non-Atom-owned data-prop-check marker in the live raw Data group or Inspector.</t>
        </is>
      </c>
      <c r="J75" s="13" t="inlineStr">
        <is>
          <t>Do not add a curated Native props row; the DOM data-prop-check marker is the evidence.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Styling hooks</t>
        </is>
      </c>
      <c r="C76" s="13" t="inlineStr">
        <is>
          <t>Title</t>
        </is>
      </c>
      <c r="D76" s="13" t="inlineStr">
        <is>
          <t>className passthrough</t>
        </is>
      </c>
      <c r="E76" s="18" t="inlineStr">
        <is>
          <t>yes</t>
        </is>
      </c>
      <c r="F76" s="18" t="inlineStr">
        <is>
          <t>yes</t>
        </is>
      </c>
      <c r="G76" s="12" t="inlineStr">
        <is>
          <t>pass</t>
        </is>
      </c>
      <c r="H76" s="22" t="inlineStr">
        <is>
          <t>covered</t>
        </is>
      </c>
      <c r="I76" s="13" t="inlineStr">
        <is>
          <t>Dialog playground scenario; manually verified.</t>
        </is>
      </c>
      <c r="J76" s="13" t="inlineStr">
        <is>
          <t>Complete.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Styling hooks</t>
        </is>
      </c>
      <c r="C77" s="13" t="inlineStr">
        <is>
          <t>Title</t>
        </is>
      </c>
      <c r="D77" s="13" t="inlineStr">
        <is>
          <t>data-slot override</t>
        </is>
      </c>
      <c r="E77" s="18" t="inlineStr">
        <is>
          <t>yes</t>
        </is>
      </c>
      <c r="F77" s="18" t="inlineStr">
        <is>
          <t>yes</t>
        </is>
      </c>
      <c r="G77" s="12" t="inlineStr">
        <is>
          <t>pass</t>
        </is>
      </c>
      <c r="H77" s="22" t="inlineStr">
        <is>
          <t>covered</t>
        </is>
      </c>
      <c r="I77" s="13" t="inlineStr">
        <is>
          <t>Dialog playground scenario; manually verified.</t>
        </is>
      </c>
      <c r="J77" s="13" t="inlineStr">
        <is>
          <t>Complete.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Public API</t>
        </is>
      </c>
      <c r="C78" s="13" t="inlineStr">
        <is>
          <t>Description</t>
        </is>
      </c>
      <c r="D78" s="13" t="inlineStr">
        <is>
          <t>renders description</t>
        </is>
      </c>
      <c r="E78" s="18" t="inlineStr">
        <is>
          <t>yes</t>
        </is>
      </c>
      <c r="F78" s="18" t="inlineStr">
        <is>
          <t>yes</t>
        </is>
      </c>
      <c r="G78" s="12" t="inlineStr">
        <is>
          <t>pass</t>
        </is>
      </c>
      <c r="H78" s="22" t="inlineStr">
        <is>
          <t>covered</t>
        </is>
      </c>
      <c r="I78" s="13" t="inlineStr">
        <is>
          <t>Dialog playground scenario; manually verified.</t>
        </is>
      </c>
      <c r="J78" s="13" t="inlineStr">
        <is>
          <t>Complete.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Public API</t>
        </is>
      </c>
      <c r="C79" s="13" t="inlineStr">
        <is>
          <t>Description</t>
        </is>
      </c>
      <c r="D79" s="13" t="inlineStr">
        <is>
          <t>id matches aria-describedby</t>
        </is>
      </c>
      <c r="E79" s="18" t="inlineStr">
        <is>
          <t>yes</t>
        </is>
      </c>
      <c r="F79" s="18" t="inlineStr">
        <is>
          <t>yes</t>
        </is>
      </c>
      <c r="G79" s="12" t="inlineStr">
        <is>
          <t>pass</t>
        </is>
      </c>
      <c r="H79" s="22" t="inlineStr">
        <is>
          <t>covered</t>
        </is>
      </c>
      <c r="I79" s="13" t="inlineStr">
        <is>
          <t>Dialog playground scenario; manually verified.</t>
        </is>
      </c>
      <c r="J79" s="13" t="inlineStr">
        <is>
          <t>Complete.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Refs</t>
        </is>
      </c>
      <c r="C80" s="13" t="inlineStr">
        <is>
          <t>Description</t>
        </is>
      </c>
      <c r="D80" s="13" t="inlineStr">
        <is>
          <t>ref receives paragraph</t>
        </is>
      </c>
      <c r="E80" s="18" t="inlineStr">
        <is>
          <t>yes</t>
        </is>
      </c>
      <c r="F80" s="18" t="inlineStr">
        <is>
          <t>yes</t>
        </is>
      </c>
      <c r="G80" s="12" t="inlineStr">
        <is>
          <t>pass</t>
        </is>
      </c>
      <c r="H80" s="22" t="inlineStr">
        <is>
          <t>covered</t>
        </is>
      </c>
      <c r="I80" s="13" t="inlineStr">
        <is>
          <t>Dialog playground scenario; manually verified.</t>
        </is>
      </c>
      <c r="J80" s="13" t="inlineStr">
        <is>
          <t>Complete.</t>
        </is>
      </c>
      <c r="K80" s="14">
        <f>IF(AND(E80="yes",F80="yes",H80="covered"),1,IF(H80="partial",0.5,0))</f>
        <v/>
      </c>
    </row>
    <row r="81" ht="45" customHeight="1" s="24">
      <c r="A81" s="12" t="n">
        <v>73</v>
      </c>
      <c r="B81" s="13" t="inlineStr">
        <is>
          <t>Props</t>
        </is>
      </c>
      <c r="C81" s="13" t="inlineStr">
        <is>
          <t>Description</t>
        </is>
      </c>
      <c r="D81" s="13" t="inlineStr">
        <is>
          <t>paragraph props passthrough</t>
        </is>
      </c>
      <c r="E81" s="18" t="inlineStr">
        <is>
          <t>yes</t>
        </is>
      </c>
      <c r="F81" s="18" t="inlineStr">
        <is>
          <t>yes</t>
        </is>
      </c>
      <c r="G81" s="12" t="inlineStr">
        <is>
          <t>pass</t>
        </is>
      </c>
      <c r="H81" s="22" t="inlineStr">
        <is>
          <t>covered</t>
        </is>
      </c>
      <c r="I81" s="13" t="inlineStr">
        <is>
          <t>Verify the part forwards a non-Atom-owned data-prop-check marker in the live raw Data group or Inspector.</t>
        </is>
      </c>
      <c r="J81" s="13" t="inlineStr">
        <is>
          <t>Do not add a curated Native props row; the DOM data-prop-check marker is the evidence.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Styling hooks</t>
        </is>
      </c>
      <c r="C82" s="13" t="inlineStr">
        <is>
          <t>Description</t>
        </is>
      </c>
      <c r="D82" s="13" t="inlineStr">
        <is>
          <t>className passthrough</t>
        </is>
      </c>
      <c r="E82" s="18" t="inlineStr">
        <is>
          <t>yes</t>
        </is>
      </c>
      <c r="F82" s="18" t="inlineStr">
        <is>
          <t>yes</t>
        </is>
      </c>
      <c r="G82" s="12" t="inlineStr">
        <is>
          <t>pass</t>
        </is>
      </c>
      <c r="H82" s="22" t="inlineStr">
        <is>
          <t>covered</t>
        </is>
      </c>
      <c r="I82" s="13" t="inlineStr">
        <is>
          <t>Dialog playground scenario; manually verified.</t>
        </is>
      </c>
      <c r="J82" s="13" t="inlineStr">
        <is>
          <t>Complete.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Styling hooks</t>
        </is>
      </c>
      <c r="C83" s="13" t="inlineStr">
        <is>
          <t>Description</t>
        </is>
      </c>
      <c r="D83" s="13" t="inlineStr">
        <is>
          <t>data-slot override</t>
        </is>
      </c>
      <c r="E83" s="18" t="inlineStr">
        <is>
          <t>yes</t>
        </is>
      </c>
      <c r="F83" s="18" t="inlineStr">
        <is>
          <t>yes</t>
        </is>
      </c>
      <c r="G83" s="12" t="inlineStr">
        <is>
          <t>pass</t>
        </is>
      </c>
      <c r="H83" s="22" t="inlineStr">
        <is>
          <t>covered</t>
        </is>
      </c>
      <c r="I83" s="13" t="inlineStr">
        <is>
          <t>Dialog playground scenario; manually verified.</t>
        </is>
      </c>
      <c r="J83" s="13" t="inlineStr">
        <is>
          <t>Complete.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Public API</t>
        </is>
      </c>
      <c r="C84" s="13" t="inlineStr">
        <is>
          <t>Close</t>
        </is>
      </c>
      <c r="D84" s="13" t="inlineStr">
        <is>
          <t>Cancel close button closes</t>
        </is>
      </c>
      <c r="E84" s="18" t="inlineStr">
        <is>
          <t>yes</t>
        </is>
      </c>
      <c r="F84" s="18" t="inlineStr">
        <is>
          <t>yes</t>
        </is>
      </c>
      <c r="G84" s="12" t="inlineStr">
        <is>
          <t>pass</t>
        </is>
      </c>
      <c r="H84" s="22" t="inlineStr">
        <is>
          <t>covered</t>
        </is>
      </c>
      <c r="I84" s="13" t="inlineStr">
        <is>
          <t>Dialog playground scenario; manually verified.</t>
        </is>
      </c>
      <c r="J84" s="13" t="inlineStr">
        <is>
          <t>Complete.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Public API</t>
        </is>
      </c>
      <c r="C85" s="13" t="inlineStr">
        <is>
          <t>Close</t>
        </is>
      </c>
      <c r="D85" s="13" t="inlineStr">
        <is>
          <t>Save close button closes</t>
        </is>
      </c>
      <c r="E85" s="18" t="inlineStr">
        <is>
          <t>yes</t>
        </is>
      </c>
      <c r="F85" s="18" t="inlineStr">
        <is>
          <t>yes</t>
        </is>
      </c>
      <c r="G85" s="12" t="inlineStr">
        <is>
          <t>pass</t>
        </is>
      </c>
      <c r="H85" s="22" t="inlineStr">
        <is>
          <t>covered</t>
        </is>
      </c>
      <c r="I85" s="13" t="inlineStr">
        <is>
          <t>Dialog playground scenario; manually verified.</t>
        </is>
      </c>
      <c r="J85" s="13" t="inlineStr">
        <is>
          <t>Complete.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Public API</t>
        </is>
      </c>
      <c r="C86" s="13" t="inlineStr">
        <is>
          <t>Close</t>
        </is>
      </c>
      <c r="D86" s="13" t="inlineStr">
        <is>
          <t>closeClick reason</t>
        </is>
      </c>
      <c r="E86" s="18" t="inlineStr">
        <is>
          <t>yes</t>
        </is>
      </c>
      <c r="F86" s="18" t="inlineStr">
        <is>
          <t>yes</t>
        </is>
      </c>
      <c r="G86" s="12" t="inlineStr">
        <is>
          <t>pass</t>
        </is>
      </c>
      <c r="H86" s="22" t="inlineStr">
        <is>
          <t>covered</t>
        </is>
      </c>
      <c r="I86" s="13" t="inlineStr">
        <is>
          <t>Dialog playground scenario; manually verified.</t>
        </is>
      </c>
      <c r="J86" s="13" t="inlineStr">
        <is>
          <t>Complete.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Composition</t>
        </is>
      </c>
      <c r="C87" s="13" t="inlineStr">
        <is>
          <t>Close</t>
        </is>
      </c>
      <c r="D87" s="13" t="inlineStr">
        <is>
          <t>asChild</t>
        </is>
      </c>
      <c r="E87" s="18" t="inlineStr">
        <is>
          <t>yes</t>
        </is>
      </c>
      <c r="F87" s="18" t="inlineStr">
        <is>
          <t>yes</t>
        </is>
      </c>
      <c r="G87" s="12" t="inlineStr">
        <is>
          <t>pass</t>
        </is>
      </c>
      <c r="H87" s="22" t="inlineStr">
        <is>
          <t>covered</t>
        </is>
      </c>
      <c r="I87" s="13" t="inlineStr">
        <is>
          <t>Dialog playground scenario; manually verified.</t>
        </is>
      </c>
      <c r="J87" s="13" t="inlineStr">
        <is>
          <t>Complete.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Composition</t>
        </is>
      </c>
      <c r="C88" s="13" t="inlineStr">
        <is>
          <t>Close</t>
        </is>
      </c>
      <c r="D88" s="13" t="inlineStr">
        <is>
          <t>render prop</t>
        </is>
      </c>
      <c r="E88" s="18" t="inlineStr">
        <is>
          <t>yes</t>
        </is>
      </c>
      <c r="F88" s="18" t="inlineStr">
        <is>
          <t>yes</t>
        </is>
      </c>
      <c r="G88" s="12" t="inlineStr">
        <is>
          <t>pass</t>
        </is>
      </c>
      <c r="H88" s="22" t="inlineStr">
        <is>
          <t>covered</t>
        </is>
      </c>
      <c r="I88" s="13" t="inlineStr">
        <is>
          <t>Dialog playground scenario; manually verified.</t>
        </is>
      </c>
      <c r="J88" s="13" t="inlineStr">
        <is>
          <t>Complete.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Composition</t>
        </is>
      </c>
      <c r="C89" s="13" t="inlineStr">
        <is>
          <t>Close</t>
        </is>
      </c>
      <c r="D89" s="13" t="inlineStr">
        <is>
          <t>merged onClick</t>
        </is>
      </c>
      <c r="E89" s="18" t="inlineStr">
        <is>
          <t>yes</t>
        </is>
      </c>
      <c r="F89" s="18" t="inlineStr">
        <is>
          <t>yes</t>
        </is>
      </c>
      <c r="G89" s="12" t="inlineStr">
        <is>
          <t>pass</t>
        </is>
      </c>
      <c r="H89" s="22" t="inlineStr">
        <is>
          <t>covered</t>
        </is>
      </c>
      <c r="I89" s="13" t="inlineStr">
        <is>
          <t>Dialog playground scenario; manually verified.</t>
        </is>
      </c>
      <c r="J89" s="13" t="inlineStr">
        <is>
          <t>Complete.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Refs</t>
        </is>
      </c>
      <c r="C90" s="13" t="inlineStr">
        <is>
          <t>Close</t>
        </is>
      </c>
      <c r="D90" s="13" t="inlineStr">
        <is>
          <t>ref receives element</t>
        </is>
      </c>
      <c r="E90" s="18" t="inlineStr">
        <is>
          <t>yes</t>
        </is>
      </c>
      <c r="F90" s="18" t="inlineStr">
        <is>
          <t>yes</t>
        </is>
      </c>
      <c r="G90" s="12" t="inlineStr">
        <is>
          <t>pass</t>
        </is>
      </c>
      <c r="H90" s="22" t="inlineStr">
        <is>
          <t>covered</t>
        </is>
      </c>
      <c r="I90" s="13" t="inlineStr">
        <is>
          <t>Dialog playground scenario; manually verified.</t>
        </is>
      </c>
      <c r="J90" s="13" t="inlineStr">
        <is>
          <t>Complete.</t>
        </is>
      </c>
      <c r="K90" s="14">
        <f>IF(AND(E90="yes",F90="yes",H90="covered"),1,IF(H90="partial",0.5,0))</f>
        <v/>
      </c>
    </row>
    <row r="91" ht="45" customHeight="1" s="24">
      <c r="A91" s="12" t="n">
        <v>83</v>
      </c>
      <c r="B91" s="13" t="inlineStr">
        <is>
          <t>Props</t>
        </is>
      </c>
      <c r="C91" s="13" t="inlineStr">
        <is>
          <t>Close</t>
        </is>
      </c>
      <c r="D91" s="13" t="inlineStr">
        <is>
          <t>native button props passthrough</t>
        </is>
      </c>
      <c r="E91" s="18" t="inlineStr">
        <is>
          <t>yes</t>
        </is>
      </c>
      <c r="F91" s="18" t="inlineStr">
        <is>
          <t>yes</t>
        </is>
      </c>
      <c r="G91" s="12" t="inlineStr">
        <is>
          <t>pass</t>
        </is>
      </c>
      <c r="H91" s="22" t="inlineStr">
        <is>
          <t>covered</t>
        </is>
      </c>
      <c r="I91" s="13" t="inlineStr">
        <is>
          <t>Verify the part forwards a non-Atom-owned data-prop-check marker in the live raw Data group or Inspector.</t>
        </is>
      </c>
      <c r="J91" s="13" t="inlineStr">
        <is>
          <t>Do not add a curated Native props row; the DOM data-prop-check marker is the evidence.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Styling hooks</t>
        </is>
      </c>
      <c r="C92" s="13" t="inlineStr">
        <is>
          <t>Close</t>
        </is>
      </c>
      <c r="D92" s="13" t="inlineStr">
        <is>
          <t>className passthrough</t>
        </is>
      </c>
      <c r="E92" s="18" t="inlineStr">
        <is>
          <t>yes</t>
        </is>
      </c>
      <c r="F92" s="18" t="inlineStr">
        <is>
          <t>yes</t>
        </is>
      </c>
      <c r="G92" s="12" t="inlineStr">
        <is>
          <t>pass</t>
        </is>
      </c>
      <c r="H92" s="22" t="inlineStr">
        <is>
          <t>covered</t>
        </is>
      </c>
      <c r="I92" s="13" t="inlineStr">
        <is>
          <t>Dialog playground scenario; manually verified.</t>
        </is>
      </c>
      <c r="J92" s="13" t="inlineStr">
        <is>
          <t>Complete.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Styling hooks</t>
        </is>
      </c>
      <c r="C93" s="13" t="inlineStr">
        <is>
          <t>Close</t>
        </is>
      </c>
      <c r="D93" s="13" t="inlineStr">
        <is>
          <t>data-slot override</t>
        </is>
      </c>
      <c r="E93" s="18" t="inlineStr">
        <is>
          <t>yes</t>
        </is>
      </c>
      <c r="F93" s="18" t="inlineStr">
        <is>
          <t>yes</t>
        </is>
      </c>
      <c r="G93" s="12" t="inlineStr">
        <is>
          <t>pass</t>
        </is>
      </c>
      <c r="H93" s="22" t="inlineStr">
        <is>
          <t>covered</t>
        </is>
      </c>
      <c r="I93" s="13" t="inlineStr">
        <is>
          <t>Dialog playground scenario; manually verified.</t>
        </is>
      </c>
      <c r="J93" s="13" t="inlineStr">
        <is>
          <t>Complete.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Interaction</t>
        </is>
      </c>
      <c r="C94" s="13" t="inlineStr">
        <is>
          <t>Keyboard</t>
        </is>
      </c>
      <c r="D94" s="13" t="inlineStr">
        <is>
          <t>Escape closes when enabled</t>
        </is>
      </c>
      <c r="E94" s="18" t="inlineStr">
        <is>
          <t>yes</t>
        </is>
      </c>
      <c r="F94" s="18" t="inlineStr">
        <is>
          <t>yes</t>
        </is>
      </c>
      <c r="G94" s="12" t="inlineStr">
        <is>
          <t>pass</t>
        </is>
      </c>
      <c r="H94" s="22" t="inlineStr">
        <is>
          <t>covered</t>
        </is>
      </c>
      <c r="I94" s="13" t="inlineStr">
        <is>
          <t>Dialog playground scenario; manually verified.</t>
        </is>
      </c>
      <c r="J94" s="13" t="inlineStr">
        <is>
          <t>Complete.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Interaction</t>
        </is>
      </c>
      <c r="C95" s="13" t="inlineStr">
        <is>
          <t>Keyboard</t>
        </is>
      </c>
      <c r="D95" s="13" t="inlineStr">
        <is>
          <t>Escape does not close when disabled</t>
        </is>
      </c>
      <c r="E95" s="18" t="inlineStr">
        <is>
          <t>yes</t>
        </is>
      </c>
      <c r="F95" s="18" t="inlineStr">
        <is>
          <t>yes</t>
        </is>
      </c>
      <c r="G95" s="12" t="inlineStr">
        <is>
          <t>pass</t>
        </is>
      </c>
      <c r="H95" s="22" t="inlineStr">
        <is>
          <t>covered</t>
        </is>
      </c>
      <c r="I95" s="13" t="inlineStr">
        <is>
          <t>Dialog playground scenario; manually verified.</t>
        </is>
      </c>
      <c r="J95" s="13" t="inlineStr">
        <is>
          <t>Complete.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Interaction</t>
        </is>
      </c>
      <c r="C96" s="13" t="inlineStr">
        <is>
          <t>Keyboard</t>
        </is>
      </c>
      <c r="D96" s="13" t="inlineStr">
        <is>
          <t>fullscreen browser Escape limitation documented</t>
        </is>
      </c>
      <c r="E96" s="18" t="inlineStr">
        <is>
          <t>yes</t>
        </is>
      </c>
      <c r="F96" s="18" t="inlineStr">
        <is>
          <t>yes</t>
        </is>
      </c>
      <c r="G96" s="12" t="inlineStr">
        <is>
          <t>pass</t>
        </is>
      </c>
      <c r="H96" s="22" t="inlineStr">
        <is>
          <t>covered</t>
        </is>
      </c>
      <c r="I96" s="13" t="inlineStr">
        <is>
          <t>Dialog playground scenario; manually verified.</t>
        </is>
      </c>
      <c r="J96" s="13" t="inlineStr">
        <is>
          <t>Complete.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Interaction</t>
        </is>
      </c>
      <c r="C97" s="13" t="inlineStr">
        <is>
          <t>Cycle</t>
        </is>
      </c>
      <c r="D97" s="13" t="inlineStr">
        <is>
          <t>multiple open/close cycles</t>
        </is>
      </c>
      <c r="E97" s="18" t="inlineStr">
        <is>
          <t>yes</t>
        </is>
      </c>
      <c r="F97" s="18" t="inlineStr">
        <is>
          <t>yes</t>
        </is>
      </c>
      <c r="G97" s="12" t="inlineStr">
        <is>
          <t>pass</t>
        </is>
      </c>
      <c r="H97" s="22" t="inlineStr">
        <is>
          <t>covered</t>
        </is>
      </c>
      <c r="I97" s="13" t="inlineStr">
        <is>
          <t>Dialog playground scenario; manually verified.</t>
        </is>
      </c>
      <c r="J97" s="13" t="inlineStr">
        <is>
          <t>Complete.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Interaction</t>
        </is>
      </c>
      <c r="C98" s="13" t="inlineStr">
        <is>
          <t>Mobile</t>
        </is>
      </c>
      <c r="D98" s="13" t="inlineStr">
        <is>
          <t>tap trigger</t>
        </is>
      </c>
      <c r="E98" s="18" t="inlineStr">
        <is>
          <t>yes</t>
        </is>
      </c>
      <c r="F98" s="18" t="inlineStr">
        <is>
          <t>yes</t>
        </is>
      </c>
      <c r="G98" s="12" t="inlineStr">
        <is>
          <t>pass</t>
        </is>
      </c>
      <c r="H98" s="22" t="inlineStr">
        <is>
          <t>covered</t>
        </is>
      </c>
      <c r="I98" s="13" t="inlineStr">
        <is>
          <t>Dialog playground scenario; manually verified.</t>
        </is>
      </c>
      <c r="J98" s="13" t="inlineStr">
        <is>
          <t>Complete.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Interaction</t>
        </is>
      </c>
      <c r="C99" s="13" t="inlineStr">
        <is>
          <t>Mobile</t>
        </is>
      </c>
      <c r="D99" s="13" t="inlineStr">
        <is>
          <t>tap backdrop</t>
        </is>
      </c>
      <c r="E99" s="18" t="inlineStr">
        <is>
          <t>yes</t>
        </is>
      </c>
      <c r="F99" s="18" t="inlineStr">
        <is>
          <t>yes</t>
        </is>
      </c>
      <c r="G99" s="12" t="inlineStr">
        <is>
          <t>pass</t>
        </is>
      </c>
      <c r="H99" s="22" t="inlineStr">
        <is>
          <t>covered</t>
        </is>
      </c>
      <c r="I99" s="13" t="inlineStr">
        <is>
          <t>Dialog playground scenario; manually verified.</t>
        </is>
      </c>
      <c r="J99" s="13" t="inlineStr">
        <is>
          <t>Complete.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Interaction</t>
        </is>
      </c>
      <c r="C100" s="13" t="inlineStr">
        <is>
          <t>Mobile</t>
        </is>
      </c>
      <c r="D100" s="13" t="inlineStr">
        <is>
          <t>viewport fit</t>
        </is>
      </c>
      <c r="E100" s="18" t="inlineStr">
        <is>
          <t>yes</t>
        </is>
      </c>
      <c r="F100" s="18" t="inlineStr">
        <is>
          <t>yes</t>
        </is>
      </c>
      <c r="G100" s="12" t="inlineStr">
        <is>
          <t>pass</t>
        </is>
      </c>
      <c r="H100" s="22" t="inlineStr">
        <is>
          <t>covered</t>
        </is>
      </c>
      <c r="I100" s="13" t="inlineStr">
        <is>
          <t>Dialog playground scenario; manually verified.</t>
        </is>
      </c>
      <c r="J100" s="13" t="inlineStr">
        <is>
          <t>Complete.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Interaction</t>
        </is>
      </c>
      <c r="C101" s="13" t="inlineStr">
        <is>
          <t>Mobile</t>
        </is>
      </c>
      <c r="D101" s="13" t="inlineStr">
        <is>
          <t>mobile focus expectations</t>
        </is>
      </c>
      <c r="E101" s="18" t="inlineStr">
        <is>
          <t>yes</t>
        </is>
      </c>
      <c r="F101" s="18" t="inlineStr">
        <is>
          <t>yes</t>
        </is>
      </c>
      <c r="G101" s="12" t="inlineStr">
        <is>
          <t>pass</t>
        </is>
      </c>
      <c r="H101" s="22" t="inlineStr">
        <is>
          <t>covered</t>
        </is>
      </c>
      <c r="I101" s="13" t="inlineStr">
        <is>
          <t>Dialog playground scenario; manually verified.</t>
        </is>
      </c>
      <c r="J101" s="13" t="inlineStr">
        <is>
          <t>Complete.</t>
        </is>
      </c>
      <c r="K101" s="14">
        <f>IF(AND(E101="yes",F101="yes",H101="covered"),1,IF(H101="partial",0.5,0))</f>
        <v/>
      </c>
    </row>
  </sheetData>
  <autoFilter ref="A8:K101"/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Direction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IFERROR(SUM(K9:K32)/COUNT(K9:K32),0)</f>
        <v/>
      </c>
      <c r="C4" s="8" t="inlineStr">
        <is>
          <t>Covered</t>
        </is>
      </c>
      <c r="D4" s="10">
        <f>COUNTIFS(E9:E32,"yes",F9:F32,"yes",H9:H32,"covered")</f>
        <v/>
      </c>
      <c r="E4" s="8" t="inlineStr">
        <is>
          <t>Partial</t>
        </is>
      </c>
      <c r="F4" s="10">
        <f>COUNTIF(H9:H32,"partial")</f>
        <v/>
      </c>
      <c r="G4" s="8" t="inlineStr">
        <is>
          <t>Missing</t>
        </is>
      </c>
      <c r="H4" s="10">
        <f>COUNTIFS(E9:E32,"&lt;&gt;yes") + COUNTIFS(E9:E32,"yes",H9:H32,"missing")</f>
        <v/>
      </c>
      <c r="I4" s="8" t="inlineStr">
        <is>
          <t>Untested</t>
        </is>
      </c>
      <c r="J4" s="10">
        <f>COUNTIFS(E9:E32,"yes",F9:F32,"&lt;&gt;yes") + COUNTIFS(E9:E32,"yes",F9:F32,"yes",H9:H32,"untested")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Direction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Direction playground scenario.</t>
        </is>
      </c>
      <c r="J9" s="13" t="inlineStr">
        <is>
          <t>Manual verification passed.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Direction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Direction playground scenario.</t>
        </is>
      </c>
      <c r="J10" s="13" t="inlineStr">
        <is>
          <t>Manual verification passed.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Direction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Direction playground scenario.</t>
        </is>
      </c>
      <c r="J11" s="13" t="inlineStr">
        <is>
          <t>Manual verification passed.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Direction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Direction playground scenario.</t>
        </is>
      </c>
      <c r="J12" s="13" t="inlineStr">
        <is>
          <t>Manual verification passed.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Direction</t>
        </is>
      </c>
      <c r="D13" s="13" t="inlineStr">
        <is>
          <t>Provides `ltr` or `rtl` direction to Atom primitives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Direction playground scenario.</t>
        </is>
      </c>
      <c r="J13" s="13" t="inlineStr">
        <is>
          <t>Manual verification passed.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Direction</t>
        </is>
      </c>
      <c r="D14" s="13" t="inlineStr">
        <is>
          <t>Supports nested providers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Direction playground scenario.</t>
        </is>
      </c>
      <c r="J14" s="13" t="inlineStr">
        <is>
          <t>Manual verification passed.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Direction</t>
        </is>
      </c>
      <c r="D15" s="13" t="inlineStr">
        <is>
          <t>Exports `useDirection` for custom headless compositions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Direction playground scenario.</t>
        </is>
      </c>
      <c r="J15" s="13" t="inlineStr">
        <is>
          <t>Manual verification passed.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Direction</t>
        </is>
      </c>
      <c r="D16" s="13" t="inlineStr">
        <is>
          <t>Does not render a DOM wrapper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Direction playground scenario.</t>
        </is>
      </c>
      <c r="J16" s="13" t="inlineStr">
        <is>
          <t>Manual verification passed.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Anatomy</t>
        </is>
      </c>
      <c r="C17" s="13" t="inlineStr">
        <is>
          <t>Root</t>
        </is>
      </c>
      <c r="D17" s="13" t="inlineStr">
        <is>
          <t>renders correct part when expected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Direction playground scenario.</t>
        </is>
      </c>
      <c r="J17" s="13" t="inlineStr">
        <is>
          <t>Manual verification passed.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appears in documented order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Direction playground scenario.</t>
        </is>
      </c>
      <c r="J18" s="13" t="inlineStr">
        <is>
          <t>Manual verification passed.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Identity</t>
        </is>
      </c>
      <c r="C19" s="13" t="inlineStr">
        <is>
          <t>Root</t>
        </is>
      </c>
      <c r="D19" s="13" t="inlineStr">
        <is>
          <t>default tag is visible in Anatomy/Inspector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Direction playground scenario.</t>
        </is>
      </c>
      <c r="J19" s="13" t="inlineStr">
        <is>
          <t>Manual verification passed.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data-slot is present and correct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Direction playground scenario.</t>
        </is>
      </c>
      <c r="J20" s="13" t="inlineStr">
        <is>
          <t>Manual verification passed.</t>
        </is>
      </c>
      <c r="K20" s="14">
        <f>IF(AND(E20="yes",F20="yes",H20="covered"),1,IF(H20="partial",0.5,0))</f>
        <v/>
      </c>
    </row>
    <row r="21" ht="30" customHeight="1" s="24">
      <c r="A21" s="12" t="n">
        <v>13</v>
      </c>
      <c r="B21" s="13" t="inlineStr">
        <is>
          <t>Props</t>
        </is>
      </c>
      <c r="C21" s="13" t="inlineStr">
        <is>
          <t>Root</t>
        </is>
      </c>
      <c r="D21" s="13" t="inlineStr">
        <is>
          <t>non-Atom native props pass through with data-prop-check marker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Direction playground scenario.</t>
        </is>
      </c>
      <c r="J21" s="13" t="inlineStr">
        <is>
          <t>Manual verification passed.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Anatomy</t>
        </is>
      </c>
      <c r="C22" s="13" t="inlineStr">
        <is>
          <t>Provider</t>
        </is>
      </c>
      <c r="D22" s="13" t="inlineStr">
        <is>
          <t>renders correct part when expected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Direction playground scenario.</t>
        </is>
      </c>
      <c r="J22" s="13" t="inlineStr">
        <is>
          <t>Manual verification passed.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Anatomy</t>
        </is>
      </c>
      <c r="C23" s="13" t="inlineStr">
        <is>
          <t>Provider</t>
        </is>
      </c>
      <c r="D23" s="13" t="inlineStr">
        <is>
          <t>appears in documented order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Direction playground scenario.</t>
        </is>
      </c>
      <c r="J23" s="13" t="inlineStr">
        <is>
          <t>Manual verification passed.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Identity</t>
        </is>
      </c>
      <c r="C24" s="13" t="inlineStr">
        <is>
          <t>Provider</t>
        </is>
      </c>
      <c r="D24" s="13" t="inlineStr">
        <is>
          <t>default tag is visible in Anatomy/Inspector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Direction playground scenario.</t>
        </is>
      </c>
      <c r="J24" s="13" t="inlineStr">
        <is>
          <t>Manual verification passed.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Identity</t>
        </is>
      </c>
      <c r="C25" s="13" t="inlineStr">
        <is>
          <t>Provider</t>
        </is>
      </c>
      <c r="D25" s="13" t="inlineStr">
        <is>
          <t>data-slot is present and correct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Direction playground scenario.</t>
        </is>
      </c>
      <c r="J25" s="13" t="inlineStr">
        <is>
          <t>Manual verification passed.</t>
        </is>
      </c>
      <c r="K25" s="14">
        <f>IF(AND(E25="yes",F25="yes",H25="covered"),1,IF(H25="partial",0.5,0))</f>
        <v/>
      </c>
    </row>
    <row r="26" ht="30" customHeight="1" s="24">
      <c r="A26" s="12" t="n">
        <v>18</v>
      </c>
      <c r="B26" s="13" t="inlineStr">
        <is>
          <t>Props</t>
        </is>
      </c>
      <c r="C26" s="13" t="inlineStr">
        <is>
          <t>Provider</t>
        </is>
      </c>
      <c r="D26" s="13" t="inlineStr">
        <is>
          <t>non-Atom native props pass through with data-prop-check marker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Direction playground scenario.</t>
        </is>
      </c>
      <c r="J26" s="13" t="inlineStr">
        <is>
          <t>Manual verification passed.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Provider</t>
        </is>
      </c>
      <c r="D27" s="13" t="inlineStr">
        <is>
          <t>dir prop behavior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Direction playground scenario.</t>
        </is>
      </c>
      <c r="J27" s="13" t="inlineStr">
        <is>
          <t>Manual verification passed.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controlled state path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Direction playground scenario.</t>
        </is>
      </c>
      <c r="J28" s="13" t="inlineStr">
        <is>
          <t>Manual verification passed.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uncontrolled default state path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Direction playground scenario.</t>
        </is>
      </c>
      <c r="J29" s="13" t="inlineStr">
        <is>
          <t>Manual verification passed.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state change callback fires once with correct value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Direction playground scenario.</t>
        </is>
      </c>
      <c r="J30" s="13" t="inlineStr">
        <is>
          <t>Manual verification passed.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Utility</t>
        </is>
      </c>
      <c r="C31" s="13" t="inlineStr">
        <is>
          <t>Direction</t>
        </is>
      </c>
      <c r="D31" s="13" t="inlineStr">
        <is>
          <t>direction provider changes descendant direction context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Direction playground scenario.</t>
        </is>
      </c>
      <c r="J31" s="13" t="inlineStr">
        <is>
          <t>Manual verification passed.</t>
        </is>
      </c>
      <c r="K31" s="14">
        <f>IF(AND(E31="yes",F31="yes",H31="covered"),1,IF(H31="partial",0.5,0))</f>
        <v/>
      </c>
    </row>
    <row r="32" ht="30" customHeight="1" s="24">
      <c r="A32" s="12" t="n">
        <v>24</v>
      </c>
      <c r="B32" s="13" t="inlineStr">
        <is>
          <t>Utility</t>
        </is>
      </c>
      <c r="C32" s="13" t="inlineStr">
        <is>
          <t>Direction</t>
        </is>
      </c>
      <c r="D32" s="13" t="inlineStr">
        <is>
          <t>rtl-sensitive keyboard behavior updates in composed widgets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Direction playground scenario.</t>
        </is>
      </c>
      <c r="J32" s="13" t="inlineStr">
        <is>
          <t>Manual verification passed.</t>
        </is>
      </c>
      <c r="K32" s="14">
        <f>IF(AND(E32="yes",F32="yes",H32="covered"),1,IF(H32="partial",0.5,0))</f>
        <v/>
      </c>
    </row>
  </sheetData>
  <autoFilter ref="A8:K32"/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Divider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IFERROR(SUM(K9:K33)/COUNT(K9:K33),0)</f>
        <v/>
      </c>
      <c r="C4" s="8" t="inlineStr">
        <is>
          <t>Covered</t>
        </is>
      </c>
      <c r="D4" s="10">
        <f>COUNTIFS(E9:E33,"yes",F9:F33,"yes",H9:H33,"covered")</f>
        <v/>
      </c>
      <c r="E4" s="8" t="inlineStr">
        <is>
          <t>Partial</t>
        </is>
      </c>
      <c r="F4" s="10">
        <f>COUNTIF(H9:H33,"partial")</f>
        <v/>
      </c>
      <c r="G4" s="8" t="inlineStr">
        <is>
          <t>Missing</t>
        </is>
      </c>
      <c r="H4" s="10">
        <f>COUNTIFS(E9:E33,"&lt;&gt;yes") + COUNTIFS(E9:E33,"yes",H9:H33,"missing")</f>
        <v/>
      </c>
      <c r="I4" s="8" t="inlineStr">
        <is>
          <t>Untested</t>
        </is>
      </c>
      <c r="J4" s="10">
        <f>COUNTIFS(E9:E33,"yes",F9:F33,"&lt;&gt;yes") + COUNTIFS(E9:E33,"yes",F9:F33,"yes",H9:H33,"untested")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Divider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Divider playground scenario.</t>
        </is>
      </c>
      <c r="J9" s="13" t="inlineStr">
        <is>
          <t>Manual verification passed.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Divider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Divider playground scenario.</t>
        </is>
      </c>
      <c r="J10" s="13" t="inlineStr">
        <is>
          <t>Manual verification passed.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Divider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Divider playground scenario.</t>
        </is>
      </c>
      <c r="J11" s="13" t="inlineStr">
        <is>
          <t>Manual verification passed.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Divider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Divider playground scenario.</t>
        </is>
      </c>
      <c r="J12" s="13" t="inlineStr">
        <is>
          <t>Manual verification passed.</t>
        </is>
      </c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Feature</t>
        </is>
      </c>
      <c r="C13" s="13" t="inlineStr">
        <is>
          <t>Divider</t>
        </is>
      </c>
      <c r="D13" s="13" t="inlineStr">
        <is>
          <t>Renders `hr` when it has no children and `div` when it contains content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Divider playground scenario.</t>
        </is>
      </c>
      <c r="J13" s="13" t="inlineStr">
        <is>
          <t>Manual verification passed.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Divider</t>
        </is>
      </c>
      <c r="D14" s="13" t="inlineStr">
        <is>
          <t>Defaults to decorative output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Divider playground scenario.</t>
        </is>
      </c>
      <c r="J14" s="13" t="inlineStr">
        <is>
          <t>Manual verification passed.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Divider</t>
        </is>
      </c>
      <c r="D15" s="13" t="inlineStr">
        <is>
          <t>Supports horizontal and vertical semantic orientation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Divider playground scenario.</t>
        </is>
      </c>
      <c r="J15" s="13" t="inlineStr">
        <is>
          <t>Manual verification passed.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Divider</t>
        </is>
      </c>
      <c r="D16" s="13" t="inlineStr">
        <is>
          <t>Supports `asChild` and `render`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Divider playground scenario.</t>
        </is>
      </c>
      <c r="J16" s="13" t="inlineStr">
        <is>
          <t>Manual verification passed.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Anatomy</t>
        </is>
      </c>
      <c r="C17" s="13" t="inlineStr">
        <is>
          <t>Root</t>
        </is>
      </c>
      <c r="D17" s="13" t="inlineStr">
        <is>
          <t>renders correct part when expected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Divider playground scenario.</t>
        </is>
      </c>
      <c r="J17" s="13" t="inlineStr">
        <is>
          <t>Manual verification passed.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appears in documented order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Divider playground scenario.</t>
        </is>
      </c>
      <c r="J18" s="13" t="inlineStr">
        <is>
          <t>Manual verification passed.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Identity</t>
        </is>
      </c>
      <c r="C19" s="13" t="inlineStr">
        <is>
          <t>Root</t>
        </is>
      </c>
      <c r="D19" s="13" t="inlineStr">
        <is>
          <t>default tag is visible in Anatomy/Inspector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Divider playground scenario.</t>
        </is>
      </c>
      <c r="J19" s="13" t="inlineStr">
        <is>
          <t>Manual verification passed.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data-slot is present and correct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Divider playground scenario.</t>
        </is>
      </c>
      <c r="J20" s="13" t="inlineStr">
        <is>
          <t>Manual verification passed.</t>
        </is>
      </c>
      <c r="K20" s="14">
        <f>IF(AND(E20="yes",F20="yes",H20="covered"),1,IF(H20="partial",0.5,0))</f>
        <v/>
      </c>
    </row>
    <row r="21" ht="30" customHeight="1" s="24">
      <c r="A21" s="12" t="n">
        <v>13</v>
      </c>
      <c r="B21" s="13" t="inlineStr">
        <is>
          <t>Props</t>
        </is>
      </c>
      <c r="C21" s="13" t="inlineStr">
        <is>
          <t>Root</t>
        </is>
      </c>
      <c r="D21" s="13" t="inlineStr">
        <is>
          <t>non-Atom native props pass through with data-prop-check marker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Divider playground scenario.</t>
        </is>
      </c>
      <c r="J21" s="13" t="inlineStr">
        <is>
          <t>Manual verification passed.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Refs</t>
        </is>
      </c>
      <c r="C22" s="13" t="inlineStr">
        <is>
          <t>Root</t>
        </is>
      </c>
      <c r="D22" s="13" t="inlineStr">
        <is>
          <t>consumer ref receives the rendered element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Divider playground scenario.</t>
        </is>
      </c>
      <c r="J22" s="13" t="inlineStr">
        <is>
          <t>Manual verification passed.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Composition</t>
        </is>
      </c>
      <c r="C23" s="13" t="inlineStr">
        <is>
          <t>Root</t>
        </is>
      </c>
      <c r="D23" s="13" t="inlineStr">
        <is>
          <t>asChild prop behavior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Divider playground scenario.</t>
        </is>
      </c>
      <c r="J23" s="13" t="inlineStr">
        <is>
          <t>Manual verification passed.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render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Divider playground scenario.</t>
        </is>
      </c>
      <c r="J24" s="13" t="inlineStr">
        <is>
          <t>Manual verification passed.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orientation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Divider playground scenario.</t>
        </is>
      </c>
      <c r="J25" s="13" t="inlineStr">
        <is>
          <t>Manual verification passed.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decorative prop behavior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Divider playground scenario.</t>
        </is>
      </c>
      <c r="J26" s="13" t="inlineStr">
        <is>
          <t>Manual verification passed.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[data-slot] prop behavior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Divider playground scenario.</t>
        </is>
      </c>
      <c r="J27" s="13" t="inlineStr">
        <is>
          <t>Manual verification passed.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ARIA</t>
        </is>
      </c>
      <c r="C28" s="13" t="inlineStr">
        <is>
          <t>Live DOM</t>
        </is>
      </c>
      <c r="D28" s="13" t="inlineStr">
        <is>
          <t>aria-orientation is present at the correct time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Divider playground scenario.</t>
        </is>
      </c>
      <c r="J28" s="13" t="inlineStr">
        <is>
          <t>Manual verification passed.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Data</t>
        </is>
      </c>
      <c r="C29" s="13" t="inlineStr">
        <is>
          <t>Live DOM</t>
        </is>
      </c>
      <c r="D29" s="13" t="inlineStr">
        <is>
          <t>data-slot is present at the correct time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Divider playground scenario.</t>
        </is>
      </c>
      <c r="J29" s="13" t="inlineStr">
        <is>
          <t>Manual verification passed.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Composition</t>
        </is>
      </c>
      <c r="C30" s="13" t="inlineStr">
        <is>
          <t>Divider</t>
        </is>
      </c>
      <c r="D30" s="13" t="inlineStr">
        <is>
          <t>asChild preserves child content without double nesting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Divider playground scenario.</t>
        </is>
      </c>
      <c r="J30" s="13" t="inlineStr">
        <is>
          <t>Manual verification passed.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Composition</t>
        </is>
      </c>
      <c r="C31" s="13" t="inlineStr">
        <is>
          <t>Divider</t>
        </is>
      </c>
      <c r="D31" s="13" t="inlineStr">
        <is>
          <t>asChild merges Atom props and consumer props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Divider playground scenario.</t>
        </is>
      </c>
      <c r="J31" s="13" t="inlineStr">
        <is>
          <t>Manual verification passed.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Composition</t>
        </is>
      </c>
      <c r="C32" s="13" t="inlineStr">
        <is>
          <t>Divider</t>
        </is>
      </c>
      <c r="D32" s="13" t="inlineStr">
        <is>
          <t>render prop renders custom element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Divider playground scenario.</t>
        </is>
      </c>
      <c r="J32" s="13" t="inlineStr">
        <is>
          <t>Manual verification passed.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Composition</t>
        </is>
      </c>
      <c r="C33" s="13" t="inlineStr">
        <is>
          <t>Divider</t>
        </is>
      </c>
      <c r="D33" s="13" t="inlineStr">
        <is>
          <t>render prop preserves refs and behavior props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Divider playground scenario.</t>
        </is>
      </c>
      <c r="J33" s="13" t="inlineStr">
        <is>
          <t>Manual verification passed.</t>
        </is>
      </c>
      <c r="K33" s="14">
        <f>IF(AND(E33="yes",F33="yes",H33="covered"),1,IF(H33="partial",0.5,0))</f>
        <v/>
      </c>
    </row>
  </sheetData>
  <autoFilter ref="A8:K33"/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Drawer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IFERROR(SUM(K9:K125)/COUNT(K9:K125),0)</f>
        <v/>
      </c>
      <c r="C4" s="8" t="inlineStr">
        <is>
          <t>Covered</t>
        </is>
      </c>
      <c r="D4" s="10">
        <f>COUNTIFS(E9:E125,"yes",F9:F125,"yes",H9:H125,"covered")</f>
        <v/>
      </c>
      <c r="E4" s="8" t="inlineStr">
        <is>
          <t>Partial</t>
        </is>
      </c>
      <c r="F4" s="10">
        <f>COUNTIF(H9:H125,"partial")</f>
        <v/>
      </c>
      <c r="G4" s="8" t="inlineStr">
        <is>
          <t>Missing</t>
        </is>
      </c>
      <c r="H4" s="10">
        <f>COUNTIFS(E9:E125,"&lt;&gt;yes") + COUNTIFS(E9:E125,"yes",H9:H125,"missing")</f>
        <v/>
      </c>
      <c r="I4" s="8" t="inlineStr">
        <is>
          <t>Untested</t>
        </is>
      </c>
      <c r="J4" s="10">
        <f>COUNTIFS(E9:E125,"yes",F9:F125,"&lt;&gt;yes") + COUNTIFS(E9:E125,"yes",F9:F125,"yes",H9:H125,"untested")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Drawer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Drawer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Drawer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Drawer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Drawer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Drawer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Drawer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Drawer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Drawer</t>
        </is>
      </c>
      <c r="D13" s="13" t="inlineStr">
        <is>
          <t>Controlled and uncontrolled open state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Drawer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Feature</t>
        </is>
      </c>
      <c r="C14" s="13" t="inlineStr">
        <is>
          <t>Drawer</t>
        </is>
      </c>
      <c r="D14" s="13" t="inlineStr">
        <is>
          <t>Trigger, portal, overlay, content, title, description, and close parts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Drawer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Drawer</t>
        </is>
      </c>
      <c r="D15" s="13" t="inlineStr">
        <is>
          <t>Focus trap, focus restore, Escape dismissal, backdrop dismissal, and scroll lock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Drawer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Drawer</t>
        </is>
      </c>
      <c r="D16" s="13" t="inlineStr">
        <is>
          <t>Stack-aware Escape dismissal so nested overlays close before the parent drawer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Drawer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Drawer</t>
        </is>
      </c>
      <c r="D17" s="13" t="inlineStr">
        <is>
          <t>`placement` value exposed as `data-placement` for styling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Drawer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Drawer</t>
        </is>
      </c>
      <c r="D18" s="13" t="inlineStr">
        <is>
          <t>Keep-mounted content support for exit animations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Drawer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30" customHeight="1" s="24">
      <c r="A19" s="12" t="n">
        <v>11</v>
      </c>
      <c r="B19" s="13" t="inlineStr">
        <is>
          <t>Feature</t>
        </is>
      </c>
      <c r="C19" s="13" t="inlineStr">
        <is>
          <t>Drawer</t>
        </is>
      </c>
      <c r="D19" s="13" t="inlineStr">
        <is>
          <t>Headless only: placement does not apply visual positioning by itself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Drawer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renders correct part when expected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Drawer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Anatomy</t>
        </is>
      </c>
      <c r="C21" s="13" t="inlineStr">
        <is>
          <t>Root</t>
        </is>
      </c>
      <c r="D21" s="13" t="inlineStr">
        <is>
          <t>appears in documented order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Drawer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default tag is visible in Anatomy/Inspector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Drawer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data-slot is present and correct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Drawer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30" customHeight="1" s="24">
      <c r="A24" s="12" t="n">
        <v>16</v>
      </c>
      <c r="B24" s="13" t="inlineStr">
        <is>
          <t>Props</t>
        </is>
      </c>
      <c r="C24" s="13" t="inlineStr">
        <is>
          <t>Root</t>
        </is>
      </c>
      <c r="D24" s="13" t="inlineStr">
        <is>
          <t>non-Atom native props pass through with data-prop-check marker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Drawer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Refs</t>
        </is>
      </c>
      <c r="C25" s="13" t="inlineStr">
        <is>
          <t>Root</t>
        </is>
      </c>
      <c r="D25" s="13" t="inlineStr">
        <is>
          <t>consumer ref receives the rendered element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Drawer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open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Drawer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defaultOpen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Drawer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onOpenChange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Drawer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closeOnEscape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Drawer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closeOnBackdropClick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Drawer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disabled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Drawer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keepMounted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Drawer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Anatomy</t>
        </is>
      </c>
      <c r="C33" s="13" t="inlineStr">
        <is>
          <t>Portal</t>
        </is>
      </c>
      <c r="D33" s="13" t="inlineStr">
        <is>
          <t>renders correct part when expected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Drawer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Anatomy</t>
        </is>
      </c>
      <c r="C34" s="13" t="inlineStr">
        <is>
          <t>Portal</t>
        </is>
      </c>
      <c r="D34" s="13" t="inlineStr">
        <is>
          <t>appears in documented order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Drawer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Identity</t>
        </is>
      </c>
      <c r="C35" s="13" t="inlineStr">
        <is>
          <t>Portal</t>
        </is>
      </c>
      <c r="D35" s="13" t="inlineStr">
        <is>
          <t>default tag is visible in Anatomy/Inspector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Drawer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Identity</t>
        </is>
      </c>
      <c r="C36" s="13" t="inlineStr">
        <is>
          <t>Portal</t>
        </is>
      </c>
      <c r="D36" s="13" t="inlineStr">
        <is>
          <t>data-slot is present and correct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Drawer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30" customHeight="1" s="24">
      <c r="A37" s="12" t="n">
        <v>29</v>
      </c>
      <c r="B37" s="13" t="inlineStr">
        <is>
          <t>Props</t>
        </is>
      </c>
      <c r="C37" s="13" t="inlineStr">
        <is>
          <t>Portal</t>
        </is>
      </c>
      <c r="D37" s="13" t="inlineStr">
        <is>
          <t>non-Atom native props pass through with data-prop-check marker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Drawer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Refs</t>
        </is>
      </c>
      <c r="C38" s="13" t="inlineStr">
        <is>
          <t>Portal</t>
        </is>
      </c>
      <c r="D38" s="13" t="inlineStr">
        <is>
          <t>consumer ref receives the rendered element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Drawer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Positioning</t>
        </is>
      </c>
      <c r="C39" s="13" t="inlineStr">
        <is>
          <t>Portal</t>
        </is>
      </c>
      <c r="D39" s="13" t="inlineStr">
        <is>
          <t>container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Drawer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Portal</t>
        </is>
      </c>
      <c r="D40" s="13" t="inlineStr">
        <is>
          <t>disabled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Drawer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Anatomy</t>
        </is>
      </c>
      <c r="C41" s="13" t="inlineStr">
        <is>
          <t>Overlay</t>
        </is>
      </c>
      <c r="D41" s="13" t="inlineStr">
        <is>
          <t>renders correct part when expected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Drawer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Overlay</t>
        </is>
      </c>
      <c r="D42" s="13" t="inlineStr">
        <is>
          <t>appears in documented order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Drawer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Identity</t>
        </is>
      </c>
      <c r="C43" s="13" t="inlineStr">
        <is>
          <t>Overlay</t>
        </is>
      </c>
      <c r="D43" s="13" t="inlineStr">
        <is>
          <t>default tag is visible in Anatomy/Inspector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Drawer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Overlay</t>
        </is>
      </c>
      <c r="D44" s="13" t="inlineStr">
        <is>
          <t>data-slot is present and correct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Drawer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30" customHeight="1" s="24">
      <c r="A45" s="12" t="n">
        <v>37</v>
      </c>
      <c r="B45" s="13" t="inlineStr">
        <is>
          <t>Props</t>
        </is>
      </c>
      <c r="C45" s="13" t="inlineStr">
        <is>
          <t>Overlay</t>
        </is>
      </c>
      <c r="D45" s="13" t="inlineStr">
        <is>
          <t>non-Atom native props pass through with data-prop-check marker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Drawer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Refs</t>
        </is>
      </c>
      <c r="C46" s="13" t="inlineStr">
        <is>
          <t>Overlay</t>
        </is>
      </c>
      <c r="D46" s="13" t="inlineStr">
        <is>
          <t>consumer ref receives the rendered element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Drawer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State</t>
        </is>
      </c>
      <c r="C47" s="13" t="inlineStr">
        <is>
          <t>Overlay</t>
        </is>
      </c>
      <c r="D47" s="13" t="inlineStr">
        <is>
          <t>disabled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Drawer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Overlay</t>
        </is>
      </c>
      <c r="D48" s="13" t="inlineStr">
        <is>
          <t>data-slot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Drawer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Overlay</t>
        </is>
      </c>
      <c r="D49" s="13" t="inlineStr">
        <is>
          <t>[data-slot]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Drawer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Overlay</t>
        </is>
      </c>
      <c r="D50" s="13" t="inlineStr">
        <is>
          <t>[data-state]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Drawer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Overlay</t>
        </is>
      </c>
      <c r="D51" s="13" t="inlineStr">
        <is>
          <t>[data-positioned]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Drawer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Anatomy</t>
        </is>
      </c>
      <c r="C52" s="13" t="inlineStr">
        <is>
          <t>Trigger</t>
        </is>
      </c>
      <c r="D52" s="13" t="inlineStr">
        <is>
          <t>renders correct part when expected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Drawer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Anatomy</t>
        </is>
      </c>
      <c r="C53" s="13" t="inlineStr">
        <is>
          <t>Trigger</t>
        </is>
      </c>
      <c r="D53" s="13" t="inlineStr">
        <is>
          <t>appears in documented order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Drawer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Identity</t>
        </is>
      </c>
      <c r="C54" s="13" t="inlineStr">
        <is>
          <t>Trigger</t>
        </is>
      </c>
      <c r="D54" s="13" t="inlineStr">
        <is>
          <t>default tag is visible in Anatomy/Inspector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Drawer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Identity</t>
        </is>
      </c>
      <c r="C55" s="13" t="inlineStr">
        <is>
          <t>Trigger</t>
        </is>
      </c>
      <c r="D55" s="13" t="inlineStr">
        <is>
          <t>data-slot is present and correct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Drawer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30" customHeight="1" s="24">
      <c r="A56" s="12" t="n">
        <v>48</v>
      </c>
      <c r="B56" s="13" t="inlineStr">
        <is>
          <t>Props</t>
        </is>
      </c>
      <c r="C56" s="13" t="inlineStr">
        <is>
          <t>Trigger</t>
        </is>
      </c>
      <c r="D56" s="13" t="inlineStr">
        <is>
          <t>non-Atom native props pass through with data-prop-check marker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Drawer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Refs</t>
        </is>
      </c>
      <c r="C57" s="13" t="inlineStr">
        <is>
          <t>Trigger</t>
        </is>
      </c>
      <c r="D57" s="13" t="inlineStr">
        <is>
          <t>consumer ref receives the rendered element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Drawer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Composition</t>
        </is>
      </c>
      <c r="C58" s="13" t="inlineStr">
        <is>
          <t>Trigger</t>
        </is>
      </c>
      <c r="D58" s="13" t="inlineStr">
        <is>
          <t>asChild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Drawer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Composition</t>
        </is>
      </c>
      <c r="C59" s="13" t="inlineStr">
        <is>
          <t>Trigger</t>
        </is>
      </c>
      <c r="D59" s="13" t="inlineStr">
        <is>
          <t>render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Drawer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Trigger</t>
        </is>
      </c>
      <c r="D60" s="13" t="inlineStr">
        <is>
          <t>data-slot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Drawer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Trigger</t>
        </is>
      </c>
      <c r="D61" s="13" t="inlineStr">
        <is>
          <t>[data-slot]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Drawer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Trigger</t>
        </is>
      </c>
      <c r="D62" s="13" t="inlineStr">
        <is>
          <t>[data-state]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Drawer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State</t>
        </is>
      </c>
      <c r="C63" s="13" t="inlineStr">
        <is>
          <t>Trigger</t>
        </is>
      </c>
      <c r="D63" s="13" t="inlineStr">
        <is>
          <t>[data-disabled]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Drawer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Content</t>
        </is>
      </c>
      <c r="D64" s="13" t="inlineStr">
        <is>
          <t>renders correct part when expected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Drawer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Content</t>
        </is>
      </c>
      <c r="D65" s="13" t="inlineStr">
        <is>
          <t>appears in documented order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Drawer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Content</t>
        </is>
      </c>
      <c r="D66" s="13" t="inlineStr">
        <is>
          <t>default tag is visible in Anatomy/Inspector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Drawer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Content</t>
        </is>
      </c>
      <c r="D67" s="13" t="inlineStr">
        <is>
          <t>data-slot is present and correct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Drawer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Props</t>
        </is>
      </c>
      <c r="C68" s="13" t="inlineStr">
        <is>
          <t>Content</t>
        </is>
      </c>
      <c r="D68" s="13" t="inlineStr">
        <is>
          <t>non-Atom native props pass through with data-prop-check marker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Drawer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Refs</t>
        </is>
      </c>
      <c r="C69" s="13" t="inlineStr">
        <is>
          <t>Content</t>
        </is>
      </c>
      <c r="D69" s="13" t="inlineStr">
        <is>
          <t>consumer ref receives the rendered element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Drawer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Content</t>
        </is>
      </c>
      <c r="D70" s="13" t="inlineStr">
        <is>
          <t>placement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Drawer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Accessibility</t>
        </is>
      </c>
      <c r="C71" s="13" t="inlineStr">
        <is>
          <t>Content</t>
        </is>
      </c>
      <c r="D71" s="13" t="inlineStr">
        <is>
          <t>ariaLabel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Drawer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Content</t>
        </is>
      </c>
      <c r="D72" s="13" t="inlineStr">
        <is>
          <t>data-slot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Drawer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Content</t>
        </is>
      </c>
      <c r="D73" s="13" t="inlineStr">
        <is>
          <t>[data-slot]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Drawer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Public API</t>
        </is>
      </c>
      <c r="C74" s="13" t="inlineStr">
        <is>
          <t>Content</t>
        </is>
      </c>
      <c r="D74" s="13" t="inlineStr">
        <is>
          <t>[data-state]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Drawer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Public API</t>
        </is>
      </c>
      <c r="C75" s="13" t="inlineStr">
        <is>
          <t>Content</t>
        </is>
      </c>
      <c r="D75" s="13" t="inlineStr">
        <is>
          <t>[data-placement]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Drawer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Public API</t>
        </is>
      </c>
      <c r="C76" s="13" t="inlineStr">
        <is>
          <t>Content</t>
        </is>
      </c>
      <c r="D76" s="13" t="inlineStr">
        <is>
          <t>[data-positioned]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Drawer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Anatomy</t>
        </is>
      </c>
      <c r="C77" s="13" t="inlineStr">
        <is>
          <t>Title</t>
        </is>
      </c>
      <c r="D77" s="13" t="inlineStr">
        <is>
          <t>renders correct part when expected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Drawer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Anatomy</t>
        </is>
      </c>
      <c r="C78" s="13" t="inlineStr">
        <is>
          <t>Title</t>
        </is>
      </c>
      <c r="D78" s="13" t="inlineStr">
        <is>
          <t>appears in documented order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Drawer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Identity</t>
        </is>
      </c>
      <c r="C79" s="13" t="inlineStr">
        <is>
          <t>Title</t>
        </is>
      </c>
      <c r="D79" s="13" t="inlineStr">
        <is>
          <t>default tag is visible in Anatomy/Inspector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Drawer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Title</t>
        </is>
      </c>
      <c r="D80" s="13" t="inlineStr">
        <is>
          <t>data-slot is present and correct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Drawer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Props</t>
        </is>
      </c>
      <c r="C81" s="13" t="inlineStr">
        <is>
          <t>Title</t>
        </is>
      </c>
      <c r="D81" s="13" t="inlineStr">
        <is>
          <t>non-Atom native props pass through with data-prop-check marker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Drawer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Refs</t>
        </is>
      </c>
      <c r="C82" s="13" t="inlineStr">
        <is>
          <t>Title</t>
        </is>
      </c>
      <c r="D82" s="13" t="inlineStr">
        <is>
          <t>consumer ref receives the rendered element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Drawer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Public API</t>
        </is>
      </c>
      <c r="C83" s="13" t="inlineStr">
        <is>
          <t>Title</t>
        </is>
      </c>
      <c r="D83" s="13" t="inlineStr">
        <is>
          <t>as prop behavior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Drawer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Public API</t>
        </is>
      </c>
      <c r="C84" s="13" t="inlineStr">
        <is>
          <t>Title</t>
        </is>
      </c>
      <c r="D84" s="13" t="inlineStr">
        <is>
          <t>data-slot prop behavior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Drawer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Anatomy</t>
        </is>
      </c>
      <c r="C85" s="13" t="inlineStr">
        <is>
          <t>Description</t>
        </is>
      </c>
      <c r="D85" s="13" t="inlineStr">
        <is>
          <t>renders correct part when expected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Drawer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Anatomy</t>
        </is>
      </c>
      <c r="C86" s="13" t="inlineStr">
        <is>
          <t>Description</t>
        </is>
      </c>
      <c r="D86" s="13" t="inlineStr">
        <is>
          <t>appears in documented order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Drawer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Identity</t>
        </is>
      </c>
      <c r="C87" s="13" t="inlineStr">
        <is>
          <t>Description</t>
        </is>
      </c>
      <c r="D87" s="13" t="inlineStr">
        <is>
          <t>default tag is visible in Anatomy/Inspector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Drawer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Identity</t>
        </is>
      </c>
      <c r="C88" s="13" t="inlineStr">
        <is>
          <t>Description</t>
        </is>
      </c>
      <c r="D88" s="13" t="inlineStr">
        <is>
          <t>data-slot is present and correct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Drawer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30" customHeight="1" s="24">
      <c r="A89" s="12" t="n">
        <v>81</v>
      </c>
      <c r="B89" s="13" t="inlineStr">
        <is>
          <t>Props</t>
        </is>
      </c>
      <c r="C89" s="13" t="inlineStr">
        <is>
          <t>Description</t>
        </is>
      </c>
      <c r="D89" s="13" t="inlineStr">
        <is>
          <t>non-Atom native props pass through with data-prop-check marker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Drawer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Refs</t>
        </is>
      </c>
      <c r="C90" s="13" t="inlineStr">
        <is>
          <t>Description</t>
        </is>
      </c>
      <c r="D90" s="13" t="inlineStr">
        <is>
          <t>consumer ref receives the rendered element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Drawer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Public API</t>
        </is>
      </c>
      <c r="C91" s="13" t="inlineStr">
        <is>
          <t>Description</t>
        </is>
      </c>
      <c r="D91" s="13" t="inlineStr">
        <is>
          <t>data-slot prop behavior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Drawer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Anatomy</t>
        </is>
      </c>
      <c r="C92" s="13" t="inlineStr">
        <is>
          <t>Close</t>
        </is>
      </c>
      <c r="D92" s="13" t="inlineStr">
        <is>
          <t>renders correct part when expected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Drawer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Anatomy</t>
        </is>
      </c>
      <c r="C93" s="13" t="inlineStr">
        <is>
          <t>Close</t>
        </is>
      </c>
      <c r="D93" s="13" t="inlineStr">
        <is>
          <t>appears in documented order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Drawer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Identity</t>
        </is>
      </c>
      <c r="C94" s="13" t="inlineStr">
        <is>
          <t>Close</t>
        </is>
      </c>
      <c r="D94" s="13" t="inlineStr">
        <is>
          <t>default tag is visible in Anatomy/Inspector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Drawer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Identity</t>
        </is>
      </c>
      <c r="C95" s="13" t="inlineStr">
        <is>
          <t>Close</t>
        </is>
      </c>
      <c r="D95" s="13" t="inlineStr">
        <is>
          <t>data-slot is present and correct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Drawer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30" customHeight="1" s="24">
      <c r="A96" s="12" t="n">
        <v>88</v>
      </c>
      <c r="B96" s="13" t="inlineStr">
        <is>
          <t>Props</t>
        </is>
      </c>
      <c r="C96" s="13" t="inlineStr">
        <is>
          <t>Close</t>
        </is>
      </c>
      <c r="D96" s="13" t="inlineStr">
        <is>
          <t>non-Atom native props pass through with data-prop-check marker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Drawer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Refs</t>
        </is>
      </c>
      <c r="C97" s="13" t="inlineStr">
        <is>
          <t>Close</t>
        </is>
      </c>
      <c r="D97" s="13" t="inlineStr">
        <is>
          <t>consumer ref receives the rendered element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Drawer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Composition</t>
        </is>
      </c>
      <c r="C98" s="13" t="inlineStr">
        <is>
          <t>Close</t>
        </is>
      </c>
      <c r="D98" s="13" t="inlineStr">
        <is>
          <t>asChild prop behavior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Drawer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Composition</t>
        </is>
      </c>
      <c r="C99" s="13" t="inlineStr">
        <is>
          <t>Close</t>
        </is>
      </c>
      <c r="D99" s="13" t="inlineStr">
        <is>
          <t>render prop behavior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Drawer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Public API</t>
        </is>
      </c>
      <c r="C100" s="13" t="inlineStr">
        <is>
          <t>Close</t>
        </is>
      </c>
      <c r="D100" s="13" t="inlineStr">
        <is>
          <t>data-slot prop behavior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Drawer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ARIA</t>
        </is>
      </c>
      <c r="C101" s="13" t="inlineStr">
        <is>
          <t>Live DOM</t>
        </is>
      </c>
      <c r="D101" s="13" t="inlineStr">
        <is>
          <t>aria-hidden is present at the correct time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Drawer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Data</t>
        </is>
      </c>
      <c r="C102" s="13" t="inlineStr">
        <is>
          <t>Live DOM</t>
        </is>
      </c>
      <c r="D102" s="13" t="inlineStr">
        <is>
          <t>data-placement is present at the correct time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Drawer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Data</t>
        </is>
      </c>
      <c r="C103" s="13" t="inlineStr">
        <is>
          <t>Live DOM</t>
        </is>
      </c>
      <c r="D103" s="13" t="inlineStr">
        <is>
          <t>data-positioned is present at the correct time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Drawer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Data</t>
        </is>
      </c>
      <c r="C104" s="13" t="inlineStr">
        <is>
          <t>Live DOM</t>
        </is>
      </c>
      <c r="D104" s="13" t="inlineStr">
        <is>
          <t>data-slot is present at the correct time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Drawer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Data</t>
        </is>
      </c>
      <c r="C105" s="13" t="inlineStr">
        <is>
          <t>Live DOM</t>
        </is>
      </c>
      <c r="D105" s="13" t="inlineStr">
        <is>
          <t>data-state is present at the correct time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Drawer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State</t>
        </is>
      </c>
      <c r="C106" s="13" t="inlineStr">
        <is>
          <t>Root</t>
        </is>
      </c>
      <c r="D106" s="13" t="inlineStr">
        <is>
          <t>controlled state path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Drawer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State</t>
        </is>
      </c>
      <c r="C107" s="13" t="inlineStr">
        <is>
          <t>Root</t>
        </is>
      </c>
      <c r="D107" s="13" t="inlineStr">
        <is>
          <t>uncontrolled default state path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Drawer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State</t>
        </is>
      </c>
      <c r="C108" s="13" t="inlineStr">
        <is>
          <t>Root</t>
        </is>
      </c>
      <c r="D108" s="13" t="inlineStr">
        <is>
          <t>state change callback fires once with correct value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Drawer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Interaction</t>
        </is>
      </c>
      <c r="C109" s="13" t="inlineStr">
        <is>
          <t>Trigger</t>
        </is>
      </c>
      <c r="D109" s="13" t="inlineStr">
        <is>
          <t>mouse click or pointer activation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Drawer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Interaction</t>
        </is>
      </c>
      <c r="C110" s="13" t="inlineStr">
        <is>
          <t>Trigger</t>
        </is>
      </c>
      <c r="D110" s="13" t="inlineStr">
        <is>
          <t>Enter key activation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Drawer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Interaction</t>
        </is>
      </c>
      <c r="C111" s="13" t="inlineStr">
        <is>
          <t>Trigger</t>
        </is>
      </c>
      <c r="D111" s="13" t="inlineStr">
        <is>
          <t>Space key activation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Drawer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Interaction</t>
        </is>
      </c>
      <c r="C112" s="13" t="inlineStr">
        <is>
          <t>Trigger</t>
        </is>
      </c>
      <c r="D112" s="13" t="inlineStr">
        <is>
          <t>disabled trigger blocks pointer and keyboard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Drawer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Focus</t>
        </is>
      </c>
      <c r="C113" s="13" t="inlineStr">
        <is>
          <t>Trigger</t>
        </is>
      </c>
      <c r="D113" s="13" t="inlineStr">
        <is>
          <t>focus ring and focus restoration are correct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Drawer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Dismiss</t>
        </is>
      </c>
      <c r="C114" s="13" t="inlineStr">
        <is>
          <t>Drawer</t>
        </is>
      </c>
      <c r="D114" s="13" t="inlineStr">
        <is>
          <t>Escape closes only the topmost active layer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Drawer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Dismiss</t>
        </is>
      </c>
      <c r="C115" s="13" t="inlineStr">
        <is>
          <t>Drawer</t>
        </is>
      </c>
      <c r="D115" s="13" t="inlineStr">
        <is>
          <t>outside click/interact closes when enabled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Drawer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Dismiss</t>
        </is>
      </c>
      <c r="C116" s="13" t="inlineStr">
        <is>
          <t>Drawer</t>
        </is>
      </c>
      <c r="D116" s="13" t="inlineStr">
        <is>
          <t>outside click/interact is blocked when disabled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Drawer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Focus</t>
        </is>
      </c>
      <c r="C117" s="13" t="inlineStr">
        <is>
          <t>Drawer</t>
        </is>
      </c>
      <c r="D117" s="13" t="inlineStr">
        <is>
          <t>focus returns to the correct trigger/anchor after close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Drawer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Focus</t>
        </is>
      </c>
      <c r="C118" s="13" t="inlineStr">
        <is>
          <t>Drawer</t>
        </is>
      </c>
      <c r="D118" s="13" t="inlineStr">
        <is>
          <t>nested overlays keep focus and Escape order correct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Drawer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Mobile</t>
        </is>
      </c>
      <c r="C119" s="13" t="inlineStr">
        <is>
          <t>Drawer</t>
        </is>
      </c>
      <c r="D119" s="13" t="inlineStr">
        <is>
          <t>mobile viewport/touch behavior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Drawer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Portal</t>
        </is>
      </c>
      <c r="C120" s="13" t="inlineStr">
        <is>
          <t>Drawer</t>
        </is>
      </c>
      <c r="D120" s="13" t="inlineStr">
        <is>
          <t>portal renders in body by default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Drawer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Portal</t>
        </is>
      </c>
      <c r="C121" s="13" t="inlineStr">
        <is>
          <t>Drawer</t>
        </is>
      </c>
      <c r="D121" s="13" t="inlineStr">
        <is>
          <t>custom/disabled portal path works where supported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Drawer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Positioning</t>
        </is>
      </c>
      <c r="C122" s="13" t="inlineStr">
        <is>
          <t>Drawer</t>
        </is>
      </c>
      <c r="D122" s="13" t="inlineStr">
        <is>
          <t>side options position content correctly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Drawer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Positioning</t>
        </is>
      </c>
      <c r="C123" s="13" t="inlineStr">
        <is>
          <t>Drawer</t>
        </is>
      </c>
      <c r="D123" s="13" t="inlineStr">
        <is>
          <t>align options position content correctly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Drawer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Positioning</t>
        </is>
      </c>
      <c r="C124" s="13" t="inlineStr">
        <is>
          <t>Drawer</t>
        </is>
      </c>
      <c r="D124" s="13" t="inlineStr">
        <is>
          <t>collision/flip/shift behavior stays in viewport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Drawer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30" customHeight="1" s="24">
      <c r="A125" s="12" t="n">
        <v>117</v>
      </c>
      <c r="B125" s="13" t="inlineStr">
        <is>
          <t>Positioning</t>
        </is>
      </c>
      <c r="C125" s="13" t="inlineStr">
        <is>
          <t>Drawer</t>
        </is>
      </c>
      <c r="D125" s="13" t="inlineStr">
        <is>
          <t>arrow or anchor geometry matches content where supported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Drawer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</sheetData>
  <autoFilter ref="A8:K125"/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DropdownMenu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IFERROR(SUM(K9:K236)/COUNT(K9:K236),0)</f>
        <v/>
      </c>
      <c r="C4" s="8" t="inlineStr">
        <is>
          <t>Covered</t>
        </is>
      </c>
      <c r="D4" s="10">
        <f>COUNTIFS(E9:E236,"yes",F9:F236,"yes",H9:H236,"covered")</f>
        <v/>
      </c>
      <c r="E4" s="8" t="inlineStr">
        <is>
          <t>Partial</t>
        </is>
      </c>
      <c r="F4" s="10">
        <f>COUNTIF(H9:H236,"partial")</f>
        <v/>
      </c>
      <c r="G4" s="8" t="inlineStr">
        <is>
          <t>Missing</t>
        </is>
      </c>
      <c r="H4" s="10">
        <f>COUNTIFS(E9:E236,"&lt;&gt;yes") + COUNTIFS(E9:E236,"yes",H9:H236,"missing")</f>
        <v/>
      </c>
      <c r="I4" s="8" t="inlineStr">
        <is>
          <t>Untested</t>
        </is>
      </c>
      <c r="J4" s="10">
        <f>COUNTIFS(E9:E236,"yes",F9:F236,"&lt;&gt;yes") + COUNTIFS(E9:E236,"yes",F9:F236,"yes",H9:H236,"untested")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32" customHeight="1" s="24">
      <c r="A9" s="12" t="n">
        <v>1</v>
      </c>
      <c r="B9" s="13" t="inlineStr">
        <is>
          <t>Public API</t>
        </is>
      </c>
      <c r="C9" s="13" t="inlineStr">
        <is>
          <t>Root</t>
        </is>
      </c>
      <c r="D9" s="13" t="inlineStr">
        <is>
          <t>open prop controls menu visibility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</t>
        </is>
      </c>
      <c r="H9" s="22" t="inlineStr">
        <is>
          <t>covered</t>
        </is>
      </c>
      <c r="I9" s="13" t="inlineStr">
        <is>
          <t>Dropdown Menu root open/close batch; manually verified.</t>
        </is>
      </c>
      <c r="J9" s="13" t="inlineStr">
        <is>
          <t>Complete.</t>
        </is>
      </c>
      <c r="K9" s="14">
        <f>IF(AND(E9="yes",F9="yes",H9="covered"),1,IF(H9="partial",0.5,0))</f>
        <v/>
      </c>
    </row>
    <row r="10" ht="32" customHeight="1" s="24">
      <c r="A10" s="12" t="n">
        <v>2</v>
      </c>
      <c r="B10" s="13" t="inlineStr">
        <is>
          <t>Public API</t>
        </is>
      </c>
      <c r="C10" s="13" t="inlineStr">
        <is>
          <t>Root</t>
        </is>
      </c>
      <c r="D10" s="13" t="inlineStr">
        <is>
          <t>defaultOpen initializes uncontrolled open state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</t>
        </is>
      </c>
      <c r="H10" s="22" t="inlineStr">
        <is>
          <t>covered</t>
        </is>
      </c>
      <c r="I10" s="13" t="inlineStr">
        <is>
          <t>Dropdown Menu uncontrolled defaultOpen and inside Dialog focus batch; manually verified.</t>
        </is>
      </c>
      <c r="J10" s="13" t="inlineStr">
        <is>
          <t>Complete.</t>
        </is>
      </c>
      <c r="K10" s="14">
        <f>IF(AND(E10="yes",F10="yes",H10="covered"),1,IF(H10="partial",0.5,0))</f>
        <v/>
      </c>
    </row>
    <row r="11" ht="32" customHeight="1" s="24">
      <c r="A11" s="12" t="n">
        <v>3</v>
      </c>
      <c r="B11" s="13" t="inlineStr">
        <is>
          <t>Public API</t>
        </is>
      </c>
      <c r="C11" s="13" t="inlineStr">
        <is>
          <t>Root</t>
        </is>
      </c>
      <c r="D11" s="13" t="inlineStr">
        <is>
          <t>onOpenChange fires on open and close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</t>
        </is>
      </c>
      <c r="H11" s="22" t="inlineStr">
        <is>
          <t>covered</t>
        </is>
      </c>
      <c r="I11" s="13" t="inlineStr">
        <is>
          <t>Dropdown Menu root open/close batch; manually verified.</t>
        </is>
      </c>
      <c r="J11" s="13" t="inlineStr">
        <is>
          <t>Complete.</t>
        </is>
      </c>
      <c r="K11" s="14">
        <f>IF(AND(E11="yes",F11="yes",H11="covered"),1,IF(H11="partial",0.5,0))</f>
        <v/>
      </c>
    </row>
    <row r="12" ht="32" customHeight="1" s="24">
      <c r="A12" s="12" t="n">
        <v>4</v>
      </c>
      <c r="B12" s="13" t="inlineStr">
        <is>
          <t>Public API</t>
        </is>
      </c>
      <c r="C12" s="13" t="inlineStr">
        <is>
          <t>Root</t>
        </is>
      </c>
      <c r="D12" s="13" t="inlineStr">
        <is>
          <t>closeOnSelect true closes action items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</t>
        </is>
      </c>
      <c r="H12" s="22" t="inlineStr">
        <is>
          <t>covered</t>
        </is>
      </c>
      <c r="I12" s="13" t="inlineStr">
        <is>
          <t>Dropdown Menu closeOnSelect and keyboard loop batch; manually verified.</t>
        </is>
      </c>
      <c r="J12" s="13" t="inlineStr">
        <is>
          <t>Complete.</t>
        </is>
      </c>
      <c r="K12" s="14">
        <f>IF(AND(E12="yes",F12="yes",H12="covered"),1,IF(H12="partial",0.5,0))</f>
        <v/>
      </c>
    </row>
    <row r="13" ht="32" customHeight="1" s="24">
      <c r="A13" s="12" t="n">
        <v>5</v>
      </c>
      <c r="B13" s="13" t="inlineStr">
        <is>
          <t>Public API</t>
        </is>
      </c>
      <c r="C13" s="13" t="inlineStr">
        <is>
          <t>Root</t>
        </is>
      </c>
      <c r="D13" s="13" t="inlineStr">
        <is>
          <t>closeOnSelect false keeps selection menu open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</t>
        </is>
      </c>
      <c r="H13" s="22" t="inlineStr">
        <is>
          <t>covered</t>
        </is>
      </c>
      <c r="I13" s="13" t="inlineStr">
        <is>
          <t>Dropdown Menu closeOnSelect and keyboard loop batch; manually verified.</t>
        </is>
      </c>
      <c r="J13" s="13" t="inlineStr">
        <is>
          <t>Complete.</t>
        </is>
      </c>
      <c r="K13" s="14">
        <f>IF(AND(E13="yes",F13="yes",H13="covered"),1,IF(H13="partial",0.5,0))</f>
        <v/>
      </c>
    </row>
    <row r="14" ht="32" customHeight="1" s="24">
      <c r="A14" s="12" t="n">
        <v>6</v>
      </c>
      <c r="B14" s="13" t="inlineStr">
        <is>
          <t>Public API</t>
        </is>
      </c>
      <c r="C14" s="13" t="inlineStr">
        <is>
          <t>Root</t>
        </is>
      </c>
      <c r="D14" s="13" t="inlineStr">
        <is>
          <t>loop true wraps keyboard highlight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</t>
        </is>
      </c>
      <c r="H14" s="22" t="inlineStr">
        <is>
          <t>covered</t>
        </is>
      </c>
      <c r="I14" s="13" t="inlineStr">
        <is>
          <t>Dropdown Menu closeOnSelect and keyboard loop batch; manually verified.</t>
        </is>
      </c>
      <c r="J14" s="13" t="inlineStr">
        <is>
          <t>Complete.</t>
        </is>
      </c>
      <c r="K14" s="14">
        <f>IF(AND(E14="yes",F14="yes",H14="covered"),1,IF(H14="partial",0.5,0))</f>
        <v/>
      </c>
    </row>
    <row r="15" ht="32" customHeight="1" s="24">
      <c r="A15" s="12" t="n">
        <v>7</v>
      </c>
      <c r="B15" s="13" t="inlineStr">
        <is>
          <t>Public API</t>
        </is>
      </c>
      <c r="C15" s="13" t="inlineStr">
        <is>
          <t>Root</t>
        </is>
      </c>
      <c r="D15" s="13" t="inlineStr">
        <is>
          <t>loop false stops at first and last item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</t>
        </is>
      </c>
      <c r="H15" s="22" t="inlineStr">
        <is>
          <t>covered</t>
        </is>
      </c>
      <c r="I15" s="13" t="inlineStr">
        <is>
          <t>Dropdown Menu closeOnSelect and keyboard loop batch; manually verified.</t>
        </is>
      </c>
      <c r="J15" s="13" t="inlineStr">
        <is>
          <t>Complete.</t>
        </is>
      </c>
      <c r="K15" s="14">
        <f>IF(AND(E15="yes",F15="yes",H15="covered"),1,IF(H15="partial",0.5,0))</f>
        <v/>
      </c>
    </row>
    <row r="16" ht="32" customHeight="1" s="24">
      <c r="A16" s="12" t="n">
        <v>8</v>
      </c>
      <c r="B16" s="13" t="inlineStr">
        <is>
          <t>Public API</t>
        </is>
      </c>
      <c r="C16" s="13" t="inlineStr">
        <is>
          <t>Root</t>
        </is>
      </c>
      <c r="D16" s="13" t="inlineStr">
        <is>
          <t>closeOnEscape true closes menu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</t>
        </is>
      </c>
      <c r="H16" s="22" t="inlineStr">
        <is>
          <t>covered</t>
        </is>
      </c>
      <c r="I16" s="13" t="inlineStr">
        <is>
          <t>Dropdown Menu root open/close batch; manually verified.</t>
        </is>
      </c>
      <c r="J16" s="13" t="inlineStr">
        <is>
          <t>Complete.</t>
        </is>
      </c>
      <c r="K16" s="14">
        <f>IF(AND(E16="yes",F16="yes",H16="covered"),1,IF(H16="partial",0.5,0))</f>
        <v/>
      </c>
    </row>
    <row r="17" ht="32" customHeight="1" s="24">
      <c r="A17" s="12" t="n">
        <v>9</v>
      </c>
      <c r="B17" s="13" t="inlineStr">
        <is>
          <t>Public API</t>
        </is>
      </c>
      <c r="C17" s="13" t="inlineStr">
        <is>
          <t>Root</t>
        </is>
      </c>
      <c r="D17" s="13" t="inlineStr">
        <is>
          <t>closeOnEscape false leaves menu open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</t>
        </is>
      </c>
      <c r="H17" s="22" t="inlineStr">
        <is>
          <t>covered</t>
        </is>
      </c>
      <c r="I17" s="13" t="inlineStr">
        <is>
          <t>Dropdown Menu root open/close batch; manually verified.</t>
        </is>
      </c>
      <c r="J17" s="13" t="inlineStr">
        <is>
          <t>Complete.</t>
        </is>
      </c>
      <c r="K17" s="14">
        <f>IF(AND(E17="yes",F17="yes",H17="covered"),1,IF(H17="partial",0.5,0))</f>
        <v/>
      </c>
    </row>
    <row r="18" ht="32" customHeight="1" s="24">
      <c r="A18" s="12" t="n">
        <v>10</v>
      </c>
      <c r="B18" s="13" t="inlineStr">
        <is>
          <t>Public API</t>
        </is>
      </c>
      <c r="C18" s="13" t="inlineStr">
        <is>
          <t>Root</t>
        </is>
      </c>
      <c r="D18" s="13" t="inlineStr">
        <is>
          <t>nested submenu disables parent Escape close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</t>
        </is>
      </c>
      <c r="H18" s="22" t="inlineStr">
        <is>
          <t>covered</t>
        </is>
      </c>
      <c r="I18" s="13" t="inlineStr">
        <is>
          <t>Dropdown Menu submenu basics batch; manually verified.</t>
        </is>
      </c>
      <c r="J18" s="13" t="inlineStr">
        <is>
          <t>Complete.</t>
        </is>
      </c>
      <c r="K18" s="14">
        <f>IF(AND(E18="yes",F18="yes",H18="covered"),1,IF(H18="partial",0.5,0))</f>
        <v/>
      </c>
    </row>
    <row r="19" ht="32" customHeight="1" s="24">
      <c r="A19" s="12" t="n">
        <v>11</v>
      </c>
      <c r="B19" s="13" t="inlineStr">
        <is>
          <t>Public API</t>
        </is>
      </c>
      <c r="C19" s="13" t="inlineStr">
        <is>
          <t>Trigger</t>
        </is>
      </c>
      <c r="D19" s="13" t="inlineStr">
        <is>
          <t>renders native button by default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</t>
        </is>
      </c>
      <c r="H19" s="22" t="inlineStr">
        <is>
          <t>covered</t>
        </is>
      </c>
      <c r="I19" s="13" t="inlineStr">
        <is>
          <t>DropdownMenu playground scenario.</t>
        </is>
      </c>
      <c r="J19" s="13" t="inlineStr">
        <is>
          <t>Complete.</t>
        </is>
      </c>
      <c r="K19" s="14">
        <f>IF(AND(E19="yes",F19="yes",H19="covered"),1,IF(H19="partial",0.5,0))</f>
        <v/>
      </c>
    </row>
    <row r="20" ht="32" customHeight="1" s="24">
      <c r="A20" s="12" t="n">
        <v>12</v>
      </c>
      <c r="B20" s="13" t="inlineStr">
        <is>
          <t>Public API</t>
        </is>
      </c>
      <c r="C20" s="13" t="inlineStr">
        <is>
          <t>Trigger</t>
        </is>
      </c>
      <c r="D20" s="13" t="inlineStr">
        <is>
          <t>default trigger has type button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</t>
        </is>
      </c>
      <c r="H20" s="22" t="inlineStr">
        <is>
          <t>covered</t>
        </is>
      </c>
      <c r="I20" s="13" t="inlineStr">
        <is>
          <t>DropdownMenu playground scenario.</t>
        </is>
      </c>
      <c r="J20" s="13" t="inlineStr">
        <is>
          <t>Complete.</t>
        </is>
      </c>
      <c r="K20" s="14">
        <f>IF(AND(E20="yes",F20="yes",H20="covered"),1,IF(H20="partial",0.5,0))</f>
        <v/>
      </c>
    </row>
    <row r="21" ht="32" customHeight="1" s="24">
      <c r="A21" s="12" t="n">
        <v>13</v>
      </c>
      <c r="B21" s="13" t="inlineStr">
        <is>
          <t>Public API</t>
        </is>
      </c>
      <c r="C21" s="13" t="inlineStr">
        <is>
          <t>Trigger</t>
        </is>
      </c>
      <c r="D21" s="13" t="inlineStr">
        <is>
          <t>trigger id is stable and present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</t>
        </is>
      </c>
      <c r="H21" s="22" t="inlineStr">
        <is>
          <t>covered</t>
        </is>
      </c>
      <c r="I21" s="13" t="inlineStr">
        <is>
          <t>DropdownMenu playground scenario.</t>
        </is>
      </c>
      <c r="J21" s="13" t="inlineStr">
        <is>
          <t>Complete.</t>
        </is>
      </c>
      <c r="K21" s="14">
        <f>IF(AND(E21="yes",F21="yes",H21="covered"),1,IF(H21="partial",0.5,0))</f>
        <v/>
      </c>
    </row>
    <row r="22" ht="32" customHeight="1" s="24">
      <c r="A22" s="12" t="n">
        <v>14</v>
      </c>
      <c r="B22" s="13" t="inlineStr">
        <is>
          <t>Public API</t>
        </is>
      </c>
      <c r="C22" s="13" t="inlineStr">
        <is>
          <t>Trigger</t>
        </is>
      </c>
      <c r="D22" s="13" t="inlineStr">
        <is>
          <t>trigger data-slot is dropdown-menu-trigger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</t>
        </is>
      </c>
      <c r="H22" s="22" t="inlineStr">
        <is>
          <t>covered</t>
        </is>
      </c>
      <c r="I22" s="13" t="inlineStr">
        <is>
          <t>DropdownMenu playground scenario.</t>
        </is>
      </c>
      <c r="J22" s="13" t="inlineStr">
        <is>
          <t>Complete.</t>
        </is>
      </c>
      <c r="K22" s="14">
        <f>IF(AND(E22="yes",F22="yes",H22="covered"),1,IF(H22="partial",0.5,0))</f>
        <v/>
      </c>
    </row>
    <row r="23" ht="32" customHeight="1" s="24">
      <c r="A23" s="12" t="n">
        <v>15</v>
      </c>
      <c r="B23" s="13" t="inlineStr">
        <is>
          <t>Public API</t>
        </is>
      </c>
      <c r="C23" s="13" t="inlineStr">
        <is>
          <t>Trigger</t>
        </is>
      </c>
      <c r="D23" s="13" t="inlineStr">
        <is>
          <t>trigger data-state is closed when menu is closed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</t>
        </is>
      </c>
      <c r="H23" s="22" t="inlineStr">
        <is>
          <t>covered</t>
        </is>
      </c>
      <c r="I23" s="13" t="inlineStr">
        <is>
          <t>Dropdown Menu trigger basics batch; manually verified.</t>
        </is>
      </c>
      <c r="J23" s="13" t="inlineStr">
        <is>
          <t>Complete.</t>
        </is>
      </c>
      <c r="K23" s="14">
        <f>IF(AND(E23="yes",F23="yes",H23="covered"),1,IF(H23="partial",0.5,0))</f>
        <v/>
      </c>
    </row>
    <row r="24" ht="32" customHeight="1" s="24">
      <c r="A24" s="12" t="n">
        <v>16</v>
      </c>
      <c r="B24" s="13" t="inlineStr">
        <is>
          <t>Public API</t>
        </is>
      </c>
      <c r="C24" s="13" t="inlineStr">
        <is>
          <t>Trigger</t>
        </is>
      </c>
      <c r="D24" s="13" t="inlineStr">
        <is>
          <t>trigger data-state is open when menu is open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</t>
        </is>
      </c>
      <c r="H24" s="22" t="inlineStr">
        <is>
          <t>covered</t>
        </is>
      </c>
      <c r="I24" s="13" t="inlineStr">
        <is>
          <t>Dropdown Menu trigger basics batch; manually verified.</t>
        </is>
      </c>
      <c r="J24" s="13" t="inlineStr">
        <is>
          <t>Complete.</t>
        </is>
      </c>
      <c r="K24" s="14">
        <f>IF(AND(E24="yes",F24="yes",H24="covered"),1,IF(H24="partial",0.5,0))</f>
        <v/>
      </c>
    </row>
    <row r="25" ht="32" customHeight="1" s="24">
      <c r="A25" s="12" t="n">
        <v>17</v>
      </c>
      <c r="B25" s="13" t="inlineStr">
        <is>
          <t>Public API</t>
        </is>
      </c>
      <c r="C25" s="13" t="inlineStr">
        <is>
          <t>Trigger</t>
        </is>
      </c>
      <c r="D25" s="13" t="inlineStr">
        <is>
          <t>trigger aria-haspopup is menu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</t>
        </is>
      </c>
      <c r="H25" s="22" t="inlineStr">
        <is>
          <t>covered</t>
        </is>
      </c>
      <c r="I25" s="13" t="inlineStr">
        <is>
          <t>Dropdown Menu trigger basics batch; manually verified.</t>
        </is>
      </c>
      <c r="J25" s="13" t="inlineStr">
        <is>
          <t>Complete.</t>
        </is>
      </c>
      <c r="K25" s="14">
        <f>IF(AND(E25="yes",F25="yes",H25="covered"),1,IF(H25="partial",0.5,0))</f>
        <v/>
      </c>
    </row>
    <row r="26" ht="32" customHeight="1" s="24">
      <c r="A26" s="12" t="n">
        <v>18</v>
      </c>
      <c r="B26" s="13" t="inlineStr">
        <is>
          <t>Public API</t>
        </is>
      </c>
      <c r="C26" s="13" t="inlineStr">
        <is>
          <t>Trigger</t>
        </is>
      </c>
      <c r="D26" s="13" t="inlineStr">
        <is>
          <t>trigger aria-expanded reflects open state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</t>
        </is>
      </c>
      <c r="H26" s="22" t="inlineStr">
        <is>
          <t>covered</t>
        </is>
      </c>
      <c r="I26" s="13" t="inlineStr">
        <is>
          <t>Dropdown Menu trigger basics batch; manually verified.</t>
        </is>
      </c>
      <c r="J26" s="13" t="inlineStr">
        <is>
          <t>Complete.</t>
        </is>
      </c>
      <c r="K26" s="14">
        <f>IF(AND(E26="yes",F26="yes",H26="covered"),1,IF(H26="partial",0.5,0))</f>
        <v/>
      </c>
    </row>
    <row r="27" ht="32" customHeight="1" s="24">
      <c r="A27" s="12" t="n">
        <v>19</v>
      </c>
      <c r="B27" s="13" t="inlineStr">
        <is>
          <t>Public API</t>
        </is>
      </c>
      <c r="C27" s="13" t="inlineStr">
        <is>
          <t>Trigger</t>
        </is>
      </c>
      <c r="D27" s="13" t="inlineStr">
        <is>
          <t>trigger aria-controls references content id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</t>
        </is>
      </c>
      <c r="H27" s="22" t="inlineStr">
        <is>
          <t>covered</t>
        </is>
      </c>
      <c r="I27" s="13" t="inlineStr">
        <is>
          <t>Dropdown Menu trigger basics batch; manually verified.</t>
        </is>
      </c>
      <c r="J27" s="13" t="inlineStr">
        <is>
          <t>Complete.</t>
        </is>
      </c>
      <c r="K27" s="14">
        <f>IF(AND(E27="yes",F27="yes",H27="covered"),1,IF(H27="partial",0.5,0))</f>
        <v/>
      </c>
    </row>
    <row r="28" ht="32" customHeight="1" s="24">
      <c r="A28" s="12" t="n">
        <v>20</v>
      </c>
      <c r="B28" s="13" t="inlineStr">
        <is>
          <t>Public API</t>
        </is>
      </c>
      <c r="C28" s="13" t="inlineStr">
        <is>
          <t>Trigger</t>
        </is>
      </c>
      <c r="D28" s="13" t="inlineStr">
        <is>
          <t>trigger controls match content id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</t>
        </is>
      </c>
      <c r="H28" s="22" t="inlineStr">
        <is>
          <t>covered</t>
        </is>
      </c>
      <c r="I28" s="13" t="inlineStr">
        <is>
          <t>Dropdown Menu trigger basics batch; manually verified.</t>
        </is>
      </c>
      <c r="J28" s="13" t="inlineStr">
        <is>
          <t>Complete.</t>
        </is>
      </c>
      <c r="K28" s="14">
        <f>IF(AND(E28="yes",F28="yes",H28="covered"),1,IF(H28="partial",0.5,0))</f>
        <v/>
      </c>
    </row>
    <row r="29" ht="32" customHeight="1" s="24">
      <c r="A29" s="12" t="n">
        <v>21</v>
      </c>
      <c r="B29" s="13" t="inlineStr">
        <is>
          <t>Public API</t>
        </is>
      </c>
      <c r="C29" s="13" t="inlineStr">
        <is>
          <t>Trigger</t>
        </is>
      </c>
      <c r="D29" s="13" t="inlineStr">
        <is>
          <t>disabled trigger exposes native disabled attr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</t>
        </is>
      </c>
      <c r="H29" s="22" t="inlineStr">
        <is>
          <t>covered</t>
        </is>
      </c>
      <c r="I29" s="13" t="inlineStr">
        <is>
          <t>Dropdown Menu trigger basics batch; manually verified.</t>
        </is>
      </c>
      <c r="J29" s="13" t="inlineStr">
        <is>
          <t>Complete.</t>
        </is>
      </c>
      <c r="K29" s="14">
        <f>IF(AND(E29="yes",F29="yes",H29="covered"),1,IF(H29="partial",0.5,0))</f>
        <v/>
      </c>
    </row>
    <row r="30" ht="32" customHeight="1" s="24">
      <c r="A30" s="12" t="n">
        <v>22</v>
      </c>
      <c r="B30" s="13" t="inlineStr">
        <is>
          <t>Public API</t>
        </is>
      </c>
      <c r="C30" s="13" t="inlineStr">
        <is>
          <t>Trigger</t>
        </is>
      </c>
      <c r="D30" s="13" t="inlineStr">
        <is>
          <t>disabled trigger exposes aria-disabled true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</t>
        </is>
      </c>
      <c r="H30" s="22" t="inlineStr">
        <is>
          <t>covered</t>
        </is>
      </c>
      <c r="I30" s="13" t="inlineStr">
        <is>
          <t>Dropdown Menu trigger basics batch; manually verified.</t>
        </is>
      </c>
      <c r="J30" s="13" t="inlineStr">
        <is>
          <t>Complete.</t>
        </is>
      </c>
      <c r="K30" s="14">
        <f>IF(AND(E30="yes",F30="yes",H30="covered"),1,IF(H30="partial",0.5,0))</f>
        <v/>
      </c>
    </row>
    <row r="31" ht="32" customHeight="1" s="24">
      <c r="A31" s="12" t="n">
        <v>23</v>
      </c>
      <c r="B31" s="13" t="inlineStr">
        <is>
          <t>Public API</t>
        </is>
      </c>
      <c r="C31" s="13" t="inlineStr">
        <is>
          <t>Trigger</t>
        </is>
      </c>
      <c r="D31" s="13" t="inlineStr">
        <is>
          <t>disabled trigger exposes data-disabled flag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</t>
        </is>
      </c>
      <c r="H31" s="22" t="inlineStr">
        <is>
          <t>covered</t>
        </is>
      </c>
      <c r="I31" s="13" t="inlineStr">
        <is>
          <t>Dropdown Menu trigger basics batch; manually verified.</t>
        </is>
      </c>
      <c r="J31" s="13" t="inlineStr">
        <is>
          <t>Complete.</t>
        </is>
      </c>
      <c r="K31" s="14">
        <f>IF(AND(E31="yes",F31="yes",H31="covered"),1,IF(H31="partial",0.5,0))</f>
        <v/>
      </c>
    </row>
    <row r="32" ht="32" customHeight="1" s="24">
      <c r="A32" s="12" t="n">
        <v>24</v>
      </c>
      <c r="B32" s="13" t="inlineStr">
        <is>
          <t>Public API</t>
        </is>
      </c>
      <c r="C32" s="13" t="inlineStr">
        <is>
          <t>Trigger</t>
        </is>
      </c>
      <c r="D32" s="13" t="inlineStr">
        <is>
          <t>disabled trigger does not open on click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</t>
        </is>
      </c>
      <c r="H32" s="22" t="inlineStr">
        <is>
          <t>covered</t>
        </is>
      </c>
      <c r="I32" s="13" t="inlineStr">
        <is>
          <t>Dropdown Menu trigger basics batch; manually verified.</t>
        </is>
      </c>
      <c r="J32" s="13" t="inlineStr">
        <is>
          <t>Complete.</t>
        </is>
      </c>
      <c r="K32" s="14">
        <f>IF(AND(E32="yes",F32="yes",H32="covered"),1,IF(H32="partial",0.5,0))</f>
        <v/>
      </c>
    </row>
    <row r="33" ht="32" customHeight="1" s="24">
      <c r="A33" s="12" t="n">
        <v>25</v>
      </c>
      <c r="B33" s="13" t="inlineStr">
        <is>
          <t>Public API</t>
        </is>
      </c>
      <c r="C33" s="13" t="inlineStr">
        <is>
          <t>Trigger</t>
        </is>
      </c>
      <c r="D33" s="13" t="inlineStr">
        <is>
          <t>disabled trigger does not open from keyboard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</t>
        </is>
      </c>
      <c r="H33" s="22" t="inlineStr">
        <is>
          <t>covered</t>
        </is>
      </c>
      <c r="I33" s="13" t="inlineStr">
        <is>
          <t>DropdownMenu playground scenario.</t>
        </is>
      </c>
      <c r="J33" s="13" t="inlineStr">
        <is>
          <t>Complete.</t>
        </is>
      </c>
      <c r="K33" s="14">
        <f>IF(AND(E33="yes",F33="yes",H33="covered"),1,IF(H33="partial",0.5,0))</f>
        <v/>
      </c>
    </row>
    <row r="34" ht="32" customHeight="1" s="24">
      <c r="A34" s="12" t="n">
        <v>26</v>
      </c>
      <c r="B34" s="13" t="inlineStr">
        <is>
          <t>Public API</t>
        </is>
      </c>
      <c r="C34" s="13" t="inlineStr">
        <is>
          <t>Trigger</t>
        </is>
      </c>
      <c r="D34" s="13" t="inlineStr">
        <is>
          <t>native className and data props pass through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</t>
        </is>
      </c>
      <c r="H34" s="22" t="inlineStr">
        <is>
          <t>covered</t>
        </is>
      </c>
      <c r="I34" s="13" t="inlineStr">
        <is>
          <t>Verify the part forwards a non-Atom-owned data-prop-check marker in the live raw Data group or Inspector.</t>
        </is>
      </c>
      <c r="J34" s="13" t="inlineStr">
        <is>
          <t>Complete.</t>
        </is>
      </c>
      <c r="K34" s="14">
        <f>IF(AND(E34="yes",F34="yes",H34="covered"),1,IF(H34="partial",0.5,0))</f>
        <v/>
      </c>
    </row>
    <row r="35" ht="32" customHeight="1" s="24">
      <c r="A35" s="12" t="n">
        <v>27</v>
      </c>
      <c r="B35" s="13" t="inlineStr">
        <is>
          <t>Public API</t>
        </is>
      </c>
      <c r="C35" s="13" t="inlineStr">
        <is>
          <t>Trigger</t>
        </is>
      </c>
      <c r="D35" s="13" t="inlineStr">
        <is>
          <t>consumer onClick runs before Atom toggle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</t>
        </is>
      </c>
      <c r="H35" s="22" t="inlineStr">
        <is>
          <t>covered</t>
        </is>
      </c>
      <c r="I35" s="13" t="inlineStr">
        <is>
          <t>DropdownMenu playground scenario.</t>
        </is>
      </c>
      <c r="J35" s="13" t="inlineStr">
        <is>
          <t>Complete.</t>
        </is>
      </c>
      <c r="K35" s="14">
        <f>IF(AND(E35="yes",F35="yes",H35="covered"),1,IF(H35="partial",0.5,0))</f>
        <v/>
      </c>
    </row>
    <row r="36" ht="32" customHeight="1" s="24">
      <c r="A36" s="12" t="n">
        <v>28</v>
      </c>
      <c r="B36" s="13" t="inlineStr">
        <is>
          <t>Public API</t>
        </is>
      </c>
      <c r="C36" s="13" t="inlineStr">
        <is>
          <t>Trigger</t>
        </is>
      </c>
      <c r="D36" s="13" t="inlineStr">
        <is>
          <t>consumer onClick can prevent Atom toggle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</t>
        </is>
      </c>
      <c r="H36" s="22" t="inlineStr">
        <is>
          <t>covered</t>
        </is>
      </c>
      <c r="I36" s="13" t="inlineStr">
        <is>
          <t>DropdownMenu playground scenario.</t>
        </is>
      </c>
      <c r="J36" s="13" t="inlineStr">
        <is>
          <t>Complete.</t>
        </is>
      </c>
      <c r="K36" s="14">
        <f>IF(AND(E36="yes",F36="yes",H36="covered"),1,IF(H36="partial",0.5,0))</f>
        <v/>
      </c>
    </row>
    <row r="37" ht="32" customHeight="1" s="24">
      <c r="A37" s="12" t="n">
        <v>29</v>
      </c>
      <c r="B37" s="13" t="inlineStr">
        <is>
          <t>Public API</t>
        </is>
      </c>
      <c r="C37" s="13" t="inlineStr">
        <is>
          <t>Trigger</t>
        </is>
      </c>
      <c r="D37" s="13" t="inlineStr">
        <is>
          <t>consumer onKeyDown runs before Atom key behavior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</t>
        </is>
      </c>
      <c r="H37" s="22" t="inlineStr">
        <is>
          <t>covered</t>
        </is>
      </c>
      <c r="I37" s="13" t="inlineStr">
        <is>
          <t>Dropdown Menu keyboard open batch; manually verified.</t>
        </is>
      </c>
      <c r="J37" s="13" t="inlineStr">
        <is>
          <t>Complete.</t>
        </is>
      </c>
      <c r="K37" s="14">
        <f>IF(AND(E37="yes",F37="yes",H37="covered"),1,IF(H37="partial",0.5,0))</f>
        <v/>
      </c>
    </row>
    <row r="38" ht="32" customHeight="1" s="24">
      <c r="A38" s="12" t="n">
        <v>30</v>
      </c>
      <c r="B38" s="13" t="inlineStr">
        <is>
          <t>Public API</t>
        </is>
      </c>
      <c r="C38" s="13" t="inlineStr">
        <is>
          <t>Trigger</t>
        </is>
      </c>
      <c r="D38" s="13" t="inlineStr">
        <is>
          <t>consumer onKeyDown can prevent Atom key behavior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</t>
        </is>
      </c>
      <c r="H38" s="22" t="inlineStr">
        <is>
          <t>covered</t>
        </is>
      </c>
      <c r="I38" s="13" t="inlineStr">
        <is>
          <t>DropdownMenu playground scenario.</t>
        </is>
      </c>
      <c r="J38" s="13" t="inlineStr">
        <is>
          <t>Complete.</t>
        </is>
      </c>
      <c r="K38" s="14">
        <f>IF(AND(E38="yes",F38="yes",H38="covered"),1,IF(H38="partial",0.5,0))</f>
        <v/>
      </c>
    </row>
    <row r="39" ht="32" customHeight="1" s="24">
      <c r="A39" s="12" t="n">
        <v>31</v>
      </c>
      <c r="B39" s="13" t="inlineStr">
        <is>
          <t>Public API</t>
        </is>
      </c>
      <c r="C39" s="13" t="inlineStr">
        <is>
          <t>Trigger</t>
        </is>
      </c>
      <c r="D39" s="13" t="inlineStr">
        <is>
          <t>click toggles menu open and closed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</t>
        </is>
      </c>
      <c r="H39" s="22" t="inlineStr">
        <is>
          <t>covered</t>
        </is>
      </c>
      <c r="I39" s="13" t="inlineStr">
        <is>
          <t>DropdownMenu playground scenario.</t>
        </is>
      </c>
      <c r="J39" s="13" t="inlineStr">
        <is>
          <t>Complete.</t>
        </is>
      </c>
      <c r="K39" s="14">
        <f>IF(AND(E39="yes",F39="yes",H39="covered"),1,IF(H39="partial",0.5,0))</f>
        <v/>
      </c>
    </row>
    <row r="40" ht="32" customHeight="1" s="24">
      <c r="A40" s="12" t="n">
        <v>32</v>
      </c>
      <c r="B40" s="13" t="inlineStr">
        <is>
          <t>Public API</t>
        </is>
      </c>
      <c r="C40" s="13" t="inlineStr">
        <is>
          <t>Trigger</t>
        </is>
      </c>
      <c r="D40" s="13" t="inlineStr">
        <is>
          <t>pointer click opens without pre-highlighting first item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</t>
        </is>
      </c>
      <c r="H40" s="22" t="inlineStr">
        <is>
          <t>covered</t>
        </is>
      </c>
      <c r="I40" s="13" t="inlineStr">
        <is>
          <t>Dropdown Menu pointer-open no-initial-highlight behavior; manually verified after trigger fix.</t>
        </is>
      </c>
      <c r="J40" s="13" t="inlineStr">
        <is>
          <t>Complete.</t>
        </is>
      </c>
      <c r="K40" s="14">
        <f>IF(AND(E40="yes",F40="yes",H40="covered"),1,IF(H40="partial",0.5,0))</f>
        <v/>
      </c>
    </row>
    <row r="41" ht="32" customHeight="1" s="24">
      <c r="A41" s="12" t="n">
        <v>33</v>
      </c>
      <c r="B41" s="13" t="inlineStr">
        <is>
          <t>Public API</t>
        </is>
      </c>
      <c r="C41" s="13" t="inlineStr">
        <is>
          <t>Trigger</t>
        </is>
      </c>
      <c r="D41" s="13" t="inlineStr">
        <is>
          <t>Enter opens menu and seeds first highlight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</t>
        </is>
      </c>
      <c r="H41" s="22" t="inlineStr">
        <is>
          <t>covered</t>
        </is>
      </c>
      <c r="I41" s="13" t="inlineStr">
        <is>
          <t>Dropdown Menu keyboard open batch; manually verified.</t>
        </is>
      </c>
      <c r="J41" s="13" t="inlineStr">
        <is>
          <t>Complete.</t>
        </is>
      </c>
      <c r="K41" s="14">
        <f>IF(AND(E41="yes",F41="yes",H41="covered"),1,IF(H41="partial",0.5,0))</f>
        <v/>
      </c>
    </row>
    <row r="42" ht="32" customHeight="1" s="24">
      <c r="A42" s="12" t="n">
        <v>34</v>
      </c>
      <c r="B42" s="13" t="inlineStr">
        <is>
          <t>Public API</t>
        </is>
      </c>
      <c r="C42" s="13" t="inlineStr">
        <is>
          <t>Trigger</t>
        </is>
      </c>
      <c r="D42" s="13" t="inlineStr">
        <is>
          <t>Space opens menu and seeds first highlight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</t>
        </is>
      </c>
      <c r="H42" s="22" t="inlineStr">
        <is>
          <t>covered</t>
        </is>
      </c>
      <c r="I42" s="13" t="inlineStr">
        <is>
          <t>Dropdown Menu keyboard open batch; manually verified.</t>
        </is>
      </c>
      <c r="J42" s="13" t="inlineStr">
        <is>
          <t>Complete.</t>
        </is>
      </c>
      <c r="K42" s="14">
        <f>IF(AND(E42="yes",F42="yes",H42="covered"),1,IF(H42="partial",0.5,0))</f>
        <v/>
      </c>
    </row>
    <row r="43" ht="32" customHeight="1" s="24">
      <c r="A43" s="12" t="n">
        <v>35</v>
      </c>
      <c r="B43" s="13" t="inlineStr">
        <is>
          <t>Public API</t>
        </is>
      </c>
      <c r="C43" s="13" t="inlineStr">
        <is>
          <t>Trigger</t>
        </is>
      </c>
      <c r="D43" s="13" t="inlineStr">
        <is>
          <t>ArrowDown opens menu and seeds first highlight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</t>
        </is>
      </c>
      <c r="H43" s="22" t="inlineStr">
        <is>
          <t>covered</t>
        </is>
      </c>
      <c r="I43" s="13" t="inlineStr">
        <is>
          <t>Dropdown Menu keyboard open batch; manually verified.</t>
        </is>
      </c>
      <c r="J43" s="13" t="inlineStr">
        <is>
          <t>Complete.</t>
        </is>
      </c>
      <c r="K43" s="14">
        <f>IF(AND(E43="yes",F43="yes",H43="covered"),1,IF(H43="partial",0.5,0))</f>
        <v/>
      </c>
    </row>
    <row r="44" ht="32" customHeight="1" s="24">
      <c r="A44" s="12" t="n">
        <v>36</v>
      </c>
      <c r="B44" s="13" t="inlineStr">
        <is>
          <t>Public API</t>
        </is>
      </c>
      <c r="C44" s="13" t="inlineStr">
        <is>
          <t>Trigger</t>
        </is>
      </c>
      <c r="D44" s="13" t="inlineStr">
        <is>
          <t>ArrowUp opens menu and seeds last highlight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</t>
        </is>
      </c>
      <c r="H44" s="22" t="inlineStr">
        <is>
          <t>covered</t>
        </is>
      </c>
      <c r="I44" s="13" t="inlineStr">
        <is>
          <t>Dropdown Menu keyboard open batch; manually verified.</t>
        </is>
      </c>
      <c r="J44" s="13" t="inlineStr">
        <is>
          <t>Complete.</t>
        </is>
      </c>
      <c r="K44" s="14">
        <f>IF(AND(E44="yes",F44="yes",H44="covered"),1,IF(H44="partial",0.5,0))</f>
        <v/>
      </c>
    </row>
    <row r="45" ht="32" customHeight="1" s="24">
      <c r="A45" s="12" t="n">
        <v>37</v>
      </c>
      <c r="B45" s="13" t="inlineStr">
        <is>
          <t>Public API</t>
        </is>
      </c>
      <c r="C45" s="13" t="inlineStr">
        <is>
          <t>Trigger</t>
        </is>
      </c>
      <c r="D45" s="13" t="inlineStr">
        <is>
          <t>focus returns to trigger after Escape close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</t>
        </is>
      </c>
      <c r="H45" s="22" t="inlineStr">
        <is>
          <t>covered</t>
        </is>
      </c>
      <c r="I45" s="13" t="inlineStr">
        <is>
          <t>DropdownMenu playground scenario.</t>
        </is>
      </c>
      <c r="J45" s="13" t="inlineStr">
        <is>
          <t>Complete.</t>
        </is>
      </c>
      <c r="K45" s="14">
        <f>IF(AND(E45="yes",F45="yes",H45="covered"),1,IF(H45="partial",0.5,0))</f>
        <v/>
      </c>
    </row>
    <row r="46" ht="32" customHeight="1" s="24">
      <c r="A46" s="12" t="n">
        <v>38</v>
      </c>
      <c r="B46" s="13" t="inlineStr">
        <is>
          <t>Public API</t>
        </is>
      </c>
      <c r="C46" s="13" t="inlineStr">
        <is>
          <t>Trigger</t>
        </is>
      </c>
      <c r="D46" s="13" t="inlineStr">
        <is>
          <t>focus returns to trigger after item selection close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</t>
        </is>
      </c>
      <c r="H46" s="22" t="inlineStr">
        <is>
          <t>covered</t>
        </is>
      </c>
      <c r="I46" s="13" t="inlineStr">
        <is>
          <t>DropdownMenu playground scenario.</t>
        </is>
      </c>
      <c r="J46" s="13" t="inlineStr">
        <is>
          <t>Complete.</t>
        </is>
      </c>
      <c r="K46" s="14">
        <f>IF(AND(E46="yes",F46="yes",H46="covered"),1,IF(H46="partial",0.5,0))</f>
        <v/>
      </c>
    </row>
    <row r="47" ht="32" customHeight="1" s="24">
      <c r="A47" s="12" t="n">
        <v>39</v>
      </c>
      <c r="B47" s="13" t="inlineStr">
        <is>
          <t>Public API</t>
        </is>
      </c>
      <c r="C47" s="13" t="inlineStr">
        <is>
          <t>Trigger</t>
        </is>
      </c>
      <c r="D47" s="13" t="inlineStr">
        <is>
          <t>trigger ref points to rendered trigger element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</t>
        </is>
      </c>
      <c r="H47" s="22" t="inlineStr">
        <is>
          <t>covered</t>
        </is>
      </c>
      <c r="I47" s="13" t="inlineStr">
        <is>
          <t>DropdownMenu playground scenario.</t>
        </is>
      </c>
      <c r="J47" s="13" t="inlineStr">
        <is>
          <t>Complete.</t>
        </is>
      </c>
      <c r="K47" s="14">
        <f>IF(AND(E47="yes",F47="yes",H47="covered"),1,IF(H47="partial",0.5,0))</f>
        <v/>
      </c>
    </row>
    <row r="48" ht="32" customHeight="1" s="24">
      <c r="A48" s="12" t="n">
        <v>40</v>
      </c>
      <c r="B48" s="13" t="inlineStr">
        <is>
          <t>Public API</t>
        </is>
      </c>
      <c r="C48" s="13" t="inlineStr">
        <is>
          <t>Trigger</t>
        </is>
      </c>
      <c r="D48" s="13" t="inlineStr">
        <is>
          <t>asChild trigger preserves child content without nesting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</t>
        </is>
      </c>
      <c r="H48" s="22" t="inlineStr">
        <is>
          <t>covered</t>
        </is>
      </c>
      <c r="I48" s="13" t="inlineStr">
        <is>
          <t>DropdownMenu playground scenario.</t>
        </is>
      </c>
      <c r="J48" s="13" t="inlineStr">
        <is>
          <t>Complete.</t>
        </is>
      </c>
      <c r="K48" s="14">
        <f>IF(AND(E48="yes",F48="yes",H48="covered"),1,IF(H48="partial",0.5,0))</f>
        <v/>
      </c>
    </row>
    <row r="49" ht="32" customHeight="1" s="24">
      <c r="A49" s="12" t="n">
        <v>41</v>
      </c>
      <c r="B49" s="13" t="inlineStr">
        <is>
          <t>Public API</t>
        </is>
      </c>
      <c r="C49" s="13" t="inlineStr">
        <is>
          <t>Trigger</t>
        </is>
      </c>
      <c r="D49" s="13" t="inlineStr">
        <is>
          <t>asChild trigger receives role button</t>
        </is>
      </c>
      <c r="E49" s="18" t="inlineStr">
        <is>
          <t>yes</t>
        </is>
      </c>
      <c r="F49" s="18" t="inlineStr">
        <is>
          <t>yes</t>
        </is>
      </c>
      <c r="G49" s="12" t="inlineStr">
        <is>
          <t>pass</t>
        </is>
      </c>
      <c r="H49" s="22" t="inlineStr">
        <is>
          <t>covered</t>
        </is>
      </c>
      <c r="I49" s="13" t="inlineStr">
        <is>
          <t>DropdownMenu playground scenario.</t>
        </is>
      </c>
      <c r="J49" s="13" t="inlineStr">
        <is>
          <t>Complete.</t>
        </is>
      </c>
      <c r="K49" s="14">
        <f>IF(AND(E49="yes",F49="yes",H49="covered"),1,IF(H49="partial",0.5,0))</f>
        <v/>
      </c>
    </row>
    <row r="50" ht="32" customHeight="1" s="24">
      <c r="A50" s="12" t="n">
        <v>42</v>
      </c>
      <c r="B50" s="13" t="inlineStr">
        <is>
          <t>Public API</t>
        </is>
      </c>
      <c r="C50" s="13" t="inlineStr">
        <is>
          <t>Trigger</t>
        </is>
      </c>
      <c r="D50" s="13" t="inlineStr">
        <is>
          <t>asChild trigger receives tabindex 0 when enabled</t>
        </is>
      </c>
      <c r="E50" s="18" t="inlineStr">
        <is>
          <t>yes</t>
        </is>
      </c>
      <c r="F50" s="18" t="inlineStr">
        <is>
          <t>yes</t>
        </is>
      </c>
      <c r="G50" s="12" t="inlineStr">
        <is>
          <t>pass</t>
        </is>
      </c>
      <c r="H50" s="22" t="inlineStr">
        <is>
          <t>covered</t>
        </is>
      </c>
      <c r="I50" s="13" t="inlineStr">
        <is>
          <t>DropdownMenu playground scenario.</t>
        </is>
      </c>
      <c r="J50" s="13" t="inlineStr">
        <is>
          <t>Complete.</t>
        </is>
      </c>
      <c r="K50" s="14">
        <f>IF(AND(E50="yes",F50="yes",H50="covered"),1,IF(H50="partial",0.5,0))</f>
        <v/>
      </c>
    </row>
    <row r="51" ht="32" customHeight="1" s="24">
      <c r="A51" s="12" t="n">
        <v>43</v>
      </c>
      <c r="B51" s="13" t="inlineStr">
        <is>
          <t>Public API</t>
        </is>
      </c>
      <c r="C51" s="13" t="inlineStr">
        <is>
          <t>Trigger</t>
        </is>
      </c>
      <c r="D51" s="13" t="inlineStr">
        <is>
          <t>asChild disabled trigger receives tabindex -1</t>
        </is>
      </c>
      <c r="E51" s="18" t="inlineStr">
        <is>
          <t>yes</t>
        </is>
      </c>
      <c r="F51" s="18" t="inlineStr">
        <is>
          <t>yes</t>
        </is>
      </c>
      <c r="G51" s="12" t="inlineStr">
        <is>
          <t>pass</t>
        </is>
      </c>
      <c r="H51" s="22" t="inlineStr">
        <is>
          <t>covered</t>
        </is>
      </c>
      <c r="I51" s="13" t="inlineStr">
        <is>
          <t>DropdownMenu playground scenario.</t>
        </is>
      </c>
      <c r="J51" s="13" t="inlineStr">
        <is>
          <t>Complete.</t>
        </is>
      </c>
      <c r="K51" s="14">
        <f>IF(AND(E51="yes",F51="yes",H51="covered"),1,IF(H51="partial",0.5,0))</f>
        <v/>
      </c>
    </row>
    <row r="52" ht="32" customHeight="1" s="24">
      <c r="A52" s="12" t="n">
        <v>44</v>
      </c>
      <c r="B52" s="13" t="inlineStr">
        <is>
          <t>Public API</t>
        </is>
      </c>
      <c r="C52" s="13" t="inlineStr">
        <is>
          <t>Trigger</t>
        </is>
      </c>
      <c r="D52" s="13" t="inlineStr">
        <is>
          <t>render trigger preserves custom element content</t>
        </is>
      </c>
      <c r="E52" s="18" t="inlineStr">
        <is>
          <t>yes</t>
        </is>
      </c>
      <c r="F52" s="18" t="inlineStr">
        <is>
          <t>yes</t>
        </is>
      </c>
      <c r="G52" s="12" t="inlineStr">
        <is>
          <t>pass</t>
        </is>
      </c>
      <c r="H52" s="22" t="inlineStr">
        <is>
          <t>covered</t>
        </is>
      </c>
      <c r="I52" s="13" t="inlineStr">
        <is>
          <t>DropdownMenu playground scenario.</t>
        </is>
      </c>
      <c r="J52" s="13" t="inlineStr">
        <is>
          <t>Complete.</t>
        </is>
      </c>
      <c r="K52" s="14">
        <f>IF(AND(E52="yes",F52="yes",H52="covered"),1,IF(H52="partial",0.5,0))</f>
        <v/>
      </c>
    </row>
    <row r="53" ht="32" customHeight="1" s="24">
      <c r="A53" s="12" t="n">
        <v>45</v>
      </c>
      <c r="B53" s="13" t="inlineStr">
        <is>
          <t>Public API</t>
        </is>
      </c>
      <c r="C53" s="13" t="inlineStr">
        <is>
          <t>Trigger</t>
        </is>
      </c>
      <c r="D53" s="13" t="inlineStr">
        <is>
          <t>render trigger receives role button</t>
        </is>
      </c>
      <c r="E53" s="18" t="inlineStr">
        <is>
          <t>yes</t>
        </is>
      </c>
      <c r="F53" s="18" t="inlineStr">
        <is>
          <t>yes</t>
        </is>
      </c>
      <c r="G53" s="12" t="inlineStr">
        <is>
          <t>pass</t>
        </is>
      </c>
      <c r="H53" s="22" t="inlineStr">
        <is>
          <t>covered</t>
        </is>
      </c>
      <c r="I53" s="13" t="inlineStr">
        <is>
          <t>DropdownMenu playground scenario.</t>
        </is>
      </c>
      <c r="J53" s="13" t="inlineStr">
        <is>
          <t>Complete.</t>
        </is>
      </c>
      <c r="K53" s="14">
        <f>IF(AND(E53="yes",F53="yes",H53="covered"),1,IF(H53="partial",0.5,0))</f>
        <v/>
      </c>
    </row>
    <row r="54" ht="32" customHeight="1" s="24">
      <c r="A54" s="12" t="n">
        <v>46</v>
      </c>
      <c r="B54" s="13" t="inlineStr">
        <is>
          <t>Public API</t>
        </is>
      </c>
      <c r="C54" s="13" t="inlineStr">
        <is>
          <t>Trigger</t>
        </is>
      </c>
      <c r="D54" s="13" t="inlineStr">
        <is>
          <t>render trigger receives tabindex 0 when enabled</t>
        </is>
      </c>
      <c r="E54" s="18" t="inlineStr">
        <is>
          <t>yes</t>
        </is>
      </c>
      <c r="F54" s="18" t="inlineStr">
        <is>
          <t>yes</t>
        </is>
      </c>
      <c r="G54" s="12" t="inlineStr">
        <is>
          <t>pass</t>
        </is>
      </c>
      <c r="H54" s="22" t="inlineStr">
        <is>
          <t>covered</t>
        </is>
      </c>
      <c r="I54" s="13" t="inlineStr">
        <is>
          <t>DropdownMenu playground scenario.</t>
        </is>
      </c>
      <c r="J54" s="13" t="inlineStr">
        <is>
          <t>Complete.</t>
        </is>
      </c>
      <c r="K54" s="14">
        <f>IF(AND(E54="yes",F54="yes",H54="covered"),1,IF(H54="partial",0.5,0))</f>
        <v/>
      </c>
    </row>
    <row r="55" ht="32" customHeight="1" s="24">
      <c r="A55" s="12" t="n">
        <v>47</v>
      </c>
      <c r="B55" s="13" t="inlineStr">
        <is>
          <t>Public API</t>
        </is>
      </c>
      <c r="C55" s="13" t="inlineStr">
        <is>
          <t>Trigger</t>
        </is>
      </c>
      <c r="D55" s="13" t="inlineStr">
        <is>
          <t>render disabled trigger receives tabindex -1</t>
        </is>
      </c>
      <c r="E55" s="18" t="inlineStr">
        <is>
          <t>yes</t>
        </is>
      </c>
      <c r="F55" s="18" t="inlineStr">
        <is>
          <t>yes</t>
        </is>
      </c>
      <c r="G55" s="12" t="inlineStr">
        <is>
          <t>pass</t>
        </is>
      </c>
      <c r="H55" s="22" t="inlineStr">
        <is>
          <t>covered</t>
        </is>
      </c>
      <c r="I55" s="13" t="inlineStr">
        <is>
          <t>DropdownMenu playground scenario.</t>
        </is>
      </c>
      <c r="J55" s="13" t="inlineStr">
        <is>
          <t>Complete.</t>
        </is>
      </c>
      <c r="K55" s="14">
        <f>IF(AND(E55="yes",F55="yes",H55="covered"),1,IF(H55="partial",0.5,0))</f>
        <v/>
      </c>
    </row>
    <row r="56" ht="32" customHeight="1" s="24">
      <c r="A56" s="12" t="n">
        <v>48</v>
      </c>
      <c r="B56" s="13" t="inlineStr">
        <is>
          <t>Public API</t>
        </is>
      </c>
      <c r="C56" s="13" t="inlineStr">
        <is>
          <t>Trigger</t>
        </is>
      </c>
      <c r="D56" s="13" t="inlineStr">
        <is>
          <t>custom data-slot override applies to trigger</t>
        </is>
      </c>
      <c r="E56" s="18" t="inlineStr">
        <is>
          <t>yes</t>
        </is>
      </c>
      <c r="F56" s="18" t="inlineStr">
        <is>
          <t>yes</t>
        </is>
      </c>
      <c r="G56" s="12" t="inlineStr">
        <is>
          <t>pass</t>
        </is>
      </c>
      <c r="H56" s="22" t="inlineStr">
        <is>
          <t>covered</t>
        </is>
      </c>
      <c r="I56" s="13" t="inlineStr">
        <is>
          <t>DropdownMenu playground scenario.</t>
        </is>
      </c>
      <c r="J56" s="13" t="inlineStr">
        <is>
          <t>Complete.</t>
        </is>
      </c>
      <c r="K56" s="14">
        <f>IF(AND(E56="yes",F56="yes",H56="covered"),1,IF(H56="partial",0.5,0))</f>
        <v/>
      </c>
    </row>
    <row r="57" ht="32" customHeight="1" s="24">
      <c r="A57" s="12" t="n">
        <v>49</v>
      </c>
      <c r="B57" s="13" t="inlineStr">
        <is>
          <t>Public API</t>
        </is>
      </c>
      <c r="C57" s="13" t="inlineStr">
        <is>
          <t>Content</t>
        </is>
      </c>
      <c r="D57" s="13" t="inlineStr">
        <is>
          <t>renders only while open</t>
        </is>
      </c>
      <c r="E57" s="18" t="inlineStr">
        <is>
          <t>yes</t>
        </is>
      </c>
      <c r="F57" s="18" t="inlineStr">
        <is>
          <t>yes</t>
        </is>
      </c>
      <c r="G57" s="12" t="inlineStr">
        <is>
          <t>pass</t>
        </is>
      </c>
      <c r="H57" s="22" t="inlineStr">
        <is>
          <t>covered</t>
        </is>
      </c>
      <c r="I57" s="13" t="inlineStr">
        <is>
          <t>Dropdown Menu content/subcontent relationship and portal batch; manually verified.</t>
        </is>
      </c>
      <c r="J57" s="13" t="inlineStr">
        <is>
          <t>Complete.</t>
        </is>
      </c>
      <c r="K57" s="14">
        <f>IF(AND(E57="yes",F57="yes",H57="covered"),1,IF(H57="partial",0.5,0))</f>
        <v/>
      </c>
    </row>
    <row r="58" ht="32" customHeight="1" s="24">
      <c r="A58" s="12" t="n">
        <v>50</v>
      </c>
      <c r="B58" s="13" t="inlineStr">
        <is>
          <t>Public API</t>
        </is>
      </c>
      <c r="C58" s="13" t="inlineStr">
        <is>
          <t>Content</t>
        </is>
      </c>
      <c r="D58" s="13" t="inlineStr">
        <is>
          <t>role is menu</t>
        </is>
      </c>
      <c r="E58" s="18" t="inlineStr">
        <is>
          <t>yes</t>
        </is>
      </c>
      <c r="F58" s="18" t="inlineStr">
        <is>
          <t>yes</t>
        </is>
      </c>
      <c r="G58" s="12" t="inlineStr">
        <is>
          <t>pass</t>
        </is>
      </c>
      <c r="H58" s="22" t="inlineStr">
        <is>
          <t>covered</t>
        </is>
      </c>
      <c r="I58" s="13" t="inlineStr">
        <is>
          <t>Dropdown Menu content and popup positioning batch; manually verified.</t>
        </is>
      </c>
      <c r="J58" s="13" t="inlineStr">
        <is>
          <t>Complete.</t>
        </is>
      </c>
      <c r="K58" s="14">
        <f>IF(AND(E58="yes",F58="yes",H58="covered"),1,IF(H58="partial",0.5,0))</f>
        <v/>
      </c>
    </row>
    <row r="59" ht="32" customHeight="1" s="24">
      <c r="A59" s="12" t="n">
        <v>51</v>
      </c>
      <c r="B59" s="13" t="inlineStr">
        <is>
          <t>Public API</t>
        </is>
      </c>
      <c r="C59" s="13" t="inlineStr">
        <is>
          <t>Content</t>
        </is>
      </c>
      <c r="D59" s="13" t="inlineStr">
        <is>
          <t>aria-orientation is vertical</t>
        </is>
      </c>
      <c r="E59" s="18" t="inlineStr">
        <is>
          <t>yes</t>
        </is>
      </c>
      <c r="F59" s="18" t="inlineStr">
        <is>
          <t>yes</t>
        </is>
      </c>
      <c r="G59" s="12" t="inlineStr">
        <is>
          <t>pass</t>
        </is>
      </c>
      <c r="H59" s="22" t="inlineStr">
        <is>
          <t>covered</t>
        </is>
      </c>
      <c r="I59" s="13" t="inlineStr">
        <is>
          <t>Dropdown Menu content and popup positioning batch; manually verified.</t>
        </is>
      </c>
      <c r="J59" s="13" t="inlineStr">
        <is>
          <t>Complete.</t>
        </is>
      </c>
      <c r="K59" s="14">
        <f>IF(AND(E59="yes",F59="yes",H59="covered"),1,IF(H59="partial",0.5,0))</f>
        <v/>
      </c>
    </row>
    <row r="60" ht="32" customHeight="1" s="24">
      <c r="A60" s="12" t="n">
        <v>52</v>
      </c>
      <c r="B60" s="13" t="inlineStr">
        <is>
          <t>Public API</t>
        </is>
      </c>
      <c r="C60" s="13" t="inlineStr">
        <is>
          <t>Content</t>
        </is>
      </c>
      <c r="D60" s="13" t="inlineStr">
        <is>
          <t>aria-label prop names menu</t>
        </is>
      </c>
      <c r="E60" s="18" t="inlineStr">
        <is>
          <t>yes</t>
        </is>
      </c>
      <c r="F60" s="18" t="inlineStr">
        <is>
          <t>yes</t>
        </is>
      </c>
      <c r="G60" s="12" t="inlineStr">
        <is>
          <t>pass</t>
        </is>
      </c>
      <c r="H60" s="22" t="inlineStr">
        <is>
          <t>covered</t>
        </is>
      </c>
      <c r="I60" s="13" t="inlineStr">
        <is>
          <t>Dropdown Menu content and popup positioning batch; manually verified.</t>
        </is>
      </c>
      <c r="J60" s="13" t="inlineStr">
        <is>
          <t>Complete.</t>
        </is>
      </c>
      <c r="K60" s="14">
        <f>IF(AND(E60="yes",F60="yes",H60="covered"),1,IF(H60="partial",0.5,0))</f>
        <v/>
      </c>
    </row>
    <row r="61" ht="32" customHeight="1" s="24">
      <c r="A61" s="12" t="n">
        <v>53</v>
      </c>
      <c r="B61" s="13" t="inlineStr">
        <is>
          <t>Public API</t>
        </is>
      </c>
      <c r="C61" s="13" t="inlineStr">
        <is>
          <t>Content</t>
        </is>
      </c>
      <c r="D61" s="13" t="inlineStr">
        <is>
          <t>aria-labelledby references trigger when ariaLabel is absent</t>
        </is>
      </c>
      <c r="E61" s="18" t="inlineStr">
        <is>
          <t>yes</t>
        </is>
      </c>
      <c r="F61" s="18" t="inlineStr">
        <is>
          <t>yes</t>
        </is>
      </c>
      <c r="G61" s="12" t="inlineStr">
        <is>
          <t>pass</t>
        </is>
      </c>
      <c r="H61" s="22" t="inlineStr">
        <is>
          <t>covered</t>
        </is>
      </c>
      <c r="I61" s="13" t="inlineStr">
        <is>
          <t>Dropdown Menu content and popup positioning batch; manually verified.</t>
        </is>
      </c>
      <c r="J61" s="13" t="inlineStr">
        <is>
          <t>Complete.</t>
        </is>
      </c>
      <c r="K61" s="14">
        <f>IF(AND(E61="yes",F61="yes",H61="covered"),1,IF(H61="partial",0.5,0))</f>
        <v/>
      </c>
    </row>
    <row r="62" ht="32" customHeight="1" s="24">
      <c r="A62" s="12" t="n">
        <v>54</v>
      </c>
      <c r="B62" s="13" t="inlineStr">
        <is>
          <t>Public API</t>
        </is>
      </c>
      <c r="C62" s="13" t="inlineStr">
        <is>
          <t>Content</t>
        </is>
      </c>
      <c r="D62" s="13" t="inlineStr">
        <is>
          <t>tabindex attr is -1</t>
        </is>
      </c>
      <c r="E62" s="18" t="inlineStr">
        <is>
          <t>yes</t>
        </is>
      </c>
      <c r="F62" s="18" t="inlineStr">
        <is>
          <t>yes</t>
        </is>
      </c>
      <c r="G62" s="12" t="inlineStr">
        <is>
          <t>pass</t>
        </is>
      </c>
      <c r="H62" s="22" t="inlineStr">
        <is>
          <t>covered</t>
        </is>
      </c>
      <c r="I62" s="13" t="inlineStr">
        <is>
          <t>Dropdown Menu content and popup positioning batch; manually verified.</t>
        </is>
      </c>
      <c r="J62" s="13" t="inlineStr">
        <is>
          <t>Complete.</t>
        </is>
      </c>
      <c r="K62" s="14">
        <f>IF(AND(E62="yes",F62="yes",H62="covered"),1,IF(H62="partial",0.5,0))</f>
        <v/>
      </c>
    </row>
    <row r="63" ht="32" customHeight="1" s="24">
      <c r="A63" s="12" t="n">
        <v>55</v>
      </c>
      <c r="B63" s="13" t="inlineStr">
        <is>
          <t>Public API</t>
        </is>
      </c>
      <c r="C63" s="13" t="inlineStr">
        <is>
          <t>Content</t>
        </is>
      </c>
      <c r="D63" s="13" t="inlineStr">
        <is>
          <t>id matches trigger aria-controls</t>
        </is>
      </c>
      <c r="E63" s="18" t="inlineStr">
        <is>
          <t>yes</t>
        </is>
      </c>
      <c r="F63" s="18" t="inlineStr">
        <is>
          <t>yes</t>
        </is>
      </c>
      <c r="G63" s="12" t="inlineStr">
        <is>
          <t>pass</t>
        </is>
      </c>
      <c r="H63" s="22" t="inlineStr">
        <is>
          <t>covered</t>
        </is>
      </c>
      <c r="I63" s="13" t="inlineStr">
        <is>
          <t>Dropdown Menu content/subcontent relationship and portal batch; manually verified.</t>
        </is>
      </c>
      <c r="J63" s="13" t="inlineStr">
        <is>
          <t>Complete.</t>
        </is>
      </c>
      <c r="K63" s="14">
        <f>IF(AND(E63="yes",F63="yes",H63="covered"),1,IF(H63="partial",0.5,0))</f>
        <v/>
      </c>
    </row>
    <row r="64" ht="32" customHeight="1" s="24">
      <c r="A64" s="12" t="n">
        <v>56</v>
      </c>
      <c r="B64" s="13" t="inlineStr">
        <is>
          <t>Public API</t>
        </is>
      </c>
      <c r="C64" s="13" t="inlineStr">
        <is>
          <t>Content</t>
        </is>
      </c>
      <c r="D64" s="13" t="inlineStr">
        <is>
          <t>data-slot is menu-content</t>
        </is>
      </c>
      <c r="E64" s="18" t="inlineStr">
        <is>
          <t>yes</t>
        </is>
      </c>
      <c r="F64" s="18" t="inlineStr">
        <is>
          <t>yes</t>
        </is>
      </c>
      <c r="G64" s="12" t="inlineStr">
        <is>
          <t>pass</t>
        </is>
      </c>
      <c r="H64" s="22" t="inlineStr">
        <is>
          <t>covered</t>
        </is>
      </c>
      <c r="I64" s="13" t="inlineStr">
        <is>
          <t>Dropdown Menu content/subcontent relationship and portal batch; manually verified.</t>
        </is>
      </c>
      <c r="J64" s="13" t="inlineStr">
        <is>
          <t>Complete.</t>
        </is>
      </c>
      <c r="K64" s="14">
        <f>IF(AND(E64="yes",F64="yes",H64="covered"),1,IF(H64="partial",0.5,0))</f>
        <v/>
      </c>
    </row>
    <row r="65" ht="32" customHeight="1" s="24">
      <c r="A65" s="12" t="n">
        <v>57</v>
      </c>
      <c r="B65" s="13" t="inlineStr">
        <is>
          <t>Public API</t>
        </is>
      </c>
      <c r="C65" s="13" t="inlineStr">
        <is>
          <t>Content</t>
        </is>
      </c>
      <c r="D65" s="13" t="inlineStr">
        <is>
          <t>data-state is open</t>
        </is>
      </c>
      <c r="E65" s="18" t="inlineStr">
        <is>
          <t>yes</t>
        </is>
      </c>
      <c r="F65" s="18" t="inlineStr">
        <is>
          <t>yes</t>
        </is>
      </c>
      <c r="G65" s="12" t="inlineStr">
        <is>
          <t>pass</t>
        </is>
      </c>
      <c r="H65" s="22" t="inlineStr">
        <is>
          <t>covered</t>
        </is>
      </c>
      <c r="I65" s="13" t="inlineStr">
        <is>
          <t>Dropdown Menu content and popup positioning batch; manually verified.</t>
        </is>
      </c>
      <c r="J65" s="13" t="inlineStr">
        <is>
          <t>Complete.</t>
        </is>
      </c>
      <c r="K65" s="14">
        <f>IF(AND(E65="yes",F65="yes",H65="covered"),1,IF(H65="partial",0.5,0))</f>
        <v/>
      </c>
    </row>
    <row r="66" ht="32" customHeight="1" s="24">
      <c r="A66" s="12" t="n">
        <v>58</v>
      </c>
      <c r="B66" s="13" t="inlineStr">
        <is>
          <t>Public API</t>
        </is>
      </c>
      <c r="C66" s="13" t="inlineStr">
        <is>
          <t>Content</t>
        </is>
      </c>
      <c r="D66" s="13" t="inlineStr">
        <is>
          <t>data-side reflects final placement</t>
        </is>
      </c>
      <c r="E66" s="18" t="inlineStr">
        <is>
          <t>yes</t>
        </is>
      </c>
      <c r="F66" s="18" t="inlineStr">
        <is>
          <t>yes</t>
        </is>
      </c>
      <c r="G66" s="12" t="inlineStr">
        <is>
          <t>pass</t>
        </is>
      </c>
      <c r="H66" s="22" t="inlineStr">
        <is>
          <t>covered</t>
        </is>
      </c>
      <c r="I66" s="13" t="inlineStr">
        <is>
          <t>Dropdown Menu content and popup positioning batch; manually verified.</t>
        </is>
      </c>
      <c r="J66" s="13" t="inlineStr">
        <is>
          <t>Complete.</t>
        </is>
      </c>
      <c r="K66" s="14">
        <f>IF(AND(E66="yes",F66="yes",H66="covered"),1,IF(H66="partial",0.5,0))</f>
        <v/>
      </c>
    </row>
    <row r="67" ht="32" customHeight="1" s="24">
      <c r="A67" s="12" t="n">
        <v>59</v>
      </c>
      <c r="B67" s="13" t="inlineStr">
        <is>
          <t>Public API</t>
        </is>
      </c>
      <c r="C67" s="13" t="inlineStr">
        <is>
          <t>Content</t>
        </is>
      </c>
      <c r="D67" s="13" t="inlineStr">
        <is>
          <t>data-align reflects final placement</t>
        </is>
      </c>
      <c r="E67" s="18" t="inlineStr">
        <is>
          <t>yes</t>
        </is>
      </c>
      <c r="F67" s="18" t="inlineStr">
        <is>
          <t>yes</t>
        </is>
      </c>
      <c r="G67" s="12" t="inlineStr">
        <is>
          <t>pass</t>
        </is>
      </c>
      <c r="H67" s="22" t="inlineStr">
        <is>
          <t>covered</t>
        </is>
      </c>
      <c r="I67" s="13" t="inlineStr">
        <is>
          <t>Dropdown Menu content and popup positioning batch; manually verified.</t>
        </is>
      </c>
      <c r="J67" s="13" t="inlineStr">
        <is>
          <t>Complete.</t>
        </is>
      </c>
      <c r="K67" s="14">
        <f>IF(AND(E67="yes",F67="yes",H67="covered"),1,IF(H67="partial",0.5,0))</f>
        <v/>
      </c>
    </row>
    <row r="68" ht="32" customHeight="1" s="24">
      <c r="A68" s="12" t="n">
        <v>60</v>
      </c>
      <c r="B68" s="13" t="inlineStr">
        <is>
          <t>Public API</t>
        </is>
      </c>
      <c r="C68" s="13" t="inlineStr">
        <is>
          <t>Content</t>
        </is>
      </c>
      <c r="D68" s="13" t="inlineStr">
        <is>
          <t>data-positioned appears after positioning</t>
        </is>
      </c>
      <c r="E68" s="18" t="inlineStr">
        <is>
          <t>yes</t>
        </is>
      </c>
      <c r="F68" s="18" t="inlineStr">
        <is>
          <t>yes</t>
        </is>
      </c>
      <c r="G68" s="12" t="inlineStr">
        <is>
          <t>pass</t>
        </is>
      </c>
      <c r="H68" s="22" t="inlineStr">
        <is>
          <t>covered</t>
        </is>
      </c>
      <c r="I68" s="13" t="inlineStr">
        <is>
          <t>Dropdown Menu content and popup positioning batch; manually verified.</t>
        </is>
      </c>
      <c r="J68" s="13" t="inlineStr">
        <is>
          <t>Complete.</t>
        </is>
      </c>
      <c r="K68" s="14">
        <f>IF(AND(E68="yes",F68="yes",H68="covered"),1,IF(H68="partial",0.5,0))</f>
        <v/>
      </c>
    </row>
    <row r="69" ht="32" customHeight="1" s="24">
      <c r="A69" s="12" t="n">
        <v>61</v>
      </c>
      <c r="B69" s="13" t="inlineStr">
        <is>
          <t>Public API</t>
        </is>
      </c>
      <c r="C69" s="13" t="inlineStr">
        <is>
          <t>Content</t>
        </is>
      </c>
      <c r="D69" s="13" t="inlineStr">
        <is>
          <t>side prop changes placement</t>
        </is>
      </c>
      <c r="E69" s="18" t="inlineStr">
        <is>
          <t>yes</t>
        </is>
      </c>
      <c r="F69" s="18" t="inlineStr">
        <is>
          <t>yes</t>
        </is>
      </c>
      <c r="G69" s="12" t="inlineStr">
        <is>
          <t>pass</t>
        </is>
      </c>
      <c r="H69" s="22" t="inlineStr">
        <is>
          <t>covered</t>
        </is>
      </c>
      <c r="I69" s="13" t="inlineStr">
        <is>
          <t>Dropdown Menu content and popup positioning batch; manually verified.</t>
        </is>
      </c>
      <c r="J69" s="13" t="inlineStr">
        <is>
          <t>Complete.</t>
        </is>
      </c>
      <c r="K69" s="14">
        <f>IF(AND(E69="yes",F69="yes",H69="covered"),1,IF(H69="partial",0.5,0))</f>
        <v/>
      </c>
    </row>
    <row r="70" ht="32" customHeight="1" s="24">
      <c r="A70" s="12" t="n">
        <v>62</v>
      </c>
      <c r="B70" s="13" t="inlineStr">
        <is>
          <t>Public API</t>
        </is>
      </c>
      <c r="C70" s="13" t="inlineStr">
        <is>
          <t>Content</t>
        </is>
      </c>
      <c r="D70" s="13" t="inlineStr">
        <is>
          <t>align prop changes placement</t>
        </is>
      </c>
      <c r="E70" s="18" t="inlineStr">
        <is>
          <t>yes</t>
        </is>
      </c>
      <c r="F70" s="18" t="inlineStr">
        <is>
          <t>yes</t>
        </is>
      </c>
      <c r="G70" s="12" t="inlineStr">
        <is>
          <t>pass</t>
        </is>
      </c>
      <c r="H70" s="22" t="inlineStr">
        <is>
          <t>covered</t>
        </is>
      </c>
      <c r="I70" s="13" t="inlineStr">
        <is>
          <t>Dropdown Menu content and popup positioning batch; manually verified.</t>
        </is>
      </c>
      <c r="J70" s="13" t="inlineStr">
        <is>
          <t>Complete.</t>
        </is>
      </c>
      <c r="K70" s="14">
        <f>IF(AND(E70="yes",F70="yes",H70="covered"),1,IF(H70="partial",0.5,0))</f>
        <v/>
      </c>
    </row>
    <row r="71" ht="32" customHeight="1" s="24">
      <c r="A71" s="12" t="n">
        <v>63</v>
      </c>
      <c r="B71" s="13" t="inlineStr">
        <is>
          <t>Public API</t>
        </is>
      </c>
      <c r="C71" s="13" t="inlineStr">
        <is>
          <t>Content</t>
        </is>
      </c>
      <c r="D71" s="13" t="inlineStr">
        <is>
          <t>sideOffset changes menu distance</t>
        </is>
      </c>
      <c r="E71" s="18" t="inlineStr">
        <is>
          <t>yes</t>
        </is>
      </c>
      <c r="F71" s="18" t="inlineStr">
        <is>
          <t>yes</t>
        </is>
      </c>
      <c r="G71" s="12" t="inlineStr">
        <is>
          <t>pass</t>
        </is>
      </c>
      <c r="H71" s="22" t="inlineStr">
        <is>
          <t>covered</t>
        </is>
      </c>
      <c r="I71" s="13" t="inlineStr">
        <is>
          <t>Dropdown Menu content and popup positioning batch; manually verified.</t>
        </is>
      </c>
      <c r="J71" s="13" t="inlineStr">
        <is>
          <t>Complete.</t>
        </is>
      </c>
      <c r="K71" s="14">
        <f>IF(AND(E71="yes",F71="yes",H71="covered"),1,IF(H71="partial",0.5,0))</f>
        <v/>
      </c>
    </row>
    <row r="72" ht="32" customHeight="1" s="24">
      <c r="A72" s="12" t="n">
        <v>64</v>
      </c>
      <c r="B72" s="13" t="inlineStr">
        <is>
          <t>Public API</t>
        </is>
      </c>
      <c r="C72" s="13" t="inlineStr">
        <is>
          <t>Content</t>
        </is>
      </c>
      <c r="D72" s="13" t="inlineStr">
        <is>
          <t>loop prop overrides root loop</t>
        </is>
      </c>
      <c r="E72" s="18" t="inlineStr">
        <is>
          <t>yes</t>
        </is>
      </c>
      <c r="F72" s="18" t="inlineStr">
        <is>
          <t>yes</t>
        </is>
      </c>
      <c r="G72" s="12" t="inlineStr">
        <is>
          <t>pass</t>
        </is>
      </c>
      <c r="H72" s="22" t="inlineStr">
        <is>
          <t>covered</t>
        </is>
      </c>
      <c r="I72" s="13" t="inlineStr">
        <is>
          <t>DropdownMenu playground scenario.</t>
        </is>
      </c>
      <c r="J72" s="13" t="inlineStr">
        <is>
          <t>Complete.</t>
        </is>
      </c>
      <c r="K72" s="14">
        <f>IF(AND(E72="yes",F72="yes",H72="covered"),1,IF(H72="partial",0.5,0))</f>
        <v/>
      </c>
    </row>
    <row r="73" ht="32" customHeight="1" s="24">
      <c r="A73" s="12" t="n">
        <v>65</v>
      </c>
      <c r="B73" s="13" t="inlineStr">
        <is>
          <t>Public API</t>
        </is>
      </c>
      <c r="C73" s="13" t="inlineStr">
        <is>
          <t>Content</t>
        </is>
      </c>
      <c r="D73" s="13" t="inlineStr">
        <is>
          <t>native className and data props pass through</t>
        </is>
      </c>
      <c r="E73" s="18" t="inlineStr">
        <is>
          <t>yes</t>
        </is>
      </c>
      <c r="F73" s="18" t="inlineStr">
        <is>
          <t>yes</t>
        </is>
      </c>
      <c r="G73" s="12" t="inlineStr">
        <is>
          <t>pass</t>
        </is>
      </c>
      <c r="H73" s="22" t="inlineStr">
        <is>
          <t>covered</t>
        </is>
      </c>
      <c r="I73" s="13" t="inlineStr">
        <is>
          <t>Verify the part forwards a non-Atom-owned data-prop-check marker in the live raw Data group or Inspector.</t>
        </is>
      </c>
      <c r="J73" s="13" t="inlineStr">
        <is>
          <t>Complete.</t>
        </is>
      </c>
      <c r="K73" s="14">
        <f>IF(AND(E73="yes",F73="yes",H73="covered"),1,IF(H73="partial",0.5,0))</f>
        <v/>
      </c>
    </row>
    <row r="74" ht="32" customHeight="1" s="24">
      <c r="A74" s="12" t="n">
        <v>66</v>
      </c>
      <c r="B74" s="13" t="inlineStr">
        <is>
          <t>Public API</t>
        </is>
      </c>
      <c r="C74" s="13" t="inlineStr">
        <is>
          <t>Content</t>
        </is>
      </c>
      <c r="D74" s="13" t="inlineStr">
        <is>
          <t>onKeyDownCapture can block Atom key behavior</t>
        </is>
      </c>
      <c r="E74" s="18" t="inlineStr">
        <is>
          <t>yes</t>
        </is>
      </c>
      <c r="F74" s="18" t="inlineStr">
        <is>
          <t>yes</t>
        </is>
      </c>
      <c r="G74" s="12" t="inlineStr">
        <is>
          <t>pass</t>
        </is>
      </c>
      <c r="H74" s="22" t="inlineStr">
        <is>
          <t>covered</t>
        </is>
      </c>
      <c r="I74" s="13" t="inlineStr">
        <is>
          <t>DropdownMenu playground scenario.</t>
        </is>
      </c>
      <c r="J74" s="13" t="inlineStr">
        <is>
          <t>Complete.</t>
        </is>
      </c>
      <c r="K74" s="14">
        <f>IF(AND(E74="yes",F74="yes",H74="covered"),1,IF(H74="partial",0.5,0))</f>
        <v/>
      </c>
    </row>
    <row r="75" ht="32" customHeight="1" s="24">
      <c r="A75" s="12" t="n">
        <v>67</v>
      </c>
      <c r="B75" s="13" t="inlineStr">
        <is>
          <t>Public API</t>
        </is>
      </c>
      <c r="C75" s="13" t="inlineStr">
        <is>
          <t>Item</t>
        </is>
      </c>
      <c r="D75" s="13" t="inlineStr">
        <is>
          <t>renders role menuitem</t>
        </is>
      </c>
      <c r="E75" s="18" t="inlineStr">
        <is>
          <t>yes</t>
        </is>
      </c>
      <c r="F75" s="18" t="inlineStr">
        <is>
          <t>yes</t>
        </is>
      </c>
      <c r="G75" s="12" t="inlineStr">
        <is>
          <t>pass</t>
        </is>
      </c>
      <c r="H75" s="22" t="inlineStr">
        <is>
          <t>covered</t>
        </is>
      </c>
      <c r="I75" s="13" t="inlineStr">
        <is>
          <t>DropdownMenu playground scenario.</t>
        </is>
      </c>
      <c r="J75" s="13" t="inlineStr">
        <is>
          <t>Complete.</t>
        </is>
      </c>
      <c r="K75" s="14">
        <f>IF(AND(E75="yes",F75="yes",H75="covered"),1,IF(H75="partial",0.5,0))</f>
        <v/>
      </c>
    </row>
    <row r="76" ht="32" customHeight="1" s="24">
      <c r="A76" s="12" t="n">
        <v>68</v>
      </c>
      <c r="B76" s="13" t="inlineStr">
        <is>
          <t>Public API</t>
        </is>
      </c>
      <c r="C76" s="13" t="inlineStr">
        <is>
          <t>Item</t>
        </is>
      </c>
      <c r="D76" s="13" t="inlineStr">
        <is>
          <t>value appears as data-value</t>
        </is>
      </c>
      <c r="E76" s="18" t="inlineStr">
        <is>
          <t>yes</t>
        </is>
      </c>
      <c r="F76" s="18" t="inlineStr">
        <is>
          <t>yes</t>
        </is>
      </c>
      <c r="G76" s="12" t="inlineStr">
        <is>
          <t>pass</t>
        </is>
      </c>
      <c r="H76" s="22" t="inlineStr">
        <is>
          <t>covered</t>
        </is>
      </c>
      <c r="I76" s="13" t="inlineStr">
        <is>
          <t>DropdownMenu playground scenario.</t>
        </is>
      </c>
      <c r="J76" s="13" t="inlineStr">
        <is>
          <t>Complete.</t>
        </is>
      </c>
      <c r="K76" s="14">
        <f>IF(AND(E76="yes",F76="yes",H76="covered"),1,IF(H76="partial",0.5,0))</f>
        <v/>
      </c>
    </row>
    <row r="77" ht="32" customHeight="1" s="24">
      <c r="A77" s="12" t="n">
        <v>69</v>
      </c>
      <c r="B77" s="13" t="inlineStr">
        <is>
          <t>Public API</t>
        </is>
      </c>
      <c r="C77" s="13" t="inlineStr">
        <is>
          <t>Item</t>
        </is>
      </c>
      <c r="D77" s="13" t="inlineStr">
        <is>
          <t>textValue is used for typeahead</t>
        </is>
      </c>
      <c r="E77" s="18" t="inlineStr">
        <is>
          <t>yes</t>
        </is>
      </c>
      <c r="F77" s="18" t="inlineStr">
        <is>
          <t>yes</t>
        </is>
      </c>
      <c r="G77" s="12" t="inlineStr">
        <is>
          <t>pass</t>
        </is>
      </c>
      <c r="H77" s="22" t="inlineStr">
        <is>
          <t>covered</t>
        </is>
      </c>
      <c r="I77" s="13" t="inlineStr">
        <is>
          <t>Dropdown Menu typeahead batch; manually verified.</t>
        </is>
      </c>
      <c r="J77" s="13" t="inlineStr">
        <is>
          <t>Complete.</t>
        </is>
      </c>
      <c r="K77" s="14">
        <f>IF(AND(E77="yes",F77="yes",H77="covered"),1,IF(H77="partial",0.5,0))</f>
        <v/>
      </c>
    </row>
    <row r="78" ht="32" customHeight="1" s="24">
      <c r="A78" s="12" t="n">
        <v>70</v>
      </c>
      <c r="B78" s="13" t="inlineStr">
        <is>
          <t>Public API</t>
        </is>
      </c>
      <c r="C78" s="13" t="inlineStr">
        <is>
          <t>Item</t>
        </is>
      </c>
      <c r="D78" s="13" t="inlineStr">
        <is>
          <t>onSelect fires on click</t>
        </is>
      </c>
      <c r="E78" s="18" t="inlineStr">
        <is>
          <t>yes</t>
        </is>
      </c>
      <c r="F78" s="18" t="inlineStr">
        <is>
          <t>yes</t>
        </is>
      </c>
      <c r="G78" s="12" t="inlineStr">
        <is>
          <t>pass</t>
        </is>
      </c>
      <c r="H78" s="22" t="inlineStr">
        <is>
          <t>covered</t>
        </is>
      </c>
      <c r="I78" s="13" t="inlineStr">
        <is>
          <t>DropdownMenu playground scenario.</t>
        </is>
      </c>
      <c r="J78" s="13" t="inlineStr">
        <is>
          <t>Complete.</t>
        </is>
      </c>
      <c r="K78" s="14">
        <f>IF(AND(E78="yes",F78="yes",H78="covered"),1,IF(H78="partial",0.5,0))</f>
        <v/>
      </c>
    </row>
    <row r="79" ht="32" customHeight="1" s="24">
      <c r="A79" s="12" t="n">
        <v>71</v>
      </c>
      <c r="B79" s="13" t="inlineStr">
        <is>
          <t>Public API</t>
        </is>
      </c>
      <c r="C79" s="13" t="inlineStr">
        <is>
          <t>Item</t>
        </is>
      </c>
      <c r="D79" s="13" t="inlineStr">
        <is>
          <t>onSelect fires from keyboard activation</t>
        </is>
      </c>
      <c r="E79" s="18" t="inlineStr">
        <is>
          <t>yes</t>
        </is>
      </c>
      <c r="F79" s="18" t="inlineStr">
        <is>
          <t>yes</t>
        </is>
      </c>
      <c r="G79" s="12" t="inlineStr">
        <is>
          <t>pass</t>
        </is>
      </c>
      <c r="H79" s="22" t="inlineStr">
        <is>
          <t>covered</t>
        </is>
      </c>
      <c r="I79" s="13" t="inlineStr">
        <is>
          <t>Dropdown Menu keyboard navigation batch; manually verified.</t>
        </is>
      </c>
      <c r="J79" s="13" t="inlineStr">
        <is>
          <t>Complete.</t>
        </is>
      </c>
      <c r="K79" s="14">
        <f>IF(AND(E79="yes",F79="yes",H79="covered"),1,IF(H79="partial",0.5,0))</f>
        <v/>
      </c>
    </row>
    <row r="80" ht="32" customHeight="1" s="24">
      <c r="A80" s="12" t="n">
        <v>72</v>
      </c>
      <c r="B80" s="13" t="inlineStr">
        <is>
          <t>Public API</t>
        </is>
      </c>
      <c r="C80" s="13" t="inlineStr">
        <is>
          <t>Item</t>
        </is>
      </c>
      <c r="D80" s="13" t="inlineStr">
        <is>
          <t>disabled item is skipped by keyboard navigation</t>
        </is>
      </c>
      <c r="E80" s="18" t="inlineStr">
        <is>
          <t>yes</t>
        </is>
      </c>
      <c r="F80" s="18" t="inlineStr">
        <is>
          <t>yes</t>
        </is>
      </c>
      <c r="G80" s="12" t="inlineStr">
        <is>
          <t>pass</t>
        </is>
      </c>
      <c r="H80" s="22" t="inlineStr">
        <is>
          <t>covered</t>
        </is>
      </c>
      <c r="I80" s="13" t="inlineStr">
        <is>
          <t>Dropdown Menu disabled item batch; manually verified.</t>
        </is>
      </c>
      <c r="J80" s="13" t="inlineStr">
        <is>
          <t>Complete.</t>
        </is>
      </c>
      <c r="K80" s="14">
        <f>IF(AND(E80="yes",F80="yes",H80="covered"),1,IF(H80="partial",0.5,0))</f>
        <v/>
      </c>
    </row>
    <row r="81" ht="32" customHeight="1" s="24">
      <c r="A81" s="12" t="n">
        <v>73</v>
      </c>
      <c r="B81" s="13" t="inlineStr">
        <is>
          <t>Public API</t>
        </is>
      </c>
      <c r="C81" s="13" t="inlineStr">
        <is>
          <t>Item</t>
        </is>
      </c>
      <c r="D81" s="13" t="inlineStr">
        <is>
          <t>disabled item exposes aria-disabled</t>
        </is>
      </c>
      <c r="E81" s="18" t="inlineStr">
        <is>
          <t>yes</t>
        </is>
      </c>
      <c r="F81" s="18" t="inlineStr">
        <is>
          <t>yes</t>
        </is>
      </c>
      <c r="G81" s="12" t="inlineStr">
        <is>
          <t>pass</t>
        </is>
      </c>
      <c r="H81" s="22" t="inlineStr">
        <is>
          <t>covered</t>
        </is>
      </c>
      <c r="I81" s="13" t="inlineStr">
        <is>
          <t>Dropdown Menu disabled item batch; manually verified.</t>
        </is>
      </c>
      <c r="J81" s="13" t="inlineStr">
        <is>
          <t>Complete.</t>
        </is>
      </c>
      <c r="K81" s="14">
        <f>IF(AND(E81="yes",F81="yes",H81="covered"),1,IF(H81="partial",0.5,0))</f>
        <v/>
      </c>
    </row>
    <row r="82" ht="32" customHeight="1" s="24">
      <c r="A82" s="12" t="n">
        <v>74</v>
      </c>
      <c r="B82" s="13" t="inlineStr">
        <is>
          <t>Public API</t>
        </is>
      </c>
      <c r="C82" s="13" t="inlineStr">
        <is>
          <t>Item</t>
        </is>
      </c>
      <c r="D82" s="13" t="inlineStr">
        <is>
          <t>disabled item exposes data-disabled</t>
        </is>
      </c>
      <c r="E82" s="18" t="inlineStr">
        <is>
          <t>yes</t>
        </is>
      </c>
      <c r="F82" s="18" t="inlineStr">
        <is>
          <t>yes</t>
        </is>
      </c>
      <c r="G82" s="12" t="inlineStr">
        <is>
          <t>pass</t>
        </is>
      </c>
      <c r="H82" s="22" t="inlineStr">
        <is>
          <t>covered</t>
        </is>
      </c>
      <c r="I82" s="13" t="inlineStr">
        <is>
          <t>Dropdown Menu disabled item batch; manually verified.</t>
        </is>
      </c>
      <c r="J82" s="13" t="inlineStr">
        <is>
          <t>Complete.</t>
        </is>
      </c>
      <c r="K82" s="14">
        <f>IF(AND(E82="yes",F82="yes",H82="covered"),1,IF(H82="partial",0.5,0))</f>
        <v/>
      </c>
    </row>
    <row r="83" ht="32" customHeight="1" s="24">
      <c r="A83" s="12" t="n">
        <v>75</v>
      </c>
      <c r="B83" s="13" t="inlineStr">
        <is>
          <t>Public API</t>
        </is>
      </c>
      <c r="C83" s="13" t="inlineStr">
        <is>
          <t>Item</t>
        </is>
      </c>
      <c r="D83" s="13" t="inlineStr">
        <is>
          <t>highlighted item exposes data-highlighted</t>
        </is>
      </c>
      <c r="E83" s="18" t="inlineStr">
        <is>
          <t>yes</t>
        </is>
      </c>
      <c r="F83" s="18" t="inlineStr">
        <is>
          <t>yes</t>
        </is>
      </c>
      <c r="G83" s="12" t="inlineStr">
        <is>
          <t>pass</t>
        </is>
      </c>
      <c r="H83" s="22" t="inlineStr">
        <is>
          <t>covered</t>
        </is>
      </c>
      <c r="I83" s="13" t="inlineStr">
        <is>
          <t>Dropdown Menu pointer highlight batch; manually verified.</t>
        </is>
      </c>
      <c r="J83" s="13" t="inlineStr">
        <is>
          <t>Complete.</t>
        </is>
      </c>
      <c r="K83" s="14">
        <f>IF(AND(E83="yes",F83="yes",H83="covered"),1,IF(H83="partial",0.5,0))</f>
        <v/>
      </c>
    </row>
    <row r="84" ht="32" customHeight="1" s="24">
      <c r="A84" s="12" t="n">
        <v>76</v>
      </c>
      <c r="B84" s="13" t="inlineStr">
        <is>
          <t>Public API</t>
        </is>
      </c>
      <c r="C84" s="13" t="inlineStr">
        <is>
          <t>Item</t>
        </is>
      </c>
      <c r="D84" s="13" t="inlineStr">
        <is>
          <t>closeOnSelect overrides root close behavior</t>
        </is>
      </c>
      <c r="E84" s="18" t="inlineStr">
        <is>
          <t>yes</t>
        </is>
      </c>
      <c r="F84" s="18" t="inlineStr">
        <is>
          <t>yes</t>
        </is>
      </c>
      <c r="G84" s="12" t="inlineStr">
        <is>
          <t>pass</t>
        </is>
      </c>
      <c r="H84" s="22" t="inlineStr">
        <is>
          <t>covered</t>
        </is>
      </c>
      <c r="I84" s="13" t="inlineStr">
        <is>
          <t>Dropdown Menu closeOnSelect and keyboard loop batch; manually verified.</t>
        </is>
      </c>
      <c r="J84" s="13" t="inlineStr">
        <is>
          <t>Complete.</t>
        </is>
      </c>
      <c r="K84" s="14">
        <f>IF(AND(E84="yes",F84="yes",H84="covered"),1,IF(H84="partial",0.5,0))</f>
        <v/>
      </c>
    </row>
    <row r="85" ht="32" customHeight="1" s="24">
      <c r="A85" s="12" t="n">
        <v>77</v>
      </c>
      <c r="B85" s="13" t="inlineStr">
        <is>
          <t>Public API</t>
        </is>
      </c>
      <c r="C85" s="13" t="inlineStr">
        <is>
          <t>Item</t>
        </is>
      </c>
      <c r="D85" s="13" t="inlineStr">
        <is>
          <t>asChild composition works</t>
        </is>
      </c>
      <c r="E85" s="18" t="inlineStr">
        <is>
          <t>yes</t>
        </is>
      </c>
      <c r="F85" s="18" t="inlineStr">
        <is>
          <t>yes</t>
        </is>
      </c>
      <c r="G85" s="12" t="inlineStr">
        <is>
          <t>pass</t>
        </is>
      </c>
      <c r="H85" s="22" t="inlineStr">
        <is>
          <t>covered</t>
        </is>
      </c>
      <c r="I85" s="13" t="inlineStr">
        <is>
          <t>Dropdown Menu composition/native prop batch; manually verified with raw data-prop-check evidence.</t>
        </is>
      </c>
      <c r="J85" s="13" t="inlineStr">
        <is>
          <t>Complete.</t>
        </is>
      </c>
      <c r="K85" s="14">
        <f>IF(AND(E85="yes",F85="yes",H85="covered"),1,IF(H85="partial",0.5,0))</f>
        <v/>
      </c>
    </row>
    <row r="86" ht="32" customHeight="1" s="24">
      <c r="A86" s="12" t="n">
        <v>78</v>
      </c>
      <c r="B86" s="13" t="inlineStr">
        <is>
          <t>Public API</t>
        </is>
      </c>
      <c r="C86" s="13" t="inlineStr">
        <is>
          <t>Item</t>
        </is>
      </c>
      <c r="D86" s="13" t="inlineStr">
        <is>
          <t>render composition works</t>
        </is>
      </c>
      <c r="E86" s="18" t="inlineStr">
        <is>
          <t>yes</t>
        </is>
      </c>
      <c r="F86" s="18" t="inlineStr">
        <is>
          <t>yes</t>
        </is>
      </c>
      <c r="G86" s="12" t="inlineStr">
        <is>
          <t>pass</t>
        </is>
      </c>
      <c r="H86" s="22" t="inlineStr">
        <is>
          <t>covered</t>
        </is>
      </c>
      <c r="I86" s="13" t="inlineStr">
        <is>
          <t>Dropdown Menu composition/native prop batch; manually verified with raw data-prop-check evidence.</t>
        </is>
      </c>
      <c r="J86" s="13" t="inlineStr">
        <is>
          <t>Complete.</t>
        </is>
      </c>
      <c r="K86" s="14">
        <f>IF(AND(E86="yes",F86="yes",H86="covered"),1,IF(H86="partial",0.5,0))</f>
        <v/>
      </c>
    </row>
    <row r="87" ht="32" customHeight="1" s="24">
      <c r="A87" s="12" t="n">
        <v>79</v>
      </c>
      <c r="B87" s="13" t="inlineStr">
        <is>
          <t>Public API</t>
        </is>
      </c>
      <c r="C87" s="13" t="inlineStr">
        <is>
          <t>Item</t>
        </is>
      </c>
      <c r="D87" s="13" t="inlineStr">
        <is>
          <t>consumer onClick can prevent Atom behavior</t>
        </is>
      </c>
      <c r="E87" s="18" t="inlineStr">
        <is>
          <t>yes</t>
        </is>
      </c>
      <c r="F87" s="18" t="inlineStr">
        <is>
          <t>yes</t>
        </is>
      </c>
      <c r="G87" s="12" t="inlineStr">
        <is>
          <t>pass</t>
        </is>
      </c>
      <c r="H87" s="22" t="inlineStr">
        <is>
          <t>covered</t>
        </is>
      </c>
      <c r="I87" s="13" t="inlineStr">
        <is>
          <t>DropdownMenu playground scenario.</t>
        </is>
      </c>
      <c r="J87" s="13" t="inlineStr">
        <is>
          <t>Complete.</t>
        </is>
      </c>
      <c r="K87" s="14">
        <f>IF(AND(E87="yes",F87="yes",H87="covered"),1,IF(H87="partial",0.5,0))</f>
        <v/>
      </c>
    </row>
    <row r="88" ht="32" customHeight="1" s="24">
      <c r="A88" s="12" t="n">
        <v>80</v>
      </c>
      <c r="B88" s="13" t="inlineStr">
        <is>
          <t>Public API</t>
        </is>
      </c>
      <c r="C88" s="13" t="inlineStr">
        <is>
          <t>Item</t>
        </is>
      </c>
      <c r="D88" s="13" t="inlineStr">
        <is>
          <t>native className and data props pass through</t>
        </is>
      </c>
      <c r="E88" s="18" t="inlineStr">
        <is>
          <t>yes</t>
        </is>
      </c>
      <c r="F88" s="18" t="inlineStr">
        <is>
          <t>yes</t>
        </is>
      </c>
      <c r="G88" s="12" t="inlineStr">
        <is>
          <t>pass</t>
        </is>
      </c>
      <c r="H88" s="22" t="inlineStr">
        <is>
          <t>covered</t>
        </is>
      </c>
      <c r="I88" s="13" t="inlineStr">
        <is>
          <t>Verify the part forwards a non-Atom-owned data-prop-check marker in the live raw Data group or Inspector.</t>
        </is>
      </c>
      <c r="J88" s="13" t="inlineStr">
        <is>
          <t>Complete.</t>
        </is>
      </c>
      <c r="K88" s="14">
        <f>IF(AND(E88="yes",F88="yes",H88="covered"),1,IF(H88="partial",0.5,0))</f>
        <v/>
      </c>
    </row>
    <row r="89" ht="32" customHeight="1" s="24">
      <c r="A89" s="12" t="n">
        <v>81</v>
      </c>
      <c r="B89" s="13" t="inlineStr">
        <is>
          <t>Public API</t>
        </is>
      </c>
      <c r="C89" s="13" t="inlineStr">
        <is>
          <t>Checkbox Item</t>
        </is>
      </c>
      <c r="D89" s="13" t="inlineStr">
        <is>
          <t>renders role menuitemcheckbox</t>
        </is>
      </c>
      <c r="E89" s="18" t="inlineStr">
        <is>
          <t>yes</t>
        </is>
      </c>
      <c r="F89" s="18" t="inlineStr">
        <is>
          <t>yes</t>
        </is>
      </c>
      <c r="G89" s="12" t="inlineStr">
        <is>
          <t>pass</t>
        </is>
      </c>
      <c r="H89" s="22" t="inlineStr">
        <is>
          <t>covered</t>
        </is>
      </c>
      <c r="I89" s="13" t="inlineStr">
        <is>
          <t>Dropdown Menu checkbox item batch; manually verified.</t>
        </is>
      </c>
      <c r="J89" s="13" t="inlineStr">
        <is>
          <t>Complete.</t>
        </is>
      </c>
      <c r="K89" s="14">
        <f>IF(AND(E89="yes",F89="yes",H89="covered"),1,IF(H89="partial",0.5,0))</f>
        <v/>
      </c>
    </row>
    <row r="90" ht="32" customHeight="1" s="24">
      <c r="A90" s="12" t="n">
        <v>82</v>
      </c>
      <c r="B90" s="13" t="inlineStr">
        <is>
          <t>Public API</t>
        </is>
      </c>
      <c r="C90" s="13" t="inlineStr">
        <is>
          <t>Checkbox Item</t>
        </is>
      </c>
      <c r="D90" s="13" t="inlineStr">
        <is>
          <t>checked true exposes aria-checked true</t>
        </is>
      </c>
      <c r="E90" s="18" t="inlineStr">
        <is>
          <t>yes</t>
        </is>
      </c>
      <c r="F90" s="18" t="inlineStr">
        <is>
          <t>yes</t>
        </is>
      </c>
      <c r="G90" s="12" t="inlineStr">
        <is>
          <t>pass</t>
        </is>
      </c>
      <c r="H90" s="22" t="inlineStr">
        <is>
          <t>covered</t>
        </is>
      </c>
      <c r="I90" s="13" t="inlineStr">
        <is>
          <t>Dropdown Menu checkbox item batch; manually verified.</t>
        </is>
      </c>
      <c r="J90" s="13" t="inlineStr">
        <is>
          <t>Complete.</t>
        </is>
      </c>
      <c r="K90" s="14">
        <f>IF(AND(E90="yes",F90="yes",H90="covered"),1,IF(H90="partial",0.5,0))</f>
        <v/>
      </c>
    </row>
    <row r="91" ht="32" customHeight="1" s="24">
      <c r="A91" s="12" t="n">
        <v>83</v>
      </c>
      <c r="B91" s="13" t="inlineStr">
        <is>
          <t>Public API</t>
        </is>
      </c>
      <c r="C91" s="13" t="inlineStr">
        <is>
          <t>Checkbox Item</t>
        </is>
      </c>
      <c r="D91" s="13" t="inlineStr">
        <is>
          <t>checked false exposes aria-checked false</t>
        </is>
      </c>
      <c r="E91" s="18" t="inlineStr">
        <is>
          <t>yes</t>
        </is>
      </c>
      <c r="F91" s="18" t="inlineStr">
        <is>
          <t>yes</t>
        </is>
      </c>
      <c r="G91" s="12" t="inlineStr">
        <is>
          <t>pass</t>
        </is>
      </c>
      <c r="H91" s="22" t="inlineStr">
        <is>
          <t>covered</t>
        </is>
      </c>
      <c r="I91" s="13" t="inlineStr">
        <is>
          <t>Dropdown Menu checkbox item batch; manually verified.</t>
        </is>
      </c>
      <c r="J91" s="13" t="inlineStr">
        <is>
          <t>Complete.</t>
        </is>
      </c>
      <c r="K91" s="14">
        <f>IF(AND(E91="yes",F91="yes",H91="covered"),1,IF(H91="partial",0.5,0))</f>
        <v/>
      </c>
    </row>
    <row r="92" ht="32" customHeight="1" s="24">
      <c r="A92" s="12" t="n">
        <v>84</v>
      </c>
      <c r="B92" s="13" t="inlineStr">
        <is>
          <t>Public API</t>
        </is>
      </c>
      <c r="C92" s="13" t="inlineStr">
        <is>
          <t>Checkbox Item</t>
        </is>
      </c>
      <c r="D92" s="13" t="inlineStr">
        <is>
          <t>checked true exposes data-checked</t>
        </is>
      </c>
      <c r="E92" s="18" t="inlineStr">
        <is>
          <t>yes</t>
        </is>
      </c>
      <c r="F92" s="18" t="inlineStr">
        <is>
          <t>yes</t>
        </is>
      </c>
      <c r="G92" s="12" t="inlineStr">
        <is>
          <t>pass</t>
        </is>
      </c>
      <c r="H92" s="22" t="inlineStr">
        <is>
          <t>covered</t>
        </is>
      </c>
      <c r="I92" s="13" t="inlineStr">
        <is>
          <t>Dropdown Menu checkbox item batch; manually verified.</t>
        </is>
      </c>
      <c r="J92" s="13" t="inlineStr">
        <is>
          <t>Complete.</t>
        </is>
      </c>
      <c r="K92" s="14">
        <f>IF(AND(E92="yes",F92="yes",H92="covered"),1,IF(H92="partial",0.5,0))</f>
        <v/>
      </c>
    </row>
    <row r="93" ht="32" customHeight="1" s="24">
      <c r="A93" s="12" t="n">
        <v>85</v>
      </c>
      <c r="B93" s="13" t="inlineStr">
        <is>
          <t>Public API</t>
        </is>
      </c>
      <c r="C93" s="13" t="inlineStr">
        <is>
          <t>Checkbox Item</t>
        </is>
      </c>
      <c r="D93" s="13" t="inlineStr">
        <is>
          <t>onCheckedChange toggles checked state</t>
        </is>
      </c>
      <c r="E93" s="18" t="inlineStr">
        <is>
          <t>yes</t>
        </is>
      </c>
      <c r="F93" s="18" t="inlineStr">
        <is>
          <t>yes</t>
        </is>
      </c>
      <c r="G93" s="12" t="inlineStr">
        <is>
          <t>pass</t>
        </is>
      </c>
      <c r="H93" s="22" t="inlineStr">
        <is>
          <t>covered</t>
        </is>
      </c>
      <c r="I93" s="13" t="inlineStr">
        <is>
          <t>Dropdown Menu checkbox item batch; manually verified.</t>
        </is>
      </c>
      <c r="J93" s="13" t="inlineStr">
        <is>
          <t>Complete.</t>
        </is>
      </c>
      <c r="K93" s="14">
        <f>IF(AND(E93="yes",F93="yes",H93="covered"),1,IF(H93="partial",0.5,0))</f>
        <v/>
      </c>
    </row>
    <row r="94" ht="32" customHeight="1" s="24">
      <c r="A94" s="12" t="n">
        <v>86</v>
      </c>
      <c r="B94" s="13" t="inlineStr">
        <is>
          <t>Public API</t>
        </is>
      </c>
      <c r="C94" s="13" t="inlineStr">
        <is>
          <t>Checkbox Item</t>
        </is>
      </c>
      <c r="D94" s="13" t="inlineStr">
        <is>
          <t>default closeOnSelect false keeps menu open</t>
        </is>
      </c>
      <c r="E94" s="18" t="inlineStr">
        <is>
          <t>yes</t>
        </is>
      </c>
      <c r="F94" s="18" t="inlineStr">
        <is>
          <t>yes</t>
        </is>
      </c>
      <c r="G94" s="12" t="inlineStr">
        <is>
          <t>pass</t>
        </is>
      </c>
      <c r="H94" s="22" t="inlineStr">
        <is>
          <t>covered</t>
        </is>
      </c>
      <c r="I94" s="13" t="inlineStr">
        <is>
          <t>Dropdown Menu checkbox item batch; manually verified.</t>
        </is>
      </c>
      <c r="J94" s="13" t="inlineStr">
        <is>
          <t>Complete.</t>
        </is>
      </c>
      <c r="K94" s="14">
        <f>IF(AND(E94="yes",F94="yes",H94="covered"),1,IF(H94="partial",0.5,0))</f>
        <v/>
      </c>
    </row>
    <row r="95" ht="32" customHeight="1" s="24">
      <c r="A95" s="12" t="n">
        <v>87</v>
      </c>
      <c r="B95" s="13" t="inlineStr">
        <is>
          <t>Public API</t>
        </is>
      </c>
      <c r="C95" s="13" t="inlineStr">
        <is>
          <t>Checkbox Item</t>
        </is>
      </c>
      <c r="D95" s="13" t="inlineStr">
        <is>
          <t>closeOnSelect true closes menu</t>
        </is>
      </c>
      <c r="E95" s="18" t="inlineStr">
        <is>
          <t>yes</t>
        </is>
      </c>
      <c r="F95" s="18" t="inlineStr">
        <is>
          <t>yes</t>
        </is>
      </c>
      <c r="G95" s="12" t="inlineStr">
        <is>
          <t>pass</t>
        </is>
      </c>
      <c r="H95" s="22" t="inlineStr">
        <is>
          <t>covered</t>
        </is>
      </c>
      <c r="I95" s="13" t="inlineStr">
        <is>
          <t>Dropdown Menu checkbox item batch; manually verified.</t>
        </is>
      </c>
      <c r="J95" s="13" t="inlineStr">
        <is>
          <t>Complete.</t>
        </is>
      </c>
      <c r="K95" s="14">
        <f>IF(AND(E95="yes",F95="yes",H95="covered"),1,IF(H95="partial",0.5,0))</f>
        <v/>
      </c>
    </row>
    <row r="96" ht="32" customHeight="1" s="24">
      <c r="A96" s="12" t="n">
        <v>88</v>
      </c>
      <c r="B96" s="13" t="inlineStr">
        <is>
          <t>Public API</t>
        </is>
      </c>
      <c r="C96" s="13" t="inlineStr">
        <is>
          <t>Checkbox Item</t>
        </is>
      </c>
      <c r="D96" s="13" t="inlineStr">
        <is>
          <t>disabled checkbox is skipped</t>
        </is>
      </c>
      <c r="E96" s="18" t="inlineStr">
        <is>
          <t>yes</t>
        </is>
      </c>
      <c r="F96" s="18" t="inlineStr">
        <is>
          <t>yes</t>
        </is>
      </c>
      <c r="G96" s="12" t="inlineStr">
        <is>
          <t>pass</t>
        </is>
      </c>
      <c r="H96" s="22" t="inlineStr">
        <is>
          <t>covered</t>
        </is>
      </c>
      <c r="I96" s="13" t="inlineStr">
        <is>
          <t>DropdownMenu playground scenario.</t>
        </is>
      </c>
      <c r="J96" s="13" t="inlineStr">
        <is>
          <t>Complete.</t>
        </is>
      </c>
      <c r="K96" s="14">
        <f>IF(AND(E96="yes",F96="yes",H96="covered"),1,IF(H96="partial",0.5,0))</f>
        <v/>
      </c>
    </row>
    <row r="97" ht="32" customHeight="1" s="24">
      <c r="A97" s="12" t="n">
        <v>89</v>
      </c>
      <c r="B97" s="13" t="inlineStr">
        <is>
          <t>Public API</t>
        </is>
      </c>
      <c r="C97" s="13" t="inlineStr">
        <is>
          <t>Checkbox Item</t>
        </is>
      </c>
      <c r="D97" s="13" t="inlineStr">
        <is>
          <t>textValue is used for typeahead</t>
        </is>
      </c>
      <c r="E97" s="18" t="inlineStr">
        <is>
          <t>yes</t>
        </is>
      </c>
      <c r="F97" s="18" t="inlineStr">
        <is>
          <t>yes</t>
        </is>
      </c>
      <c r="G97" s="12" t="inlineStr">
        <is>
          <t>pass</t>
        </is>
      </c>
      <c r="H97" s="22" t="inlineStr">
        <is>
          <t>covered</t>
        </is>
      </c>
      <c r="I97" s="13" t="inlineStr">
        <is>
          <t>Dropdown Menu typeahead batch; manually verified.</t>
        </is>
      </c>
      <c r="J97" s="13" t="inlineStr">
        <is>
          <t>Complete.</t>
        </is>
      </c>
      <c r="K97" s="14">
        <f>IF(AND(E97="yes",F97="yes",H97="covered"),1,IF(H97="partial",0.5,0))</f>
        <v/>
      </c>
    </row>
    <row r="98" ht="32" customHeight="1" s="24">
      <c r="A98" s="12" t="n">
        <v>90</v>
      </c>
      <c r="B98" s="13" t="inlineStr">
        <is>
          <t>Public API</t>
        </is>
      </c>
      <c r="C98" s="13" t="inlineStr">
        <is>
          <t>Radio Group</t>
        </is>
      </c>
      <c r="D98" s="13" t="inlineStr">
        <is>
          <t>renders role group</t>
        </is>
      </c>
      <c r="E98" s="18" t="inlineStr">
        <is>
          <t>yes</t>
        </is>
      </c>
      <c r="F98" s="18" t="inlineStr">
        <is>
          <t>yes</t>
        </is>
      </c>
      <c r="G98" s="12" t="inlineStr">
        <is>
          <t>pass</t>
        </is>
      </c>
      <c r="H98" s="22" t="inlineStr">
        <is>
          <t>covered</t>
        </is>
      </c>
      <c r="I98" s="13" t="inlineStr">
        <is>
          <t>Dropdown Menu radio item batch; manually verified.</t>
        </is>
      </c>
      <c r="J98" s="13" t="inlineStr">
        <is>
          <t>Complete.</t>
        </is>
      </c>
      <c r="K98" s="14">
        <f>IF(AND(E98="yes",F98="yes",H98="covered"),1,IF(H98="partial",0.5,0))</f>
        <v/>
      </c>
    </row>
    <row r="99" ht="32" customHeight="1" s="24">
      <c r="A99" s="12" t="n">
        <v>91</v>
      </c>
      <c r="B99" s="13" t="inlineStr">
        <is>
          <t>Public API</t>
        </is>
      </c>
      <c r="C99" s="13" t="inlineStr">
        <is>
          <t>Radio Group</t>
        </is>
      </c>
      <c r="D99" s="13" t="inlineStr">
        <is>
          <t>data-slot is menu-radio-group</t>
        </is>
      </c>
      <c r="E99" s="18" t="inlineStr">
        <is>
          <t>yes</t>
        </is>
      </c>
      <c r="F99" s="18" t="inlineStr">
        <is>
          <t>yes</t>
        </is>
      </c>
      <c r="G99" s="12" t="inlineStr">
        <is>
          <t>pass</t>
        </is>
      </c>
      <c r="H99" s="22" t="inlineStr">
        <is>
          <t>covered</t>
        </is>
      </c>
      <c r="I99" s="13" t="inlineStr">
        <is>
          <t>DropdownMenu playground scenario.</t>
        </is>
      </c>
      <c r="J99" s="13" t="inlineStr">
        <is>
          <t>Complete.</t>
        </is>
      </c>
      <c r="K99" s="14">
        <f>IF(AND(E99="yes",F99="yes",H99="covered"),1,IF(H99="partial",0.5,0))</f>
        <v/>
      </c>
    </row>
    <row r="100" ht="32" customHeight="1" s="24">
      <c r="A100" s="12" t="n">
        <v>92</v>
      </c>
      <c r="B100" s="13" t="inlineStr">
        <is>
          <t>Public API</t>
        </is>
      </c>
      <c r="C100" s="13" t="inlineStr">
        <is>
          <t>Radio Group</t>
        </is>
      </c>
      <c r="D100" s="13" t="inlineStr">
        <is>
          <t>value controls checked item</t>
        </is>
      </c>
      <c r="E100" s="18" t="inlineStr">
        <is>
          <t>yes</t>
        </is>
      </c>
      <c r="F100" s="18" t="inlineStr">
        <is>
          <t>yes</t>
        </is>
      </c>
      <c r="G100" s="12" t="inlineStr">
        <is>
          <t>pass</t>
        </is>
      </c>
      <c r="H100" s="22" t="inlineStr">
        <is>
          <t>covered</t>
        </is>
      </c>
      <c r="I100" s="13" t="inlineStr">
        <is>
          <t>Dropdown Menu radio item batch; manually verified.</t>
        </is>
      </c>
      <c r="J100" s="13" t="inlineStr">
        <is>
          <t>Complete.</t>
        </is>
      </c>
      <c r="K100" s="14">
        <f>IF(AND(E100="yes",F100="yes",H100="covered"),1,IF(H100="partial",0.5,0))</f>
        <v/>
      </c>
    </row>
    <row r="101" ht="32" customHeight="1" s="24">
      <c r="A101" s="12" t="n">
        <v>93</v>
      </c>
      <c r="B101" s="13" t="inlineStr">
        <is>
          <t>Public API</t>
        </is>
      </c>
      <c r="C101" s="13" t="inlineStr">
        <is>
          <t>Radio Group</t>
        </is>
      </c>
      <c r="D101" s="13" t="inlineStr">
        <is>
          <t>onValueChange fires when selecting radio item</t>
        </is>
      </c>
      <c r="E101" s="18" t="inlineStr">
        <is>
          <t>yes</t>
        </is>
      </c>
      <c r="F101" s="18" t="inlineStr">
        <is>
          <t>yes</t>
        </is>
      </c>
      <c r="G101" s="12" t="inlineStr">
        <is>
          <t>pass</t>
        </is>
      </c>
      <c r="H101" s="22" t="inlineStr">
        <is>
          <t>covered</t>
        </is>
      </c>
      <c r="I101" s="13" t="inlineStr">
        <is>
          <t>Dropdown Menu radio item batch; manually verified.</t>
        </is>
      </c>
      <c r="J101" s="13" t="inlineStr">
        <is>
          <t>Complete.</t>
        </is>
      </c>
      <c r="K101" s="14">
        <f>IF(AND(E101="yes",F101="yes",H101="covered"),1,IF(H101="partial",0.5,0))</f>
        <v/>
      </c>
    </row>
    <row r="102" ht="32" customHeight="1" s="24">
      <c r="A102" s="12" t="n">
        <v>94</v>
      </c>
      <c r="B102" s="13" t="inlineStr">
        <is>
          <t>Public API</t>
        </is>
      </c>
      <c r="C102" s="13" t="inlineStr">
        <is>
          <t>Radio Group</t>
        </is>
      </c>
      <c r="D102" s="13" t="inlineStr">
        <is>
          <t>duplicate public radio values in different groups do not conflict</t>
        </is>
      </c>
      <c r="E102" s="18" t="inlineStr">
        <is>
          <t>yes</t>
        </is>
      </c>
      <c r="F102" s="18" t="inlineStr">
        <is>
          <t>yes</t>
        </is>
      </c>
      <c r="G102" s="12" t="inlineStr">
        <is>
          <t>pass</t>
        </is>
      </c>
      <c r="H102" s="22" t="inlineStr">
        <is>
          <t>covered</t>
        </is>
      </c>
      <c r="I102" s="13" t="inlineStr">
        <is>
          <t>Dropdown Menu radio item batch; manually verified.</t>
        </is>
      </c>
      <c r="J102" s="13" t="inlineStr">
        <is>
          <t>Complete.</t>
        </is>
      </c>
      <c r="K102" s="14">
        <f>IF(AND(E102="yes",F102="yes",H102="covered"),1,IF(H102="partial",0.5,0))</f>
        <v/>
      </c>
    </row>
    <row r="103" ht="32" customHeight="1" s="24">
      <c r="A103" s="12" t="n">
        <v>95</v>
      </c>
      <c r="B103" s="13" t="inlineStr">
        <is>
          <t>Public API</t>
        </is>
      </c>
      <c r="C103" s="13" t="inlineStr">
        <is>
          <t>Radio Group</t>
        </is>
      </c>
      <c r="D103" s="13" t="inlineStr">
        <is>
          <t>native className and data props pass through</t>
        </is>
      </c>
      <c r="E103" s="18" t="inlineStr">
        <is>
          <t>yes</t>
        </is>
      </c>
      <c r="F103" s="18" t="inlineStr">
        <is>
          <t>yes</t>
        </is>
      </c>
      <c r="G103" s="12" t="inlineStr">
        <is>
          <t>pass</t>
        </is>
      </c>
      <c r="H103" s="22" t="inlineStr">
        <is>
          <t>covered</t>
        </is>
      </c>
      <c r="I103" s="13" t="inlineStr">
        <is>
          <t>Verify the part forwards a non-Atom-owned data-prop-check marker in the live raw Data group or Inspector.</t>
        </is>
      </c>
      <c r="J103" s="13" t="inlineStr">
        <is>
          <t>Complete.</t>
        </is>
      </c>
      <c r="K103" s="14">
        <f>IF(AND(E103="yes",F103="yes",H103="covered"),1,IF(H103="partial",0.5,0))</f>
        <v/>
      </c>
    </row>
    <row r="104" ht="32" customHeight="1" s="24">
      <c r="A104" s="12" t="n">
        <v>96</v>
      </c>
      <c r="B104" s="13" t="inlineStr">
        <is>
          <t>Public API</t>
        </is>
      </c>
      <c r="C104" s="13" t="inlineStr">
        <is>
          <t>Radio Item</t>
        </is>
      </c>
      <c r="D104" s="13" t="inlineStr">
        <is>
          <t>renders role menuitemradio</t>
        </is>
      </c>
      <c r="E104" s="18" t="inlineStr">
        <is>
          <t>yes</t>
        </is>
      </c>
      <c r="F104" s="18" t="inlineStr">
        <is>
          <t>yes</t>
        </is>
      </c>
      <c r="G104" s="12" t="inlineStr">
        <is>
          <t>pass</t>
        </is>
      </c>
      <c r="H104" s="22" t="inlineStr">
        <is>
          <t>covered</t>
        </is>
      </c>
      <c r="I104" s="13" t="inlineStr">
        <is>
          <t>Dropdown Menu radio item batch; manually verified.</t>
        </is>
      </c>
      <c r="J104" s="13" t="inlineStr">
        <is>
          <t>Complete.</t>
        </is>
      </c>
      <c r="K104" s="14">
        <f>IF(AND(E104="yes",F104="yes",H104="covered"),1,IF(H104="partial",0.5,0))</f>
        <v/>
      </c>
    </row>
    <row r="105" ht="32" customHeight="1" s="24">
      <c r="A105" s="12" t="n">
        <v>97</v>
      </c>
      <c r="B105" s="13" t="inlineStr">
        <is>
          <t>Public API</t>
        </is>
      </c>
      <c r="C105" s="13" t="inlineStr">
        <is>
          <t>Radio Item</t>
        </is>
      </c>
      <c r="D105" s="13" t="inlineStr">
        <is>
          <t>checked item exposes aria-checked true</t>
        </is>
      </c>
      <c r="E105" s="18" t="inlineStr">
        <is>
          <t>yes</t>
        </is>
      </c>
      <c r="F105" s="18" t="inlineStr">
        <is>
          <t>yes</t>
        </is>
      </c>
      <c r="G105" s="12" t="inlineStr">
        <is>
          <t>pass</t>
        </is>
      </c>
      <c r="H105" s="22" t="inlineStr">
        <is>
          <t>covered</t>
        </is>
      </c>
      <c r="I105" s="13" t="inlineStr">
        <is>
          <t>Dropdown Menu radio item batch; manually verified.</t>
        </is>
      </c>
      <c r="J105" s="13" t="inlineStr">
        <is>
          <t>Complete.</t>
        </is>
      </c>
      <c r="K105" s="14">
        <f>IF(AND(E105="yes",F105="yes",H105="covered"),1,IF(H105="partial",0.5,0))</f>
        <v/>
      </c>
    </row>
    <row r="106" ht="32" customHeight="1" s="24">
      <c r="A106" s="12" t="n">
        <v>98</v>
      </c>
      <c r="B106" s="13" t="inlineStr">
        <is>
          <t>Public API</t>
        </is>
      </c>
      <c r="C106" s="13" t="inlineStr">
        <is>
          <t>Radio Item</t>
        </is>
      </c>
      <c r="D106" s="13" t="inlineStr">
        <is>
          <t>unchecked item exposes aria-checked false</t>
        </is>
      </c>
      <c r="E106" s="18" t="inlineStr">
        <is>
          <t>yes</t>
        </is>
      </c>
      <c r="F106" s="18" t="inlineStr">
        <is>
          <t>yes</t>
        </is>
      </c>
      <c r="G106" s="12" t="inlineStr">
        <is>
          <t>pass</t>
        </is>
      </c>
      <c r="H106" s="22" t="inlineStr">
        <is>
          <t>covered</t>
        </is>
      </c>
      <c r="I106" s="13" t="inlineStr">
        <is>
          <t>Dropdown Menu radio item batch; manually verified.</t>
        </is>
      </c>
      <c r="J106" s="13" t="inlineStr">
        <is>
          <t>Complete.</t>
        </is>
      </c>
      <c r="K106" s="14">
        <f>IF(AND(E106="yes",F106="yes",H106="covered"),1,IF(H106="partial",0.5,0))</f>
        <v/>
      </c>
    </row>
    <row r="107" ht="32" customHeight="1" s="24">
      <c r="A107" s="12" t="n">
        <v>99</v>
      </c>
      <c r="B107" s="13" t="inlineStr">
        <is>
          <t>Public API</t>
        </is>
      </c>
      <c r="C107" s="13" t="inlineStr">
        <is>
          <t>Radio Item</t>
        </is>
      </c>
      <c r="D107" s="13" t="inlineStr">
        <is>
          <t>checked item exposes data-checked</t>
        </is>
      </c>
      <c r="E107" s="18" t="inlineStr">
        <is>
          <t>yes</t>
        </is>
      </c>
      <c r="F107" s="18" t="inlineStr">
        <is>
          <t>yes</t>
        </is>
      </c>
      <c r="G107" s="12" t="inlineStr">
        <is>
          <t>pass</t>
        </is>
      </c>
      <c r="H107" s="22" t="inlineStr">
        <is>
          <t>covered</t>
        </is>
      </c>
      <c r="I107" s="13" t="inlineStr">
        <is>
          <t>Dropdown Menu radio item batch; manually verified.</t>
        </is>
      </c>
      <c r="J107" s="13" t="inlineStr">
        <is>
          <t>Complete.</t>
        </is>
      </c>
      <c r="K107" s="14">
        <f>IF(AND(E107="yes",F107="yes",H107="covered"),1,IF(H107="partial",0.5,0))</f>
        <v/>
      </c>
    </row>
    <row r="108" ht="32" customHeight="1" s="24">
      <c r="A108" s="12" t="n">
        <v>100</v>
      </c>
      <c r="B108" s="13" t="inlineStr">
        <is>
          <t>Public API</t>
        </is>
      </c>
      <c r="C108" s="13" t="inlineStr">
        <is>
          <t>Radio Item</t>
        </is>
      </c>
      <c r="D108" s="13" t="inlineStr">
        <is>
          <t>value appears as data-value without internal group id</t>
        </is>
      </c>
      <c r="E108" s="18" t="inlineStr">
        <is>
          <t>yes</t>
        </is>
      </c>
      <c r="F108" s="18" t="inlineStr">
        <is>
          <t>yes</t>
        </is>
      </c>
      <c r="G108" s="12" t="inlineStr">
        <is>
          <t>pass</t>
        </is>
      </c>
      <c r="H108" s="22" t="inlineStr">
        <is>
          <t>covered</t>
        </is>
      </c>
      <c r="I108" s="13" t="inlineStr">
        <is>
          <t>DropdownMenu playground scenario.</t>
        </is>
      </c>
      <c r="J108" s="13" t="inlineStr">
        <is>
          <t>Complete.</t>
        </is>
      </c>
      <c r="K108" s="14">
        <f>IF(AND(E108="yes",F108="yes",H108="covered"),1,IF(H108="partial",0.5,0))</f>
        <v/>
      </c>
    </row>
    <row r="109" ht="32" customHeight="1" s="24">
      <c r="A109" s="12" t="n">
        <v>101</v>
      </c>
      <c r="B109" s="13" t="inlineStr">
        <is>
          <t>Public API</t>
        </is>
      </c>
      <c r="C109" s="13" t="inlineStr">
        <is>
          <t>Radio Item</t>
        </is>
      </c>
      <c r="D109" s="13" t="inlineStr">
        <is>
          <t>disabled radio item is skipped</t>
        </is>
      </c>
      <c r="E109" s="18" t="inlineStr">
        <is>
          <t>yes</t>
        </is>
      </c>
      <c r="F109" s="18" t="inlineStr">
        <is>
          <t>yes</t>
        </is>
      </c>
      <c r="G109" s="12" t="inlineStr">
        <is>
          <t>pass</t>
        </is>
      </c>
      <c r="H109" s="22" t="inlineStr">
        <is>
          <t>covered</t>
        </is>
      </c>
      <c r="I109" s="13" t="inlineStr">
        <is>
          <t>DropdownMenu playground scenario.</t>
        </is>
      </c>
      <c r="J109" s="13" t="inlineStr">
        <is>
          <t>Complete.</t>
        </is>
      </c>
      <c r="K109" s="14">
        <f>IF(AND(E109="yes",F109="yes",H109="covered"),1,IF(H109="partial",0.5,0))</f>
        <v/>
      </c>
    </row>
    <row r="110" ht="32" customHeight="1" s="24">
      <c r="A110" s="12" t="n">
        <v>102</v>
      </c>
      <c r="B110" s="13" t="inlineStr">
        <is>
          <t>Public API</t>
        </is>
      </c>
      <c r="C110" s="13" t="inlineStr">
        <is>
          <t>Radio Item</t>
        </is>
      </c>
      <c r="D110" s="13" t="inlineStr">
        <is>
          <t>default closeOnSelect false keeps menu open</t>
        </is>
      </c>
      <c r="E110" s="18" t="inlineStr">
        <is>
          <t>yes</t>
        </is>
      </c>
      <c r="F110" s="18" t="inlineStr">
        <is>
          <t>yes</t>
        </is>
      </c>
      <c r="G110" s="12" t="inlineStr">
        <is>
          <t>pass</t>
        </is>
      </c>
      <c r="H110" s="22" t="inlineStr">
        <is>
          <t>covered</t>
        </is>
      </c>
      <c r="I110" s="13" t="inlineStr">
        <is>
          <t>Dropdown Menu radio item batch; manually verified.</t>
        </is>
      </c>
      <c r="J110" s="13" t="inlineStr">
        <is>
          <t>Complete.</t>
        </is>
      </c>
      <c r="K110" s="14">
        <f>IF(AND(E110="yes",F110="yes",H110="covered"),1,IF(H110="partial",0.5,0))</f>
        <v/>
      </c>
    </row>
    <row r="111" ht="32" customHeight="1" s="24">
      <c r="A111" s="12" t="n">
        <v>103</v>
      </c>
      <c r="B111" s="13" t="inlineStr">
        <is>
          <t>Public API</t>
        </is>
      </c>
      <c r="C111" s="13" t="inlineStr">
        <is>
          <t>Radio Item</t>
        </is>
      </c>
      <c r="D111" s="13" t="inlineStr">
        <is>
          <t>closeOnSelect true closes menu</t>
        </is>
      </c>
      <c r="E111" s="18" t="inlineStr">
        <is>
          <t>yes</t>
        </is>
      </c>
      <c r="F111" s="18" t="inlineStr">
        <is>
          <t>yes</t>
        </is>
      </c>
      <c r="G111" s="12" t="inlineStr">
        <is>
          <t>pass</t>
        </is>
      </c>
      <c r="H111" s="22" t="inlineStr">
        <is>
          <t>covered</t>
        </is>
      </c>
      <c r="I111" s="13" t="inlineStr">
        <is>
          <t>Dropdown Menu radio item batch; manually verified.</t>
        </is>
      </c>
      <c r="J111" s="13" t="inlineStr">
        <is>
          <t>Complete.</t>
        </is>
      </c>
      <c r="K111" s="14">
        <f>IF(AND(E111="yes",F111="yes",H111="covered"),1,IF(H111="partial",0.5,0))</f>
        <v/>
      </c>
    </row>
    <row r="112" ht="32" customHeight="1" s="24">
      <c r="A112" s="12" t="n">
        <v>104</v>
      </c>
      <c r="B112" s="13" t="inlineStr">
        <is>
          <t>Public API</t>
        </is>
      </c>
      <c r="C112" s="13" t="inlineStr">
        <is>
          <t>Radio Item</t>
        </is>
      </c>
      <c r="D112" s="13" t="inlineStr">
        <is>
          <t>textValue is used for typeahead</t>
        </is>
      </c>
      <c r="E112" s="18" t="inlineStr">
        <is>
          <t>yes</t>
        </is>
      </c>
      <c r="F112" s="18" t="inlineStr">
        <is>
          <t>yes</t>
        </is>
      </c>
      <c r="G112" s="12" t="inlineStr">
        <is>
          <t>pass</t>
        </is>
      </c>
      <c r="H112" s="22" t="inlineStr">
        <is>
          <t>covered</t>
        </is>
      </c>
      <c r="I112" s="13" t="inlineStr">
        <is>
          <t>Dropdown Menu typeahead batch; manually verified.</t>
        </is>
      </c>
      <c r="J112" s="13" t="inlineStr">
        <is>
          <t>Complete.</t>
        </is>
      </c>
      <c r="K112" s="14">
        <f>IF(AND(E112="yes",F112="yes",H112="covered"),1,IF(H112="partial",0.5,0))</f>
        <v/>
      </c>
    </row>
    <row r="113" ht="32" customHeight="1" s="24">
      <c r="A113" s="12" t="n">
        <v>105</v>
      </c>
      <c r="B113" s="13" t="inlineStr">
        <is>
          <t>Public API</t>
        </is>
      </c>
      <c r="C113" s="13" t="inlineStr">
        <is>
          <t>Group</t>
        </is>
      </c>
      <c r="D113" s="13" t="inlineStr">
        <is>
          <t>renders role group</t>
        </is>
      </c>
      <c r="E113" s="18" t="inlineStr">
        <is>
          <t>yes</t>
        </is>
      </c>
      <c r="F113" s="18" t="inlineStr">
        <is>
          <t>yes</t>
        </is>
      </c>
      <c r="G113" s="12" t="inlineStr">
        <is>
          <t>pass</t>
        </is>
      </c>
      <c r="H113" s="22" t="inlineStr">
        <is>
          <t>covered</t>
        </is>
      </c>
      <c r="I113" s="13" t="inlineStr">
        <is>
          <t>DropdownMenu playground scenario.</t>
        </is>
      </c>
      <c r="J113" s="13" t="inlineStr">
        <is>
          <t>Complete.</t>
        </is>
      </c>
      <c r="K113" s="14">
        <f>IF(AND(E113="yes",F113="yes",H113="covered"),1,IF(H113="partial",0.5,0))</f>
        <v/>
      </c>
    </row>
    <row r="114" ht="32" customHeight="1" s="24">
      <c r="A114" s="12" t="n">
        <v>106</v>
      </c>
      <c r="B114" s="13" t="inlineStr">
        <is>
          <t>Public API</t>
        </is>
      </c>
      <c r="C114" s="13" t="inlineStr">
        <is>
          <t>Group</t>
        </is>
      </c>
      <c r="D114" s="13" t="inlineStr">
        <is>
          <t>data-slot is menu-group</t>
        </is>
      </c>
      <c r="E114" s="18" t="inlineStr">
        <is>
          <t>yes</t>
        </is>
      </c>
      <c r="F114" s="18" t="inlineStr">
        <is>
          <t>yes</t>
        </is>
      </c>
      <c r="G114" s="12" t="inlineStr">
        <is>
          <t>pass</t>
        </is>
      </c>
      <c r="H114" s="22" t="inlineStr">
        <is>
          <t>covered</t>
        </is>
      </c>
      <c r="I114" s="13" t="inlineStr">
        <is>
          <t>DropdownMenu playground scenario.</t>
        </is>
      </c>
      <c r="J114" s="13" t="inlineStr">
        <is>
          <t>Complete.</t>
        </is>
      </c>
      <c r="K114" s="14">
        <f>IF(AND(E114="yes",F114="yes",H114="covered"),1,IF(H114="partial",0.5,0))</f>
        <v/>
      </c>
    </row>
    <row r="115" ht="32" customHeight="1" s="24">
      <c r="A115" s="12" t="n">
        <v>107</v>
      </c>
      <c r="B115" s="13" t="inlineStr">
        <is>
          <t>Public API</t>
        </is>
      </c>
      <c r="C115" s="13" t="inlineStr">
        <is>
          <t>Group</t>
        </is>
      </c>
      <c r="D115" s="13" t="inlineStr">
        <is>
          <t>native className and data props pass through</t>
        </is>
      </c>
      <c r="E115" s="18" t="inlineStr">
        <is>
          <t>yes</t>
        </is>
      </c>
      <c r="F115" s="18" t="inlineStr">
        <is>
          <t>yes</t>
        </is>
      </c>
      <c r="G115" s="12" t="inlineStr">
        <is>
          <t>pass</t>
        </is>
      </c>
      <c r="H115" s="22" t="inlineStr">
        <is>
          <t>covered</t>
        </is>
      </c>
      <c r="I115" s="13" t="inlineStr">
        <is>
          <t>Verify the part forwards a non-Atom-owned data-prop-check marker in the live raw Data group or Inspector.</t>
        </is>
      </c>
      <c r="J115" s="13" t="inlineStr">
        <is>
          <t>Complete.</t>
        </is>
      </c>
      <c r="K115" s="14">
        <f>IF(AND(E115="yes",F115="yes",H115="covered"),1,IF(H115="partial",0.5,0))</f>
        <v/>
      </c>
    </row>
    <row r="116" ht="32" customHeight="1" s="24">
      <c r="A116" s="12" t="n">
        <v>108</v>
      </c>
      <c r="B116" s="13" t="inlineStr">
        <is>
          <t>Public API</t>
        </is>
      </c>
      <c r="C116" s="13" t="inlineStr">
        <is>
          <t>Separator</t>
        </is>
      </c>
      <c r="D116" s="13" t="inlineStr">
        <is>
          <t>renders role separator</t>
        </is>
      </c>
      <c r="E116" s="18" t="inlineStr">
        <is>
          <t>yes</t>
        </is>
      </c>
      <c r="F116" s="18" t="inlineStr">
        <is>
          <t>yes</t>
        </is>
      </c>
      <c r="G116" s="12" t="inlineStr">
        <is>
          <t>pass</t>
        </is>
      </c>
      <c r="H116" s="22" t="inlineStr">
        <is>
          <t>covered</t>
        </is>
      </c>
      <c r="I116" s="13" t="inlineStr">
        <is>
          <t>DropdownMenu playground scenario.</t>
        </is>
      </c>
      <c r="J116" s="13" t="inlineStr">
        <is>
          <t>Complete.</t>
        </is>
      </c>
      <c r="K116" s="14">
        <f>IF(AND(E116="yes",F116="yes",H116="covered"),1,IF(H116="partial",0.5,0))</f>
        <v/>
      </c>
    </row>
    <row r="117" ht="32" customHeight="1" s="24">
      <c r="A117" s="12" t="n">
        <v>109</v>
      </c>
      <c r="B117" s="13" t="inlineStr">
        <is>
          <t>Public API</t>
        </is>
      </c>
      <c r="C117" s="13" t="inlineStr">
        <is>
          <t>Separator</t>
        </is>
      </c>
      <c r="D117" s="13" t="inlineStr">
        <is>
          <t>aria-orientation is horizontal</t>
        </is>
      </c>
      <c r="E117" s="18" t="inlineStr">
        <is>
          <t>yes</t>
        </is>
      </c>
      <c r="F117" s="18" t="inlineStr">
        <is>
          <t>yes</t>
        </is>
      </c>
      <c r="G117" s="12" t="inlineStr">
        <is>
          <t>pass</t>
        </is>
      </c>
      <c r="H117" s="22" t="inlineStr">
        <is>
          <t>covered</t>
        </is>
      </c>
      <c r="I117" s="13" t="inlineStr">
        <is>
          <t>DropdownMenu playground scenario.</t>
        </is>
      </c>
      <c r="J117" s="13" t="inlineStr">
        <is>
          <t>Complete.</t>
        </is>
      </c>
      <c r="K117" s="14">
        <f>IF(AND(E117="yes",F117="yes",H117="covered"),1,IF(H117="partial",0.5,0))</f>
        <v/>
      </c>
    </row>
    <row r="118" ht="32" customHeight="1" s="24">
      <c r="A118" s="12" t="n">
        <v>110</v>
      </c>
      <c r="B118" s="13" t="inlineStr">
        <is>
          <t>Public API</t>
        </is>
      </c>
      <c r="C118" s="13" t="inlineStr">
        <is>
          <t>Separator</t>
        </is>
      </c>
      <c r="D118" s="13" t="inlineStr">
        <is>
          <t>data-slot is menu-separator</t>
        </is>
      </c>
      <c r="E118" s="18" t="inlineStr">
        <is>
          <t>yes</t>
        </is>
      </c>
      <c r="F118" s="18" t="inlineStr">
        <is>
          <t>yes</t>
        </is>
      </c>
      <c r="G118" s="12" t="inlineStr">
        <is>
          <t>pass</t>
        </is>
      </c>
      <c r="H118" s="22" t="inlineStr">
        <is>
          <t>covered</t>
        </is>
      </c>
      <c r="I118" s="13" t="inlineStr">
        <is>
          <t>DropdownMenu playground scenario.</t>
        </is>
      </c>
      <c r="J118" s="13" t="inlineStr">
        <is>
          <t>Complete.</t>
        </is>
      </c>
      <c r="K118" s="14">
        <f>IF(AND(E118="yes",F118="yes",H118="covered"),1,IF(H118="partial",0.5,0))</f>
        <v/>
      </c>
    </row>
    <row r="119" ht="32" customHeight="1" s="24">
      <c r="A119" s="12" t="n">
        <v>111</v>
      </c>
      <c r="B119" s="13" t="inlineStr">
        <is>
          <t>Public API</t>
        </is>
      </c>
      <c r="C119" s="13" t="inlineStr">
        <is>
          <t>Separator</t>
        </is>
      </c>
      <c r="D119" s="13" t="inlineStr">
        <is>
          <t>is not keyboard highlightable</t>
        </is>
      </c>
      <c r="E119" s="18" t="inlineStr">
        <is>
          <t>yes</t>
        </is>
      </c>
      <c r="F119" s="18" t="inlineStr">
        <is>
          <t>yes</t>
        </is>
      </c>
      <c r="G119" s="12" t="inlineStr">
        <is>
          <t>pass</t>
        </is>
      </c>
      <c r="H119" s="22" t="inlineStr">
        <is>
          <t>covered</t>
        </is>
      </c>
      <c r="I119" s="13" t="inlineStr">
        <is>
          <t>Dropdown Menu keyboard navigation batch; manually verified.</t>
        </is>
      </c>
      <c r="J119" s="13" t="inlineStr">
        <is>
          <t>Complete.</t>
        </is>
      </c>
      <c r="K119" s="14">
        <f>IF(AND(E119="yes",F119="yes",H119="covered"),1,IF(H119="partial",0.5,0))</f>
        <v/>
      </c>
    </row>
    <row r="120" ht="32" customHeight="1" s="24">
      <c r="A120" s="12" t="n">
        <v>112</v>
      </c>
      <c r="B120" s="13" t="inlineStr">
        <is>
          <t>Public API</t>
        </is>
      </c>
      <c r="C120" s="13" t="inlineStr">
        <is>
          <t>Sub</t>
        </is>
      </c>
      <c r="D120" s="13" t="inlineStr">
        <is>
          <t>defaultOpen initializes uncontrolled submenu</t>
        </is>
      </c>
      <c r="E120" s="18" t="inlineStr">
        <is>
          <t>yes</t>
        </is>
      </c>
      <c r="F120" s="18" t="inlineStr">
        <is>
          <t>yes</t>
        </is>
      </c>
      <c r="G120" s="12" t="inlineStr">
        <is>
          <t>pass</t>
        </is>
      </c>
      <c r="H120" s="22" t="inlineStr">
        <is>
          <t>covered</t>
        </is>
      </c>
      <c r="I120" s="13" t="inlineStr">
        <is>
          <t>DropdownMenu playground scenario.</t>
        </is>
      </c>
      <c r="J120" s="13" t="inlineStr">
        <is>
          <t>Complete.</t>
        </is>
      </c>
      <c r="K120" s="14">
        <f>IF(AND(E120="yes",F120="yes",H120="covered"),1,IF(H120="partial",0.5,0))</f>
        <v/>
      </c>
    </row>
    <row r="121" ht="32" customHeight="1" s="24">
      <c r="A121" s="12" t="n">
        <v>113</v>
      </c>
      <c r="B121" s="13" t="inlineStr">
        <is>
          <t>Public API</t>
        </is>
      </c>
      <c r="C121" s="13" t="inlineStr">
        <is>
          <t>Sub</t>
        </is>
      </c>
      <c r="D121" s="13" t="inlineStr">
        <is>
          <t>open prop controls submenu</t>
        </is>
      </c>
      <c r="E121" s="18" t="inlineStr">
        <is>
          <t>yes</t>
        </is>
      </c>
      <c r="F121" s="18" t="inlineStr">
        <is>
          <t>yes</t>
        </is>
      </c>
      <c r="G121" s="12" t="inlineStr">
        <is>
          <t>pass</t>
        </is>
      </c>
      <c r="H121" s="22" t="inlineStr">
        <is>
          <t>covered</t>
        </is>
      </c>
      <c r="I121" s="13" t="inlineStr">
        <is>
          <t>DropdownMenu playground scenario.</t>
        </is>
      </c>
      <c r="J121" s="13" t="inlineStr">
        <is>
          <t>Complete.</t>
        </is>
      </c>
      <c r="K121" s="14">
        <f>IF(AND(E121="yes",F121="yes",H121="covered"),1,IF(H121="partial",0.5,0))</f>
        <v/>
      </c>
    </row>
    <row r="122" ht="32" customHeight="1" s="24">
      <c r="A122" s="12" t="n">
        <v>114</v>
      </c>
      <c r="B122" s="13" t="inlineStr">
        <is>
          <t>Public API</t>
        </is>
      </c>
      <c r="C122" s="13" t="inlineStr">
        <is>
          <t>Sub</t>
        </is>
      </c>
      <c r="D122" s="13" t="inlineStr">
        <is>
          <t>onOpenChange fires for controlled submenu</t>
        </is>
      </c>
      <c r="E122" s="18" t="inlineStr">
        <is>
          <t>yes</t>
        </is>
      </c>
      <c r="F122" s="18" t="inlineStr">
        <is>
          <t>yes</t>
        </is>
      </c>
      <c r="G122" s="12" t="inlineStr">
        <is>
          <t>pass</t>
        </is>
      </c>
      <c r="H122" s="22" t="inlineStr">
        <is>
          <t>covered</t>
        </is>
      </c>
      <c r="I122" s="13" t="inlineStr">
        <is>
          <t>DropdownMenu playground scenario.</t>
        </is>
      </c>
      <c r="J122" s="13" t="inlineStr">
        <is>
          <t>Complete.</t>
        </is>
      </c>
      <c r="K122" s="14">
        <f>IF(AND(E122="yes",F122="yes",H122="covered"),1,IF(H122="partial",0.5,0))</f>
        <v/>
      </c>
    </row>
    <row r="123" ht="32" customHeight="1" s="24">
      <c r="A123" s="12" t="n">
        <v>115</v>
      </c>
      <c r="B123" s="13" t="inlineStr">
        <is>
          <t>Public API</t>
        </is>
      </c>
      <c r="C123" s="13" t="inlineStr">
        <is>
          <t>Sub</t>
        </is>
      </c>
      <c r="D123" s="13" t="inlineStr">
        <is>
          <t>only one uncontrolled submenu is open at a time</t>
        </is>
      </c>
      <c r="E123" s="18" t="inlineStr">
        <is>
          <t>yes</t>
        </is>
      </c>
      <c r="F123" s="18" t="inlineStr">
        <is>
          <t>yes</t>
        </is>
      </c>
      <c r="G123" s="12" t="inlineStr">
        <is>
          <t>pass</t>
        </is>
      </c>
      <c r="H123" s="22" t="inlineStr">
        <is>
          <t>covered</t>
        </is>
      </c>
      <c r="I123" s="13" t="inlineStr">
        <is>
          <t>DropdownMenu playground scenario.</t>
        </is>
      </c>
      <c r="J123" s="13" t="inlineStr">
        <is>
          <t>Complete.</t>
        </is>
      </c>
      <c r="K123" s="14">
        <f>IF(AND(E123="yes",F123="yes",H123="covered"),1,IF(H123="partial",0.5,0))</f>
        <v/>
      </c>
    </row>
    <row r="124" ht="32" customHeight="1" s="24">
      <c r="A124" s="12" t="n">
        <v>116</v>
      </c>
      <c r="B124" s="13" t="inlineStr">
        <is>
          <t>Public API</t>
        </is>
      </c>
      <c r="C124" s="13" t="inlineStr">
        <is>
          <t>Sub Trigger</t>
        </is>
      </c>
      <c r="D124" s="13" t="inlineStr">
        <is>
          <t>renders role menuitem</t>
        </is>
      </c>
      <c r="E124" s="18" t="inlineStr">
        <is>
          <t>yes</t>
        </is>
      </c>
      <c r="F124" s="18" t="inlineStr">
        <is>
          <t>yes</t>
        </is>
      </c>
      <c r="G124" s="12" t="inlineStr">
        <is>
          <t>pass</t>
        </is>
      </c>
      <c r="H124" s="22" t="inlineStr">
        <is>
          <t>covered</t>
        </is>
      </c>
      <c r="I124" s="13" t="inlineStr">
        <is>
          <t>DropdownMenu playground scenario.</t>
        </is>
      </c>
      <c r="J124" s="13" t="inlineStr">
        <is>
          <t>Complete.</t>
        </is>
      </c>
      <c r="K124" s="14">
        <f>IF(AND(E124="yes",F124="yes",H124="covered"),1,IF(H124="partial",0.5,0))</f>
        <v/>
      </c>
    </row>
    <row r="125" ht="32" customHeight="1" s="24">
      <c r="A125" s="12" t="n">
        <v>117</v>
      </c>
      <c r="B125" s="13" t="inlineStr">
        <is>
          <t>Public API</t>
        </is>
      </c>
      <c r="C125" s="13" t="inlineStr">
        <is>
          <t>Sub Trigger</t>
        </is>
      </c>
      <c r="D125" s="13" t="inlineStr">
        <is>
          <t>aria-haspopup is menu</t>
        </is>
      </c>
      <c r="E125" s="18" t="inlineStr">
        <is>
          <t>yes</t>
        </is>
      </c>
      <c r="F125" s="18" t="inlineStr">
        <is>
          <t>yes</t>
        </is>
      </c>
      <c r="G125" s="12" t="inlineStr">
        <is>
          <t>pass</t>
        </is>
      </c>
      <c r="H125" s="22" t="inlineStr">
        <is>
          <t>covered</t>
        </is>
      </c>
      <c r="I125" s="13" t="inlineStr">
        <is>
          <t>Dropdown Menu submenu basics batch; manually verified.</t>
        </is>
      </c>
      <c r="J125" s="13" t="inlineStr">
        <is>
          <t>Complete.</t>
        </is>
      </c>
      <c r="K125" s="14">
        <f>IF(AND(E125="yes",F125="yes",H125="covered"),1,IF(H125="partial",0.5,0))</f>
        <v/>
      </c>
    </row>
    <row r="126" ht="32" customHeight="1" s="24">
      <c r="A126" s="12" t="n">
        <v>118</v>
      </c>
      <c r="B126" s="13" t="inlineStr">
        <is>
          <t>Public API</t>
        </is>
      </c>
      <c r="C126" s="13" t="inlineStr">
        <is>
          <t>Sub Trigger</t>
        </is>
      </c>
      <c r="D126" s="13" t="inlineStr">
        <is>
          <t>aria-expanded reflects submenu open state</t>
        </is>
      </c>
      <c r="E126" s="18" t="inlineStr">
        <is>
          <t>yes</t>
        </is>
      </c>
      <c r="F126" s="18" t="inlineStr">
        <is>
          <t>yes</t>
        </is>
      </c>
      <c r="G126" s="12" t="inlineStr">
        <is>
          <t>pass</t>
        </is>
      </c>
      <c r="H126" s="22" t="inlineStr">
        <is>
          <t>covered</t>
        </is>
      </c>
      <c r="I126" s="13" t="inlineStr">
        <is>
          <t>Dropdown Menu submenu basics batch; manually verified.</t>
        </is>
      </c>
      <c r="J126" s="13" t="inlineStr">
        <is>
          <t>Complete.</t>
        </is>
      </c>
      <c r="K126" s="14">
        <f>IF(AND(E126="yes",F126="yes",H126="covered"),1,IF(H126="partial",0.5,0))</f>
        <v/>
      </c>
    </row>
    <row r="127" ht="32" customHeight="1" s="24">
      <c r="A127" s="12" t="n">
        <v>119</v>
      </c>
      <c r="B127" s="13" t="inlineStr">
        <is>
          <t>Public API</t>
        </is>
      </c>
      <c r="C127" s="13" t="inlineStr">
        <is>
          <t>Sub Trigger</t>
        </is>
      </c>
      <c r="D127" s="13" t="inlineStr">
        <is>
          <t>data-state reflects submenu state</t>
        </is>
      </c>
      <c r="E127" s="18" t="inlineStr">
        <is>
          <t>yes</t>
        </is>
      </c>
      <c r="F127" s="18" t="inlineStr">
        <is>
          <t>yes</t>
        </is>
      </c>
      <c r="G127" s="12" t="inlineStr">
        <is>
          <t>pass</t>
        </is>
      </c>
      <c r="H127" s="22" t="inlineStr">
        <is>
          <t>covered</t>
        </is>
      </c>
      <c r="I127" s="13" t="inlineStr">
        <is>
          <t>Dropdown Menu submenu basics batch; manually verified.</t>
        </is>
      </c>
      <c r="J127" s="13" t="inlineStr">
        <is>
          <t>Complete.</t>
        </is>
      </c>
      <c r="K127" s="14">
        <f>IF(AND(E127="yes",F127="yes",H127="covered"),1,IF(H127="partial",0.5,0))</f>
        <v/>
      </c>
    </row>
    <row r="128" ht="32" customHeight="1" s="24">
      <c r="A128" s="12" t="n">
        <v>120</v>
      </c>
      <c r="B128" s="13" t="inlineStr">
        <is>
          <t>Public API</t>
        </is>
      </c>
      <c r="C128" s="13" t="inlineStr">
        <is>
          <t>Sub Trigger</t>
        </is>
      </c>
      <c r="D128" s="13" t="inlineStr">
        <is>
          <t>data-slot is menu-sub-trigger</t>
        </is>
      </c>
      <c r="E128" s="18" t="inlineStr">
        <is>
          <t>yes</t>
        </is>
      </c>
      <c r="F128" s="18" t="inlineStr">
        <is>
          <t>yes</t>
        </is>
      </c>
      <c r="G128" s="12" t="inlineStr">
        <is>
          <t>pass</t>
        </is>
      </c>
      <c r="H128" s="22" t="inlineStr">
        <is>
          <t>covered</t>
        </is>
      </c>
      <c r="I128" s="13" t="inlineStr">
        <is>
          <t>DropdownMenu playground scenario.</t>
        </is>
      </c>
      <c r="J128" s="13" t="inlineStr">
        <is>
          <t>Complete.</t>
        </is>
      </c>
      <c r="K128" s="14">
        <f>IF(AND(E128="yes",F128="yes",H128="covered"),1,IF(H128="partial",0.5,0))</f>
        <v/>
      </c>
    </row>
    <row r="129" ht="32" customHeight="1" s="24">
      <c r="A129" s="12" t="n">
        <v>121</v>
      </c>
      <c r="B129" s="13" t="inlineStr">
        <is>
          <t>Public API</t>
        </is>
      </c>
      <c r="C129" s="13" t="inlineStr">
        <is>
          <t>Sub Trigger</t>
        </is>
      </c>
      <c r="D129" s="13" t="inlineStr">
        <is>
          <t>hover opens submenu after delay</t>
        </is>
      </c>
      <c r="E129" s="18" t="inlineStr">
        <is>
          <t>yes</t>
        </is>
      </c>
      <c r="F129" s="18" t="inlineStr">
        <is>
          <t>yes</t>
        </is>
      </c>
      <c r="G129" s="12" t="inlineStr">
        <is>
          <t>pass</t>
        </is>
      </c>
      <c r="H129" s="22" t="inlineStr">
        <is>
          <t>covered</t>
        </is>
      </c>
      <c r="I129" s="13" t="inlineStr">
        <is>
          <t>Dropdown Menu submenu basics batch; manually verified.</t>
        </is>
      </c>
      <c r="J129" s="13" t="inlineStr">
        <is>
          <t>Complete.</t>
        </is>
      </c>
      <c r="K129" s="14">
        <f>IF(AND(E129="yes",F129="yes",H129="covered"),1,IF(H129="partial",0.5,0))</f>
        <v/>
      </c>
    </row>
    <row r="130" ht="32" customHeight="1" s="24">
      <c r="A130" s="12" t="n">
        <v>122</v>
      </c>
      <c r="B130" s="13" t="inlineStr">
        <is>
          <t>Public API</t>
        </is>
      </c>
      <c r="C130" s="13" t="inlineStr">
        <is>
          <t>Sub Trigger</t>
        </is>
      </c>
      <c r="D130" s="13" t="inlineStr">
        <is>
          <t>click toggles submenu</t>
        </is>
      </c>
      <c r="E130" s="18" t="inlineStr">
        <is>
          <t>yes</t>
        </is>
      </c>
      <c r="F130" s="18" t="inlineStr">
        <is>
          <t>yes</t>
        </is>
      </c>
      <c r="G130" s="12" t="inlineStr">
        <is>
          <t>pass</t>
        </is>
      </c>
      <c r="H130" s="22" t="inlineStr">
        <is>
          <t>covered</t>
        </is>
      </c>
      <c r="I130" s="13" t="inlineStr">
        <is>
          <t>DropdownMenu playground scenario.</t>
        </is>
      </c>
      <c r="J130" s="13" t="inlineStr">
        <is>
          <t>Complete.</t>
        </is>
      </c>
      <c r="K130" s="14">
        <f>IF(AND(E130="yes",F130="yes",H130="covered"),1,IF(H130="partial",0.5,0))</f>
        <v/>
      </c>
    </row>
    <row r="131" ht="32" customHeight="1" s="24">
      <c r="A131" s="12" t="n">
        <v>123</v>
      </c>
      <c r="B131" s="13" t="inlineStr">
        <is>
          <t>Public API</t>
        </is>
      </c>
      <c r="C131" s="13" t="inlineStr">
        <is>
          <t>Sub Trigger</t>
        </is>
      </c>
      <c r="D131" s="13" t="inlineStr">
        <is>
          <t>ArrowRight opens submenu</t>
        </is>
      </c>
      <c r="E131" s="18" t="inlineStr">
        <is>
          <t>yes</t>
        </is>
      </c>
      <c r="F131" s="18" t="inlineStr">
        <is>
          <t>yes</t>
        </is>
      </c>
      <c r="G131" s="12" t="inlineStr">
        <is>
          <t>pass</t>
        </is>
      </c>
      <c r="H131" s="22" t="inlineStr">
        <is>
          <t>covered</t>
        </is>
      </c>
      <c r="I131" s="13" t="inlineStr">
        <is>
          <t>Dropdown Menu submenu basics batch; manually verified.</t>
        </is>
      </c>
      <c r="J131" s="13" t="inlineStr">
        <is>
          <t>Complete.</t>
        </is>
      </c>
      <c r="K131" s="14">
        <f>IF(AND(E131="yes",F131="yes",H131="covered"),1,IF(H131="partial",0.5,0))</f>
        <v/>
      </c>
    </row>
    <row r="132" ht="32" customHeight="1" s="24">
      <c r="A132" s="12" t="n">
        <v>124</v>
      </c>
      <c r="B132" s="13" t="inlineStr">
        <is>
          <t>Public API</t>
        </is>
      </c>
      <c r="C132" s="13" t="inlineStr">
        <is>
          <t>Sub Trigger</t>
        </is>
      </c>
      <c r="D132" s="13" t="inlineStr">
        <is>
          <t>disabled sub trigger is skipped</t>
        </is>
      </c>
      <c r="E132" s="18" t="inlineStr">
        <is>
          <t>yes</t>
        </is>
      </c>
      <c r="F132" s="18" t="inlineStr">
        <is>
          <t>yes</t>
        </is>
      </c>
      <c r="G132" s="12" t="inlineStr">
        <is>
          <t>pass</t>
        </is>
      </c>
      <c r="H132" s="22" t="inlineStr">
        <is>
          <t>covered</t>
        </is>
      </c>
      <c r="I132" s="13" t="inlineStr">
        <is>
          <t>DropdownMenu playground scenario.</t>
        </is>
      </c>
      <c r="J132" s="13" t="inlineStr">
        <is>
          <t>Complete.</t>
        </is>
      </c>
      <c r="K132" s="14">
        <f>IF(AND(E132="yes",F132="yes",H132="covered"),1,IF(H132="partial",0.5,0))</f>
        <v/>
      </c>
    </row>
    <row r="133" ht="32" customHeight="1" s="24">
      <c r="A133" s="12" t="n">
        <v>125</v>
      </c>
      <c r="B133" s="13" t="inlineStr">
        <is>
          <t>Public API</t>
        </is>
      </c>
      <c r="C133" s="13" t="inlineStr">
        <is>
          <t>Sub Trigger</t>
        </is>
      </c>
      <c r="D133" s="13" t="inlineStr">
        <is>
          <t>textValue is used for typeahead</t>
        </is>
      </c>
      <c r="E133" s="18" t="inlineStr">
        <is>
          <t>yes</t>
        </is>
      </c>
      <c r="F133" s="18" t="inlineStr">
        <is>
          <t>yes</t>
        </is>
      </c>
      <c r="G133" s="12" t="inlineStr">
        <is>
          <t>pass</t>
        </is>
      </c>
      <c r="H133" s="22" t="inlineStr">
        <is>
          <t>covered</t>
        </is>
      </c>
      <c r="I133" s="13" t="inlineStr">
        <is>
          <t>Dropdown Menu typeahead batch; manually verified.</t>
        </is>
      </c>
      <c r="J133" s="13" t="inlineStr">
        <is>
          <t>Complete.</t>
        </is>
      </c>
      <c r="K133" s="14">
        <f>IF(AND(E133="yes",F133="yes",H133="covered"),1,IF(H133="partial",0.5,0))</f>
        <v/>
      </c>
    </row>
    <row r="134" ht="32" customHeight="1" s="24">
      <c r="A134" s="12" t="n">
        <v>126</v>
      </c>
      <c r="B134" s="13" t="inlineStr">
        <is>
          <t>Public API</t>
        </is>
      </c>
      <c r="C134" s="13" t="inlineStr">
        <is>
          <t>Sub Content</t>
        </is>
      </c>
      <c r="D134" s="13" t="inlineStr">
        <is>
          <t>renders role menu</t>
        </is>
      </c>
      <c r="E134" s="18" t="inlineStr">
        <is>
          <t>yes</t>
        </is>
      </c>
      <c r="F134" s="18" t="inlineStr">
        <is>
          <t>yes</t>
        </is>
      </c>
      <c r="G134" s="12" t="inlineStr">
        <is>
          <t>pass</t>
        </is>
      </c>
      <c r="H134" s="22" t="inlineStr">
        <is>
          <t>covered</t>
        </is>
      </c>
      <c r="I134" s="13" t="inlineStr">
        <is>
          <t>Dropdown Menu content/subcontent relationship and portal batch; manually verified.</t>
        </is>
      </c>
      <c r="J134" s="13" t="inlineStr">
        <is>
          <t>Complete.</t>
        </is>
      </c>
      <c r="K134" s="14">
        <f>IF(AND(E134="yes",F134="yes",H134="covered"),1,IF(H134="partial",0.5,0))</f>
        <v/>
      </c>
    </row>
    <row r="135" ht="32" customHeight="1" s="24">
      <c r="A135" s="12" t="n">
        <v>127</v>
      </c>
      <c r="B135" s="13" t="inlineStr">
        <is>
          <t>Public API</t>
        </is>
      </c>
      <c r="C135" s="13" t="inlineStr">
        <is>
          <t>Sub Content</t>
        </is>
      </c>
      <c r="D135" s="13" t="inlineStr">
        <is>
          <t>aria-label prop names submenu</t>
        </is>
      </c>
      <c r="E135" s="18" t="inlineStr">
        <is>
          <t>yes</t>
        </is>
      </c>
      <c r="F135" s="18" t="inlineStr">
        <is>
          <t>yes</t>
        </is>
      </c>
      <c r="G135" s="12" t="inlineStr">
        <is>
          <t>pass</t>
        </is>
      </c>
      <c r="H135" s="22" t="inlineStr">
        <is>
          <t>covered</t>
        </is>
      </c>
      <c r="I135" s="13" t="inlineStr">
        <is>
          <t>DropdownMenu playground scenario.</t>
        </is>
      </c>
      <c r="J135" s="13" t="inlineStr">
        <is>
          <t>Complete.</t>
        </is>
      </c>
      <c r="K135" s="14">
        <f>IF(AND(E135="yes",F135="yes",H135="covered"),1,IF(H135="partial",0.5,0))</f>
        <v/>
      </c>
    </row>
    <row r="136" ht="32" customHeight="1" s="24">
      <c r="A136" s="12" t="n">
        <v>128</v>
      </c>
      <c r="B136" s="13" t="inlineStr">
        <is>
          <t>Public API</t>
        </is>
      </c>
      <c r="C136" s="13" t="inlineStr">
        <is>
          <t>Sub Content</t>
        </is>
      </c>
      <c r="D136" s="13" t="inlineStr">
        <is>
          <t>aria-labelledby references sub trigger when ariaLabel is absent</t>
        </is>
      </c>
      <c r="E136" s="18" t="inlineStr">
        <is>
          <t>yes</t>
        </is>
      </c>
      <c r="F136" s="18" t="inlineStr">
        <is>
          <t>yes</t>
        </is>
      </c>
      <c r="G136" s="12" t="inlineStr">
        <is>
          <t>pass</t>
        </is>
      </c>
      <c r="H136" s="22" t="inlineStr">
        <is>
          <t>covered</t>
        </is>
      </c>
      <c r="I136" s="13" t="inlineStr">
        <is>
          <t>Dropdown Menu content/subcontent relationship and portal batch; manually verified.</t>
        </is>
      </c>
      <c r="J136" s="13" t="inlineStr">
        <is>
          <t>Complete.</t>
        </is>
      </c>
      <c r="K136" s="14">
        <f>IF(AND(E136="yes",F136="yes",H136="covered"),1,IF(H136="partial",0.5,0))</f>
        <v/>
      </c>
    </row>
    <row r="137" ht="32" customHeight="1" s="24">
      <c r="A137" s="12" t="n">
        <v>129</v>
      </c>
      <c r="B137" s="13" t="inlineStr">
        <is>
          <t>Public API</t>
        </is>
      </c>
      <c r="C137" s="13" t="inlineStr">
        <is>
          <t>Sub Content</t>
        </is>
      </c>
      <c r="D137" s="13" t="inlineStr">
        <is>
          <t>data-slot is menu-sub-content</t>
        </is>
      </c>
      <c r="E137" s="18" t="inlineStr">
        <is>
          <t>yes</t>
        </is>
      </c>
      <c r="F137" s="18" t="inlineStr">
        <is>
          <t>yes</t>
        </is>
      </c>
      <c r="G137" s="12" t="inlineStr">
        <is>
          <t>pass</t>
        </is>
      </c>
      <c r="H137" s="22" t="inlineStr">
        <is>
          <t>covered</t>
        </is>
      </c>
      <c r="I137" s="13" t="inlineStr">
        <is>
          <t>Dropdown Menu content/subcontent relationship and portal batch; manually verified.</t>
        </is>
      </c>
      <c r="J137" s="13" t="inlineStr">
        <is>
          <t>Complete.</t>
        </is>
      </c>
      <c r="K137" s="14">
        <f>IF(AND(E137="yes",F137="yes",H137="covered"),1,IF(H137="partial",0.5,0))</f>
        <v/>
      </c>
    </row>
    <row r="138" ht="32" customHeight="1" s="24">
      <c r="A138" s="12" t="n">
        <v>130</v>
      </c>
      <c r="B138" s="13" t="inlineStr">
        <is>
          <t>Public API</t>
        </is>
      </c>
      <c r="C138" s="13" t="inlineStr">
        <is>
          <t>Sub Content</t>
        </is>
      </c>
      <c r="D138" s="13" t="inlineStr">
        <is>
          <t>data-state is open</t>
        </is>
      </c>
      <c r="E138" s="18" t="inlineStr">
        <is>
          <t>yes</t>
        </is>
      </c>
      <c r="F138" s="18" t="inlineStr">
        <is>
          <t>yes</t>
        </is>
      </c>
      <c r="G138" s="12" t="inlineStr">
        <is>
          <t>pass</t>
        </is>
      </c>
      <c r="H138" s="22" t="inlineStr">
        <is>
          <t>covered</t>
        </is>
      </c>
      <c r="I138" s="13" t="inlineStr">
        <is>
          <t>Dropdown Menu content and popup positioning batch; manually verified.</t>
        </is>
      </c>
      <c r="J138" s="13" t="inlineStr">
        <is>
          <t>Complete.</t>
        </is>
      </c>
      <c r="K138" s="14">
        <f>IF(AND(E138="yes",F138="yes",H138="covered"),1,IF(H138="partial",0.5,0))</f>
        <v/>
      </c>
    </row>
    <row r="139" ht="32" customHeight="1" s="24">
      <c r="A139" s="12" t="n">
        <v>131</v>
      </c>
      <c r="B139" s="13" t="inlineStr">
        <is>
          <t>Public API</t>
        </is>
      </c>
      <c r="C139" s="13" t="inlineStr">
        <is>
          <t>Sub Content</t>
        </is>
      </c>
      <c r="D139" s="13" t="inlineStr">
        <is>
          <t>data-side reflects final placement</t>
        </is>
      </c>
      <c r="E139" s="18" t="inlineStr">
        <is>
          <t>yes</t>
        </is>
      </c>
      <c r="F139" s="18" t="inlineStr">
        <is>
          <t>yes</t>
        </is>
      </c>
      <c r="G139" s="12" t="inlineStr">
        <is>
          <t>pass</t>
        </is>
      </c>
      <c r="H139" s="22" t="inlineStr">
        <is>
          <t>covered</t>
        </is>
      </c>
      <c r="I139" s="13" t="inlineStr">
        <is>
          <t>Dropdown Menu content and popup positioning batch; manually verified.</t>
        </is>
      </c>
      <c r="J139" s="13" t="inlineStr">
        <is>
          <t>Complete.</t>
        </is>
      </c>
      <c r="K139" s="14">
        <f>IF(AND(E139="yes",F139="yes",H139="covered"),1,IF(H139="partial",0.5,0))</f>
        <v/>
      </c>
    </row>
    <row r="140" ht="32" customHeight="1" s="24">
      <c r="A140" s="12" t="n">
        <v>132</v>
      </c>
      <c r="B140" s="13" t="inlineStr">
        <is>
          <t>Public API</t>
        </is>
      </c>
      <c r="C140" s="13" t="inlineStr">
        <is>
          <t>Sub Content</t>
        </is>
      </c>
      <c r="D140" s="13" t="inlineStr">
        <is>
          <t>data-positioned appears after positioning</t>
        </is>
      </c>
      <c r="E140" s="18" t="inlineStr">
        <is>
          <t>yes</t>
        </is>
      </c>
      <c r="F140" s="18" t="inlineStr">
        <is>
          <t>yes</t>
        </is>
      </c>
      <c r="G140" s="12" t="inlineStr">
        <is>
          <t>pass</t>
        </is>
      </c>
      <c r="H140" s="22" t="inlineStr">
        <is>
          <t>covered</t>
        </is>
      </c>
      <c r="I140" s="13" t="inlineStr">
        <is>
          <t>Dropdown Menu content and popup positioning batch; manually verified.</t>
        </is>
      </c>
      <c r="J140" s="13" t="inlineStr">
        <is>
          <t>Complete.</t>
        </is>
      </c>
      <c r="K140" s="14">
        <f>IF(AND(E140="yes",F140="yes",H140="covered"),1,IF(H140="partial",0.5,0))</f>
        <v/>
      </c>
    </row>
    <row r="141" ht="32" customHeight="1" s="24">
      <c r="A141" s="12" t="n">
        <v>133</v>
      </c>
      <c r="B141" s="13" t="inlineStr">
        <is>
          <t>Public API</t>
        </is>
      </c>
      <c r="C141" s="13" t="inlineStr">
        <is>
          <t>Sub Content</t>
        </is>
      </c>
      <c r="D141" s="13" t="inlineStr">
        <is>
          <t>sideOffset changes submenu distance</t>
        </is>
      </c>
      <c r="E141" s="18" t="inlineStr">
        <is>
          <t>yes</t>
        </is>
      </c>
      <c r="F141" s="18" t="inlineStr">
        <is>
          <t>yes</t>
        </is>
      </c>
      <c r="G141" s="12" t="inlineStr">
        <is>
          <t>pass</t>
        </is>
      </c>
      <c r="H141" s="22" t="inlineStr">
        <is>
          <t>covered</t>
        </is>
      </c>
      <c r="I141" s="13" t="inlineStr">
        <is>
          <t>DropdownMenu playground scenario.</t>
        </is>
      </c>
      <c r="J141" s="13" t="inlineStr">
        <is>
          <t>Complete.</t>
        </is>
      </c>
      <c r="K141" s="14">
        <f>IF(AND(E141="yes",F141="yes",H141="covered"),1,IF(H141="partial",0.5,0))</f>
        <v/>
      </c>
    </row>
    <row r="142" ht="32" customHeight="1" s="24">
      <c r="A142" s="12" t="n">
        <v>134</v>
      </c>
      <c r="B142" s="13" t="inlineStr">
        <is>
          <t>Public API</t>
        </is>
      </c>
      <c r="C142" s="13" t="inlineStr">
        <is>
          <t>Sub Content</t>
        </is>
      </c>
      <c r="D142" s="13" t="inlineStr">
        <is>
          <t>loop prop controls submenu wrapping</t>
        </is>
      </c>
      <c r="E142" s="18" t="inlineStr">
        <is>
          <t>yes</t>
        </is>
      </c>
      <c r="F142" s="18" t="inlineStr">
        <is>
          <t>yes</t>
        </is>
      </c>
      <c r="G142" s="12" t="inlineStr">
        <is>
          <t>pass</t>
        </is>
      </c>
      <c r="H142" s="22" t="inlineStr">
        <is>
          <t>covered</t>
        </is>
      </c>
      <c r="I142" s="13" t="inlineStr">
        <is>
          <t>DropdownMenu playground scenario.</t>
        </is>
      </c>
      <c r="J142" s="13" t="inlineStr">
        <is>
          <t>Complete.</t>
        </is>
      </c>
      <c r="K142" s="14">
        <f>IF(AND(E142="yes",F142="yes",H142="covered"),1,IF(H142="partial",0.5,0))</f>
        <v/>
      </c>
    </row>
    <row r="143" ht="32" customHeight="1" s="24">
      <c r="A143" s="12" t="n">
        <v>135</v>
      </c>
      <c r="B143" s="13" t="inlineStr">
        <is>
          <t>Interaction</t>
        </is>
      </c>
      <c r="C143" s="13" t="inlineStr">
        <is>
          <t>Open And Close</t>
        </is>
      </c>
      <c r="D143" s="13" t="inlineStr">
        <is>
          <t>trigger click opens menu</t>
        </is>
      </c>
      <c r="E143" s="18" t="inlineStr">
        <is>
          <t>yes</t>
        </is>
      </c>
      <c r="F143" s="18" t="inlineStr">
        <is>
          <t>yes</t>
        </is>
      </c>
      <c r="G143" s="12" t="inlineStr">
        <is>
          <t>pass</t>
        </is>
      </c>
      <c r="H143" s="22" t="inlineStr">
        <is>
          <t>covered</t>
        </is>
      </c>
      <c r="I143" s="13" t="inlineStr">
        <is>
          <t>Dropdown Menu trigger basics batch; manually verified.</t>
        </is>
      </c>
      <c r="J143" s="13" t="inlineStr">
        <is>
          <t>Complete.</t>
        </is>
      </c>
      <c r="K143" s="14">
        <f>IF(AND(E143="yes",F143="yes",H143="covered"),1,IF(H143="partial",0.5,0))</f>
        <v/>
      </c>
    </row>
    <row r="144" ht="32" customHeight="1" s="24">
      <c r="A144" s="12" t="n">
        <v>136</v>
      </c>
      <c r="B144" s="13" t="inlineStr">
        <is>
          <t>Interaction</t>
        </is>
      </c>
      <c r="C144" s="13" t="inlineStr">
        <is>
          <t>Open And Close</t>
        </is>
      </c>
      <c r="D144" s="13" t="inlineStr">
        <is>
          <t>trigger click closes open menu</t>
        </is>
      </c>
      <c r="E144" s="18" t="inlineStr">
        <is>
          <t>yes</t>
        </is>
      </c>
      <c r="F144" s="18" t="inlineStr">
        <is>
          <t>yes</t>
        </is>
      </c>
      <c r="G144" s="12" t="inlineStr">
        <is>
          <t>pass</t>
        </is>
      </c>
      <c r="H144" s="22" t="inlineStr">
        <is>
          <t>covered</t>
        </is>
      </c>
      <c r="I144" s="13" t="inlineStr">
        <is>
          <t>Dropdown Menu trigger basics batch; manually verified.</t>
        </is>
      </c>
      <c r="J144" s="13" t="inlineStr">
        <is>
          <t>Complete.</t>
        </is>
      </c>
      <c r="K144" s="14">
        <f>IF(AND(E144="yes",F144="yes",H144="covered"),1,IF(H144="partial",0.5,0))</f>
        <v/>
      </c>
    </row>
    <row r="145" ht="32" customHeight="1" s="24">
      <c r="A145" s="12" t="n">
        <v>137</v>
      </c>
      <c r="B145" s="13" t="inlineStr">
        <is>
          <t>Interaction</t>
        </is>
      </c>
      <c r="C145" s="13" t="inlineStr">
        <is>
          <t>Open And Close</t>
        </is>
      </c>
      <c r="D145" s="13" t="inlineStr">
        <is>
          <t>controlled open button opens menu</t>
        </is>
      </c>
      <c r="E145" s="18" t="inlineStr">
        <is>
          <t>yes</t>
        </is>
      </c>
      <c r="F145" s="18" t="inlineStr">
        <is>
          <t>yes</t>
        </is>
      </c>
      <c r="G145" s="12" t="inlineStr">
        <is>
          <t>pass</t>
        </is>
      </c>
      <c r="H145" s="22" t="inlineStr">
        <is>
          <t>covered</t>
        </is>
      </c>
      <c r="I145" s="13" t="inlineStr">
        <is>
          <t>Dropdown Menu root open/close batch; manually verified.</t>
        </is>
      </c>
      <c r="J145" s="13" t="inlineStr">
        <is>
          <t>Complete.</t>
        </is>
      </c>
      <c r="K145" s="14">
        <f>IF(AND(E145="yes",F145="yes",H145="covered"),1,IF(H145="partial",0.5,0))</f>
        <v/>
      </c>
    </row>
    <row r="146" ht="32" customHeight="1" s="24">
      <c r="A146" s="12" t="n">
        <v>138</v>
      </c>
      <c r="B146" s="13" t="inlineStr">
        <is>
          <t>Interaction</t>
        </is>
      </c>
      <c r="C146" s="13" t="inlineStr">
        <is>
          <t>Open And Close</t>
        </is>
      </c>
      <c r="D146" s="13" t="inlineStr">
        <is>
          <t>controlled close button closes menu</t>
        </is>
      </c>
      <c r="E146" s="18" t="inlineStr">
        <is>
          <t>yes</t>
        </is>
      </c>
      <c r="F146" s="18" t="inlineStr">
        <is>
          <t>yes</t>
        </is>
      </c>
      <c r="G146" s="12" t="inlineStr">
        <is>
          <t>pass</t>
        </is>
      </c>
      <c r="H146" s="22" t="inlineStr">
        <is>
          <t>covered</t>
        </is>
      </c>
      <c r="I146" s="13" t="inlineStr">
        <is>
          <t>Dropdown Menu root open/close batch; manually verified.</t>
        </is>
      </c>
      <c r="J146" s="13" t="inlineStr">
        <is>
          <t>Complete.</t>
        </is>
      </c>
      <c r="K146" s="14">
        <f>IF(AND(E146="yes",F146="yes",H146="covered"),1,IF(H146="partial",0.5,0))</f>
        <v/>
      </c>
    </row>
    <row r="147" ht="32" customHeight="1" s="24">
      <c r="A147" s="12" t="n">
        <v>139</v>
      </c>
      <c r="B147" s="13" t="inlineStr">
        <is>
          <t>Interaction</t>
        </is>
      </c>
      <c r="C147" s="13" t="inlineStr">
        <is>
          <t>Open And Close</t>
        </is>
      </c>
      <c r="D147" s="13" t="inlineStr">
        <is>
          <t>outside click closes menu</t>
        </is>
      </c>
      <c r="E147" s="18" t="inlineStr">
        <is>
          <t>yes</t>
        </is>
      </c>
      <c r="F147" s="18" t="inlineStr">
        <is>
          <t>yes</t>
        </is>
      </c>
      <c r="G147" s="12" t="inlineStr">
        <is>
          <t>pass</t>
        </is>
      </c>
      <c r="H147" s="22" t="inlineStr">
        <is>
          <t>covered</t>
        </is>
      </c>
      <c r="I147" s="13" t="inlineStr">
        <is>
          <t>Dropdown Menu root open/close batch; manually verified.</t>
        </is>
      </c>
      <c r="J147" s="13" t="inlineStr">
        <is>
          <t>Complete.</t>
        </is>
      </c>
      <c r="K147" s="14">
        <f>IF(AND(E147="yes",F147="yes",H147="covered"),1,IF(H147="partial",0.5,0))</f>
        <v/>
      </c>
    </row>
    <row r="148" ht="32" customHeight="1" s="24">
      <c r="A148" s="12" t="n">
        <v>140</v>
      </c>
      <c r="B148" s="13" t="inlineStr">
        <is>
          <t>Interaction</t>
        </is>
      </c>
      <c r="C148" s="13" t="inlineStr">
        <is>
          <t>Open And Close</t>
        </is>
      </c>
      <c r="D148" s="13" t="inlineStr">
        <is>
          <t>outside click closes submenu</t>
        </is>
      </c>
      <c r="E148" s="18" t="inlineStr">
        <is>
          <t>yes</t>
        </is>
      </c>
      <c r="F148" s="18" t="inlineStr">
        <is>
          <t>yes</t>
        </is>
      </c>
      <c r="G148" s="12" t="inlineStr">
        <is>
          <t>pass</t>
        </is>
      </c>
      <c r="H148" s="22" t="inlineStr">
        <is>
          <t>covered</t>
        </is>
      </c>
      <c r="I148" s="13" t="inlineStr">
        <is>
          <t>Dropdown Menu submenu basics batch; manually verified.</t>
        </is>
      </c>
      <c r="J148" s="13" t="inlineStr">
        <is>
          <t>Complete.</t>
        </is>
      </c>
      <c r="K148" s="14">
        <f>IF(AND(E148="yes",F148="yes",H148="covered"),1,IF(H148="partial",0.5,0))</f>
        <v/>
      </c>
    </row>
    <row r="149" ht="32" customHeight="1" s="24">
      <c r="A149" s="12" t="n">
        <v>141</v>
      </c>
      <c r="B149" s="13" t="inlineStr">
        <is>
          <t>Interaction</t>
        </is>
      </c>
      <c r="C149" s="13" t="inlineStr">
        <is>
          <t>Open And Close</t>
        </is>
      </c>
      <c r="D149" s="13" t="inlineStr">
        <is>
          <t>Tab closes menu and returns focus to trigger</t>
        </is>
      </c>
      <c r="E149" s="18" t="inlineStr">
        <is>
          <t>yes</t>
        </is>
      </c>
      <c r="F149" s="18" t="inlineStr">
        <is>
          <t>yes</t>
        </is>
      </c>
      <c r="G149" s="12" t="inlineStr">
        <is>
          <t>pass</t>
        </is>
      </c>
      <c r="H149" s="22" t="inlineStr">
        <is>
          <t>covered</t>
        </is>
      </c>
      <c r="I149" s="13" t="inlineStr">
        <is>
          <t>DropdownMenu playground scenario.</t>
        </is>
      </c>
      <c r="J149" s="13" t="inlineStr">
        <is>
          <t>Complete.</t>
        </is>
      </c>
      <c r="K149" s="14">
        <f>IF(AND(E149="yes",F149="yes",H149="covered"),1,IF(H149="partial",0.5,0))</f>
        <v/>
      </c>
    </row>
    <row r="150" ht="32" customHeight="1" s="24">
      <c r="A150" s="12" t="n">
        <v>142</v>
      </c>
      <c r="B150" s="13" t="inlineStr">
        <is>
          <t>Interaction</t>
        </is>
      </c>
      <c r="C150" s="13" t="inlineStr">
        <is>
          <t>Open And Close</t>
        </is>
      </c>
      <c r="D150" s="13" t="inlineStr">
        <is>
          <t>Escape closes root menu and returns focus</t>
        </is>
      </c>
      <c r="E150" s="18" t="inlineStr">
        <is>
          <t>yes</t>
        </is>
      </c>
      <c r="F150" s="18" t="inlineStr">
        <is>
          <t>yes</t>
        </is>
      </c>
      <c r="G150" s="12" t="inlineStr">
        <is>
          <t>pass</t>
        </is>
      </c>
      <c r="H150" s="22" t="inlineStr">
        <is>
          <t>covered</t>
        </is>
      </c>
      <c r="I150" s="13" t="inlineStr">
        <is>
          <t>Dropdown Menu root open/close batch; manually verified.</t>
        </is>
      </c>
      <c r="J150" s="13" t="inlineStr">
        <is>
          <t>Complete.</t>
        </is>
      </c>
      <c r="K150" s="14">
        <f>IF(AND(E150="yes",F150="yes",H150="covered"),1,IF(H150="partial",0.5,0))</f>
        <v/>
      </c>
    </row>
    <row r="151" ht="32" customHeight="1" s="24">
      <c r="A151" s="12" t="n">
        <v>143</v>
      </c>
      <c r="B151" s="13" t="inlineStr">
        <is>
          <t>Interaction</t>
        </is>
      </c>
      <c r="C151" s="13" t="inlineStr">
        <is>
          <t>Open And Close</t>
        </is>
      </c>
      <c r="D151" s="13" t="inlineStr">
        <is>
          <t>Escape closes submenu first and returns focus to parent content</t>
        </is>
      </c>
      <c r="E151" s="18" t="inlineStr">
        <is>
          <t>yes</t>
        </is>
      </c>
      <c r="F151" s="18" t="inlineStr">
        <is>
          <t>yes</t>
        </is>
      </c>
      <c r="G151" s="12" t="inlineStr">
        <is>
          <t>pass</t>
        </is>
      </c>
      <c r="H151" s="22" t="inlineStr">
        <is>
          <t>covered</t>
        </is>
      </c>
      <c r="I151" s="13" t="inlineStr">
        <is>
          <t>Dropdown Menu submenu basics batch; manually verified.</t>
        </is>
      </c>
      <c r="J151" s="13" t="inlineStr">
        <is>
          <t>Complete.</t>
        </is>
      </c>
      <c r="K151" s="14">
        <f>IF(AND(E151="yes",F151="yes",H151="covered"),1,IF(H151="partial",0.5,0))</f>
        <v/>
      </c>
    </row>
    <row r="152" ht="32" customHeight="1" s="24">
      <c r="A152" s="12" t="n">
        <v>144</v>
      </c>
      <c r="B152" s="13" t="inlineStr">
        <is>
          <t>Interaction</t>
        </is>
      </c>
      <c r="C152" s="13" t="inlineStr">
        <is>
          <t>Open And Close</t>
        </is>
      </c>
      <c r="D152" s="13" t="inlineStr">
        <is>
          <t>selecting action item closes menu when enabled</t>
        </is>
      </c>
      <c r="E152" s="18" t="inlineStr">
        <is>
          <t>yes</t>
        </is>
      </c>
      <c r="F152" s="18" t="inlineStr">
        <is>
          <t>yes</t>
        </is>
      </c>
      <c r="G152" s="12" t="inlineStr">
        <is>
          <t>pass</t>
        </is>
      </c>
      <c r="H152" s="22" t="inlineStr">
        <is>
          <t>covered</t>
        </is>
      </c>
      <c r="I152" s="13" t="inlineStr">
        <is>
          <t>DropdownMenu playground scenario.</t>
        </is>
      </c>
      <c r="J152" s="13" t="inlineStr">
        <is>
          <t>Complete.</t>
        </is>
      </c>
      <c r="K152" s="14">
        <f>IF(AND(E152="yes",F152="yes",H152="covered"),1,IF(H152="partial",0.5,0))</f>
        <v/>
      </c>
    </row>
    <row r="153" ht="32" customHeight="1" s="24">
      <c r="A153" s="12" t="n">
        <v>145</v>
      </c>
      <c r="B153" s="13" t="inlineStr">
        <is>
          <t>Interaction</t>
        </is>
      </c>
      <c r="C153" s="13" t="inlineStr">
        <is>
          <t>Open And Close</t>
        </is>
      </c>
      <c r="D153" s="13" t="inlineStr">
        <is>
          <t>selecting checkbox/radio stays open by default</t>
        </is>
      </c>
      <c r="E153" s="18" t="inlineStr">
        <is>
          <t>yes</t>
        </is>
      </c>
      <c r="F153" s="18" t="inlineStr">
        <is>
          <t>yes</t>
        </is>
      </c>
      <c r="G153" s="12" t="inlineStr">
        <is>
          <t>pass</t>
        </is>
      </c>
      <c r="H153" s="22" t="inlineStr">
        <is>
          <t>covered</t>
        </is>
      </c>
      <c r="I153" s="13" t="inlineStr">
        <is>
          <t>Dropdown Menu radio item batch; manually verified.</t>
        </is>
      </c>
      <c r="J153" s="13" t="inlineStr">
        <is>
          <t>Complete.</t>
        </is>
      </c>
      <c r="K153" s="14">
        <f>IF(AND(E153="yes",F153="yes",H153="covered"),1,IF(H153="partial",0.5,0))</f>
        <v/>
      </c>
    </row>
    <row r="154" ht="32" customHeight="1" s="24">
      <c r="A154" s="12" t="n">
        <v>146</v>
      </c>
      <c r="B154" s="13" t="inlineStr">
        <is>
          <t>Interaction</t>
        </is>
      </c>
      <c r="C154" s="13" t="inlineStr">
        <is>
          <t>Open And Close</t>
        </is>
      </c>
      <c r="D154" s="13" t="inlineStr">
        <is>
          <t>selecting submenu item closes submenu and parent menu</t>
        </is>
      </c>
      <c r="E154" s="18" t="inlineStr">
        <is>
          <t>yes</t>
        </is>
      </c>
      <c r="F154" s="18" t="inlineStr">
        <is>
          <t>yes</t>
        </is>
      </c>
      <c r="G154" s="12" t="inlineStr">
        <is>
          <t>pass</t>
        </is>
      </c>
      <c r="H154" s="22" t="inlineStr">
        <is>
          <t>covered</t>
        </is>
      </c>
      <c r="I154" s="13" t="inlineStr">
        <is>
          <t>Dropdown Menu submenu basics batch; manually verified.</t>
        </is>
      </c>
      <c r="J154" s="13" t="inlineStr">
        <is>
          <t>Complete.</t>
        </is>
      </c>
      <c r="K154" s="14">
        <f>IF(AND(E154="yes",F154="yes",H154="covered"),1,IF(H154="partial",0.5,0))</f>
        <v/>
      </c>
    </row>
    <row r="155" ht="32" customHeight="1" s="24">
      <c r="A155" s="12" t="n">
        <v>147</v>
      </c>
      <c r="B155" s="13" t="inlineStr">
        <is>
          <t>Keyboard</t>
        </is>
      </c>
      <c r="C155" s="13" t="inlineStr">
        <is>
          <t>Navigation</t>
        </is>
      </c>
      <c r="D155" s="13" t="inlineStr">
        <is>
          <t>ArrowDown opens from trigger and highlights first enabled item</t>
        </is>
      </c>
      <c r="E155" s="18" t="inlineStr">
        <is>
          <t>yes</t>
        </is>
      </c>
      <c r="F155" s="18" t="inlineStr">
        <is>
          <t>yes</t>
        </is>
      </c>
      <c r="G155" s="12" t="inlineStr">
        <is>
          <t>pass</t>
        </is>
      </c>
      <c r="H155" s="22" t="inlineStr">
        <is>
          <t>covered</t>
        </is>
      </c>
      <c r="I155" s="13" t="inlineStr">
        <is>
          <t>Dropdown Menu keyboard open batch; manually verified.</t>
        </is>
      </c>
      <c r="J155" s="13" t="inlineStr">
        <is>
          <t>Complete.</t>
        </is>
      </c>
      <c r="K155" s="14">
        <f>IF(AND(E155="yes",F155="yes",H155="covered"),1,IF(H155="partial",0.5,0))</f>
        <v/>
      </c>
    </row>
    <row r="156" ht="32" customHeight="1" s="24">
      <c r="A156" s="12" t="n">
        <v>148</v>
      </c>
      <c r="B156" s="13" t="inlineStr">
        <is>
          <t>Keyboard</t>
        </is>
      </c>
      <c r="C156" s="13" t="inlineStr">
        <is>
          <t>Navigation</t>
        </is>
      </c>
      <c r="D156" s="13" t="inlineStr">
        <is>
          <t>ArrowUp opens from trigger and highlights last enabled item</t>
        </is>
      </c>
      <c r="E156" s="18" t="inlineStr">
        <is>
          <t>yes</t>
        </is>
      </c>
      <c r="F156" s="18" t="inlineStr">
        <is>
          <t>yes</t>
        </is>
      </c>
      <c r="G156" s="12" t="inlineStr">
        <is>
          <t>pass</t>
        </is>
      </c>
      <c r="H156" s="22" t="inlineStr">
        <is>
          <t>covered</t>
        </is>
      </c>
      <c r="I156" s="13" t="inlineStr">
        <is>
          <t>Dropdown Menu keyboard open batch; manually verified.</t>
        </is>
      </c>
      <c r="J156" s="13" t="inlineStr">
        <is>
          <t>Complete.</t>
        </is>
      </c>
      <c r="K156" s="14">
        <f>IF(AND(E156="yes",F156="yes",H156="covered"),1,IF(H156="partial",0.5,0))</f>
        <v/>
      </c>
    </row>
    <row r="157" ht="32" customHeight="1" s="24">
      <c r="A157" s="12" t="n">
        <v>149</v>
      </c>
      <c r="B157" s="13" t="inlineStr">
        <is>
          <t>Keyboard</t>
        </is>
      </c>
      <c r="C157" s="13" t="inlineStr">
        <is>
          <t>Navigation</t>
        </is>
      </c>
      <c r="D157" s="13" t="inlineStr">
        <is>
          <t>Enter opens from trigger and highlights first enabled item</t>
        </is>
      </c>
      <c r="E157" s="18" t="inlineStr">
        <is>
          <t>yes</t>
        </is>
      </c>
      <c r="F157" s="18" t="inlineStr">
        <is>
          <t>yes</t>
        </is>
      </c>
      <c r="G157" s="12" t="inlineStr">
        <is>
          <t>pass</t>
        </is>
      </c>
      <c r="H157" s="22" t="inlineStr">
        <is>
          <t>covered</t>
        </is>
      </c>
      <c r="I157" s="13" t="inlineStr">
        <is>
          <t>Dropdown Menu keyboard navigation batch; manually verified.</t>
        </is>
      </c>
      <c r="J157" s="13" t="inlineStr">
        <is>
          <t>Complete.</t>
        </is>
      </c>
      <c r="K157" s="14">
        <f>IF(AND(E157="yes",F157="yes",H157="covered"),1,IF(H157="partial",0.5,0))</f>
        <v/>
      </c>
    </row>
    <row r="158" ht="32" customHeight="1" s="24">
      <c r="A158" s="12" t="n">
        <v>150</v>
      </c>
      <c r="B158" s="13" t="inlineStr">
        <is>
          <t>Keyboard</t>
        </is>
      </c>
      <c r="C158" s="13" t="inlineStr">
        <is>
          <t>Navigation</t>
        </is>
      </c>
      <c r="D158" s="13" t="inlineStr">
        <is>
          <t>Space opens from trigger and highlights first enabled item</t>
        </is>
      </c>
      <c r="E158" s="18" t="inlineStr">
        <is>
          <t>yes</t>
        </is>
      </c>
      <c r="F158" s="18" t="inlineStr">
        <is>
          <t>yes</t>
        </is>
      </c>
      <c r="G158" s="12" t="inlineStr">
        <is>
          <t>pass</t>
        </is>
      </c>
      <c r="H158" s="22" t="inlineStr">
        <is>
          <t>covered</t>
        </is>
      </c>
      <c r="I158" s="13" t="inlineStr">
        <is>
          <t>Dropdown Menu keyboard navigation batch; manually verified.</t>
        </is>
      </c>
      <c r="J158" s="13" t="inlineStr">
        <is>
          <t>Complete.</t>
        </is>
      </c>
      <c r="K158" s="14">
        <f>IF(AND(E158="yes",F158="yes",H158="covered"),1,IF(H158="partial",0.5,0))</f>
        <v/>
      </c>
    </row>
    <row r="159" ht="32" customHeight="1" s="24">
      <c r="A159" s="12" t="n">
        <v>151</v>
      </c>
      <c r="B159" s="13" t="inlineStr">
        <is>
          <t>Keyboard</t>
        </is>
      </c>
      <c r="C159" s="13" t="inlineStr">
        <is>
          <t>Navigation</t>
        </is>
      </c>
      <c r="D159" s="13" t="inlineStr">
        <is>
          <t>ArrowDown moves to next enabled item</t>
        </is>
      </c>
      <c r="E159" s="18" t="inlineStr">
        <is>
          <t>yes</t>
        </is>
      </c>
      <c r="F159" s="18" t="inlineStr">
        <is>
          <t>yes</t>
        </is>
      </c>
      <c r="G159" s="12" t="inlineStr">
        <is>
          <t>pass</t>
        </is>
      </c>
      <c r="H159" s="22" t="inlineStr">
        <is>
          <t>covered</t>
        </is>
      </c>
      <c r="I159" s="13" t="inlineStr">
        <is>
          <t>Dropdown Menu keyboard navigation batch; manually verified.</t>
        </is>
      </c>
      <c r="J159" s="13" t="inlineStr">
        <is>
          <t>Complete.</t>
        </is>
      </c>
      <c r="K159" s="14">
        <f>IF(AND(E159="yes",F159="yes",H159="covered"),1,IF(H159="partial",0.5,0))</f>
        <v/>
      </c>
    </row>
    <row r="160" ht="32" customHeight="1" s="24">
      <c r="A160" s="12" t="n">
        <v>152</v>
      </c>
      <c r="B160" s="13" t="inlineStr">
        <is>
          <t>Keyboard</t>
        </is>
      </c>
      <c r="C160" s="13" t="inlineStr">
        <is>
          <t>Navigation</t>
        </is>
      </c>
      <c r="D160" s="13" t="inlineStr">
        <is>
          <t>ArrowUp moves to previous enabled item</t>
        </is>
      </c>
      <c r="E160" s="18" t="inlineStr">
        <is>
          <t>yes</t>
        </is>
      </c>
      <c r="F160" s="18" t="inlineStr">
        <is>
          <t>yes</t>
        </is>
      </c>
      <c r="G160" s="12" t="inlineStr">
        <is>
          <t>pass</t>
        </is>
      </c>
      <c r="H160" s="22" t="inlineStr">
        <is>
          <t>covered</t>
        </is>
      </c>
      <c r="I160" s="13" t="inlineStr">
        <is>
          <t>Dropdown Menu keyboard navigation batch; manually verified.</t>
        </is>
      </c>
      <c r="J160" s="13" t="inlineStr">
        <is>
          <t>Complete.</t>
        </is>
      </c>
      <c r="K160" s="14">
        <f>IF(AND(E160="yes",F160="yes",H160="covered"),1,IF(H160="partial",0.5,0))</f>
        <v/>
      </c>
    </row>
    <row r="161" ht="32" customHeight="1" s="24">
      <c r="A161" s="12" t="n">
        <v>153</v>
      </c>
      <c r="B161" s="13" t="inlineStr">
        <is>
          <t>Keyboard</t>
        </is>
      </c>
      <c r="C161" s="13" t="inlineStr">
        <is>
          <t>Navigation</t>
        </is>
      </c>
      <c r="D161" s="13" t="inlineStr">
        <is>
          <t>Home highlights first enabled item</t>
        </is>
      </c>
      <c r="E161" s="18" t="inlineStr">
        <is>
          <t>yes</t>
        </is>
      </c>
      <c r="F161" s="18" t="inlineStr">
        <is>
          <t>yes</t>
        </is>
      </c>
      <c r="G161" s="12" t="inlineStr">
        <is>
          <t>pass</t>
        </is>
      </c>
      <c r="H161" s="22" t="inlineStr">
        <is>
          <t>covered</t>
        </is>
      </c>
      <c r="I161" s="13" t="inlineStr">
        <is>
          <t>Dropdown Menu keyboard navigation batch; manually verified.</t>
        </is>
      </c>
      <c r="J161" s="13" t="inlineStr">
        <is>
          <t>Complete.</t>
        </is>
      </c>
      <c r="K161" s="14">
        <f>IF(AND(E161="yes",F161="yes",H161="covered"),1,IF(H161="partial",0.5,0))</f>
        <v/>
      </c>
    </row>
    <row r="162" ht="32" customHeight="1" s="24">
      <c r="A162" s="12" t="n">
        <v>154</v>
      </c>
      <c r="B162" s="13" t="inlineStr">
        <is>
          <t>Keyboard</t>
        </is>
      </c>
      <c r="C162" s="13" t="inlineStr">
        <is>
          <t>Navigation</t>
        </is>
      </c>
      <c r="D162" s="13" t="inlineStr">
        <is>
          <t>End highlights last enabled item</t>
        </is>
      </c>
      <c r="E162" s="18" t="inlineStr">
        <is>
          <t>yes</t>
        </is>
      </c>
      <c r="F162" s="18" t="inlineStr">
        <is>
          <t>yes</t>
        </is>
      </c>
      <c r="G162" s="12" t="inlineStr">
        <is>
          <t>pass</t>
        </is>
      </c>
      <c r="H162" s="22" t="inlineStr">
        <is>
          <t>covered</t>
        </is>
      </c>
      <c r="I162" s="13" t="inlineStr">
        <is>
          <t>Dropdown Menu keyboard navigation batch; manually verified.</t>
        </is>
      </c>
      <c r="J162" s="13" t="inlineStr">
        <is>
          <t>Complete.</t>
        </is>
      </c>
      <c r="K162" s="14">
        <f>IF(AND(E162="yes",F162="yes",H162="covered"),1,IF(H162="partial",0.5,0))</f>
        <v/>
      </c>
    </row>
    <row r="163" ht="32" customHeight="1" s="24">
      <c r="A163" s="12" t="n">
        <v>155</v>
      </c>
      <c r="B163" s="13" t="inlineStr">
        <is>
          <t>Keyboard</t>
        </is>
      </c>
      <c r="C163" s="13" t="inlineStr">
        <is>
          <t>Navigation</t>
        </is>
      </c>
      <c r="D163" s="13" t="inlineStr">
        <is>
          <t>loop forward wraps to first</t>
        </is>
      </c>
      <c r="E163" s="18" t="inlineStr">
        <is>
          <t>yes</t>
        </is>
      </c>
      <c r="F163" s="18" t="inlineStr">
        <is>
          <t>yes</t>
        </is>
      </c>
      <c r="G163" s="12" t="inlineStr">
        <is>
          <t>pass</t>
        </is>
      </c>
      <c r="H163" s="22" t="inlineStr">
        <is>
          <t>covered</t>
        </is>
      </c>
      <c r="I163" s="13" t="inlineStr">
        <is>
          <t>Dropdown Menu closeOnSelect and keyboard loop batch; manually verified.</t>
        </is>
      </c>
      <c r="J163" s="13" t="inlineStr">
        <is>
          <t>Complete.</t>
        </is>
      </c>
      <c r="K163" s="14">
        <f>IF(AND(E163="yes",F163="yes",H163="covered"),1,IF(H163="partial",0.5,0))</f>
        <v/>
      </c>
    </row>
    <row r="164" ht="32" customHeight="1" s="24">
      <c r="A164" s="12" t="n">
        <v>156</v>
      </c>
      <c r="B164" s="13" t="inlineStr">
        <is>
          <t>Keyboard</t>
        </is>
      </c>
      <c r="C164" s="13" t="inlineStr">
        <is>
          <t>Navigation</t>
        </is>
      </c>
      <c r="D164" s="13" t="inlineStr">
        <is>
          <t>loop backward wraps to last</t>
        </is>
      </c>
      <c r="E164" s="18" t="inlineStr">
        <is>
          <t>yes</t>
        </is>
      </c>
      <c r="F164" s="18" t="inlineStr">
        <is>
          <t>yes</t>
        </is>
      </c>
      <c r="G164" s="12" t="inlineStr">
        <is>
          <t>pass</t>
        </is>
      </c>
      <c r="H164" s="22" t="inlineStr">
        <is>
          <t>covered</t>
        </is>
      </c>
      <c r="I164" s="13" t="inlineStr">
        <is>
          <t>Dropdown Menu closeOnSelect and keyboard loop batch; manually verified.</t>
        </is>
      </c>
      <c r="J164" s="13" t="inlineStr">
        <is>
          <t>Complete.</t>
        </is>
      </c>
      <c r="K164" s="14">
        <f>IF(AND(E164="yes",F164="yes",H164="covered"),1,IF(H164="partial",0.5,0))</f>
        <v/>
      </c>
    </row>
    <row r="165" ht="32" customHeight="1" s="24">
      <c r="A165" s="12" t="n">
        <v>157</v>
      </c>
      <c r="B165" s="13" t="inlineStr">
        <is>
          <t>Keyboard</t>
        </is>
      </c>
      <c r="C165" s="13" t="inlineStr">
        <is>
          <t>Navigation</t>
        </is>
      </c>
      <c r="D165" s="13" t="inlineStr">
        <is>
          <t>disabled items are skipped by Arrow keys</t>
        </is>
      </c>
      <c r="E165" s="18" t="inlineStr">
        <is>
          <t>yes</t>
        </is>
      </c>
      <c r="F165" s="18" t="inlineStr">
        <is>
          <t>yes</t>
        </is>
      </c>
      <c r="G165" s="12" t="inlineStr">
        <is>
          <t>pass</t>
        </is>
      </c>
      <c r="H165" s="22" t="inlineStr">
        <is>
          <t>covered</t>
        </is>
      </c>
      <c r="I165" s="13" t="inlineStr">
        <is>
          <t>Dropdown Menu disabled item batch; manually verified.</t>
        </is>
      </c>
      <c r="J165" s="13" t="inlineStr">
        <is>
          <t>Complete.</t>
        </is>
      </c>
      <c r="K165" s="14">
        <f>IF(AND(E165="yes",F165="yes",H165="covered"),1,IF(H165="partial",0.5,0))</f>
        <v/>
      </c>
    </row>
    <row r="166" ht="32" customHeight="1" s="24">
      <c r="A166" s="12" t="n">
        <v>158</v>
      </c>
      <c r="B166" s="13" t="inlineStr">
        <is>
          <t>Keyboard</t>
        </is>
      </c>
      <c r="C166" s="13" t="inlineStr">
        <is>
          <t>Navigation</t>
        </is>
      </c>
      <c r="D166" s="13" t="inlineStr">
        <is>
          <t>separator is skipped by Arrow keys</t>
        </is>
      </c>
      <c r="E166" s="18" t="inlineStr">
        <is>
          <t>yes</t>
        </is>
      </c>
      <c r="F166" s="18" t="inlineStr">
        <is>
          <t>yes</t>
        </is>
      </c>
      <c r="G166" s="12" t="inlineStr">
        <is>
          <t>pass</t>
        </is>
      </c>
      <c r="H166" s="22" t="inlineStr">
        <is>
          <t>covered</t>
        </is>
      </c>
      <c r="I166" s="13" t="inlineStr">
        <is>
          <t>Dropdown Menu keyboard navigation batch; manually verified.</t>
        </is>
      </c>
      <c r="J166" s="13" t="inlineStr">
        <is>
          <t>Complete.</t>
        </is>
      </c>
      <c r="K166" s="14">
        <f>IF(AND(E166="yes",F166="yes",H166="covered"),1,IF(H166="partial",0.5,0))</f>
        <v/>
      </c>
    </row>
    <row r="167" ht="32" customHeight="1" s="24">
      <c r="A167" s="12" t="n">
        <v>159</v>
      </c>
      <c r="B167" s="13" t="inlineStr">
        <is>
          <t>Keyboard</t>
        </is>
      </c>
      <c r="C167" s="13" t="inlineStr">
        <is>
          <t>Navigation</t>
        </is>
      </c>
      <c r="D167" s="13" t="inlineStr">
        <is>
          <t>Enter activates highlighted item</t>
        </is>
      </c>
      <c r="E167" s="18" t="inlineStr">
        <is>
          <t>yes</t>
        </is>
      </c>
      <c r="F167" s="18" t="inlineStr">
        <is>
          <t>yes</t>
        </is>
      </c>
      <c r="G167" s="12" t="inlineStr">
        <is>
          <t>pass</t>
        </is>
      </c>
      <c r="H167" s="22" t="inlineStr">
        <is>
          <t>covered</t>
        </is>
      </c>
      <c r="I167" s="13" t="inlineStr">
        <is>
          <t>Dropdown Menu keyboard navigation batch; manually verified.</t>
        </is>
      </c>
      <c r="J167" s="13" t="inlineStr">
        <is>
          <t>Complete.</t>
        </is>
      </c>
      <c r="K167" s="14">
        <f>IF(AND(E167="yes",F167="yes",H167="covered"),1,IF(H167="partial",0.5,0))</f>
        <v/>
      </c>
    </row>
    <row r="168" ht="32" customHeight="1" s="24">
      <c r="A168" s="12" t="n">
        <v>160</v>
      </c>
      <c r="B168" s="13" t="inlineStr">
        <is>
          <t>Keyboard</t>
        </is>
      </c>
      <c r="C168" s="13" t="inlineStr">
        <is>
          <t>Navigation</t>
        </is>
      </c>
      <c r="D168" s="13" t="inlineStr">
        <is>
          <t>Space activates highlighted item</t>
        </is>
      </c>
      <c r="E168" s="18" t="inlineStr">
        <is>
          <t>yes</t>
        </is>
      </c>
      <c r="F168" s="18" t="inlineStr">
        <is>
          <t>yes</t>
        </is>
      </c>
      <c r="G168" s="12" t="inlineStr">
        <is>
          <t>pass</t>
        </is>
      </c>
      <c r="H168" s="22" t="inlineStr">
        <is>
          <t>covered</t>
        </is>
      </c>
      <c r="I168" s="13" t="inlineStr">
        <is>
          <t>Dropdown Menu keyboard navigation batch; manually verified.</t>
        </is>
      </c>
      <c r="J168" s="13" t="inlineStr">
        <is>
          <t>Complete.</t>
        </is>
      </c>
      <c r="K168" s="14">
        <f>IF(AND(E168="yes",F168="yes",H168="covered"),1,IF(H168="partial",0.5,0))</f>
        <v/>
      </c>
    </row>
    <row r="169" ht="32" customHeight="1" s="24">
      <c r="A169" s="12" t="n">
        <v>161</v>
      </c>
      <c r="B169" s="13" t="inlineStr">
        <is>
          <t>Keyboard</t>
        </is>
      </c>
      <c r="C169" s="13" t="inlineStr">
        <is>
          <t>Navigation</t>
        </is>
      </c>
      <c r="D169" s="13" t="inlineStr">
        <is>
          <t>typeahead highlights matching item</t>
        </is>
      </c>
      <c r="E169" s="18" t="inlineStr">
        <is>
          <t>yes</t>
        </is>
      </c>
      <c r="F169" s="18" t="inlineStr">
        <is>
          <t>yes</t>
        </is>
      </c>
      <c r="G169" s="12" t="inlineStr">
        <is>
          <t>pass</t>
        </is>
      </c>
      <c r="H169" s="22" t="inlineStr">
        <is>
          <t>covered</t>
        </is>
      </c>
      <c r="I169" s="13" t="inlineStr">
        <is>
          <t>Dropdown Menu typeahead batch; manually verified.</t>
        </is>
      </c>
      <c r="J169" s="13" t="inlineStr">
        <is>
          <t>Complete.</t>
        </is>
      </c>
      <c r="K169" s="14">
        <f>IF(AND(E169="yes",F169="yes",H169="covered"),1,IF(H169="partial",0.5,0))</f>
        <v/>
      </c>
    </row>
    <row r="170" ht="32" customHeight="1" s="24">
      <c r="A170" s="12" t="n">
        <v>162</v>
      </c>
      <c r="B170" s="13" t="inlineStr">
        <is>
          <t>Keyboard</t>
        </is>
      </c>
      <c r="C170" s="13" t="inlineStr">
        <is>
          <t>Navigation</t>
        </is>
      </c>
      <c r="D170" s="13" t="inlineStr">
        <is>
          <t>typeahead uses explicit textValue</t>
        </is>
      </c>
      <c r="E170" s="18" t="inlineStr">
        <is>
          <t>yes</t>
        </is>
      </c>
      <c r="F170" s="18" t="inlineStr">
        <is>
          <t>yes</t>
        </is>
      </c>
      <c r="G170" s="12" t="inlineStr">
        <is>
          <t>pass</t>
        </is>
      </c>
      <c r="H170" s="22" t="inlineStr">
        <is>
          <t>covered</t>
        </is>
      </c>
      <c r="I170" s="13" t="inlineStr">
        <is>
          <t>Dropdown Menu typeahead batch; manually verified.</t>
        </is>
      </c>
      <c r="J170" s="13" t="inlineStr">
        <is>
          <t>Complete.</t>
        </is>
      </c>
      <c r="K170" s="14">
        <f>IF(AND(E170="yes",F170="yes",H170="covered"),1,IF(H170="partial",0.5,0))</f>
        <v/>
      </c>
    </row>
    <row r="171" ht="32" customHeight="1" s="24">
      <c r="A171" s="12" t="n">
        <v>163</v>
      </c>
      <c r="B171" s="13" t="inlineStr">
        <is>
          <t>Keyboard</t>
        </is>
      </c>
      <c r="C171" s="13" t="inlineStr">
        <is>
          <t>Navigation</t>
        </is>
      </c>
      <c r="D171" s="13" t="inlineStr">
        <is>
          <t>typeahead buffer resets after delay</t>
        </is>
      </c>
      <c r="E171" s="18" t="inlineStr">
        <is>
          <t>yes</t>
        </is>
      </c>
      <c r="F171" s="18" t="inlineStr">
        <is>
          <t>yes</t>
        </is>
      </c>
      <c r="G171" s="12" t="inlineStr">
        <is>
          <t>pass</t>
        </is>
      </c>
      <c r="H171" s="22" t="inlineStr">
        <is>
          <t>covered</t>
        </is>
      </c>
      <c r="I171" s="13" t="inlineStr">
        <is>
          <t>Dropdown Menu typeahead batch; manually verified.</t>
        </is>
      </c>
      <c r="J171" s="13" t="inlineStr">
        <is>
          <t>Complete.</t>
        </is>
      </c>
      <c r="K171" s="14">
        <f>IF(AND(E171="yes",F171="yes",H171="covered"),1,IF(H171="partial",0.5,0))</f>
        <v/>
      </c>
    </row>
    <row r="172" ht="32" customHeight="1" s="24">
      <c r="A172" s="12" t="n">
        <v>164</v>
      </c>
      <c r="B172" s="13" t="inlineStr">
        <is>
          <t>Keyboard</t>
        </is>
      </c>
      <c r="C172" s="13" t="inlineStr">
        <is>
          <t>Navigation</t>
        </is>
      </c>
      <c r="D172" s="13" t="inlineStr">
        <is>
          <t>submenu has independent highlight state</t>
        </is>
      </c>
      <c r="E172" s="18" t="inlineStr">
        <is>
          <t>yes</t>
        </is>
      </c>
      <c r="F172" s="18" t="inlineStr">
        <is>
          <t>yes</t>
        </is>
      </c>
      <c r="G172" s="12" t="inlineStr">
        <is>
          <t>pass</t>
        </is>
      </c>
      <c r="H172" s="22" t="inlineStr">
        <is>
          <t>covered</t>
        </is>
      </c>
      <c r="I172" s="13" t="inlineStr">
        <is>
          <t>Dropdown Menu submenu basics batch; manually verified.</t>
        </is>
      </c>
      <c r="J172" s="13" t="inlineStr">
        <is>
          <t>Complete.</t>
        </is>
      </c>
      <c r="K172" s="14">
        <f>IF(AND(E172="yes",F172="yes",H172="covered"),1,IF(H172="partial",0.5,0))</f>
        <v/>
      </c>
    </row>
    <row r="173" ht="32" customHeight="1" s="24">
      <c r="A173" s="12" t="n">
        <v>165</v>
      </c>
      <c r="B173" s="13" t="inlineStr">
        <is>
          <t>Keyboard</t>
        </is>
      </c>
      <c r="C173" s="13" t="inlineStr">
        <is>
          <t>Navigation</t>
        </is>
      </c>
      <c r="D173" s="13" t="inlineStr">
        <is>
          <t>ArrowLeft closes submenu</t>
        </is>
      </c>
      <c r="E173" s="18" t="inlineStr">
        <is>
          <t>yes</t>
        </is>
      </c>
      <c r="F173" s="18" t="inlineStr">
        <is>
          <t>yes</t>
        </is>
      </c>
      <c r="G173" s="12" t="inlineStr">
        <is>
          <t>pass</t>
        </is>
      </c>
      <c r="H173" s="22" t="inlineStr">
        <is>
          <t>covered</t>
        </is>
      </c>
      <c r="I173" s="13" t="inlineStr">
        <is>
          <t>Dropdown Menu submenu basics batch; manually verified.</t>
        </is>
      </c>
      <c r="J173" s="13" t="inlineStr">
        <is>
          <t>Complete.</t>
        </is>
      </c>
      <c r="K173" s="14">
        <f>IF(AND(E173="yes",F173="yes",H173="covered"),1,IF(H173="partial",0.5,0))</f>
        <v/>
      </c>
    </row>
    <row r="174" ht="32" customHeight="1" s="24">
      <c r="A174" s="12" t="n">
        <v>166</v>
      </c>
      <c r="B174" s="13" t="inlineStr">
        <is>
          <t>Keyboard</t>
        </is>
      </c>
      <c r="C174" s="13" t="inlineStr">
        <is>
          <t>Navigation</t>
        </is>
      </c>
      <c r="D174" s="13" t="inlineStr">
        <is>
          <t>ArrowRight opens nested submenu from submenu</t>
        </is>
      </c>
      <c r="E174" s="18" t="inlineStr">
        <is>
          <t>yes</t>
        </is>
      </c>
      <c r="F174" s="18" t="inlineStr">
        <is>
          <t>yes</t>
        </is>
      </c>
      <c r="G174" s="12" t="inlineStr">
        <is>
          <t>pass</t>
        </is>
      </c>
      <c r="H174" s="22" t="inlineStr">
        <is>
          <t>covered</t>
        </is>
      </c>
      <c r="I174" s="13" t="inlineStr">
        <is>
          <t>DropdownMenu playground scenario.</t>
        </is>
      </c>
      <c r="J174" s="13" t="inlineStr">
        <is>
          <t>Complete.</t>
        </is>
      </c>
      <c r="K174" s="14">
        <f>IF(AND(E174="yes",F174="yes",H174="covered"),1,IF(H174="partial",0.5,0))</f>
        <v/>
      </c>
    </row>
    <row r="175" ht="32" customHeight="1" s="24">
      <c r="A175" s="12" t="n">
        <v>167</v>
      </c>
      <c r="B175" s="13" t="inlineStr">
        <is>
          <t>Pointer</t>
        </is>
      </c>
      <c r="C175" s="13" t="inlineStr">
        <is>
          <t>Highlight</t>
        </is>
      </c>
      <c r="D175" s="13" t="inlineStr">
        <is>
          <t>pointer enter highlights item</t>
        </is>
      </c>
      <c r="E175" s="18" t="inlineStr">
        <is>
          <t>yes</t>
        </is>
      </c>
      <c r="F175" s="18" t="inlineStr">
        <is>
          <t>yes</t>
        </is>
      </c>
      <c r="G175" s="12" t="inlineStr">
        <is>
          <t>pass</t>
        </is>
      </c>
      <c r="H175" s="22" t="inlineStr">
        <is>
          <t>covered</t>
        </is>
      </c>
      <c r="I175" s="13" t="inlineStr">
        <is>
          <t>Dropdown Menu pointer highlight batch; manually verified.</t>
        </is>
      </c>
      <c r="J175" s="13" t="inlineStr">
        <is>
          <t>Complete.</t>
        </is>
      </c>
      <c r="K175" s="14">
        <f>IF(AND(E175="yes",F175="yes",H175="covered"),1,IF(H175="partial",0.5,0))</f>
        <v/>
      </c>
    </row>
    <row r="176" ht="32" customHeight="1" s="24">
      <c r="A176" s="12" t="n">
        <v>168</v>
      </c>
      <c r="B176" s="13" t="inlineStr">
        <is>
          <t>Pointer</t>
        </is>
      </c>
      <c r="C176" s="13" t="inlineStr">
        <is>
          <t>Highlight</t>
        </is>
      </c>
      <c r="D176" s="13" t="inlineStr">
        <is>
          <t>pointer leave clears highlight</t>
        </is>
      </c>
      <c r="E176" s="18" t="inlineStr">
        <is>
          <t>yes</t>
        </is>
      </c>
      <c r="F176" s="18" t="inlineStr">
        <is>
          <t>yes</t>
        </is>
      </c>
      <c r="G176" s="12" t="inlineStr">
        <is>
          <t>pass</t>
        </is>
      </c>
      <c r="H176" s="22" t="inlineStr">
        <is>
          <t>covered</t>
        </is>
      </c>
      <c r="I176" s="13" t="inlineStr">
        <is>
          <t>Dropdown Menu pointer highlight batch; manually verified.</t>
        </is>
      </c>
      <c r="J176" s="13" t="inlineStr">
        <is>
          <t>Complete.</t>
        </is>
      </c>
      <c r="K176" s="14">
        <f>IF(AND(E176="yes",F176="yes",H176="covered"),1,IF(H176="partial",0.5,0))</f>
        <v/>
      </c>
    </row>
    <row r="177" ht="32" customHeight="1" s="24">
      <c r="A177" s="12" t="n">
        <v>169</v>
      </c>
      <c r="B177" s="13" t="inlineStr">
        <is>
          <t>Pointer</t>
        </is>
      </c>
      <c r="C177" s="13" t="inlineStr">
        <is>
          <t>Highlight</t>
        </is>
      </c>
      <c r="D177" s="13" t="inlineStr">
        <is>
          <t>pointer-opened menu does not pre-highlight first item</t>
        </is>
      </c>
      <c r="E177" s="18" t="inlineStr">
        <is>
          <t>yes</t>
        </is>
      </c>
      <c r="F177" s="18" t="inlineStr">
        <is>
          <t>yes</t>
        </is>
      </c>
      <c r="G177" s="12" t="inlineStr">
        <is>
          <t>pass</t>
        </is>
      </c>
      <c r="H177" s="22" t="inlineStr">
        <is>
          <t>covered</t>
        </is>
      </c>
      <c r="I177" s="13" t="inlineStr">
        <is>
          <t>Dropdown Menu pointer-open no-initial-highlight behavior; manually verified after trigger fix.</t>
        </is>
      </c>
      <c r="J177" s="13" t="inlineStr">
        <is>
          <t>Complete.</t>
        </is>
      </c>
      <c r="K177" s="14">
        <f>IF(AND(E177="yes",F177="yes",H177="covered"),1,IF(H177="partial",0.5,0))</f>
        <v/>
      </c>
    </row>
    <row r="178" ht="32" customHeight="1" s="24">
      <c r="A178" s="12" t="n">
        <v>170</v>
      </c>
      <c r="B178" s="13" t="inlineStr">
        <is>
          <t>Pointer</t>
        </is>
      </c>
      <c r="C178" s="13" t="inlineStr">
        <is>
          <t>Highlight</t>
        </is>
      </c>
      <c r="D178" s="13" t="inlineStr">
        <is>
          <t>hovering group labels or gaps does not reset initial highlight</t>
        </is>
      </c>
      <c r="E178" s="18" t="inlineStr">
        <is>
          <t>yes</t>
        </is>
      </c>
      <c r="F178" s="18" t="inlineStr">
        <is>
          <t>yes</t>
        </is>
      </c>
      <c r="G178" s="12" t="inlineStr">
        <is>
          <t>pass</t>
        </is>
      </c>
      <c r="H178" s="22" t="inlineStr">
        <is>
          <t>covered</t>
        </is>
      </c>
      <c r="I178" s="13" t="inlineStr">
        <is>
          <t>Dropdown Menu pointer highlight batch; manually verified.</t>
        </is>
      </c>
      <c r="J178" s="13" t="inlineStr">
        <is>
          <t>Complete.</t>
        </is>
      </c>
      <c r="K178" s="14">
        <f>IF(AND(E178="yes",F178="yes",H178="covered"),1,IF(H178="partial",0.5,0))</f>
        <v/>
      </c>
    </row>
    <row r="179" ht="32" customHeight="1" s="24">
      <c r="A179" s="12" t="n">
        <v>171</v>
      </c>
      <c r="B179" s="13" t="inlineStr">
        <is>
          <t>Pointer</t>
        </is>
      </c>
      <c r="C179" s="13" t="inlineStr">
        <is>
          <t>Highlight</t>
        </is>
      </c>
      <c r="D179" s="13" t="inlineStr">
        <is>
          <t>hovering item closes previously open submenu</t>
        </is>
      </c>
      <c r="E179" s="18" t="inlineStr">
        <is>
          <t>yes</t>
        </is>
      </c>
      <c r="F179" s="18" t="inlineStr">
        <is>
          <t>yes</t>
        </is>
      </c>
      <c r="G179" s="12" t="inlineStr">
        <is>
          <t>pass</t>
        </is>
      </c>
      <c r="H179" s="22" t="inlineStr">
        <is>
          <t>covered</t>
        </is>
      </c>
      <c r="I179" s="13" t="inlineStr">
        <is>
          <t>Dropdown Menu pointer highlight batch; manually verified.</t>
        </is>
      </c>
      <c r="J179" s="13" t="inlineStr">
        <is>
          <t>Complete.</t>
        </is>
      </c>
      <c r="K179" s="14">
        <f>IF(AND(E179="yes",F179="yes",H179="covered"),1,IF(H179="partial",0.5,0))</f>
        <v/>
      </c>
    </row>
    <row r="180" ht="32" customHeight="1" s="24">
      <c r="A180" s="12" t="n">
        <v>172</v>
      </c>
      <c r="B180" s="13" t="inlineStr">
        <is>
          <t>Pointer</t>
        </is>
      </c>
      <c r="C180" s="13" t="inlineStr">
        <is>
          <t>Highlight</t>
        </is>
      </c>
      <c r="D180" s="13" t="inlineStr">
        <is>
          <t>disabled item hover does not highlight</t>
        </is>
      </c>
      <c r="E180" s="18" t="inlineStr">
        <is>
          <t>yes</t>
        </is>
      </c>
      <c r="F180" s="18" t="inlineStr">
        <is>
          <t>yes</t>
        </is>
      </c>
      <c r="G180" s="12" t="inlineStr">
        <is>
          <t>pass</t>
        </is>
      </c>
      <c r="H180" s="22" t="inlineStr">
        <is>
          <t>covered</t>
        </is>
      </c>
      <c r="I180" s="13" t="inlineStr">
        <is>
          <t>Dropdown Menu pointer highlight batch; manually verified.</t>
        </is>
      </c>
      <c r="J180" s="13" t="inlineStr">
        <is>
          <t>Complete.</t>
        </is>
      </c>
      <c r="K180" s="14">
        <f>IF(AND(E180="yes",F180="yes",H180="covered"),1,IF(H180="partial",0.5,0))</f>
        <v/>
      </c>
    </row>
    <row r="181" ht="32" customHeight="1" s="24">
      <c r="A181" s="12" t="n">
        <v>173</v>
      </c>
      <c r="B181" s="13" t="inlineStr">
        <is>
          <t>Accessibility</t>
        </is>
      </c>
      <c r="C181" s="13" t="inlineStr">
        <is>
          <t>Relationships</t>
        </is>
      </c>
      <c r="D181" s="13" t="inlineStr">
        <is>
          <t>trigger has accessible text</t>
        </is>
      </c>
      <c r="E181" s="18" t="inlineStr">
        <is>
          <t>yes</t>
        </is>
      </c>
      <c r="F181" s="18" t="inlineStr">
        <is>
          <t>yes</t>
        </is>
      </c>
      <c r="G181" s="12" t="inlineStr">
        <is>
          <t>pass</t>
        </is>
      </c>
      <c r="H181" s="22" t="inlineStr">
        <is>
          <t>covered</t>
        </is>
      </c>
      <c r="I181" s="13" t="inlineStr">
        <is>
          <t>DropdownMenu playground scenario.</t>
        </is>
      </c>
      <c r="J181" s="13" t="inlineStr">
        <is>
          <t>Complete.</t>
        </is>
      </c>
      <c r="K181" s="14">
        <f>IF(AND(E181="yes",F181="yes",H181="covered"),1,IF(H181="partial",0.5,0))</f>
        <v/>
      </c>
    </row>
    <row r="182" ht="32" customHeight="1" s="24">
      <c r="A182" s="12" t="n">
        <v>174</v>
      </c>
      <c r="B182" s="13" t="inlineStr">
        <is>
          <t>Accessibility</t>
        </is>
      </c>
      <c r="C182" s="13" t="inlineStr">
        <is>
          <t>Relationships</t>
        </is>
      </c>
      <c r="D182" s="13" t="inlineStr">
        <is>
          <t>trigger controls content by id</t>
        </is>
      </c>
      <c r="E182" s="18" t="inlineStr">
        <is>
          <t>yes</t>
        </is>
      </c>
      <c r="F182" s="18" t="inlineStr">
        <is>
          <t>yes</t>
        </is>
      </c>
      <c r="G182" s="12" t="inlineStr">
        <is>
          <t>pass</t>
        </is>
      </c>
      <c r="H182" s="22" t="inlineStr">
        <is>
          <t>covered</t>
        </is>
      </c>
      <c r="I182" s="13" t="inlineStr">
        <is>
          <t>Dropdown Menu content/subcontent relationship and portal batch; manually verified.</t>
        </is>
      </c>
      <c r="J182" s="13" t="inlineStr">
        <is>
          <t>Complete.</t>
        </is>
      </c>
      <c r="K182" s="14">
        <f>IF(AND(E182="yes",F182="yes",H182="covered"),1,IF(H182="partial",0.5,0))</f>
        <v/>
      </c>
    </row>
    <row r="183" ht="32" customHeight="1" s="24">
      <c r="A183" s="12" t="n">
        <v>175</v>
      </c>
      <c r="B183" s="13" t="inlineStr">
        <is>
          <t>Accessibility</t>
        </is>
      </c>
      <c r="C183" s="13" t="inlineStr">
        <is>
          <t>Relationships</t>
        </is>
      </c>
      <c r="D183" s="13" t="inlineStr">
        <is>
          <t>content has accessible name</t>
        </is>
      </c>
      <c r="E183" s="18" t="inlineStr">
        <is>
          <t>yes</t>
        </is>
      </c>
      <c r="F183" s="18" t="inlineStr">
        <is>
          <t>yes</t>
        </is>
      </c>
      <c r="G183" s="12" t="inlineStr">
        <is>
          <t>pass</t>
        </is>
      </c>
      <c r="H183" s="22" t="inlineStr">
        <is>
          <t>covered</t>
        </is>
      </c>
      <c r="I183" s="13" t="inlineStr">
        <is>
          <t>Dropdown Menu content and popup positioning batch; manually verified.</t>
        </is>
      </c>
      <c r="J183" s="13" t="inlineStr">
        <is>
          <t>Complete.</t>
        </is>
      </c>
      <c r="K183" s="14">
        <f>IF(AND(E183="yes",F183="yes",H183="covered"),1,IF(H183="partial",0.5,0))</f>
        <v/>
      </c>
    </row>
    <row r="184" ht="32" customHeight="1" s="24">
      <c r="A184" s="12" t="n">
        <v>176</v>
      </c>
      <c r="B184" s="13" t="inlineStr">
        <is>
          <t>Accessibility</t>
        </is>
      </c>
      <c r="C184" s="13" t="inlineStr">
        <is>
          <t>Relationships</t>
        </is>
      </c>
      <c r="D184" s="13" t="inlineStr">
        <is>
          <t>content references trigger when unnamed</t>
        </is>
      </c>
      <c r="E184" s="18" t="inlineStr">
        <is>
          <t>yes</t>
        </is>
      </c>
      <c r="F184" s="18" t="inlineStr">
        <is>
          <t>yes</t>
        </is>
      </c>
      <c r="G184" s="12" t="inlineStr">
        <is>
          <t>pass</t>
        </is>
      </c>
      <c r="H184" s="22" t="inlineStr">
        <is>
          <t>covered</t>
        </is>
      </c>
      <c r="I184" s="13" t="inlineStr">
        <is>
          <t>Dropdown Menu content and popup positioning batch; manually verified.</t>
        </is>
      </c>
      <c r="J184" s="13" t="inlineStr">
        <is>
          <t>Complete.</t>
        </is>
      </c>
      <c r="K184" s="14">
        <f>IF(AND(E184="yes",F184="yes",H184="covered"),1,IF(H184="partial",0.5,0))</f>
        <v/>
      </c>
    </row>
    <row r="185" ht="32" customHeight="1" s="24">
      <c r="A185" s="12" t="n">
        <v>177</v>
      </c>
      <c r="B185" s="13" t="inlineStr">
        <is>
          <t>Accessibility</t>
        </is>
      </c>
      <c r="C185" s="13" t="inlineStr">
        <is>
          <t>Relationships</t>
        </is>
      </c>
      <c r="D185" s="13" t="inlineStr">
        <is>
          <t>sub content references sub trigger when unnamed</t>
        </is>
      </c>
      <c r="E185" s="18" t="inlineStr">
        <is>
          <t>yes</t>
        </is>
      </c>
      <c r="F185" s="18" t="inlineStr">
        <is>
          <t>yes</t>
        </is>
      </c>
      <c r="G185" s="12" t="inlineStr">
        <is>
          <t>pass</t>
        </is>
      </c>
      <c r="H185" s="22" t="inlineStr">
        <is>
          <t>covered</t>
        </is>
      </c>
      <c r="I185" s="13" t="inlineStr">
        <is>
          <t>Dropdown Menu content/subcontent relationship and portal batch; manually verified.</t>
        </is>
      </c>
      <c r="J185" s="13" t="inlineStr">
        <is>
          <t>Complete.</t>
        </is>
      </c>
      <c r="K185" s="14">
        <f>IF(AND(E185="yes",F185="yes",H185="covered"),1,IF(H185="partial",0.5,0))</f>
        <v/>
      </c>
    </row>
    <row r="186" ht="32" customHeight="1" s="24">
      <c r="A186" s="12" t="n">
        <v>178</v>
      </c>
      <c r="B186" s="13" t="inlineStr">
        <is>
          <t>Accessibility</t>
        </is>
      </c>
      <c r="C186" s="13" t="inlineStr">
        <is>
          <t>Relationships</t>
        </is>
      </c>
      <c r="D186" s="13" t="inlineStr">
        <is>
          <t>checked states are exposed through aria-checked</t>
        </is>
      </c>
      <c r="E186" s="18" t="inlineStr">
        <is>
          <t>yes</t>
        </is>
      </c>
      <c r="F186" s="18" t="inlineStr">
        <is>
          <t>yes</t>
        </is>
      </c>
      <c r="G186" s="12" t="inlineStr">
        <is>
          <t>pass</t>
        </is>
      </c>
      <c r="H186" s="22" t="inlineStr">
        <is>
          <t>covered</t>
        </is>
      </c>
      <c r="I186" s="13" t="inlineStr">
        <is>
          <t>DropdownMenu playground scenario.</t>
        </is>
      </c>
      <c r="J186" s="13" t="inlineStr">
        <is>
          <t>Complete.</t>
        </is>
      </c>
      <c r="K186" s="14">
        <f>IF(AND(E186="yes",F186="yes",H186="covered"),1,IF(H186="partial",0.5,0))</f>
        <v/>
      </c>
    </row>
    <row r="187" ht="32" customHeight="1" s="24">
      <c r="A187" s="12" t="n">
        <v>179</v>
      </c>
      <c r="B187" s="13" t="inlineStr">
        <is>
          <t>Accessibility</t>
        </is>
      </c>
      <c r="C187" s="13" t="inlineStr">
        <is>
          <t>Relationships</t>
        </is>
      </c>
      <c r="D187" s="13" t="inlineStr">
        <is>
          <t>disabled states are exposed through aria-disabled</t>
        </is>
      </c>
      <c r="E187" s="18" t="inlineStr">
        <is>
          <t>yes</t>
        </is>
      </c>
      <c r="F187" s="18" t="inlineStr">
        <is>
          <t>yes</t>
        </is>
      </c>
      <c r="G187" s="12" t="inlineStr">
        <is>
          <t>pass</t>
        </is>
      </c>
      <c r="H187" s="22" t="inlineStr">
        <is>
          <t>covered</t>
        </is>
      </c>
      <c r="I187" s="13" t="inlineStr">
        <is>
          <t>Dropdown Menu disabled item batch; manually verified.</t>
        </is>
      </c>
      <c r="J187" s="13" t="inlineStr">
        <is>
          <t>Complete.</t>
        </is>
      </c>
      <c r="K187" s="14">
        <f>IF(AND(E187="yes",F187="yes",H187="covered"),1,IF(H187="partial",0.5,0))</f>
        <v/>
      </c>
    </row>
    <row r="188" ht="32" customHeight="1" s="24">
      <c r="A188" s="12" t="n">
        <v>180</v>
      </c>
      <c r="B188" s="13" t="inlineStr">
        <is>
          <t>Accessibility</t>
        </is>
      </c>
      <c r="C188" s="13" t="inlineStr">
        <is>
          <t>Relationships</t>
        </is>
      </c>
      <c r="D188" s="13" t="inlineStr">
        <is>
          <t>focus stays inside modal parent when opened inside Dialog</t>
        </is>
      </c>
      <c r="E188" s="18" t="inlineStr">
        <is>
          <t>yes</t>
        </is>
      </c>
      <c r="F188" s="18" t="inlineStr">
        <is>
          <t>yes</t>
        </is>
      </c>
      <c r="G188" s="12" t="inlineStr">
        <is>
          <t>pass</t>
        </is>
      </c>
      <c r="H188" s="22" t="inlineStr">
        <is>
          <t>covered</t>
        </is>
      </c>
      <c r="I188" s="13" t="inlineStr">
        <is>
          <t>Dropdown Menu uncontrolled defaultOpen and inside Dialog focus batch; manually verified.</t>
        </is>
      </c>
      <c r="J188" s="13" t="inlineStr">
        <is>
          <t>Complete.</t>
        </is>
      </c>
      <c r="K188" s="14">
        <f>IF(AND(E188="yes",F188="yes",H188="covered"),1,IF(H188="partial",0.5,0))</f>
        <v/>
      </c>
    </row>
    <row r="189" ht="32" customHeight="1" s="24">
      <c r="A189" s="12" t="n">
        <v>181</v>
      </c>
      <c r="B189" s="13" t="inlineStr">
        <is>
          <t>Accessibility</t>
        </is>
      </c>
      <c r="C189" s="13" t="inlineStr">
        <is>
          <t>Relationships</t>
        </is>
      </c>
      <c r="D189" s="13" t="inlineStr">
        <is>
          <t>portalled dropdown registers with parent modal focus scope</t>
        </is>
      </c>
      <c r="E189" s="18" t="inlineStr">
        <is>
          <t>yes</t>
        </is>
      </c>
      <c r="F189" s="18" t="inlineStr">
        <is>
          <t>yes</t>
        </is>
      </c>
      <c r="G189" s="12" t="inlineStr">
        <is>
          <t>pass</t>
        </is>
      </c>
      <c r="H189" s="22" t="inlineStr">
        <is>
          <t>covered</t>
        </is>
      </c>
      <c r="I189" s="13" t="inlineStr">
        <is>
          <t>Dropdown Menu uncontrolled defaultOpen and inside Dialog focus batch; manually verified.</t>
        </is>
      </c>
      <c r="J189" s="13" t="inlineStr">
        <is>
          <t>Complete.</t>
        </is>
      </c>
      <c r="K189" s="14">
        <f>IF(AND(E189="yes",F189="yes",H189="covered"),1,IF(H189="partial",0.5,0))</f>
        <v/>
      </c>
    </row>
    <row r="190" ht="32" customHeight="1" s="24">
      <c r="A190" s="12" t="n">
        <v>182</v>
      </c>
      <c r="B190" s="13" t="inlineStr">
        <is>
          <t>Accessibility</t>
        </is>
      </c>
      <c r="C190" s="13" t="inlineStr">
        <is>
          <t>Relationships</t>
        </is>
      </c>
      <c r="D190" s="13" t="inlineStr">
        <is>
          <t>nested dropdown Escape does not close parent overlay</t>
        </is>
      </c>
      <c r="E190" s="18" t="inlineStr">
        <is>
          <t>yes</t>
        </is>
      </c>
      <c r="F190" s="18" t="inlineStr">
        <is>
          <t>yes</t>
        </is>
      </c>
      <c r="G190" s="12" t="inlineStr">
        <is>
          <t>pass</t>
        </is>
      </c>
      <c r="H190" s="22" t="inlineStr">
        <is>
          <t>covered</t>
        </is>
      </c>
      <c r="I190" s="13" t="inlineStr">
        <is>
          <t>DropdownMenu playground scenario.</t>
        </is>
      </c>
      <c r="J190" s="13" t="inlineStr">
        <is>
          <t>Complete.</t>
        </is>
      </c>
      <c r="K190" s="14">
        <f>IF(AND(E190="yes",F190="yes",H190="covered"),1,IF(H190="partial",0.5,0))</f>
        <v/>
      </c>
    </row>
    <row r="191" ht="32" customHeight="1" s="24">
      <c r="A191" s="12" t="n">
        <v>183</v>
      </c>
      <c r="B191" s="13" t="inlineStr">
        <is>
          <t>Composition</t>
        </is>
      </c>
      <c r="C191" s="13" t="inlineStr">
        <is>
          <t>Trigger Composition</t>
        </is>
      </c>
      <c r="D191" s="13" t="inlineStr">
        <is>
          <t>trigger asChild preserves child content</t>
        </is>
      </c>
      <c r="E191" s="18" t="inlineStr">
        <is>
          <t>yes</t>
        </is>
      </c>
      <c r="F191" s="18" t="inlineStr">
        <is>
          <t>yes</t>
        </is>
      </c>
      <c r="G191" s="12" t="inlineStr">
        <is>
          <t>pass</t>
        </is>
      </c>
      <c r="H191" s="22" t="inlineStr">
        <is>
          <t>covered</t>
        </is>
      </c>
      <c r="I191" s="13" t="inlineStr">
        <is>
          <t>Dropdown Menu trigger composition batch; manually verified.</t>
        </is>
      </c>
      <c r="J191" s="13" t="inlineStr">
        <is>
          <t>Complete.</t>
        </is>
      </c>
      <c r="K191" s="14">
        <f>IF(AND(E191="yes",F191="yes",H191="covered"),1,IF(H191="partial",0.5,0))</f>
        <v/>
      </c>
    </row>
    <row r="192" ht="32" customHeight="1" s="24">
      <c r="A192" s="12" t="n">
        <v>184</v>
      </c>
      <c r="B192" s="13" t="inlineStr">
        <is>
          <t>Composition</t>
        </is>
      </c>
      <c r="C192" s="13" t="inlineStr">
        <is>
          <t>Trigger Composition</t>
        </is>
      </c>
      <c r="D192" s="13" t="inlineStr">
        <is>
          <t>trigger render preserves child content</t>
        </is>
      </c>
      <c r="E192" s="18" t="inlineStr">
        <is>
          <t>yes</t>
        </is>
      </c>
      <c r="F192" s="18" t="inlineStr">
        <is>
          <t>yes</t>
        </is>
      </c>
      <c r="G192" s="12" t="inlineStr">
        <is>
          <t>pass</t>
        </is>
      </c>
      <c r="H192" s="22" t="inlineStr">
        <is>
          <t>covered</t>
        </is>
      </c>
      <c r="I192" s="13" t="inlineStr">
        <is>
          <t>Dropdown Menu trigger composition batch; manually verified.</t>
        </is>
      </c>
      <c r="J192" s="13" t="inlineStr">
        <is>
          <t>Complete.</t>
        </is>
      </c>
      <c r="K192" s="14">
        <f>IF(AND(E192="yes",F192="yes",H192="covered"),1,IF(H192="partial",0.5,0))</f>
        <v/>
      </c>
    </row>
    <row r="193" ht="32" customHeight="1" s="24">
      <c r="A193" s="12" t="n">
        <v>185</v>
      </c>
      <c r="B193" s="13" t="inlineStr">
        <is>
          <t>Composition</t>
        </is>
      </c>
      <c r="C193" s="13" t="inlineStr">
        <is>
          <t>Trigger Composition</t>
        </is>
      </c>
      <c r="D193" s="13" t="inlineStr">
        <is>
          <t>trigger consumer event can block open</t>
        </is>
      </c>
      <c r="E193" s="18" t="inlineStr">
        <is>
          <t>yes</t>
        </is>
      </c>
      <c r="F193" s="18" t="inlineStr">
        <is>
          <t>yes</t>
        </is>
      </c>
      <c r="G193" s="12" t="inlineStr">
        <is>
          <t>pass</t>
        </is>
      </c>
      <c r="H193" s="22" t="inlineStr">
        <is>
          <t>covered</t>
        </is>
      </c>
      <c r="I193" s="13" t="inlineStr">
        <is>
          <t>Dropdown Menu trigger composition batch; manually verified.</t>
        </is>
      </c>
      <c r="J193" s="13" t="inlineStr">
        <is>
          <t>Complete.</t>
        </is>
      </c>
      <c r="K193" s="14">
        <f>IF(AND(E193="yes",F193="yes",H193="covered"),1,IF(H193="partial",0.5,0))</f>
        <v/>
      </c>
    </row>
    <row r="194" ht="32" customHeight="1" s="24">
      <c r="A194" s="12" t="n">
        <v>186</v>
      </c>
      <c r="B194" s="13" t="inlineStr">
        <is>
          <t>Composition</t>
        </is>
      </c>
      <c r="C194" s="13" t="inlineStr">
        <is>
          <t>Item Composition</t>
        </is>
      </c>
      <c r="D194" s="13" t="inlineStr">
        <is>
          <t>Item asChild preserves child content</t>
        </is>
      </c>
      <c r="E194" s="18" t="inlineStr">
        <is>
          <t>yes</t>
        </is>
      </c>
      <c r="F194" s="18" t="inlineStr">
        <is>
          <t>yes</t>
        </is>
      </c>
      <c r="G194" s="12" t="inlineStr">
        <is>
          <t>pass</t>
        </is>
      </c>
      <c r="H194" s="22" t="inlineStr">
        <is>
          <t>covered</t>
        </is>
      </c>
      <c r="I194" s="13" t="inlineStr">
        <is>
          <t>Dropdown Menu composition/native prop batch; manually verified with raw data-prop-check evidence.</t>
        </is>
      </c>
      <c r="J194" s="13" t="inlineStr">
        <is>
          <t>Complete.</t>
        </is>
      </c>
      <c r="K194" s="14">
        <f>IF(AND(E194="yes",F194="yes",H194="covered"),1,IF(H194="partial",0.5,0))</f>
        <v/>
      </c>
    </row>
    <row r="195" ht="32" customHeight="1" s="24">
      <c r="A195" s="12" t="n">
        <v>187</v>
      </c>
      <c r="B195" s="13" t="inlineStr">
        <is>
          <t>Composition</t>
        </is>
      </c>
      <c r="C195" s="13" t="inlineStr">
        <is>
          <t>Item Composition</t>
        </is>
      </c>
      <c r="D195" s="13" t="inlineStr">
        <is>
          <t>Item render preserves child content</t>
        </is>
      </c>
      <c r="E195" s="18" t="inlineStr">
        <is>
          <t>yes</t>
        </is>
      </c>
      <c r="F195" s="18" t="inlineStr">
        <is>
          <t>yes</t>
        </is>
      </c>
      <c r="G195" s="12" t="inlineStr">
        <is>
          <t>pass</t>
        </is>
      </c>
      <c r="H195" s="22" t="inlineStr">
        <is>
          <t>covered</t>
        </is>
      </c>
      <c r="I195" s="13" t="inlineStr">
        <is>
          <t>Dropdown Menu composition/native prop batch; manually verified with raw data-prop-check evidence.</t>
        </is>
      </c>
      <c r="J195" s="13" t="inlineStr">
        <is>
          <t>Complete.</t>
        </is>
      </c>
      <c r="K195" s="14">
        <f>IF(AND(E195="yes",F195="yes",H195="covered"),1,IF(H195="partial",0.5,0))</f>
        <v/>
      </c>
    </row>
    <row r="196" ht="32" customHeight="1" s="24">
      <c r="A196" s="12" t="n">
        <v>188</v>
      </c>
      <c r="B196" s="13" t="inlineStr">
        <is>
          <t>Composition</t>
        </is>
      </c>
      <c r="C196" s="13" t="inlineStr">
        <is>
          <t>Item Composition</t>
        </is>
      </c>
      <c r="D196" s="13" t="inlineStr">
        <is>
          <t>Item consumer event can block selection</t>
        </is>
      </c>
      <c r="E196" s="18" t="inlineStr">
        <is>
          <t>yes</t>
        </is>
      </c>
      <c r="F196" s="18" t="inlineStr">
        <is>
          <t>yes</t>
        </is>
      </c>
      <c r="G196" s="12" t="inlineStr">
        <is>
          <t>pass</t>
        </is>
      </c>
      <c r="H196" s="22" t="inlineStr">
        <is>
          <t>covered</t>
        </is>
      </c>
      <c r="I196" s="13" t="inlineStr">
        <is>
          <t>Dropdown Menu composition/native prop batch; manually verified with raw data-prop-check evidence.</t>
        </is>
      </c>
      <c r="J196" s="13" t="inlineStr">
        <is>
          <t>Complete.</t>
        </is>
      </c>
      <c r="K196" s="14">
        <f>IF(AND(E196="yes",F196="yes",H196="covered"),1,IF(H196="partial",0.5,0))</f>
        <v/>
      </c>
    </row>
    <row r="197" ht="32" customHeight="1" s="24">
      <c r="A197" s="12" t="n">
        <v>189</v>
      </c>
      <c r="B197" s="13" t="inlineStr">
        <is>
          <t>Composition</t>
        </is>
      </c>
      <c r="C197" s="13" t="inlineStr">
        <is>
          <t>Native Props</t>
        </is>
      </c>
      <c r="D197" s="13" t="inlineStr">
        <is>
          <t>Trigger native props pass through</t>
        </is>
      </c>
      <c r="E197" s="18" t="inlineStr">
        <is>
          <t>yes</t>
        </is>
      </c>
      <c r="F197" s="18" t="inlineStr">
        <is>
          <t>yes</t>
        </is>
      </c>
      <c r="G197" s="12" t="inlineStr">
        <is>
          <t>pass</t>
        </is>
      </c>
      <c r="H197" s="22" t="inlineStr">
        <is>
          <t>covered</t>
        </is>
      </c>
      <c r="I197" s="13" t="inlineStr">
        <is>
          <t>Verify the part forwards a non-Atom-owned data-prop-check marker in the live raw Data group or Inspector.</t>
        </is>
      </c>
      <c r="J197" s="13" t="inlineStr">
        <is>
          <t>Complete.</t>
        </is>
      </c>
      <c r="K197" s="14">
        <f>IF(AND(E197="yes",F197="yes",H197="covered"),1,IF(H197="partial",0.5,0))</f>
        <v/>
      </c>
    </row>
    <row r="198" ht="32" customHeight="1" s="24">
      <c r="A198" s="12" t="n">
        <v>190</v>
      </c>
      <c r="B198" s="13" t="inlineStr">
        <is>
          <t>Composition</t>
        </is>
      </c>
      <c r="C198" s="13" t="inlineStr">
        <is>
          <t>Native Props</t>
        </is>
      </c>
      <c r="D198" s="13" t="inlineStr">
        <is>
          <t>Content native props pass through</t>
        </is>
      </c>
      <c r="E198" s="18" t="inlineStr">
        <is>
          <t>yes</t>
        </is>
      </c>
      <c r="F198" s="18" t="inlineStr">
        <is>
          <t>yes</t>
        </is>
      </c>
      <c r="G198" s="12" t="inlineStr">
        <is>
          <t>pass</t>
        </is>
      </c>
      <c r="H198" s="22" t="inlineStr">
        <is>
          <t>covered</t>
        </is>
      </c>
      <c r="I198" s="13" t="inlineStr">
        <is>
          <t>Dropdown Menu composition/native prop batch; manually verified with raw data-prop-check evidence.</t>
        </is>
      </c>
      <c r="J198" s="13" t="inlineStr">
        <is>
          <t>Complete.</t>
        </is>
      </c>
      <c r="K198" s="14">
        <f>IF(AND(E198="yes",F198="yes",H198="covered"),1,IF(H198="partial",0.5,0))</f>
        <v/>
      </c>
    </row>
    <row r="199" ht="32" customHeight="1" s="24">
      <c r="A199" s="12" t="n">
        <v>191</v>
      </c>
      <c r="B199" s="13" t="inlineStr">
        <is>
          <t>Composition</t>
        </is>
      </c>
      <c r="C199" s="13" t="inlineStr">
        <is>
          <t>Native Props</t>
        </is>
      </c>
      <c r="D199" s="13" t="inlineStr">
        <is>
          <t>CheckboxItem native props pass through</t>
        </is>
      </c>
      <c r="E199" s="18" t="inlineStr">
        <is>
          <t>yes</t>
        </is>
      </c>
      <c r="F199" s="18" t="inlineStr">
        <is>
          <t>yes</t>
        </is>
      </c>
      <c r="G199" s="12" t="inlineStr">
        <is>
          <t>pass</t>
        </is>
      </c>
      <c r="H199" s="22" t="inlineStr">
        <is>
          <t>covered</t>
        </is>
      </c>
      <c r="I199" s="13" t="inlineStr">
        <is>
          <t>Dropdown Menu composition/native prop batch; manually verified with raw data-prop-check evidence.</t>
        </is>
      </c>
      <c r="J199" s="13" t="inlineStr">
        <is>
          <t>Complete.</t>
        </is>
      </c>
      <c r="K199" s="14">
        <f>IF(AND(E199="yes",F199="yes",H199="covered"),1,IF(H199="partial",0.5,0))</f>
        <v/>
      </c>
    </row>
    <row r="200" ht="32" customHeight="1" s="24">
      <c r="A200" s="12" t="n">
        <v>192</v>
      </c>
      <c r="B200" s="13" t="inlineStr">
        <is>
          <t>Composition</t>
        </is>
      </c>
      <c r="C200" s="13" t="inlineStr">
        <is>
          <t>Native Props</t>
        </is>
      </c>
      <c r="D200" s="13" t="inlineStr">
        <is>
          <t>RadioItem native props pass through</t>
        </is>
      </c>
      <c r="E200" s="18" t="inlineStr">
        <is>
          <t>yes</t>
        </is>
      </c>
      <c r="F200" s="18" t="inlineStr">
        <is>
          <t>yes</t>
        </is>
      </c>
      <c r="G200" s="12" t="inlineStr">
        <is>
          <t>pass</t>
        </is>
      </c>
      <c r="H200" s="22" t="inlineStr">
        <is>
          <t>covered</t>
        </is>
      </c>
      <c r="I200" s="13" t="inlineStr">
        <is>
          <t>Dropdown Menu composition/native prop batch; manually verified with raw data-prop-check evidence.</t>
        </is>
      </c>
      <c r="J200" s="13" t="inlineStr">
        <is>
          <t>Complete.</t>
        </is>
      </c>
      <c r="K200" s="14">
        <f>IF(AND(E200="yes",F200="yes",H200="covered"),1,IF(H200="partial",0.5,0))</f>
        <v/>
      </c>
    </row>
    <row r="201" ht="32" customHeight="1" s="24">
      <c r="A201" s="12" t="n">
        <v>193</v>
      </c>
      <c r="B201" s="13" t="inlineStr">
        <is>
          <t>Composition</t>
        </is>
      </c>
      <c r="C201" s="13" t="inlineStr">
        <is>
          <t>Native Props</t>
        </is>
      </c>
      <c r="D201" s="13" t="inlineStr">
        <is>
          <t>SubContent native props pass through</t>
        </is>
      </c>
      <c r="E201" s="18" t="inlineStr">
        <is>
          <t>yes</t>
        </is>
      </c>
      <c r="F201" s="18" t="inlineStr">
        <is>
          <t>yes</t>
        </is>
      </c>
      <c r="G201" s="12" t="inlineStr">
        <is>
          <t>pass</t>
        </is>
      </c>
      <c r="H201" s="22" t="inlineStr">
        <is>
          <t>covered</t>
        </is>
      </c>
      <c r="I201" s="13" t="inlineStr">
        <is>
          <t>Dropdown Menu composition/native prop batch; manually verified with raw data-prop-check evidence.</t>
        </is>
      </c>
      <c r="J201" s="13" t="inlineStr">
        <is>
          <t>Complete.</t>
        </is>
      </c>
      <c r="K201" s="14">
        <f>IF(AND(E201="yes",F201="yes",H201="covered"),1,IF(H201="partial",0.5,0))</f>
        <v/>
      </c>
    </row>
    <row r="202" ht="32" customHeight="1" s="24">
      <c r="A202" s="12" t="n">
        <v>194</v>
      </c>
      <c r="B202" s="13" t="inlineStr">
        <is>
          <t>Styling Hooks</t>
        </is>
      </c>
      <c r="C202" s="13" t="inlineStr">
        <is>
          <t>Data Attributes</t>
        </is>
      </c>
      <c r="D202" s="13" t="inlineStr">
        <is>
          <t>trigger open state visible through data-state</t>
        </is>
      </c>
      <c r="E202" s="18" t="inlineStr">
        <is>
          <t>yes</t>
        </is>
      </c>
      <c r="F202" s="18" t="inlineStr">
        <is>
          <t>yes</t>
        </is>
      </c>
      <c r="G202" s="12" t="inlineStr">
        <is>
          <t>pass</t>
        </is>
      </c>
      <c r="H202" s="22" t="inlineStr">
        <is>
          <t>covered</t>
        </is>
      </c>
      <c r="I202" s="13" t="inlineStr">
        <is>
          <t>Dropdown Menu trigger basics batch; manually verified.</t>
        </is>
      </c>
      <c r="J202" s="13" t="inlineStr">
        <is>
          <t>Complete.</t>
        </is>
      </c>
      <c r="K202" s="14">
        <f>IF(AND(E202="yes",F202="yes",H202="covered"),1,IF(H202="partial",0.5,0))</f>
        <v/>
      </c>
    </row>
    <row r="203" ht="32" customHeight="1" s="24">
      <c r="A203" s="12" t="n">
        <v>195</v>
      </c>
      <c r="B203" s="13" t="inlineStr">
        <is>
          <t>Styling Hooks</t>
        </is>
      </c>
      <c r="C203" s="13" t="inlineStr">
        <is>
          <t>Data Attributes</t>
        </is>
      </c>
      <c r="D203" s="13" t="inlineStr">
        <is>
          <t>content open state visible through data-state</t>
        </is>
      </c>
      <c r="E203" s="18" t="inlineStr">
        <is>
          <t>yes</t>
        </is>
      </c>
      <c r="F203" s="18" t="inlineStr">
        <is>
          <t>yes</t>
        </is>
      </c>
      <c r="G203" s="12" t="inlineStr">
        <is>
          <t>pass</t>
        </is>
      </c>
      <c r="H203" s="22" t="inlineStr">
        <is>
          <t>covered</t>
        </is>
      </c>
      <c r="I203" s="13" t="inlineStr">
        <is>
          <t>Dropdown Menu content and popup positioning batch; manually verified.</t>
        </is>
      </c>
      <c r="J203" s="13" t="inlineStr">
        <is>
          <t>Complete.</t>
        </is>
      </c>
      <c r="K203" s="14">
        <f>IF(AND(E203="yes",F203="yes",H203="covered"),1,IF(H203="partial",0.5,0))</f>
        <v/>
      </c>
    </row>
    <row r="204" ht="32" customHeight="1" s="24">
      <c r="A204" s="12" t="n">
        <v>196</v>
      </c>
      <c r="B204" s="13" t="inlineStr">
        <is>
          <t>Styling Hooks</t>
        </is>
      </c>
      <c r="C204" s="13" t="inlineStr">
        <is>
          <t>Data Attributes</t>
        </is>
      </c>
      <c r="D204" s="13" t="inlineStr">
        <is>
          <t>highlighted item visible through data-highlighted</t>
        </is>
      </c>
      <c r="E204" s="18" t="inlineStr">
        <is>
          <t>yes</t>
        </is>
      </c>
      <c r="F204" s="18" t="inlineStr">
        <is>
          <t>yes</t>
        </is>
      </c>
      <c r="G204" s="12" t="inlineStr">
        <is>
          <t>pass</t>
        </is>
      </c>
      <c r="H204" s="22" t="inlineStr">
        <is>
          <t>covered</t>
        </is>
      </c>
      <c r="I204" s="13" t="inlineStr">
        <is>
          <t>Dropdown Menu pointer highlight batch; manually verified.</t>
        </is>
      </c>
      <c r="J204" s="13" t="inlineStr">
        <is>
          <t>Complete.</t>
        </is>
      </c>
      <c r="K204" s="14">
        <f>IF(AND(E204="yes",F204="yes",H204="covered"),1,IF(H204="partial",0.5,0))</f>
        <v/>
      </c>
    </row>
    <row r="205" ht="32" customHeight="1" s="24">
      <c r="A205" s="12" t="n">
        <v>197</v>
      </c>
      <c r="B205" s="13" t="inlineStr">
        <is>
          <t>Styling Hooks</t>
        </is>
      </c>
      <c r="C205" s="13" t="inlineStr">
        <is>
          <t>Data Attributes</t>
        </is>
      </c>
      <c r="D205" s="13" t="inlineStr">
        <is>
          <t>disabled trigger visible through data-disabled</t>
        </is>
      </c>
      <c r="E205" s="18" t="inlineStr">
        <is>
          <t>yes</t>
        </is>
      </c>
      <c r="F205" s="18" t="inlineStr">
        <is>
          <t>yes</t>
        </is>
      </c>
      <c r="G205" s="12" t="inlineStr">
        <is>
          <t>pass</t>
        </is>
      </c>
      <c r="H205" s="22" t="inlineStr">
        <is>
          <t>covered</t>
        </is>
      </c>
      <c r="I205" s="13" t="inlineStr">
        <is>
          <t>Dropdown Menu trigger basics batch; manually verified.</t>
        </is>
      </c>
      <c r="J205" s="13" t="inlineStr">
        <is>
          <t>Complete.</t>
        </is>
      </c>
      <c r="K205" s="14">
        <f>IF(AND(E205="yes",F205="yes",H205="covered"),1,IF(H205="partial",0.5,0))</f>
        <v/>
      </c>
    </row>
    <row r="206" ht="32" customHeight="1" s="24">
      <c r="A206" s="12" t="n">
        <v>198</v>
      </c>
      <c r="B206" s="13" t="inlineStr">
        <is>
          <t>Styling Hooks</t>
        </is>
      </c>
      <c r="C206" s="13" t="inlineStr">
        <is>
          <t>Data Attributes</t>
        </is>
      </c>
      <c r="D206" s="13" t="inlineStr">
        <is>
          <t>disabled item visible through data-disabled</t>
        </is>
      </c>
      <c r="E206" s="18" t="inlineStr">
        <is>
          <t>yes</t>
        </is>
      </c>
      <c r="F206" s="18" t="inlineStr">
        <is>
          <t>yes</t>
        </is>
      </c>
      <c r="G206" s="12" t="inlineStr">
        <is>
          <t>pass</t>
        </is>
      </c>
      <c r="H206" s="22" t="inlineStr">
        <is>
          <t>covered</t>
        </is>
      </c>
      <c r="I206" s="13" t="inlineStr">
        <is>
          <t>Dropdown Menu disabled item batch; manually verified.</t>
        </is>
      </c>
      <c r="J206" s="13" t="inlineStr">
        <is>
          <t>Complete.</t>
        </is>
      </c>
      <c r="K206" s="14">
        <f>IF(AND(E206="yes",F206="yes",H206="covered"),1,IF(H206="partial",0.5,0))</f>
        <v/>
      </c>
    </row>
    <row r="207" ht="32" customHeight="1" s="24">
      <c r="A207" s="12" t="n">
        <v>199</v>
      </c>
      <c r="B207" s="13" t="inlineStr">
        <is>
          <t>Styling Hooks</t>
        </is>
      </c>
      <c r="C207" s="13" t="inlineStr">
        <is>
          <t>Data Attributes</t>
        </is>
      </c>
      <c r="D207" s="13" t="inlineStr">
        <is>
          <t>checked item visible through data-checked</t>
        </is>
      </c>
      <c r="E207" s="18" t="inlineStr">
        <is>
          <t>yes</t>
        </is>
      </c>
      <c r="F207" s="18" t="inlineStr">
        <is>
          <t>yes</t>
        </is>
      </c>
      <c r="G207" s="12" t="inlineStr">
        <is>
          <t>pass</t>
        </is>
      </c>
      <c r="H207" s="22" t="inlineStr">
        <is>
          <t>covered</t>
        </is>
      </c>
      <c r="I207" s="13" t="inlineStr">
        <is>
          <t>DropdownMenu playground scenario.</t>
        </is>
      </c>
      <c r="J207" s="13" t="inlineStr">
        <is>
          <t>Complete.</t>
        </is>
      </c>
      <c r="K207" s="14">
        <f>IF(AND(E207="yes",F207="yes",H207="covered"),1,IF(H207="partial",0.5,0))</f>
        <v/>
      </c>
    </row>
    <row r="208" ht="32" customHeight="1" s="24">
      <c r="A208" s="12" t="n">
        <v>200</v>
      </c>
      <c r="B208" s="13" t="inlineStr">
        <is>
          <t>Styling Hooks</t>
        </is>
      </c>
      <c r="C208" s="13" t="inlineStr">
        <is>
          <t>Data Attributes</t>
        </is>
      </c>
      <c r="D208" s="13" t="inlineStr">
        <is>
          <t>placement visible through data-side and data-align</t>
        </is>
      </c>
      <c r="E208" s="18" t="inlineStr">
        <is>
          <t>yes</t>
        </is>
      </c>
      <c r="F208" s="18" t="inlineStr">
        <is>
          <t>yes</t>
        </is>
      </c>
      <c r="G208" s="12" t="inlineStr">
        <is>
          <t>pass</t>
        </is>
      </c>
      <c r="H208" s="22" t="inlineStr">
        <is>
          <t>covered</t>
        </is>
      </c>
      <c r="I208" s="13" t="inlineStr">
        <is>
          <t>Dropdown Menu content and popup positioning batch; manually verified.</t>
        </is>
      </c>
      <c r="J208" s="13" t="inlineStr">
        <is>
          <t>Complete.</t>
        </is>
      </c>
      <c r="K208" s="14">
        <f>IF(AND(E208="yes",F208="yes",H208="covered"),1,IF(H208="partial",0.5,0))</f>
        <v/>
      </c>
    </row>
    <row r="209" ht="32" customHeight="1" s="24">
      <c r="A209" s="12" t="n">
        <v>201</v>
      </c>
      <c r="B209" s="13" t="inlineStr">
        <is>
          <t>Styling Hooks</t>
        </is>
      </c>
      <c r="C209" s="13" t="inlineStr">
        <is>
          <t>Data Attributes</t>
        </is>
      </c>
      <c r="D209" s="13" t="inlineStr">
        <is>
          <t>positioned state visible through data-positioned</t>
        </is>
      </c>
      <c r="E209" s="18" t="inlineStr">
        <is>
          <t>yes</t>
        </is>
      </c>
      <c r="F209" s="18" t="inlineStr">
        <is>
          <t>yes</t>
        </is>
      </c>
      <c r="G209" s="12" t="inlineStr">
        <is>
          <t>pass</t>
        </is>
      </c>
      <c r="H209" s="22" t="inlineStr">
        <is>
          <t>covered</t>
        </is>
      </c>
      <c r="I209" s="13" t="inlineStr">
        <is>
          <t>DropdownMenu playground scenario.</t>
        </is>
      </c>
      <c r="J209" s="13" t="inlineStr">
        <is>
          <t>Complete.</t>
        </is>
      </c>
      <c r="K209" s="14">
        <f>IF(AND(E209="yes",F209="yes",H209="covered"),1,IF(H209="partial",0.5,0))</f>
        <v/>
      </c>
    </row>
    <row r="210" ht="32" customHeight="1" s="24">
      <c r="A210" s="12" t="n">
        <v>202</v>
      </c>
      <c r="B210" s="13" t="inlineStr">
        <is>
          <t>Portal And Positioning</t>
        </is>
      </c>
      <c r="C210" s="13" t="inlineStr">
        <is>
          <t>Portal</t>
        </is>
      </c>
      <c r="D210" s="13" t="inlineStr">
        <is>
          <t>content portals to body</t>
        </is>
      </c>
      <c r="E210" s="18" t="inlineStr">
        <is>
          <t>yes</t>
        </is>
      </c>
      <c r="F210" s="18" t="inlineStr">
        <is>
          <t>yes</t>
        </is>
      </c>
      <c r="G210" s="12" t="inlineStr">
        <is>
          <t>pass</t>
        </is>
      </c>
      <c r="H210" s="22" t="inlineStr">
        <is>
          <t>covered</t>
        </is>
      </c>
      <c r="I210" s="13" t="inlineStr">
        <is>
          <t>Dropdown Menu content/subcontent relationship and portal batch; manually verified.</t>
        </is>
      </c>
      <c r="J210" s="13" t="inlineStr">
        <is>
          <t>Complete.</t>
        </is>
      </c>
      <c r="K210" s="14">
        <f>IF(AND(E210="yes",F210="yes",H210="covered"),1,IF(H210="partial",0.5,0))</f>
        <v/>
      </c>
    </row>
    <row r="211" ht="32" customHeight="1" s="24">
      <c r="A211" s="12" t="n">
        <v>203</v>
      </c>
      <c r="B211" s="13" t="inlineStr">
        <is>
          <t>Portal And Positioning</t>
        </is>
      </c>
      <c r="C211" s="13" t="inlineStr">
        <is>
          <t>Portal</t>
        </is>
      </c>
      <c r="D211" s="13" t="inlineStr">
        <is>
          <t>sub content portals to body</t>
        </is>
      </c>
      <c r="E211" s="18" t="inlineStr">
        <is>
          <t>yes</t>
        </is>
      </c>
      <c r="F211" s="18" t="inlineStr">
        <is>
          <t>yes</t>
        </is>
      </c>
      <c r="G211" s="12" t="inlineStr">
        <is>
          <t>pass</t>
        </is>
      </c>
      <c r="H211" s="22" t="inlineStr">
        <is>
          <t>covered</t>
        </is>
      </c>
      <c r="I211" s="13" t="inlineStr">
        <is>
          <t>Dropdown Menu content/subcontent relationship and portal batch; manually verified.</t>
        </is>
      </c>
      <c r="J211" s="13" t="inlineStr">
        <is>
          <t>Complete.</t>
        </is>
      </c>
      <c r="K211" s="14">
        <f>IF(AND(E211="yes",F211="yes",H211="covered"),1,IF(H211="partial",0.5,0))</f>
        <v/>
      </c>
    </row>
    <row r="212" ht="32" customHeight="1" s="24">
      <c r="A212" s="12" t="n">
        <v>204</v>
      </c>
      <c r="B212" s="13" t="inlineStr">
        <is>
          <t>Portal And Positioning</t>
        </is>
      </c>
      <c r="C212" s="13" t="inlineStr">
        <is>
          <t>Portal</t>
        </is>
      </c>
      <c r="D212" s="13" t="inlineStr">
        <is>
          <t>content positions relative to trigger</t>
        </is>
      </c>
      <c r="E212" s="18" t="inlineStr">
        <is>
          <t>yes</t>
        </is>
      </c>
      <c r="F212" s="18" t="inlineStr">
        <is>
          <t>yes</t>
        </is>
      </c>
      <c r="G212" s="12" t="inlineStr">
        <is>
          <t>pass</t>
        </is>
      </c>
      <c r="H212" s="22" t="inlineStr">
        <is>
          <t>covered</t>
        </is>
      </c>
      <c r="I212" s="13" t="inlineStr">
        <is>
          <t>Dropdown Menu content/subcontent relationship and portal batch; manually verified.</t>
        </is>
      </c>
      <c r="J212" s="13" t="inlineStr">
        <is>
          <t>Complete.</t>
        </is>
      </c>
      <c r="K212" s="14">
        <f>IF(AND(E212="yes",F212="yes",H212="covered"),1,IF(H212="partial",0.5,0))</f>
        <v/>
      </c>
    </row>
    <row r="213" ht="32" customHeight="1" s="24">
      <c r="A213" s="12" t="n">
        <v>205</v>
      </c>
      <c r="B213" s="13" t="inlineStr">
        <is>
          <t>Portal And Positioning</t>
        </is>
      </c>
      <c r="C213" s="13" t="inlineStr">
        <is>
          <t>Portal</t>
        </is>
      </c>
      <c r="D213" s="13" t="inlineStr">
        <is>
          <t>placement flips or shifts near viewport edge</t>
        </is>
      </c>
      <c r="E213" s="18" t="inlineStr">
        <is>
          <t>yes</t>
        </is>
      </c>
      <c r="F213" s="18" t="inlineStr">
        <is>
          <t>yes</t>
        </is>
      </c>
      <c r="G213" s="12" t="inlineStr">
        <is>
          <t>pass</t>
        </is>
      </c>
      <c r="H213" s="22" t="inlineStr">
        <is>
          <t>covered</t>
        </is>
      </c>
      <c r="I213" s="13" t="inlineStr">
        <is>
          <t>DropdownMenu playground scenario.</t>
        </is>
      </c>
      <c r="J213" s="13" t="inlineStr">
        <is>
          <t>Complete.</t>
        </is>
      </c>
      <c r="K213" s="14">
        <f>IF(AND(E213="yes",F213="yes",H213="covered"),1,IF(H213="partial",0.5,0))</f>
        <v/>
      </c>
    </row>
    <row r="214" ht="32" customHeight="1" s="24">
      <c r="A214" s="12" t="n">
        <v>206</v>
      </c>
      <c r="B214" s="13" t="inlineStr">
        <is>
          <t>Portal And Positioning</t>
        </is>
      </c>
      <c r="C214" s="13" t="inlineStr">
        <is>
          <t>Portal</t>
        </is>
      </c>
      <c r="D214" s="13" t="inlineStr">
        <is>
          <t>dropdown works inside Dialog without focus escape</t>
        </is>
      </c>
      <c r="E214" s="18" t="inlineStr">
        <is>
          <t>yes</t>
        </is>
      </c>
      <c r="F214" s="18" t="inlineStr">
        <is>
          <t>yes</t>
        </is>
      </c>
      <c r="G214" s="12" t="inlineStr">
        <is>
          <t>pass</t>
        </is>
      </c>
      <c r="H214" s="22" t="inlineStr">
        <is>
          <t>covered</t>
        </is>
      </c>
      <c r="I214" s="13" t="inlineStr">
        <is>
          <t>Dropdown Menu uncontrolled defaultOpen and inside Dialog focus batch; manually verified.</t>
        </is>
      </c>
      <c r="J214" s="13" t="inlineStr">
        <is>
          <t>Complete.</t>
        </is>
      </c>
      <c r="K214" s="14">
        <f>IF(AND(E214="yes",F214="yes",H214="covered"),1,IF(H214="partial",0.5,0))</f>
        <v/>
      </c>
    </row>
    <row r="215" ht="32" customHeight="1" s="24">
      <c r="A215" s="12" t="n">
        <v>207</v>
      </c>
      <c r="B215" s="13" t="inlineStr">
        <is>
          <t>Portal And Positioning</t>
        </is>
      </c>
      <c r="C215" s="13" t="inlineStr">
        <is>
          <t>Portal</t>
        </is>
      </c>
      <c r="D215" s="13" t="inlineStr">
        <is>
          <t>dropdown inside Dialog closes before Dialog on Escape</t>
        </is>
      </c>
      <c r="E215" s="18" t="inlineStr">
        <is>
          <t>yes</t>
        </is>
      </c>
      <c r="F215" s="18" t="inlineStr">
        <is>
          <t>yes</t>
        </is>
      </c>
      <c r="G215" s="12" t="inlineStr">
        <is>
          <t>pass</t>
        </is>
      </c>
      <c r="H215" s="22" t="inlineStr">
        <is>
          <t>covered</t>
        </is>
      </c>
      <c r="I215" s="13" t="inlineStr">
        <is>
          <t>Dropdown Menu uncontrolled defaultOpen and inside Dialog focus batch; manually verified.</t>
        </is>
      </c>
      <c r="J215" s="13" t="inlineStr">
        <is>
          <t>Complete.</t>
        </is>
      </c>
      <c r="K215" s="14">
        <f>IF(AND(E215="yes",F215="yes",H215="covered"),1,IF(H215="partial",0.5,0))</f>
        <v/>
      </c>
    </row>
    <row r="216" ht="32" customHeight="1" s="24">
      <c r="A216" s="12" t="n">
        <v>208</v>
      </c>
      <c r="B216" s="13" t="inlineStr">
        <is>
          <t>Regression</t>
        </is>
      </c>
      <c r="C216" s="13" t="inlineStr">
        <is>
          <t>Recent Fixes</t>
        </is>
      </c>
      <c r="D216" s="13" t="inlineStr">
        <is>
          <t>Escape closes topmost dropdown before parent overlay</t>
        </is>
      </c>
      <c r="E216" s="18" t="inlineStr">
        <is>
          <t>yes</t>
        </is>
      </c>
      <c r="F216" s="18" t="inlineStr">
        <is>
          <t>yes</t>
        </is>
      </c>
      <c r="G216" s="12" t="inlineStr">
        <is>
          <t>pass</t>
        </is>
      </c>
      <c r="H216" s="22" t="inlineStr">
        <is>
          <t>covered</t>
        </is>
      </c>
      <c r="I216" s="13" t="inlineStr">
        <is>
          <t>DropdownMenu playground scenario.</t>
        </is>
      </c>
      <c r="J216" s="13" t="inlineStr">
        <is>
          <t>Complete.</t>
        </is>
      </c>
      <c r="K216" s="14">
        <f>IF(AND(E216="yes",F216="yes",H216="covered"),1,IF(H216="partial",0.5,0))</f>
        <v/>
      </c>
    </row>
    <row r="217" ht="32" customHeight="1" s="24">
      <c r="A217" s="12" t="n">
        <v>209</v>
      </c>
      <c r="B217" s="13" t="inlineStr">
        <is>
          <t>Regression</t>
        </is>
      </c>
      <c r="C217" s="13" t="inlineStr">
        <is>
          <t>Recent Fixes</t>
        </is>
      </c>
      <c r="D217" s="13" t="inlineStr">
        <is>
          <t>portalled dropdown remains valid focus target inside Dialog</t>
        </is>
      </c>
      <c r="E217" s="18" t="inlineStr">
        <is>
          <t>yes</t>
        </is>
      </c>
      <c r="F217" s="18" t="inlineStr">
        <is>
          <t>yes</t>
        </is>
      </c>
      <c r="G217" s="12" t="inlineStr">
        <is>
          <t>pass</t>
        </is>
      </c>
      <c r="H217" s="22" t="inlineStr">
        <is>
          <t>covered</t>
        </is>
      </c>
      <c r="I217" s="13" t="inlineStr">
        <is>
          <t>Dropdown Menu uncontrolled defaultOpen and inside Dialog focus batch; manually verified.</t>
        </is>
      </c>
      <c r="J217" s="13" t="inlineStr">
        <is>
          <t>Complete.</t>
        </is>
      </c>
      <c r="K217" s="14">
        <f>IF(AND(E217="yes",F217="yes",H217="covered"),1,IF(H217="partial",0.5,0))</f>
        <v/>
      </c>
    </row>
    <row r="218" ht="32" customHeight="1" s="24">
      <c r="A218" s="12" t="n">
        <v>210</v>
      </c>
      <c r="B218" s="13" t="inlineStr">
        <is>
          <t>Regression</t>
        </is>
      </c>
      <c r="C218" s="13" t="inlineStr">
        <is>
          <t>Recent Fixes</t>
        </is>
      </c>
      <c r="D218" s="13" t="inlineStr">
        <is>
          <t>trigger disabled click does not open menu</t>
        </is>
      </c>
      <c r="E218" s="18" t="inlineStr">
        <is>
          <t>yes</t>
        </is>
      </c>
      <c r="F218" s="18" t="inlineStr">
        <is>
          <t>yes</t>
        </is>
      </c>
      <c r="G218" s="12" t="inlineStr">
        <is>
          <t>pass</t>
        </is>
      </c>
      <c r="H218" s="22" t="inlineStr">
        <is>
          <t>covered</t>
        </is>
      </c>
      <c r="I218" s="13" t="inlineStr">
        <is>
          <t>DropdownMenu playground scenario.</t>
        </is>
      </c>
      <c r="J218" s="13" t="inlineStr">
        <is>
          <t>Complete.</t>
        </is>
      </c>
      <c r="K218" s="14">
        <f>IF(AND(E218="yes",F218="yes",H218="covered"),1,IF(H218="partial",0.5,0))</f>
        <v/>
      </c>
    </row>
    <row r="219" ht="32" customHeight="1" s="24">
      <c r="A219" s="12" t="n">
        <v>211</v>
      </c>
      <c r="B219" s="13" t="inlineStr">
        <is>
          <t>Regression</t>
        </is>
      </c>
      <c r="C219" s="13" t="inlineStr">
        <is>
          <t>Recent Fixes</t>
        </is>
      </c>
      <c r="D219" s="13" t="inlineStr">
        <is>
          <t>trigger disabled asChild is removed from tab order</t>
        </is>
      </c>
      <c r="E219" s="18" t="inlineStr">
        <is>
          <t>yes</t>
        </is>
      </c>
      <c r="F219" s="18" t="inlineStr">
        <is>
          <t>yes</t>
        </is>
      </c>
      <c r="G219" s="12" t="inlineStr">
        <is>
          <t>pass</t>
        </is>
      </c>
      <c r="H219" s="22" t="inlineStr">
        <is>
          <t>covered</t>
        </is>
      </c>
      <c r="I219" s="13" t="inlineStr">
        <is>
          <t>DropdownMenu playground scenario.</t>
        </is>
      </c>
      <c r="J219" s="13" t="inlineStr">
        <is>
          <t>Complete.</t>
        </is>
      </c>
      <c r="K219" s="14">
        <f>IF(AND(E219="yes",F219="yes",H219="covered"),1,IF(H219="partial",0.5,0))</f>
        <v/>
      </c>
    </row>
    <row r="220" ht="32" customHeight="1" s="24">
      <c r="A220" s="12" t="n">
        <v>212</v>
      </c>
      <c r="B220" s="13" t="inlineStr">
        <is>
          <t>Regression</t>
        </is>
      </c>
      <c r="C220" s="13" t="inlineStr">
        <is>
          <t>Recent Fixes</t>
        </is>
      </c>
      <c r="D220" s="13" t="inlineStr">
        <is>
          <t>pointer-opened menu does not preselect first item</t>
        </is>
      </c>
      <c r="E220" s="18" t="inlineStr">
        <is>
          <t>yes</t>
        </is>
      </c>
      <c r="F220" s="18" t="inlineStr">
        <is>
          <t>yes</t>
        </is>
      </c>
      <c r="G220" s="12" t="inlineStr">
        <is>
          <t>pass</t>
        </is>
      </c>
      <c r="H220" s="22" t="inlineStr">
        <is>
          <t>covered</t>
        </is>
      </c>
      <c r="I220" s="13" t="inlineStr">
        <is>
          <t>Dropdown Menu pointer-open no-initial-highlight behavior; manually verified after trigger fix.</t>
        </is>
      </c>
      <c r="J220" s="13" t="inlineStr">
        <is>
          <t>Complete.</t>
        </is>
      </c>
      <c r="K220" s="14">
        <f>IF(AND(E220="yes",F220="yes",H220="covered"),1,IF(H220="partial",0.5,0))</f>
        <v/>
      </c>
    </row>
    <row r="221" ht="32" customHeight="1" s="24">
      <c r="A221" s="12" t="n">
        <v>213</v>
      </c>
      <c r="B221" s="13" t="inlineStr">
        <is>
          <t>Regression</t>
        </is>
      </c>
      <c r="C221" s="13" t="inlineStr">
        <is>
          <t>Recent Fixes</t>
        </is>
      </c>
      <c r="D221" s="13" t="inlineStr">
        <is>
          <t>keyboard-opened menu highlights expected first or last item</t>
        </is>
      </c>
      <c r="E221" s="18" t="inlineStr">
        <is>
          <t>yes</t>
        </is>
      </c>
      <c r="F221" s="18" t="inlineStr">
        <is>
          <t>yes</t>
        </is>
      </c>
      <c r="G221" s="12" t="inlineStr">
        <is>
          <t>pass</t>
        </is>
      </c>
      <c r="H221" s="22" t="inlineStr">
        <is>
          <t>covered</t>
        </is>
      </c>
      <c r="I221" s="13" t="inlineStr">
        <is>
          <t>Dropdown Menu keyboard open batch; manually verified.</t>
        </is>
      </c>
      <c r="J221" s="13" t="inlineStr">
        <is>
          <t>Complete.</t>
        </is>
      </c>
      <c r="K221" s="14">
        <f>IF(AND(E221="yes",F221="yes",H221="covered"),1,IF(H221="partial",0.5,0))</f>
        <v/>
      </c>
    </row>
    <row r="222" ht="32" customHeight="1" s="24">
      <c r="A222" s="12" t="n">
        <v>214</v>
      </c>
      <c r="B222" s="13" t="inlineStr">
        <is>
          <t>Regression</t>
        </is>
      </c>
      <c r="C222" s="13" t="inlineStr">
        <is>
          <t>Recent Fixes</t>
        </is>
      </c>
      <c r="D222" s="13" t="inlineStr">
        <is>
          <t>radio groups with duplicate values highlight independently</t>
        </is>
      </c>
      <c r="E222" s="18" t="inlineStr">
        <is>
          <t>yes</t>
        </is>
      </c>
      <c r="F222" s="18" t="inlineStr">
        <is>
          <t>yes</t>
        </is>
      </c>
      <c r="G222" s="12" t="inlineStr">
        <is>
          <t>pass</t>
        </is>
      </c>
      <c r="H222" s="22" t="inlineStr">
        <is>
          <t>covered</t>
        </is>
      </c>
      <c r="I222" s="13" t="inlineStr">
        <is>
          <t>Dropdown Menu radio item batch; manually verified.</t>
        </is>
      </c>
      <c r="J222" s="13" t="inlineStr">
        <is>
          <t>Complete.</t>
        </is>
      </c>
      <c r="K222" s="14">
        <f>IF(AND(E222="yes",F222="yes",H222="covered"),1,IF(H222="partial",0.5,0))</f>
        <v/>
      </c>
    </row>
    <row r="223" ht="32" customHeight="1" s="24">
      <c r="A223" s="12" t="n">
        <v>215</v>
      </c>
      <c r="B223" s="13" t="inlineStr">
        <is>
          <t>Regression</t>
        </is>
      </c>
      <c r="C223" s="13" t="inlineStr">
        <is>
          <t>Recent Fixes</t>
        </is>
      </c>
      <c r="D223" s="13" t="inlineStr">
        <is>
          <t>hovering non-item content does not reset highlight to first item</t>
        </is>
      </c>
      <c r="E223" s="18" t="inlineStr">
        <is>
          <t>yes</t>
        </is>
      </c>
      <c r="F223" s="18" t="inlineStr">
        <is>
          <t>yes</t>
        </is>
      </c>
      <c r="G223" s="12" t="inlineStr">
        <is>
          <t>pass</t>
        </is>
      </c>
      <c r="H223" s="22" t="inlineStr">
        <is>
          <t>covered</t>
        </is>
      </c>
      <c r="I223" s="13" t="inlineStr">
        <is>
          <t>Dropdown Menu pointer highlight batch; manually verified.</t>
        </is>
      </c>
      <c r="J223" s="13" t="inlineStr">
        <is>
          <t>Complete.</t>
        </is>
      </c>
      <c r="K223" s="14">
        <f>IF(AND(E223="yes",F223="yes",H223="covered"),1,IF(H223="partial",0.5,0))</f>
        <v/>
      </c>
    </row>
    <row r="224" ht="32" customHeight="1" s="24">
      <c r="A224" s="12" t="n">
        <v>216</v>
      </c>
      <c r="B224" s="13" t="inlineStr">
        <is>
          <t>Regression</t>
        </is>
      </c>
      <c r="C224" s="13" t="inlineStr">
        <is>
          <t>Recent Fixes</t>
        </is>
      </c>
      <c r="D224" s="13" t="inlineStr">
        <is>
          <t>outside click closes portalled dropdown</t>
        </is>
      </c>
      <c r="E224" s="18" t="inlineStr">
        <is>
          <t>yes</t>
        </is>
      </c>
      <c r="F224" s="18" t="inlineStr">
        <is>
          <t>yes</t>
        </is>
      </c>
      <c r="G224" s="12" t="inlineStr">
        <is>
          <t>pass</t>
        </is>
      </c>
      <c r="H224" s="22" t="inlineStr">
        <is>
          <t>covered</t>
        </is>
      </c>
      <c r="I224" s="13" t="inlineStr">
        <is>
          <t>DropdownMenu playground scenario.</t>
        </is>
      </c>
      <c r="J224" s="13" t="inlineStr">
        <is>
          <t>Complete.</t>
        </is>
      </c>
      <c r="K224" s="14">
        <f>IF(AND(E224="yes",F224="yes",H224="covered"),1,IF(H224="partial",0.5,0))</f>
        <v/>
      </c>
    </row>
    <row r="225" ht="32" customHeight="1" s="24">
      <c r="A225" s="12" t="n">
        <v>217</v>
      </c>
      <c r="B225" s="13" t="inlineStr">
        <is>
          <t>Regression</t>
        </is>
      </c>
      <c r="C225" s="13" t="inlineStr">
        <is>
          <t>Recent Fixes</t>
        </is>
      </c>
      <c r="D225" s="13" t="inlineStr">
        <is>
          <t>submenu focus returns to parent content on close</t>
        </is>
      </c>
      <c r="E225" s="18" t="inlineStr">
        <is>
          <t>yes</t>
        </is>
      </c>
      <c r="F225" s="18" t="inlineStr">
        <is>
          <t>yes</t>
        </is>
      </c>
      <c r="G225" s="12" t="inlineStr">
        <is>
          <t>pass</t>
        </is>
      </c>
      <c r="H225" s="22" t="inlineStr">
        <is>
          <t>covered</t>
        </is>
      </c>
      <c r="I225" s="13" t="inlineStr">
        <is>
          <t>Dropdown Menu submenu basics batch; manually verified.</t>
        </is>
      </c>
      <c r="J225" s="13" t="inlineStr">
        <is>
          <t>Complete.</t>
        </is>
      </c>
      <c r="K225" s="14">
        <f>IF(AND(E225="yes",F225="yes",H225="covered"),1,IF(H225="partial",0.5,0))</f>
        <v/>
      </c>
    </row>
    <row r="226" ht="32" customHeight="1" s="24">
      <c r="A226" s="12" t="n">
        <v>218</v>
      </c>
      <c r="B226" s="13" t="inlineStr">
        <is>
          <t>Mobile</t>
        </is>
      </c>
      <c r="C226" s="13" t="inlineStr">
        <is>
          <t>Touch</t>
        </is>
      </c>
      <c r="D226" s="13" t="inlineStr">
        <is>
          <t>touch trigger opens dropdown</t>
        </is>
      </c>
      <c r="E226" s="18" t="inlineStr">
        <is>
          <t>yes</t>
        </is>
      </c>
      <c r="F226" s="18" t="inlineStr">
        <is>
          <t>yes</t>
        </is>
      </c>
      <c r="G226" s="12" t="inlineStr">
        <is>
          <t>pass</t>
        </is>
      </c>
      <c r="H226" s="22" t="inlineStr">
        <is>
          <t>covered</t>
        </is>
      </c>
      <c r="I226" s="13" t="inlineStr">
        <is>
          <t>DropdownMenu playground scenario.</t>
        </is>
      </c>
      <c r="J226" s="13" t="inlineStr">
        <is>
          <t>Complete.</t>
        </is>
      </c>
      <c r="K226" s="14">
        <f>IF(AND(E226="yes",F226="yes",H226="covered"),1,IF(H226="partial",0.5,0))</f>
        <v/>
      </c>
    </row>
    <row r="227" ht="32" customHeight="1" s="24">
      <c r="A227" s="12" t="n">
        <v>219</v>
      </c>
      <c r="B227" s="13" t="inlineStr">
        <is>
          <t>Mobile</t>
        </is>
      </c>
      <c r="C227" s="13" t="inlineStr">
        <is>
          <t>Touch</t>
        </is>
      </c>
      <c r="D227" s="13" t="inlineStr">
        <is>
          <t>touch trigger closes open dropdown</t>
        </is>
      </c>
      <c r="E227" s="18" t="inlineStr">
        <is>
          <t>yes</t>
        </is>
      </c>
      <c r="F227" s="18" t="inlineStr">
        <is>
          <t>yes</t>
        </is>
      </c>
      <c r="G227" s="12" t="inlineStr">
        <is>
          <t>pass</t>
        </is>
      </c>
      <c r="H227" s="22" t="inlineStr">
        <is>
          <t>covered</t>
        </is>
      </c>
      <c r="I227" s="13" t="inlineStr">
        <is>
          <t>DropdownMenu playground scenario.</t>
        </is>
      </c>
      <c r="J227" s="13" t="inlineStr">
        <is>
          <t>Complete.</t>
        </is>
      </c>
      <c r="K227" s="14">
        <f>IF(AND(E227="yes",F227="yes",H227="covered"),1,IF(H227="partial",0.5,0))</f>
        <v/>
      </c>
    </row>
    <row r="228" ht="32" customHeight="1" s="24">
      <c r="A228" s="12" t="n">
        <v>220</v>
      </c>
      <c r="B228" s="13" t="inlineStr">
        <is>
          <t>Mobile</t>
        </is>
      </c>
      <c r="C228" s="13" t="inlineStr">
        <is>
          <t>Touch</t>
        </is>
      </c>
      <c r="D228" s="13" t="inlineStr">
        <is>
          <t>touch selects action item</t>
        </is>
      </c>
      <c r="E228" s="18" t="inlineStr">
        <is>
          <t>yes</t>
        </is>
      </c>
      <c r="F228" s="18" t="inlineStr">
        <is>
          <t>yes</t>
        </is>
      </c>
      <c r="G228" s="12" t="inlineStr">
        <is>
          <t>pass</t>
        </is>
      </c>
      <c r="H228" s="22" t="inlineStr">
        <is>
          <t>covered</t>
        </is>
      </c>
      <c r="I228" s="13" t="inlineStr">
        <is>
          <t>DropdownMenu playground scenario.</t>
        </is>
      </c>
      <c r="J228" s="13" t="inlineStr">
        <is>
          <t>Complete.</t>
        </is>
      </c>
      <c r="K228" s="14">
        <f>IF(AND(E228="yes",F228="yes",H228="covered"),1,IF(H228="partial",0.5,0))</f>
        <v/>
      </c>
    </row>
    <row r="229" ht="32" customHeight="1" s="24">
      <c r="A229" s="12" t="n">
        <v>221</v>
      </c>
      <c r="B229" s="13" t="inlineStr">
        <is>
          <t>Mobile</t>
        </is>
      </c>
      <c r="C229" s="13" t="inlineStr">
        <is>
          <t>Touch</t>
        </is>
      </c>
      <c r="D229" s="13" t="inlineStr">
        <is>
          <t>touch toggles checkbox item</t>
        </is>
      </c>
      <c r="E229" s="18" t="inlineStr">
        <is>
          <t>yes</t>
        </is>
      </c>
      <c r="F229" s="18" t="inlineStr">
        <is>
          <t>yes</t>
        </is>
      </c>
      <c r="G229" s="12" t="inlineStr">
        <is>
          <t>pass</t>
        </is>
      </c>
      <c r="H229" s="22" t="inlineStr">
        <is>
          <t>covered</t>
        </is>
      </c>
      <c r="I229" s="13" t="inlineStr">
        <is>
          <t>DropdownMenu playground scenario.</t>
        </is>
      </c>
      <c r="J229" s="13" t="inlineStr">
        <is>
          <t>Complete.</t>
        </is>
      </c>
      <c r="K229" s="14">
        <f>IF(AND(E229="yes",F229="yes",H229="covered"),1,IF(H229="partial",0.5,0))</f>
        <v/>
      </c>
    </row>
    <row r="230" ht="32" customHeight="1" s="24">
      <c r="A230" s="12" t="n">
        <v>222</v>
      </c>
      <c r="B230" s="13" t="inlineStr">
        <is>
          <t>Mobile</t>
        </is>
      </c>
      <c r="C230" s="13" t="inlineStr">
        <is>
          <t>Touch</t>
        </is>
      </c>
      <c r="D230" s="13" t="inlineStr">
        <is>
          <t>touch selects radio item</t>
        </is>
      </c>
      <c r="E230" s="18" t="inlineStr">
        <is>
          <t>yes</t>
        </is>
      </c>
      <c r="F230" s="18" t="inlineStr">
        <is>
          <t>yes</t>
        </is>
      </c>
      <c r="G230" s="12" t="inlineStr">
        <is>
          <t>pass</t>
        </is>
      </c>
      <c r="H230" s="22" t="inlineStr">
        <is>
          <t>covered</t>
        </is>
      </c>
      <c r="I230" s="13" t="inlineStr">
        <is>
          <t>DropdownMenu playground scenario.</t>
        </is>
      </c>
      <c r="J230" s="13" t="inlineStr">
        <is>
          <t>Complete.</t>
        </is>
      </c>
      <c r="K230" s="14">
        <f>IF(AND(E230="yes",F230="yes",H230="covered"),1,IF(H230="partial",0.5,0))</f>
        <v/>
      </c>
    </row>
    <row r="231" ht="32" customHeight="1" s="24">
      <c r="A231" s="12" t="n">
        <v>223</v>
      </c>
      <c r="B231" s="13" t="inlineStr">
        <is>
          <t>Mobile</t>
        </is>
      </c>
      <c r="C231" s="13" t="inlineStr">
        <is>
          <t>Touch</t>
        </is>
      </c>
      <c r="D231" s="13" t="inlineStr">
        <is>
          <t>touch opens submenu</t>
        </is>
      </c>
      <c r="E231" s="18" t="inlineStr">
        <is>
          <t>yes</t>
        </is>
      </c>
      <c r="F231" s="18" t="inlineStr">
        <is>
          <t>yes</t>
        </is>
      </c>
      <c r="G231" s="12" t="inlineStr">
        <is>
          <t>pass</t>
        </is>
      </c>
      <c r="H231" s="22" t="inlineStr">
        <is>
          <t>covered</t>
        </is>
      </c>
      <c r="I231" s="13" t="inlineStr">
        <is>
          <t>DropdownMenu playground scenario.</t>
        </is>
      </c>
      <c r="J231" s="13" t="inlineStr">
        <is>
          <t>Complete.</t>
        </is>
      </c>
      <c r="K231" s="14">
        <f>IF(AND(E231="yes",F231="yes",H231="covered"),1,IF(H231="partial",0.5,0))</f>
        <v/>
      </c>
    </row>
    <row r="232" ht="32" customHeight="1" s="24">
      <c r="A232" s="12" t="n">
        <v>224</v>
      </c>
      <c r="B232" s="13" t="inlineStr">
        <is>
          <t>Mobile</t>
        </is>
      </c>
      <c r="C232" s="13" t="inlineStr">
        <is>
          <t>Touch</t>
        </is>
      </c>
      <c r="D232" s="13" t="inlineStr">
        <is>
          <t>outside touch closes dropdown</t>
        </is>
      </c>
      <c r="E232" s="18" t="inlineStr">
        <is>
          <t>yes</t>
        </is>
      </c>
      <c r="F232" s="18" t="inlineStr">
        <is>
          <t>yes</t>
        </is>
      </c>
      <c r="G232" s="12" t="inlineStr">
        <is>
          <t>pass</t>
        </is>
      </c>
      <c r="H232" s="22" t="inlineStr">
        <is>
          <t>covered</t>
        </is>
      </c>
      <c r="I232" s="13" t="inlineStr">
        <is>
          <t>DropdownMenu playground scenario.</t>
        </is>
      </c>
      <c r="J232" s="13" t="inlineStr">
        <is>
          <t>Complete.</t>
        </is>
      </c>
      <c r="K232" s="14">
        <f>IF(AND(E232="yes",F232="yes",H232="covered"),1,IF(H232="partial",0.5,0))</f>
        <v/>
      </c>
    </row>
    <row r="233" ht="30" customHeight="1" s="24">
      <c r="A233" s="12" t="n">
        <v>225</v>
      </c>
      <c r="B233" s="13" t="inlineStr">
        <is>
          <t>Keyboard</t>
        </is>
      </c>
      <c r="C233" s="13" t="inlineStr">
        <is>
          <t>Typeahead</t>
        </is>
      </c>
      <c r="D233" s="13" t="inlineStr">
        <is>
          <t>single-character typeahead cycles from current matching item after buffer reset</t>
        </is>
      </c>
      <c r="E233" s="18" t="inlineStr">
        <is>
          <t>yes</t>
        </is>
      </c>
      <c r="F233" s="18" t="inlineStr">
        <is>
          <t>yes</t>
        </is>
      </c>
      <c r="G233" s="12" t="inlineStr">
        <is>
          <t>pass</t>
        </is>
      </c>
      <c r="H233" s="22" t="inlineStr">
        <is>
          <t>covered</t>
        </is>
      </c>
      <c r="I233" s="13" t="inlineStr">
        <is>
          <t>Dropdown Menu typeahead cycle batch; manually verified.</t>
        </is>
      </c>
      <c r="J233" s="13" t="inlineStr">
        <is>
          <t>Complete.</t>
        </is>
      </c>
      <c r="K233" s="14">
        <f>IF(AND(E233="yes",F233="yes",H233="covered"),1,IF(H233="partial",0.5,0))</f>
        <v/>
      </c>
    </row>
    <row r="234" ht="30" customHeight="1" s="24">
      <c r="A234" s="12" t="n">
        <v>226</v>
      </c>
      <c r="B234" s="13" t="inlineStr">
        <is>
          <t>Direction</t>
        </is>
      </c>
      <c r="C234" s="13" t="inlineStr">
        <is>
          <t>Submenu</t>
        </is>
      </c>
      <c r="D234" s="13" t="inlineStr">
        <is>
          <t>reads Direction.Provider context for submenu keyboard behavior</t>
        </is>
      </c>
      <c r="E234" s="21" t="inlineStr">
        <is>
          <t>yes</t>
        </is>
      </c>
      <c r="F234" s="19" t="inlineStr">
        <is>
          <t>yes</t>
        </is>
      </c>
      <c r="G234" s="12" t="inlineStr">
        <is>
          <t>pass</t>
        </is>
      </c>
      <c r="H234" s="21" t="inlineStr">
        <is>
          <t>covered</t>
        </is>
      </c>
      <c r="I234" s="13" t="inlineStr">
        <is>
          <t>DropdownMenu playground direction scenario; manually verified.</t>
        </is>
      </c>
      <c r="J234" s="13" t="inlineStr">
        <is>
          <t>Complete.</t>
        </is>
      </c>
      <c r="K234" s="14">
        <f>IF(AND(E234="yes",F234="yes",H234="covered"),1,IF(H234="partial",0.5,0))</f>
        <v/>
      </c>
    </row>
    <row r="235" ht="30" customHeight="1" s="24">
      <c r="A235" s="12" t="n">
        <v>227</v>
      </c>
      <c r="B235" s="13" t="inlineStr">
        <is>
          <t>Direction</t>
        </is>
      </c>
      <c r="C235" s="13" t="inlineStr">
        <is>
          <t>Submenu</t>
        </is>
      </c>
      <c r="D235" s="13" t="inlineStr">
        <is>
          <t>RTL mirrors submenu ArrowLeft and ArrowRight open/close behavior</t>
        </is>
      </c>
      <c r="E235" s="21" t="inlineStr">
        <is>
          <t>yes</t>
        </is>
      </c>
      <c r="F235" s="19" t="inlineStr">
        <is>
          <t>yes</t>
        </is>
      </c>
      <c r="G235" s="12" t="inlineStr">
        <is>
          <t>pass</t>
        </is>
      </c>
      <c r="H235" s="21" t="inlineStr">
        <is>
          <t>covered</t>
        </is>
      </c>
      <c r="I235" s="13" t="inlineStr">
        <is>
          <t>DropdownMenu playground direction scenario; manually verified.</t>
        </is>
      </c>
      <c r="J235" s="13" t="inlineStr">
        <is>
          <t>Complete.</t>
        </is>
      </c>
      <c r="K235" s="14">
        <f>IF(AND(E235="yes",F235="yes",H235="covered"),1,IF(H235="partial",0.5,0))</f>
        <v/>
      </c>
    </row>
    <row r="236" ht="30" customHeight="1" s="24">
      <c r="A236" s="12" t="n">
        <v>228</v>
      </c>
      <c r="B236" s="13" t="inlineStr">
        <is>
          <t>Playground</t>
        </is>
      </c>
      <c r="C236" s="13" t="inlineStr">
        <is>
          <t>Direction controls</t>
        </is>
      </c>
      <c r="D236" s="13" t="inlineStr">
        <is>
          <t>scenario exposes provider direction controls</t>
        </is>
      </c>
      <c r="E236" s="21" t="inlineStr">
        <is>
          <t>yes</t>
        </is>
      </c>
      <c r="F236" s="19" t="inlineStr">
        <is>
          <t>yes</t>
        </is>
      </c>
      <c r="G236" s="12" t="inlineStr">
        <is>
          <t>pass</t>
        </is>
      </c>
      <c r="H236" s="21" t="inlineStr">
        <is>
          <t>covered</t>
        </is>
      </c>
      <c r="I236" s="13" t="inlineStr">
        <is>
          <t>DropdownMenu playground direction scenario; manually verified.</t>
        </is>
      </c>
      <c r="J236" s="13" t="inlineStr">
        <is>
          <t>Complete.</t>
        </is>
      </c>
      <c r="K236" s="14">
        <f>IF(AND(E236="yes",F236="yes",H236="covered"),1,IF(H236="partial",0.5,0))</f>
        <v/>
      </c>
    </row>
  </sheetData>
  <autoFilter ref="A8:K236"/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Feed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IFERROR(SUM(K9:K64)/COUNT(K9:K64),0)</f>
        <v/>
      </c>
      <c r="C4" s="8" t="inlineStr">
        <is>
          <t>Covered</t>
        </is>
      </c>
      <c r="D4" s="10">
        <f>COUNTIFS(E9:E64,"yes",F9:F64,"yes",H9:H64,"covered")</f>
        <v/>
      </c>
      <c r="E4" s="8" t="inlineStr">
        <is>
          <t>Partial</t>
        </is>
      </c>
      <c r="F4" s="10">
        <f>COUNTIF(H9:H64,"partial")</f>
        <v/>
      </c>
      <c r="G4" s="8" t="inlineStr">
        <is>
          <t>Missing</t>
        </is>
      </c>
      <c r="H4" s="10">
        <f>COUNTIFS(E9:E64,"&lt;&gt;yes") + COUNTIFS(E9:E64,"yes",H9:H64,"missing")</f>
        <v/>
      </c>
      <c r="I4" s="8" t="inlineStr">
        <is>
          <t>Untested</t>
        </is>
      </c>
      <c r="J4" s="10">
        <f>COUNTIFS(E9:E64,"yes",F9:F64,"&lt;&gt;yes") + COUNTIFS(E9:E64,"yes",F9:F64,"yes",H9:H64,"untested")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Feed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Feed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Feed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Feed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Feed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Feed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Feed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Feed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Feed</t>
        </is>
      </c>
      <c r="D13" s="13" t="inlineStr">
        <is>
          <t>Implements `role="feed"` and `role="article"`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Feed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Feed</t>
        </is>
      </c>
      <c r="D14" s="13" t="inlineStr">
        <is>
          <t>Supports known and unknown feed sizes with `aria-setsize`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Feed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Feed</t>
        </is>
      </c>
      <c r="D15" s="13" t="inlineStr">
        <is>
          <t>Supports article position announcements with `aria-posinset`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Feed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Feed</t>
        </is>
      </c>
      <c r="D16" s="13" t="inlineStr">
        <is>
          <t>Supports feed loading state with `aria-busy`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Feed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45" customHeight="1" s="24">
      <c r="A17" s="12" t="n">
        <v>9</v>
      </c>
      <c r="B17" s="13" t="inlineStr">
        <is>
          <t>Feature</t>
        </is>
      </c>
      <c r="C17" s="13" t="inlineStr">
        <is>
          <t>Feed</t>
        </is>
      </c>
      <c r="D17" s="13" t="inlineStr">
        <is>
          <t>Implements Page Up, Page Down, Control/Command + Home, and Control/Command + End feed keyboard behavior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Feed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Feed</t>
        </is>
      </c>
      <c r="D18" s="13" t="inlineStr">
        <is>
          <t>Keeps layout, fetching, virtualization, and item rendering outside the primitive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Feed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Feed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Feed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Feed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Feed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Feed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Feed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busy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Feed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setSize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Feed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Composition</t>
        </is>
      </c>
      <c r="C27" s="13" t="inlineStr">
        <is>
          <t>Root</t>
        </is>
      </c>
      <c r="D27" s="13" t="inlineStr">
        <is>
          <t>asChild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Feed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Composition</t>
        </is>
      </c>
      <c r="C28" s="13" t="inlineStr">
        <is>
          <t>Root</t>
        </is>
      </c>
      <c r="D28" s="13" t="inlineStr">
        <is>
          <t>render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Feed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[data-slot]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Feed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[data-busy]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Feed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Anatomy</t>
        </is>
      </c>
      <c r="C31" s="13" t="inlineStr">
        <is>
          <t>Item</t>
        </is>
      </c>
      <c r="D31" s="13" t="inlineStr">
        <is>
          <t>renders correct part when expected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Feed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Anatomy</t>
        </is>
      </c>
      <c r="C32" s="13" t="inlineStr">
        <is>
          <t>Item</t>
        </is>
      </c>
      <c r="D32" s="13" t="inlineStr">
        <is>
          <t>appears in documented order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Feed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Identity</t>
        </is>
      </c>
      <c r="C33" s="13" t="inlineStr">
        <is>
          <t>Item</t>
        </is>
      </c>
      <c r="D33" s="13" t="inlineStr">
        <is>
          <t>default tag is visible in Anatomy/Inspector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Feed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Identity</t>
        </is>
      </c>
      <c r="C34" s="13" t="inlineStr">
        <is>
          <t>Item</t>
        </is>
      </c>
      <c r="D34" s="13" t="inlineStr">
        <is>
          <t>data-slot is present and correct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Feed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30" customHeight="1" s="24">
      <c r="A35" s="12" t="n">
        <v>27</v>
      </c>
      <c r="B35" s="13" t="inlineStr">
        <is>
          <t>Props</t>
        </is>
      </c>
      <c r="C35" s="13" t="inlineStr">
        <is>
          <t>Item</t>
        </is>
      </c>
      <c r="D35" s="13" t="inlineStr">
        <is>
          <t>non-Atom native props pass through with data-prop-check marker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Feed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Refs</t>
        </is>
      </c>
      <c r="C36" s="13" t="inlineStr">
        <is>
          <t>Item</t>
        </is>
      </c>
      <c r="D36" s="13" t="inlineStr">
        <is>
          <t>consumer ref receives the rendered element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Feed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Item</t>
        </is>
      </c>
      <c r="D37" s="13" t="inlineStr">
        <is>
          <t>position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Feed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Item</t>
        </is>
      </c>
      <c r="D38" s="13" t="inlineStr">
        <is>
          <t>index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Feed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Item</t>
        </is>
      </c>
      <c r="D39" s="13" t="inlineStr">
        <is>
          <t>setSize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Feed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Composition</t>
        </is>
      </c>
      <c r="C40" s="13" t="inlineStr">
        <is>
          <t>Item</t>
        </is>
      </c>
      <c r="D40" s="13" t="inlineStr">
        <is>
          <t>asChild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Feed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Composition</t>
        </is>
      </c>
      <c r="C41" s="13" t="inlineStr">
        <is>
          <t>Item</t>
        </is>
      </c>
      <c r="D41" s="13" t="inlineStr">
        <is>
          <t>render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Feed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Item</t>
        </is>
      </c>
      <c r="D42" s="13" t="inlineStr">
        <is>
          <t>[data-slot]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Feed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Item</t>
        </is>
      </c>
      <c r="D43" s="13" t="inlineStr">
        <is>
          <t>[data-position]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Feed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Item</t>
        </is>
      </c>
      <c r="D44" s="13" t="inlineStr">
        <is>
          <t>[data-setsize]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Feed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ARIA</t>
        </is>
      </c>
      <c r="C45" s="13" t="inlineStr">
        <is>
          <t>Live DOM</t>
        </is>
      </c>
      <c r="D45" s="13" t="inlineStr">
        <is>
          <t>aria-busy is present at the correct time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Feed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ARIA</t>
        </is>
      </c>
      <c r="C46" s="13" t="inlineStr">
        <is>
          <t>Live DOM</t>
        </is>
      </c>
      <c r="D46" s="13" t="inlineStr">
        <is>
          <t>aria-posinset is present at the correct time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Feed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ARIA</t>
        </is>
      </c>
      <c r="C47" s="13" t="inlineStr">
        <is>
          <t>Live DOM</t>
        </is>
      </c>
      <c r="D47" s="13" t="inlineStr">
        <is>
          <t>aria-setsize is present at the correct time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Feed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Data</t>
        </is>
      </c>
      <c r="C48" s="13" t="inlineStr">
        <is>
          <t>Live DOM</t>
        </is>
      </c>
      <c r="D48" s="13" t="inlineStr">
        <is>
          <t>data-busy is present at the correct time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Feed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Data</t>
        </is>
      </c>
      <c r="C49" s="13" t="inlineStr">
        <is>
          <t>Live DOM</t>
        </is>
      </c>
      <c r="D49" s="13" t="inlineStr">
        <is>
          <t>data-position is present at the correct time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Feed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Data</t>
        </is>
      </c>
      <c r="C50" s="13" t="inlineStr">
        <is>
          <t>Live DOM</t>
        </is>
      </c>
      <c r="D50" s="13" t="inlineStr">
        <is>
          <t>data-setsize is present at the correct time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Feed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Data</t>
        </is>
      </c>
      <c r="C51" s="13" t="inlineStr">
        <is>
          <t>Live DOM</t>
        </is>
      </c>
      <c r="D51" s="13" t="inlineStr">
        <is>
          <t>data-slot is present at the correct time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Feed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Composition</t>
        </is>
      </c>
      <c r="C52" s="13" t="inlineStr">
        <is>
          <t>Feed</t>
        </is>
      </c>
      <c r="D52" s="13" t="inlineStr">
        <is>
          <t>asChild preserves child content without double nesting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Feed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Composition</t>
        </is>
      </c>
      <c r="C53" s="13" t="inlineStr">
        <is>
          <t>Feed</t>
        </is>
      </c>
      <c r="D53" s="13" t="inlineStr">
        <is>
          <t>asChild merges Atom props and consumer props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Feed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30" customHeight="1" s="24">
      <c r="A54" s="12" t="n">
        <v>46</v>
      </c>
      <c r="B54" s="13" t="inlineStr">
        <is>
          <t>Composition</t>
        </is>
      </c>
      <c r="C54" s="13" t="inlineStr">
        <is>
          <t>Feed</t>
        </is>
      </c>
      <c r="D54" s="13" t="inlineStr">
        <is>
          <t>asChild lets preventDefault block Atom behavior where supported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Feed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Composition</t>
        </is>
      </c>
      <c r="C55" s="13" t="inlineStr">
        <is>
          <t>Feed</t>
        </is>
      </c>
      <c r="D55" s="13" t="inlineStr">
        <is>
          <t>render prop renders custom element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Feed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Composition</t>
        </is>
      </c>
      <c r="C56" s="13" t="inlineStr">
        <is>
          <t>Feed</t>
        </is>
      </c>
      <c r="D56" s="13" t="inlineStr">
        <is>
          <t>render prop preserves refs and behavior props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Feed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Keyboard</t>
        </is>
      </c>
      <c r="C57" s="13" t="inlineStr">
        <is>
          <t>Feed</t>
        </is>
      </c>
      <c r="D57" s="13" t="inlineStr">
        <is>
          <t>End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Feed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Keyboard</t>
        </is>
      </c>
      <c r="C58" s="13" t="inlineStr">
        <is>
          <t>Feed</t>
        </is>
      </c>
      <c r="D58" s="13" t="inlineStr">
        <is>
          <t>Home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Feed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Keyboard</t>
        </is>
      </c>
      <c r="C59" s="13" t="inlineStr">
        <is>
          <t>Feed</t>
        </is>
      </c>
      <c r="D59" s="13" t="inlineStr">
        <is>
          <t>PageDown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Feed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Keyboard</t>
        </is>
      </c>
      <c r="C60" s="13" t="inlineStr">
        <is>
          <t>Feed</t>
        </is>
      </c>
      <c r="D60" s="13" t="inlineStr">
        <is>
          <t>Arrow key navigation follows documented orientation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Feed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Keyboard</t>
        </is>
      </c>
      <c r="C61" s="13" t="inlineStr">
        <is>
          <t>Feed</t>
        </is>
      </c>
      <c r="D61" s="13" t="inlineStr">
        <is>
          <t>Home and End navigation where supported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Feed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Keyboard</t>
        </is>
      </c>
      <c r="C62" s="13" t="inlineStr">
        <is>
          <t>Feed</t>
        </is>
      </c>
      <c r="D62" s="13" t="inlineStr">
        <is>
          <t>disabled items are skipped or exposed according to pattern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Feed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Keyboard</t>
        </is>
      </c>
      <c r="C63" s="13" t="inlineStr">
        <is>
          <t>Feed</t>
        </is>
      </c>
      <c r="D63" s="13" t="inlineStr">
        <is>
          <t>typeahead/search behavior where supported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Feed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Focus</t>
        </is>
      </c>
      <c r="C64" s="13" t="inlineStr">
        <is>
          <t>Feed</t>
        </is>
      </c>
      <c r="D64" s="13" t="inlineStr">
        <is>
          <t>roving focus or active descendant state is visible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Feed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</sheetData>
  <autoFilter ref="A8:K64"/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Field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IFERROR(SUM(K9:K104)/COUNT(K9:K104),0)</f>
        <v/>
      </c>
      <c r="C4" s="8" t="inlineStr">
        <is>
          <t>Covered</t>
        </is>
      </c>
      <c r="D4" s="10">
        <f>COUNTIFS(E9:E104,"yes",F9:F104,"yes",H9:H104,"covered")</f>
        <v/>
      </c>
      <c r="E4" s="8" t="inlineStr">
        <is>
          <t>Partial</t>
        </is>
      </c>
      <c r="F4" s="10">
        <f>COUNTIF(H9:H104,"partial")</f>
        <v/>
      </c>
      <c r="G4" s="8" t="inlineStr">
        <is>
          <t>Missing</t>
        </is>
      </c>
      <c r="H4" s="10">
        <f>COUNTIFS(E9:E104,"&lt;&gt;yes") + COUNTIFS(E9:E104,"yes",H9:H104,"missing")</f>
        <v/>
      </c>
      <c r="I4" s="8" t="inlineStr">
        <is>
          <t>Untested</t>
        </is>
      </c>
      <c r="J4" s="10">
        <f>COUNTIFS(E9:E104,"yes",F9:F104,"&lt;&gt;yes") + COUNTIFS(E9:E104,"yes",F9:F104,"yes",H9:H104,"untested")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Field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Field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Field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Field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30" customHeight="1" s="24">
      <c r="A11" s="12" t="n">
        <v>3</v>
      </c>
      <c r="B11" s="13" t="inlineStr">
        <is>
          <t>Playground</t>
        </is>
      </c>
      <c r="C11" s="13" t="inlineStr">
        <is>
          <t>Field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Field playground page uses shared Canvas/Source, Anatomy, Inspector, and Log infrastructure.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Field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Field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Feature</t>
        </is>
      </c>
      <c r="C13" s="13" t="inlineStr">
        <is>
          <t>Field</t>
        </is>
      </c>
      <c r="D13" s="13" t="inlineStr">
        <is>
          <t>Generates stable IDs for label, control, description, and error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Field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Feature</t>
        </is>
      </c>
      <c r="C14" s="13" t="inlineStr">
        <is>
          <t>Field</t>
        </is>
      </c>
      <c r="D14" s="13" t="inlineStr">
        <is>
          <t>Wires Field-aware controls to descriptions and visible errors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Field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Field</t>
        </is>
      </c>
      <c r="D15" s="13" t="inlineStr">
        <is>
          <t>Shares disabled, required, readonly, and invalid state with child controls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Field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Field</t>
        </is>
      </c>
      <c r="D16" s="13" t="inlineStr">
        <is>
          <t>Supports required and optional label indicators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Field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Field</t>
        </is>
      </c>
      <c r="D17" s="13" t="inlineStr">
        <is>
          <t>Keeps layout outside Atom through `data-orientation`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Field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Field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4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Field form-field playground page exposes this part/prop in Anatomy, Inspector, Source, or toolbar controls.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4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Field source/anatomy documents whether Root renders DOM; Inspector verifies rendered descendants.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Field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Field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Field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45" customHeight="1" s="24">
      <c r="A24" s="12" t="n">
        <v>16</v>
      </c>
      <c r="B24" s="13" t="inlineStr">
        <is>
          <t>Public API</t>
        </is>
      </c>
      <c r="C24" s="13" t="inlineStr">
        <is>
          <t>Root</t>
        </is>
      </c>
      <c r="D24" s="13" t="inlineStr">
        <is>
          <t>id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Field form-field playground page exposes this part/prop in Anatomy, Inspector, Source, or toolbar controls.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disabled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Field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required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Field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readOnly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Field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invalid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Field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orientation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Field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Composition</t>
        </is>
      </c>
      <c r="C30" s="13" t="inlineStr">
        <is>
          <t>Root</t>
        </is>
      </c>
      <c r="D30" s="13" t="inlineStr">
        <is>
          <t>asChild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Field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Composition</t>
        </is>
      </c>
      <c r="C31" s="13" t="inlineStr">
        <is>
          <t>Root</t>
        </is>
      </c>
      <c r="D31" s="13" t="inlineStr">
        <is>
          <t>render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Field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[data-slot]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Field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[data-orientation]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Field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State</t>
        </is>
      </c>
      <c r="C34" s="13" t="inlineStr">
        <is>
          <t>Root</t>
        </is>
      </c>
      <c r="D34" s="13" t="inlineStr">
        <is>
          <t>[data-disabled]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Field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Root</t>
        </is>
      </c>
      <c r="D35" s="13" t="inlineStr">
        <is>
          <t>[data-required]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Field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State</t>
        </is>
      </c>
      <c r="C36" s="13" t="inlineStr">
        <is>
          <t>Root</t>
        </is>
      </c>
      <c r="D36" s="13" t="inlineStr">
        <is>
          <t>[data-readonly]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Field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State</t>
        </is>
      </c>
      <c r="C37" s="13" t="inlineStr">
        <is>
          <t>Root</t>
        </is>
      </c>
      <c r="D37" s="13" t="inlineStr">
        <is>
          <t>[data-invalid]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Field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Anatomy</t>
        </is>
      </c>
      <c r="C38" s="13" t="inlineStr">
        <is>
          <t>Label</t>
        </is>
      </c>
      <c r="D38" s="13" t="inlineStr">
        <is>
          <t>renders correct part when expected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Field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45" customHeight="1" s="24">
      <c r="A39" s="12" t="n">
        <v>31</v>
      </c>
      <c r="B39" s="13" t="inlineStr">
        <is>
          <t>Anatomy</t>
        </is>
      </c>
      <c r="C39" s="13" t="inlineStr">
        <is>
          <t>Label</t>
        </is>
      </c>
      <c r="D39" s="13" t="inlineStr">
        <is>
          <t>appears in documented order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Field form-field playground page exposes this part/prop in Anatomy, Inspector, Source, or toolbar controls.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45" customHeight="1" s="24">
      <c r="A40" s="12" t="n">
        <v>32</v>
      </c>
      <c r="B40" s="13" t="inlineStr">
        <is>
          <t>Identity</t>
        </is>
      </c>
      <c r="C40" s="13" t="inlineStr">
        <is>
          <t>Label</t>
        </is>
      </c>
      <c r="D40" s="13" t="inlineStr">
        <is>
          <t>default tag is visible in Anatomy/Inspector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Field form-field playground page exposes this part/prop in Anatomy, Inspector, Source, or toolbar controls.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Identity</t>
        </is>
      </c>
      <c r="C41" s="13" t="inlineStr">
        <is>
          <t>Label</t>
        </is>
      </c>
      <c r="D41" s="13" t="inlineStr">
        <is>
          <t>data-slot is present and correct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Field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30" customHeight="1" s="24">
      <c r="A42" s="12" t="n">
        <v>34</v>
      </c>
      <c r="B42" s="13" t="inlineStr">
        <is>
          <t>Props</t>
        </is>
      </c>
      <c r="C42" s="13" t="inlineStr">
        <is>
          <t>Label</t>
        </is>
      </c>
      <c r="D42" s="13" t="inlineStr">
        <is>
          <t>non-Atom native props pass through with data-prop-check marker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Field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Refs</t>
        </is>
      </c>
      <c r="C43" s="13" t="inlineStr">
        <is>
          <t>Label</t>
        </is>
      </c>
      <c r="D43" s="13" t="inlineStr">
        <is>
          <t>consumer ref receives the rendered element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Field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State</t>
        </is>
      </c>
      <c r="C44" s="13" t="inlineStr">
        <is>
          <t>Label</t>
        </is>
      </c>
      <c r="D44" s="13" t="inlineStr">
        <is>
          <t>requiredIndicator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Field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45" customHeight="1" s="24">
      <c r="A45" s="12" t="n">
        <v>37</v>
      </c>
      <c r="B45" s="13" t="inlineStr">
        <is>
          <t>Public API</t>
        </is>
      </c>
      <c r="C45" s="13" t="inlineStr">
        <is>
          <t>Label</t>
        </is>
      </c>
      <c r="D45" s="13" t="inlineStr">
        <is>
          <t>optionalIndicator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Field form-field playground page exposes this part/prop in Anatomy, Inspector, Source, or toolbar controls.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State</t>
        </is>
      </c>
      <c r="C46" s="13" t="inlineStr">
        <is>
          <t>Label</t>
        </is>
      </c>
      <c r="D46" s="13" t="inlineStr">
        <is>
          <t>disabled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Field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State</t>
        </is>
      </c>
      <c r="C47" s="13" t="inlineStr">
        <is>
          <t>Label</t>
        </is>
      </c>
      <c r="D47" s="13" t="inlineStr">
        <is>
          <t>required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Field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State</t>
        </is>
      </c>
      <c r="C48" s="13" t="inlineStr">
        <is>
          <t>Label</t>
        </is>
      </c>
      <c r="D48" s="13" t="inlineStr">
        <is>
          <t>readOnly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Field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State</t>
        </is>
      </c>
      <c r="C49" s="13" t="inlineStr">
        <is>
          <t>Label</t>
        </is>
      </c>
      <c r="D49" s="13" t="inlineStr">
        <is>
          <t>invalid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Field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Composition</t>
        </is>
      </c>
      <c r="C50" s="13" t="inlineStr">
        <is>
          <t>Label</t>
        </is>
      </c>
      <c r="D50" s="13" t="inlineStr">
        <is>
          <t>asChild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Field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Composition</t>
        </is>
      </c>
      <c r="C51" s="13" t="inlineStr">
        <is>
          <t>Label</t>
        </is>
      </c>
      <c r="D51" s="13" t="inlineStr">
        <is>
          <t>render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Field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Label</t>
        </is>
      </c>
      <c r="D52" s="13" t="inlineStr">
        <is>
          <t>[data-slot]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Field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State</t>
        </is>
      </c>
      <c r="C53" s="13" t="inlineStr">
        <is>
          <t>Label</t>
        </is>
      </c>
      <c r="D53" s="13" t="inlineStr">
        <is>
          <t>[data-disabled]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Field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State</t>
        </is>
      </c>
      <c r="C54" s="13" t="inlineStr">
        <is>
          <t>Label</t>
        </is>
      </c>
      <c r="D54" s="13" t="inlineStr">
        <is>
          <t>[data-required]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Field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State</t>
        </is>
      </c>
      <c r="C55" s="13" t="inlineStr">
        <is>
          <t>Label</t>
        </is>
      </c>
      <c r="D55" s="13" t="inlineStr">
        <is>
          <t>[data-readonly]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Field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State</t>
        </is>
      </c>
      <c r="C56" s="13" t="inlineStr">
        <is>
          <t>Label</t>
        </is>
      </c>
      <c r="D56" s="13" t="inlineStr">
        <is>
          <t>[data-invalid]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Field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Description</t>
        </is>
      </c>
      <c r="D57" s="13" t="inlineStr">
        <is>
          <t>renders correct part when expected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Field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45" customHeight="1" s="24">
      <c r="A58" s="12" t="n">
        <v>50</v>
      </c>
      <c r="B58" s="13" t="inlineStr">
        <is>
          <t>Anatomy</t>
        </is>
      </c>
      <c r="C58" s="13" t="inlineStr">
        <is>
          <t>Description</t>
        </is>
      </c>
      <c r="D58" s="13" t="inlineStr">
        <is>
          <t>appears in documented order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Field form-field playground page exposes this part/prop in Anatomy, Inspector, Source, or toolbar controls.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45" customHeight="1" s="24">
      <c r="A59" s="12" t="n">
        <v>51</v>
      </c>
      <c r="B59" s="13" t="inlineStr">
        <is>
          <t>Identity</t>
        </is>
      </c>
      <c r="C59" s="13" t="inlineStr">
        <is>
          <t>Description</t>
        </is>
      </c>
      <c r="D59" s="13" t="inlineStr">
        <is>
          <t>default tag is visible in Anatomy/Inspector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Field form-field playground page exposes this part/prop in Anatomy, Inspector, Source, or toolbar controls.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Identity</t>
        </is>
      </c>
      <c r="C60" s="13" t="inlineStr">
        <is>
          <t>Description</t>
        </is>
      </c>
      <c r="D60" s="13" t="inlineStr">
        <is>
          <t>data-slot is present and correct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Field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30" customHeight="1" s="24">
      <c r="A61" s="12" t="n">
        <v>53</v>
      </c>
      <c r="B61" s="13" t="inlineStr">
        <is>
          <t>Props</t>
        </is>
      </c>
      <c r="C61" s="13" t="inlineStr">
        <is>
          <t>Description</t>
        </is>
      </c>
      <c r="D61" s="13" t="inlineStr">
        <is>
          <t>non-Atom native props pass through with data-prop-check marker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Field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Refs</t>
        </is>
      </c>
      <c r="C62" s="13" t="inlineStr">
        <is>
          <t>Description</t>
        </is>
      </c>
      <c r="D62" s="13" t="inlineStr">
        <is>
          <t>consumer ref receives the rendered element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Field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Composition</t>
        </is>
      </c>
      <c r="C63" s="13" t="inlineStr">
        <is>
          <t>Description</t>
        </is>
      </c>
      <c r="D63" s="13" t="inlineStr">
        <is>
          <t>asChild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Field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Composition</t>
        </is>
      </c>
      <c r="C64" s="13" t="inlineStr">
        <is>
          <t>Description</t>
        </is>
      </c>
      <c r="D64" s="13" t="inlineStr">
        <is>
          <t>render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Field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Public API</t>
        </is>
      </c>
      <c r="C65" s="13" t="inlineStr">
        <is>
          <t>Description</t>
        </is>
      </c>
      <c r="D65" s="13" t="inlineStr">
        <is>
          <t>[data-slot]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Field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Anatomy</t>
        </is>
      </c>
      <c r="C66" s="13" t="inlineStr">
        <is>
          <t>Error</t>
        </is>
      </c>
      <c r="D66" s="13" t="inlineStr">
        <is>
          <t>renders correct part when expected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Field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45" customHeight="1" s="24">
      <c r="A67" s="12" t="n">
        <v>59</v>
      </c>
      <c r="B67" s="13" t="inlineStr">
        <is>
          <t>Anatomy</t>
        </is>
      </c>
      <c r="C67" s="13" t="inlineStr">
        <is>
          <t>Error</t>
        </is>
      </c>
      <c r="D67" s="13" t="inlineStr">
        <is>
          <t>appears in documented order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Field form-field playground page exposes this part/prop in Anatomy, Inspector, Source, or toolbar controls.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45" customHeight="1" s="24">
      <c r="A68" s="12" t="n">
        <v>60</v>
      </c>
      <c r="B68" s="13" t="inlineStr">
        <is>
          <t>Identity</t>
        </is>
      </c>
      <c r="C68" s="13" t="inlineStr">
        <is>
          <t>Error</t>
        </is>
      </c>
      <c r="D68" s="13" t="inlineStr">
        <is>
          <t>default tag is visible in Anatomy/Inspector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Field form-field playground page exposes this part/prop in Anatomy, Inspector, Source, or toolbar controls.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Identity</t>
        </is>
      </c>
      <c r="C69" s="13" t="inlineStr">
        <is>
          <t>Error</t>
        </is>
      </c>
      <c r="D69" s="13" t="inlineStr">
        <is>
          <t>data-slot is present and correct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Field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30" customHeight="1" s="24">
      <c r="A70" s="12" t="n">
        <v>62</v>
      </c>
      <c r="B70" s="13" t="inlineStr">
        <is>
          <t>Props</t>
        </is>
      </c>
      <c r="C70" s="13" t="inlineStr">
        <is>
          <t>Error</t>
        </is>
      </c>
      <c r="D70" s="13" t="inlineStr">
        <is>
          <t>non-Atom native props pass through with data-prop-check marker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Field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Refs</t>
        </is>
      </c>
      <c r="C71" s="13" t="inlineStr">
        <is>
          <t>Error</t>
        </is>
      </c>
      <c r="D71" s="13" t="inlineStr">
        <is>
          <t>consumer ref receives the rendered element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Field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45" customHeight="1" s="24">
      <c r="A72" s="12" t="n">
        <v>64</v>
      </c>
      <c r="B72" s="13" t="inlineStr">
        <is>
          <t>Public API</t>
        </is>
      </c>
      <c r="C72" s="13" t="inlineStr">
        <is>
          <t>Error</t>
        </is>
      </c>
      <c r="D72" s="13" t="inlineStr">
        <is>
          <t>match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Field form-field playground page exposes this part/prop in Anatomy, Inspector, Source, or toolbar controls.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45" customHeight="1" s="24">
      <c r="A73" s="12" t="n">
        <v>65</v>
      </c>
      <c r="B73" s="13" t="inlineStr">
        <is>
          <t>Public API</t>
        </is>
      </c>
      <c r="C73" s="13" t="inlineStr">
        <is>
          <t>Error</t>
        </is>
      </c>
      <c r="D73" s="13" t="inlineStr">
        <is>
          <t>forceMatch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Field form-field playground page exposes this part/prop in Anatomy, Inspector, Source, or toolbar controls.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Composition</t>
        </is>
      </c>
      <c r="C74" s="13" t="inlineStr">
        <is>
          <t>Error</t>
        </is>
      </c>
      <c r="D74" s="13" t="inlineStr">
        <is>
          <t>asChild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Field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Composition</t>
        </is>
      </c>
      <c r="C75" s="13" t="inlineStr">
        <is>
          <t>Error</t>
        </is>
      </c>
      <c r="D75" s="13" t="inlineStr">
        <is>
          <t>render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Field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Public API</t>
        </is>
      </c>
      <c r="C76" s="13" t="inlineStr">
        <is>
          <t>Error</t>
        </is>
      </c>
      <c r="D76" s="13" t="inlineStr">
        <is>
          <t>[data-slot]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Field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Anatomy</t>
        </is>
      </c>
      <c r="C77" s="13" t="inlineStr">
        <is>
          <t>RequiredIndicator</t>
        </is>
      </c>
      <c r="D77" s="13" t="inlineStr">
        <is>
          <t>renders correct part when expected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Field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45" customHeight="1" s="24">
      <c r="A78" s="12" t="n">
        <v>70</v>
      </c>
      <c r="B78" s="13" t="inlineStr">
        <is>
          <t>Anatomy</t>
        </is>
      </c>
      <c r="C78" s="13" t="inlineStr">
        <is>
          <t>RequiredIndicator</t>
        </is>
      </c>
      <c r="D78" s="13" t="inlineStr">
        <is>
          <t>appears in documented order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Field form-field playground page exposes this part/prop in Anatomy, Inspector, Source, or toolbar controls.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45" customHeight="1" s="24">
      <c r="A79" s="12" t="n">
        <v>71</v>
      </c>
      <c r="B79" s="13" t="inlineStr">
        <is>
          <t>Identity</t>
        </is>
      </c>
      <c r="C79" s="13" t="inlineStr">
        <is>
          <t>RequiredIndicator</t>
        </is>
      </c>
      <c r="D79" s="13" t="inlineStr">
        <is>
          <t>default tag is visible in Anatomy/Inspector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Field form-field playground page exposes this part/prop in Anatomy, Inspector, Source, or toolbar controls.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RequiredIndicator</t>
        </is>
      </c>
      <c r="D80" s="13" t="inlineStr">
        <is>
          <t>data-slot is present and correct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Field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Props</t>
        </is>
      </c>
      <c r="C81" s="13" t="inlineStr">
        <is>
          <t>RequiredIndicator</t>
        </is>
      </c>
      <c r="D81" s="13" t="inlineStr">
        <is>
          <t>non-Atom native props pass through with data-prop-check marker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Field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Refs</t>
        </is>
      </c>
      <c r="C82" s="13" t="inlineStr">
        <is>
          <t>RequiredIndicator</t>
        </is>
      </c>
      <c r="D82" s="13" t="inlineStr">
        <is>
          <t>consumer ref receives the rendered element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Field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45" customHeight="1" s="24">
      <c r="A83" s="12" t="n">
        <v>75</v>
      </c>
      <c r="B83" s="13" t="inlineStr">
        <is>
          <t>Public API</t>
        </is>
      </c>
      <c r="C83" s="13" t="inlineStr">
        <is>
          <t>RequiredIndicator</t>
        </is>
      </c>
      <c r="D83" s="13" t="inlineStr">
        <is>
          <t>fallback prop behavior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Field form-field playground page exposes this part/prop in Anatomy, Inspector, Source, or toolbar controls.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Composition</t>
        </is>
      </c>
      <c r="C84" s="13" t="inlineStr">
        <is>
          <t>RequiredIndicator</t>
        </is>
      </c>
      <c r="D84" s="13" t="inlineStr">
        <is>
          <t>asChild prop behavior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Field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Composition</t>
        </is>
      </c>
      <c r="C85" s="13" t="inlineStr">
        <is>
          <t>RequiredIndicator</t>
        </is>
      </c>
      <c r="D85" s="13" t="inlineStr">
        <is>
          <t>render prop behavior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Field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Public API</t>
        </is>
      </c>
      <c r="C86" s="13" t="inlineStr">
        <is>
          <t>RequiredIndicator</t>
        </is>
      </c>
      <c r="D86" s="13" t="inlineStr">
        <is>
          <t>[data-slot] prop behavior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Field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30" customHeight="1" s="24">
      <c r="A87" s="12" t="n">
        <v>79</v>
      </c>
      <c r="B87" s="13" t="inlineStr">
        <is>
          <t>ARIA</t>
        </is>
      </c>
      <c r="C87" s="13" t="inlineStr">
        <is>
          <t>Live DOM</t>
        </is>
      </c>
      <c r="D87" s="13" t="inlineStr">
        <is>
          <t>aria-hidden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Shared Anatomy/Inspector expose live ARIA/data attributes for Field when the part is rendered.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data-disabled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Field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Data</t>
        </is>
      </c>
      <c r="C89" s="13" t="inlineStr">
        <is>
          <t>Live DOM</t>
        </is>
      </c>
      <c r="D89" s="13" t="inlineStr">
        <is>
          <t>data-invalid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Field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Data</t>
        </is>
      </c>
      <c r="C90" s="13" t="inlineStr">
        <is>
          <t>Live DOM</t>
        </is>
      </c>
      <c r="D90" s="13" t="inlineStr">
        <is>
          <t>data-orientation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Field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Data</t>
        </is>
      </c>
      <c r="C91" s="13" t="inlineStr">
        <is>
          <t>Live DOM</t>
        </is>
      </c>
      <c r="D91" s="13" t="inlineStr">
        <is>
          <t>data-readonly is present at the correct time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Field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Data</t>
        </is>
      </c>
      <c r="C92" s="13" t="inlineStr">
        <is>
          <t>Live DOM</t>
        </is>
      </c>
      <c r="D92" s="13" t="inlineStr">
        <is>
          <t>data-required is present at the correct time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Field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Data</t>
        </is>
      </c>
      <c r="C93" s="13" t="inlineStr">
        <is>
          <t>Live DOM</t>
        </is>
      </c>
      <c r="D93" s="13" t="inlineStr">
        <is>
          <t>data-slot is present at the correct time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Field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Composition</t>
        </is>
      </c>
      <c r="C94" s="13" t="inlineStr">
        <is>
          <t>Field</t>
        </is>
      </c>
      <c r="D94" s="13" t="inlineStr">
        <is>
          <t>asChild preserves child content without double nesting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Field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Composition</t>
        </is>
      </c>
      <c r="C95" s="13" t="inlineStr">
        <is>
          <t>Field</t>
        </is>
      </c>
      <c r="D95" s="13" t="inlineStr">
        <is>
          <t>asChild merges Atom props and consumer props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Field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30" customHeight="1" s="24">
      <c r="A96" s="12" t="n">
        <v>88</v>
      </c>
      <c r="B96" s="13" t="inlineStr">
        <is>
          <t>Composition</t>
        </is>
      </c>
      <c r="C96" s="13" t="inlineStr">
        <is>
          <t>Field</t>
        </is>
      </c>
      <c r="D96" s="13" t="inlineStr">
        <is>
          <t>asChild lets preventDefault block Atom behavior where supported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Field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Composition</t>
        </is>
      </c>
      <c r="C97" s="13" t="inlineStr">
        <is>
          <t>Field</t>
        </is>
      </c>
      <c r="D97" s="13" t="inlineStr">
        <is>
          <t>render prop renders custom element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Field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Composition</t>
        </is>
      </c>
      <c r="C98" s="13" t="inlineStr">
        <is>
          <t>Field</t>
        </is>
      </c>
      <c r="D98" s="13" t="inlineStr">
        <is>
          <t>render prop preserves refs and behavior props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Field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30" customHeight="1" s="24">
      <c r="A99" s="12" t="n">
        <v>91</v>
      </c>
      <c r="B99" s="13" t="inlineStr">
        <is>
          <t>State</t>
        </is>
      </c>
      <c r="C99" s="13" t="inlineStr">
        <is>
          <t>Field</t>
        </is>
      </c>
      <c r="D99" s="13" t="inlineStr">
        <is>
          <t>disabled state blocks or exposes behavior correctly where supported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Field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30" customHeight="1" s="24">
      <c r="A100" s="12" t="n">
        <v>92</v>
      </c>
      <c r="B100" s="13" t="inlineStr">
        <is>
          <t>State</t>
        </is>
      </c>
      <c r="C100" s="13" t="inlineStr">
        <is>
          <t>Field</t>
        </is>
      </c>
      <c r="D100" s="13" t="inlineStr">
        <is>
          <t>readonly/readOnly state blocks or exposes behavior correctly where supported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Field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30" customHeight="1" s="24">
      <c r="A101" s="12" t="n">
        <v>93</v>
      </c>
      <c r="B101" s="13" t="inlineStr">
        <is>
          <t>State</t>
        </is>
      </c>
      <c r="C101" s="13" t="inlineStr">
        <is>
          <t>Field</t>
        </is>
      </c>
      <c r="D101" s="13" t="inlineStr">
        <is>
          <t>required state blocks or exposes behavior correctly where supported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Field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30" customHeight="1" s="24">
      <c r="A102" s="12" t="n">
        <v>94</v>
      </c>
      <c r="B102" s="13" t="inlineStr">
        <is>
          <t>State</t>
        </is>
      </c>
      <c r="C102" s="13" t="inlineStr">
        <is>
          <t>Field</t>
        </is>
      </c>
      <c r="D102" s="13" t="inlineStr">
        <is>
          <t>invalid state blocks or exposes behavior correctly where supported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Field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Forms</t>
        </is>
      </c>
      <c r="C103" s="13" t="inlineStr">
        <is>
          <t>Field</t>
        </is>
      </c>
      <c r="D103" s="13" t="inlineStr">
        <is>
          <t>form value participates correctly where supported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Field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30" customHeight="1" s="24">
      <c r="A104" s="12" t="n">
        <v>96</v>
      </c>
      <c r="B104" s="13" t="inlineStr">
        <is>
          <t>Forms</t>
        </is>
      </c>
      <c r="C104" s="13" t="inlineStr">
        <is>
          <t>Field</t>
        </is>
      </c>
      <c r="D104" s="13" t="inlineStr">
        <is>
          <t>hidden input mirrors value/checked/disabled where supported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Field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</sheetData>
  <autoFilter ref="A8:K104"/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Fieldset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IFERROR(SUM(K9:K83)/COUNT(K9:K83),0)</f>
        <v/>
      </c>
      <c r="C4" s="8" t="inlineStr">
        <is>
          <t>Covered</t>
        </is>
      </c>
      <c r="D4" s="10">
        <f>COUNTIFS(E9:E83,"yes",F9:F83,"yes",H9:H83,"covered")</f>
        <v/>
      </c>
      <c r="E4" s="8" t="inlineStr">
        <is>
          <t>Partial</t>
        </is>
      </c>
      <c r="F4" s="10">
        <f>COUNTIF(H9:H83,"partial")</f>
        <v/>
      </c>
      <c r="G4" s="8" t="inlineStr">
        <is>
          <t>Missing</t>
        </is>
      </c>
      <c r="H4" s="10">
        <f>COUNTIFS(E9:E83,"&lt;&gt;yes") + COUNTIFS(E9:E83,"yes",H9:H83,"missing")</f>
        <v/>
      </c>
      <c r="I4" s="8" t="inlineStr">
        <is>
          <t>Untested</t>
        </is>
      </c>
      <c r="J4" s="10">
        <f>COUNTIFS(E9:E83,"yes",F9:F83,"&lt;&gt;yes") + COUNTIFS(E9:E83,"yes",F9:F83,"yes",H9:H83,"untested")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Fieldset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Fieldset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Fieldset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Fieldset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Fieldset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Fieldset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Fieldset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Fieldset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Fieldset</t>
        </is>
      </c>
      <c r="D13" s="13" t="inlineStr">
        <is>
          <t>Renders native `&lt;fieldset&gt;` and `&lt;legend&gt;` semantics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Fieldset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Feature</t>
        </is>
      </c>
      <c r="C14" s="13" t="inlineStr">
        <is>
          <t>Fieldset</t>
        </is>
      </c>
      <c r="D14" s="13" t="inlineStr">
        <is>
          <t>Shares disabled, required, and invalid state across grouped controls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Fieldset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Fieldset</t>
        </is>
      </c>
      <c r="D15" s="13" t="inlineStr">
        <is>
          <t>Wires description and visible error content with `aria-describedby`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Fieldset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Fieldset</t>
        </is>
      </c>
      <c r="D16" s="13" t="inlineStr">
        <is>
          <t>Supports required and optional legend indicators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Fieldset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45" customHeight="1" s="24">
      <c r="A17" s="12" t="n">
        <v>9</v>
      </c>
      <c r="B17" s="13" t="inlineStr">
        <is>
          <t>Feature</t>
        </is>
      </c>
      <c r="C17" s="13" t="inlineStr">
        <is>
          <t>Fieldset</t>
        </is>
      </c>
      <c r="D17" s="13" t="inlineStr">
        <is>
          <t>Keeps visual layout outside Atom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Fieldset form-field playground page exposes this part/prop in Anatomy, Inspector, Source, or toolbar controls.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Fieldset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4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Fieldset form-field playground page exposes this part/prop in Anatomy, Inspector, Source, or toolbar controls.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4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Fieldset source/anatomy documents whether Root renders DOM; Inspector verifies rendered descendants.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Fieldset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Fieldset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Fieldset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State</t>
        </is>
      </c>
      <c r="C24" s="13" t="inlineStr">
        <is>
          <t>Root</t>
        </is>
      </c>
      <c r="D24" s="13" t="inlineStr">
        <is>
          <t>disabled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Fieldset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required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Fieldset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invalid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Fieldset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Composition</t>
        </is>
      </c>
      <c r="C27" s="13" t="inlineStr">
        <is>
          <t>Root</t>
        </is>
      </c>
      <c r="D27" s="13" t="inlineStr">
        <is>
          <t>asChild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Fieldset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Composition</t>
        </is>
      </c>
      <c r="C28" s="13" t="inlineStr">
        <is>
          <t>Root</t>
        </is>
      </c>
      <c r="D28" s="13" t="inlineStr">
        <is>
          <t>render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Fieldset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[data-slot]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Fieldset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[data-disabled]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Fieldset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[data-required]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Fieldset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[data-invalid]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Fieldset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Anatomy</t>
        </is>
      </c>
      <c r="C33" s="13" t="inlineStr">
        <is>
          <t>Description</t>
        </is>
      </c>
      <c r="D33" s="13" t="inlineStr">
        <is>
          <t>renders correct part when expected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Fieldset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45" customHeight="1" s="24">
      <c r="A34" s="12" t="n">
        <v>26</v>
      </c>
      <c r="B34" s="13" t="inlineStr">
        <is>
          <t>Anatomy</t>
        </is>
      </c>
      <c r="C34" s="13" t="inlineStr">
        <is>
          <t>Description</t>
        </is>
      </c>
      <c r="D34" s="13" t="inlineStr">
        <is>
          <t>appears in documented order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Fieldset form-field playground page exposes this part/prop in Anatomy, Inspector, Source, or toolbar controls.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45" customHeight="1" s="24">
      <c r="A35" s="12" t="n">
        <v>27</v>
      </c>
      <c r="B35" s="13" t="inlineStr">
        <is>
          <t>Identity</t>
        </is>
      </c>
      <c r="C35" s="13" t="inlineStr">
        <is>
          <t>Description</t>
        </is>
      </c>
      <c r="D35" s="13" t="inlineStr">
        <is>
          <t>default tag is visible in Anatomy/Inspector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Fieldset form-field playground page exposes this part/prop in Anatomy, Inspector, Source, or toolbar controls.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Identity</t>
        </is>
      </c>
      <c r="C36" s="13" t="inlineStr">
        <is>
          <t>Description</t>
        </is>
      </c>
      <c r="D36" s="13" t="inlineStr">
        <is>
          <t>data-slot is present and correct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Fieldset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30" customHeight="1" s="24">
      <c r="A37" s="12" t="n">
        <v>29</v>
      </c>
      <c r="B37" s="13" t="inlineStr">
        <is>
          <t>Props</t>
        </is>
      </c>
      <c r="C37" s="13" t="inlineStr">
        <is>
          <t>Description</t>
        </is>
      </c>
      <c r="D37" s="13" t="inlineStr">
        <is>
          <t>non-Atom native props pass through with data-prop-check marker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Fieldset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Refs</t>
        </is>
      </c>
      <c r="C38" s="13" t="inlineStr">
        <is>
          <t>Description</t>
        </is>
      </c>
      <c r="D38" s="13" t="inlineStr">
        <is>
          <t>consumer ref receives the rendered element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Fieldset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Composition</t>
        </is>
      </c>
      <c r="C39" s="13" t="inlineStr">
        <is>
          <t>Description</t>
        </is>
      </c>
      <c r="D39" s="13" t="inlineStr">
        <is>
          <t>asChild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Fieldset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Composition</t>
        </is>
      </c>
      <c r="C40" s="13" t="inlineStr">
        <is>
          <t>Description</t>
        </is>
      </c>
      <c r="D40" s="13" t="inlineStr">
        <is>
          <t>render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Fieldset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Description</t>
        </is>
      </c>
      <c r="D41" s="13" t="inlineStr">
        <is>
          <t>[data-slot]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Fieldset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Error</t>
        </is>
      </c>
      <c r="D42" s="13" t="inlineStr">
        <is>
          <t>renders correct part when expected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Fieldset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45" customHeight="1" s="24">
      <c r="A43" s="12" t="n">
        <v>35</v>
      </c>
      <c r="B43" s="13" t="inlineStr">
        <is>
          <t>Anatomy</t>
        </is>
      </c>
      <c r="C43" s="13" t="inlineStr">
        <is>
          <t>Error</t>
        </is>
      </c>
      <c r="D43" s="13" t="inlineStr">
        <is>
          <t>appears in documented order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Fieldset form-field playground page exposes this part/prop in Anatomy, Inspector, Source, or toolbar controls.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45" customHeight="1" s="24">
      <c r="A44" s="12" t="n">
        <v>36</v>
      </c>
      <c r="B44" s="13" t="inlineStr">
        <is>
          <t>Identity</t>
        </is>
      </c>
      <c r="C44" s="13" t="inlineStr">
        <is>
          <t>Error</t>
        </is>
      </c>
      <c r="D44" s="13" t="inlineStr">
        <is>
          <t>default tag is visible in Anatomy/Inspector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Fieldset form-field playground page exposes this part/prop in Anatomy, Inspector, Source, or toolbar controls.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Identity</t>
        </is>
      </c>
      <c r="C45" s="13" t="inlineStr">
        <is>
          <t>Error</t>
        </is>
      </c>
      <c r="D45" s="13" t="inlineStr">
        <is>
          <t>data-slot is present and correct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Fieldset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30" customHeight="1" s="24">
      <c r="A46" s="12" t="n">
        <v>38</v>
      </c>
      <c r="B46" s="13" t="inlineStr">
        <is>
          <t>Props</t>
        </is>
      </c>
      <c r="C46" s="13" t="inlineStr">
        <is>
          <t>Error</t>
        </is>
      </c>
      <c r="D46" s="13" t="inlineStr">
        <is>
          <t>non-Atom native props pass through with data-prop-check marker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Fieldset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Refs</t>
        </is>
      </c>
      <c r="C47" s="13" t="inlineStr">
        <is>
          <t>Error</t>
        </is>
      </c>
      <c r="D47" s="13" t="inlineStr">
        <is>
          <t>consumer ref receives the rendered element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Fieldset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45" customHeight="1" s="24">
      <c r="A48" s="12" t="n">
        <v>40</v>
      </c>
      <c r="B48" s="13" t="inlineStr">
        <is>
          <t>Public API</t>
        </is>
      </c>
      <c r="C48" s="13" t="inlineStr">
        <is>
          <t>Error</t>
        </is>
      </c>
      <c r="D48" s="13" t="inlineStr">
        <is>
          <t>forceMatch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Fieldset form-field playground page exposes this part/prop in Anatomy, Inspector, Source, or toolbar controls.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Composition</t>
        </is>
      </c>
      <c r="C49" s="13" t="inlineStr">
        <is>
          <t>Error</t>
        </is>
      </c>
      <c r="D49" s="13" t="inlineStr">
        <is>
          <t>asChild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Fieldset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Composition</t>
        </is>
      </c>
      <c r="C50" s="13" t="inlineStr">
        <is>
          <t>Error</t>
        </is>
      </c>
      <c r="D50" s="13" t="inlineStr">
        <is>
          <t>render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Fieldset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Error</t>
        </is>
      </c>
      <c r="D51" s="13" t="inlineStr">
        <is>
          <t>[data-slot]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Fieldset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Anatomy</t>
        </is>
      </c>
      <c r="C52" s="13" t="inlineStr">
        <is>
          <t>Legend</t>
        </is>
      </c>
      <c r="D52" s="13" t="inlineStr">
        <is>
          <t>renders correct part when expected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Fieldset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45" customHeight="1" s="24">
      <c r="A53" s="12" t="n">
        <v>45</v>
      </c>
      <c r="B53" s="13" t="inlineStr">
        <is>
          <t>Anatomy</t>
        </is>
      </c>
      <c r="C53" s="13" t="inlineStr">
        <is>
          <t>Legend</t>
        </is>
      </c>
      <c r="D53" s="13" t="inlineStr">
        <is>
          <t>appears in documented order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Fieldset form-field playground page exposes this part/prop in Anatomy, Inspector, Source, or toolbar controls.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45" customHeight="1" s="24">
      <c r="A54" s="12" t="n">
        <v>46</v>
      </c>
      <c r="B54" s="13" t="inlineStr">
        <is>
          <t>Identity</t>
        </is>
      </c>
      <c r="C54" s="13" t="inlineStr">
        <is>
          <t>Legend</t>
        </is>
      </c>
      <c r="D54" s="13" t="inlineStr">
        <is>
          <t>default tag is visible in Anatomy/Inspector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Fieldset form-field playground page exposes this part/prop in Anatomy, Inspector, Source, or toolbar controls.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Identity</t>
        </is>
      </c>
      <c r="C55" s="13" t="inlineStr">
        <is>
          <t>Legend</t>
        </is>
      </c>
      <c r="D55" s="13" t="inlineStr">
        <is>
          <t>data-slot is present and correct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Fieldset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30" customHeight="1" s="24">
      <c r="A56" s="12" t="n">
        <v>48</v>
      </c>
      <c r="B56" s="13" t="inlineStr">
        <is>
          <t>Props</t>
        </is>
      </c>
      <c r="C56" s="13" t="inlineStr">
        <is>
          <t>Legend</t>
        </is>
      </c>
      <c r="D56" s="13" t="inlineStr">
        <is>
          <t>non-Atom native props pass through with data-prop-check marker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Fieldset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Refs</t>
        </is>
      </c>
      <c r="C57" s="13" t="inlineStr">
        <is>
          <t>Legend</t>
        </is>
      </c>
      <c r="D57" s="13" t="inlineStr">
        <is>
          <t>consumer ref receives the rendered element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Fieldset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State</t>
        </is>
      </c>
      <c r="C58" s="13" t="inlineStr">
        <is>
          <t>Legend</t>
        </is>
      </c>
      <c r="D58" s="13" t="inlineStr">
        <is>
          <t>requiredIndicator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Fieldset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45" customHeight="1" s="24">
      <c r="A59" s="12" t="n">
        <v>51</v>
      </c>
      <c r="B59" s="13" t="inlineStr">
        <is>
          <t>Public API</t>
        </is>
      </c>
      <c r="C59" s="13" t="inlineStr">
        <is>
          <t>Legend</t>
        </is>
      </c>
      <c r="D59" s="13" t="inlineStr">
        <is>
          <t>optionalIndicator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Fieldset form-field playground page exposes this part/prop in Anatomy, Inspector, Source, or toolbar controls.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Composition</t>
        </is>
      </c>
      <c r="C60" s="13" t="inlineStr">
        <is>
          <t>Legend</t>
        </is>
      </c>
      <c r="D60" s="13" t="inlineStr">
        <is>
          <t>asChild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Fieldset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Composition</t>
        </is>
      </c>
      <c r="C61" s="13" t="inlineStr">
        <is>
          <t>Legend</t>
        </is>
      </c>
      <c r="D61" s="13" t="inlineStr">
        <is>
          <t>render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Fieldset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Legend</t>
        </is>
      </c>
      <c r="D62" s="13" t="inlineStr">
        <is>
          <t>[data-slot]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Fieldset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State</t>
        </is>
      </c>
      <c r="C63" s="13" t="inlineStr">
        <is>
          <t>Legend</t>
        </is>
      </c>
      <c r="D63" s="13" t="inlineStr">
        <is>
          <t>[data-disabled]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Fieldset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State</t>
        </is>
      </c>
      <c r="C64" s="13" t="inlineStr">
        <is>
          <t>Legend</t>
        </is>
      </c>
      <c r="D64" s="13" t="inlineStr">
        <is>
          <t>[data-required]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Fieldset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ARIA</t>
        </is>
      </c>
      <c r="C65" s="13" t="inlineStr">
        <is>
          <t>Live DOM</t>
        </is>
      </c>
      <c r="D65" s="13" t="inlineStr">
        <is>
          <t>aria-describedby is present at the correct time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Fieldset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30" customHeight="1" s="24">
      <c r="A66" s="12" t="n">
        <v>58</v>
      </c>
      <c r="B66" s="13" t="inlineStr">
        <is>
          <t>ARIA</t>
        </is>
      </c>
      <c r="C66" s="13" t="inlineStr">
        <is>
          <t>Live DOM</t>
        </is>
      </c>
      <c r="D66" s="13" t="inlineStr">
        <is>
          <t>aria-hidden is present at the correct time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Shared Anatomy/Inspector expose live ARIA/data attributes for Fieldset when the part is rendered.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ARIA</t>
        </is>
      </c>
      <c r="C67" s="13" t="inlineStr">
        <is>
          <t>Live DOM</t>
        </is>
      </c>
      <c r="D67" s="13" t="inlineStr">
        <is>
          <t>aria-invalid is present at the correct time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Fieldset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ARIA</t>
        </is>
      </c>
      <c r="C68" s="13" t="inlineStr">
        <is>
          <t>Live DOM</t>
        </is>
      </c>
      <c r="D68" s="13" t="inlineStr">
        <is>
          <t>aria-required is present at the correct time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Fieldset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Data</t>
        </is>
      </c>
      <c r="C69" s="13" t="inlineStr">
        <is>
          <t>Live DOM</t>
        </is>
      </c>
      <c r="D69" s="13" t="inlineStr">
        <is>
          <t>data-disabled is present at the correct time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Fieldset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Data</t>
        </is>
      </c>
      <c r="C70" s="13" t="inlineStr">
        <is>
          <t>Live DOM</t>
        </is>
      </c>
      <c r="D70" s="13" t="inlineStr">
        <is>
          <t>data-invalid is present at the correct time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Fieldset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Data</t>
        </is>
      </c>
      <c r="C71" s="13" t="inlineStr">
        <is>
          <t>Live DOM</t>
        </is>
      </c>
      <c r="D71" s="13" t="inlineStr">
        <is>
          <t>data-required is present at the correct time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Fieldset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Data</t>
        </is>
      </c>
      <c r="C72" s="13" t="inlineStr">
        <is>
          <t>Live DOM</t>
        </is>
      </c>
      <c r="D72" s="13" t="inlineStr">
        <is>
          <t>data-slot is present at the correct time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Fieldset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Composition</t>
        </is>
      </c>
      <c r="C73" s="13" t="inlineStr">
        <is>
          <t>Fieldset</t>
        </is>
      </c>
      <c r="D73" s="13" t="inlineStr">
        <is>
          <t>asChild preserves child content without double nesting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Fieldset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Composition</t>
        </is>
      </c>
      <c r="C74" s="13" t="inlineStr">
        <is>
          <t>Fieldset</t>
        </is>
      </c>
      <c r="D74" s="13" t="inlineStr">
        <is>
          <t>asChild merges Atom props and consumer props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Fieldset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30" customHeight="1" s="24">
      <c r="A75" s="12" t="n">
        <v>67</v>
      </c>
      <c r="B75" s="13" t="inlineStr">
        <is>
          <t>Composition</t>
        </is>
      </c>
      <c r="C75" s="13" t="inlineStr">
        <is>
          <t>Fieldset</t>
        </is>
      </c>
      <c r="D75" s="13" t="inlineStr">
        <is>
          <t>asChild lets preventDefault block Atom behavior where supported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Fieldset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Composition</t>
        </is>
      </c>
      <c r="C76" s="13" t="inlineStr">
        <is>
          <t>Fieldset</t>
        </is>
      </c>
      <c r="D76" s="13" t="inlineStr">
        <is>
          <t>render prop renders custom element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Fieldset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Composition</t>
        </is>
      </c>
      <c r="C77" s="13" t="inlineStr">
        <is>
          <t>Fieldset</t>
        </is>
      </c>
      <c r="D77" s="13" t="inlineStr">
        <is>
          <t>render prop preserves refs and behavior props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Fieldset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30" customHeight="1" s="24">
      <c r="A78" s="12" t="n">
        <v>70</v>
      </c>
      <c r="B78" s="13" t="inlineStr">
        <is>
          <t>State</t>
        </is>
      </c>
      <c r="C78" s="13" t="inlineStr">
        <is>
          <t>Fieldset</t>
        </is>
      </c>
      <c r="D78" s="13" t="inlineStr">
        <is>
          <t>disabled state blocks or exposes behavior correctly where supported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Fieldset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30" customHeight="1" s="24">
      <c r="A79" s="12" t="n">
        <v>71</v>
      </c>
      <c r="B79" s="13" t="inlineStr">
        <is>
          <t>State</t>
        </is>
      </c>
      <c r="C79" s="13" t="inlineStr">
        <is>
          <t>Fieldset</t>
        </is>
      </c>
      <c r="D79" s="13" t="inlineStr">
        <is>
          <t>readonly/readOnly state blocks or exposes behavior correctly where supported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Fieldset source/anatomy identifies whether this state/form behavior is supported for the primitive.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30" customHeight="1" s="24">
      <c r="A80" s="12" t="n">
        <v>72</v>
      </c>
      <c r="B80" s="13" t="inlineStr">
        <is>
          <t>State</t>
        </is>
      </c>
      <c r="C80" s="13" t="inlineStr">
        <is>
          <t>Fieldset</t>
        </is>
      </c>
      <c r="D80" s="13" t="inlineStr">
        <is>
          <t>required state blocks or exposes behavior correctly where supported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Fieldset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State</t>
        </is>
      </c>
      <c r="C81" s="13" t="inlineStr">
        <is>
          <t>Fieldset</t>
        </is>
      </c>
      <c r="D81" s="13" t="inlineStr">
        <is>
          <t>invalid state blocks or exposes behavior correctly where supported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Fieldset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Forms</t>
        </is>
      </c>
      <c r="C82" s="13" t="inlineStr">
        <is>
          <t>Fieldset</t>
        </is>
      </c>
      <c r="D82" s="13" t="inlineStr">
        <is>
          <t>form value participates correctly where supported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Fieldset source/anatomy identifies whether this state/form behavior is supported for the primitive.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30" customHeight="1" s="24">
      <c r="A83" s="12" t="n">
        <v>75</v>
      </c>
      <c r="B83" s="13" t="inlineStr">
        <is>
          <t>Forms</t>
        </is>
      </c>
      <c r="C83" s="13" t="inlineStr">
        <is>
          <t>Fieldset</t>
        </is>
      </c>
      <c r="D83" s="13" t="inlineStr">
        <is>
          <t>hidden input mirrors value/checked/disabled where supported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Fieldset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</sheetData>
  <autoFilter ref="A8:K83"/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FileUpload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IFERROR(SUM(K9:K222)/COUNT(K9:K222),0)</f>
        <v/>
      </c>
      <c r="C4" s="8" t="inlineStr">
        <is>
          <t>Covered</t>
        </is>
      </c>
      <c r="D4" s="10">
        <f>COUNTIFS(E9:E222,"yes",F9:F222,"yes",H9:H222,"covered")</f>
        <v/>
      </c>
      <c r="E4" s="8" t="inlineStr">
        <is>
          <t>Partial</t>
        </is>
      </c>
      <c r="F4" s="10">
        <f>COUNTIF(H9:H222,"partial")</f>
        <v/>
      </c>
      <c r="G4" s="8" t="inlineStr">
        <is>
          <t>Missing</t>
        </is>
      </c>
      <c r="H4" s="10">
        <f>COUNTIFS(E9:E222,"&lt;&gt;yes") + COUNTIFS(E9:E222,"yes",H9:H222,"missing")</f>
        <v/>
      </c>
      <c r="I4" s="8" t="inlineStr">
        <is>
          <t>Untested</t>
        </is>
      </c>
      <c r="J4" s="10">
        <f>COUNTIFS(E9:E222,"yes",F9:F222,"&lt;&gt;yes") + COUNTIFS(E9:E222,"yes",F9:F222,"yes",H9:H222,"untested")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FileUpload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FileUpload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FileUpload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FileUpload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FileUpload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FileUpload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FileUpload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FileUpload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FileUpload</t>
        </is>
      </c>
      <c r="D13" s="13" t="inlineStr">
        <is>
          <t>Controlled and uncontrolled file list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FileUpload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FileUpload</t>
        </is>
      </c>
      <c r="D14" s="13" t="inlineStr">
        <is>
          <t>Native hidden file input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FileUpload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FileUpload</t>
        </is>
      </c>
      <c r="D15" s="13" t="inlineStr">
        <is>
          <t>Picker trigger and drag-and-drop dropzone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FileUpload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FileUpload</t>
        </is>
      </c>
      <c r="D16" s="13" t="inlineStr">
        <is>
          <t>Accept, max file count, max file size, and custom file validation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FileUpload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FileUpload</t>
        </is>
      </c>
      <c r="D17" s="13" t="inlineStr">
        <is>
          <t>Multiple-file append or replace behavior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FileUpload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FileUpload</t>
        </is>
      </c>
      <c r="D18" s="13" t="inlineStr">
        <is>
          <t>Rejected file reporting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FileUpload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Feature</t>
        </is>
      </c>
      <c r="C19" s="13" t="inlineStr">
        <is>
          <t>FileUpload</t>
        </is>
      </c>
      <c r="D19" s="13" t="inlineStr">
        <is>
          <t>Item group and item metadata parts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FileUpload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30" customHeight="1" s="24">
      <c r="A20" s="12" t="n">
        <v>12</v>
      </c>
      <c r="B20" s="13" t="inlineStr">
        <is>
          <t>Feature</t>
        </is>
      </c>
      <c r="C20" s="13" t="inlineStr">
        <is>
          <t>FileUpload</t>
        </is>
      </c>
      <c r="D20" s="13" t="inlineStr">
        <is>
          <t>Same-file re-selection support after removing or clearing files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FileUpload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30" customHeight="1" s="24">
      <c r="A21" s="12" t="n">
        <v>13</v>
      </c>
      <c r="B21" s="13" t="inlineStr">
        <is>
          <t>Feature</t>
        </is>
      </c>
      <c r="C21" s="13" t="inlineStr">
        <is>
          <t>FileUpload</t>
        </is>
      </c>
      <c r="D21" s="13" t="inlineStr">
        <is>
          <t>Field context integration for ID, description, required, disabled, read-only, and invalid state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FileUpload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Anatomy</t>
        </is>
      </c>
      <c r="C22" s="13" t="inlineStr">
        <is>
          <t>Root</t>
        </is>
      </c>
      <c r="D22" s="13" t="inlineStr">
        <is>
          <t>renders correct part when expected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FileUpload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Anatomy</t>
        </is>
      </c>
      <c r="C23" s="13" t="inlineStr">
        <is>
          <t>Root</t>
        </is>
      </c>
      <c r="D23" s="13" t="inlineStr">
        <is>
          <t>appears in documented order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FileUpload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Identity</t>
        </is>
      </c>
      <c r="C24" s="13" t="inlineStr">
        <is>
          <t>Root</t>
        </is>
      </c>
      <c r="D24" s="13" t="inlineStr">
        <is>
          <t>default tag is visible in Anatomy/Inspector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FileUpload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Identity</t>
        </is>
      </c>
      <c r="C25" s="13" t="inlineStr">
        <is>
          <t>Root</t>
        </is>
      </c>
      <c r="D25" s="13" t="inlineStr">
        <is>
          <t>data-slot is present and correct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FileUpload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30" customHeight="1" s="24">
      <c r="A26" s="12" t="n">
        <v>18</v>
      </c>
      <c r="B26" s="13" t="inlineStr">
        <is>
          <t>Props</t>
        </is>
      </c>
      <c r="C26" s="13" t="inlineStr">
        <is>
          <t>Root</t>
        </is>
      </c>
      <c r="D26" s="13" t="inlineStr">
        <is>
          <t>non-Atom native props pass through with data-prop-check marker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FileUpload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Refs</t>
        </is>
      </c>
      <c r="C27" s="13" t="inlineStr">
        <is>
          <t>Root</t>
        </is>
      </c>
      <c r="D27" s="13" t="inlineStr">
        <is>
          <t>consumer ref receives the rendered element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FileUpload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files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FileUpload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defaultFiles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FileUpload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onFilesChange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FileUpload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onRejectedFilesChange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FileUpload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accept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FileUpload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multiple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FileUpload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appendFiles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FileUpload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maxFiles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FileUpload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maxSize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FileUpload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validateFile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FileUpload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name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FileUpload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Root</t>
        </is>
      </c>
      <c r="D39" s="13" t="inlineStr">
        <is>
          <t>form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FileUpload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Root</t>
        </is>
      </c>
      <c r="D40" s="13" t="inlineStr">
        <is>
          <t>disabled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FileUpload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required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FileUpload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State</t>
        </is>
      </c>
      <c r="C42" s="13" t="inlineStr">
        <is>
          <t>Root</t>
        </is>
      </c>
      <c r="D42" s="13" t="inlineStr">
        <is>
          <t>readOnly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FileUpload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State</t>
        </is>
      </c>
      <c r="C43" s="13" t="inlineStr">
        <is>
          <t>Root</t>
        </is>
      </c>
      <c r="D43" s="13" t="inlineStr">
        <is>
          <t>invalid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FileUpload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Composition</t>
        </is>
      </c>
      <c r="C44" s="13" t="inlineStr">
        <is>
          <t>Root</t>
        </is>
      </c>
      <c r="D44" s="13" t="inlineStr">
        <is>
          <t>asChild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FileUpload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Composition</t>
        </is>
      </c>
      <c r="C45" s="13" t="inlineStr">
        <is>
          <t>Root</t>
        </is>
      </c>
      <c r="D45" s="13" t="inlineStr">
        <is>
          <t>render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FileUpload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Public API</t>
        </is>
      </c>
      <c r="C46" s="13" t="inlineStr">
        <is>
          <t>Root</t>
        </is>
      </c>
      <c r="D46" s="13" t="inlineStr">
        <is>
          <t>data-slot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FileUpload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Public API</t>
        </is>
      </c>
      <c r="C47" s="13" t="inlineStr">
        <is>
          <t>Root</t>
        </is>
      </c>
      <c r="D47" s="13" t="inlineStr">
        <is>
          <t>[data-slot]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FileUpload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Root</t>
        </is>
      </c>
      <c r="D48" s="13" t="inlineStr">
        <is>
          <t>[data-state]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FileUpload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Root</t>
        </is>
      </c>
      <c r="D49" s="13" t="inlineStr">
        <is>
          <t>[data-drag]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FileUpload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Root</t>
        </is>
      </c>
      <c r="D50" s="13" t="inlineStr">
        <is>
          <t>[data-filled]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FileUpload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Root</t>
        </is>
      </c>
      <c r="D51" s="13" t="inlineStr">
        <is>
          <t>[data-rejected]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FileUpload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State</t>
        </is>
      </c>
      <c r="C52" s="13" t="inlineStr">
        <is>
          <t>Root</t>
        </is>
      </c>
      <c r="D52" s="13" t="inlineStr">
        <is>
          <t>[data-disabled]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FileUpload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State</t>
        </is>
      </c>
      <c r="C53" s="13" t="inlineStr">
        <is>
          <t>Root</t>
        </is>
      </c>
      <c r="D53" s="13" t="inlineStr">
        <is>
          <t>[data-readonly]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FileUpload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State</t>
        </is>
      </c>
      <c r="C54" s="13" t="inlineStr">
        <is>
          <t>Root</t>
        </is>
      </c>
      <c r="D54" s="13" t="inlineStr">
        <is>
          <t>[data-required]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FileUpload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State</t>
        </is>
      </c>
      <c r="C55" s="13" t="inlineStr">
        <is>
          <t>Root</t>
        </is>
      </c>
      <c r="D55" s="13" t="inlineStr">
        <is>
          <t>[data-invalid]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FileUpload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Trigger</t>
        </is>
      </c>
      <c r="D56" s="13" t="inlineStr">
        <is>
          <t>renders correct part when expected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FileUpload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Trigger</t>
        </is>
      </c>
      <c r="D57" s="13" t="inlineStr">
        <is>
          <t>appears in documented order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FileUpload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Trigger</t>
        </is>
      </c>
      <c r="D58" s="13" t="inlineStr">
        <is>
          <t>default tag is visible in Anatomy/Inspector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FileUpload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Trigger</t>
        </is>
      </c>
      <c r="D59" s="13" t="inlineStr">
        <is>
          <t>data-slot is present and correct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FileUpload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Props</t>
        </is>
      </c>
      <c r="C60" s="13" t="inlineStr">
        <is>
          <t>Trigger</t>
        </is>
      </c>
      <c r="D60" s="13" t="inlineStr">
        <is>
          <t>non-Atom native props pass through with data-prop-check marker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FileUpload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Refs</t>
        </is>
      </c>
      <c r="C61" s="13" t="inlineStr">
        <is>
          <t>Trigger</t>
        </is>
      </c>
      <c r="D61" s="13" t="inlineStr">
        <is>
          <t>consumer ref receives the rendered element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FileUpload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Composition</t>
        </is>
      </c>
      <c r="C62" s="13" t="inlineStr">
        <is>
          <t>Trigger</t>
        </is>
      </c>
      <c r="D62" s="13" t="inlineStr">
        <is>
          <t>asChild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FileUpload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Composition</t>
        </is>
      </c>
      <c r="C63" s="13" t="inlineStr">
        <is>
          <t>Trigger</t>
        </is>
      </c>
      <c r="D63" s="13" t="inlineStr">
        <is>
          <t>render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FileUpload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Trigger</t>
        </is>
      </c>
      <c r="D64" s="13" t="inlineStr">
        <is>
          <t>data-slot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FileUpload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Public API</t>
        </is>
      </c>
      <c r="C65" s="13" t="inlineStr">
        <is>
          <t>Trigger</t>
        </is>
      </c>
      <c r="D65" s="13" t="inlineStr">
        <is>
          <t>[data-slot]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FileUpload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State</t>
        </is>
      </c>
      <c r="C66" s="13" t="inlineStr">
        <is>
          <t>Trigger</t>
        </is>
      </c>
      <c r="D66" s="13" t="inlineStr">
        <is>
          <t>[data-disabled]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FileUpload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State</t>
        </is>
      </c>
      <c r="C67" s="13" t="inlineStr">
        <is>
          <t>Trigger</t>
        </is>
      </c>
      <c r="D67" s="13" t="inlineStr">
        <is>
          <t>[data-readonly]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FileUpload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Anatomy</t>
        </is>
      </c>
      <c r="C68" s="13" t="inlineStr">
        <is>
          <t>Item</t>
        </is>
      </c>
      <c r="D68" s="13" t="inlineStr">
        <is>
          <t>renders correct part when expected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FileUpload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Anatomy</t>
        </is>
      </c>
      <c r="C69" s="13" t="inlineStr">
        <is>
          <t>Item</t>
        </is>
      </c>
      <c r="D69" s="13" t="inlineStr">
        <is>
          <t>appears in documented order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FileUpload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Identity</t>
        </is>
      </c>
      <c r="C70" s="13" t="inlineStr">
        <is>
          <t>Item</t>
        </is>
      </c>
      <c r="D70" s="13" t="inlineStr">
        <is>
          <t>default tag is visible in Anatomy/Inspector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FileUpload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Identity</t>
        </is>
      </c>
      <c r="C71" s="13" t="inlineStr">
        <is>
          <t>Item</t>
        </is>
      </c>
      <c r="D71" s="13" t="inlineStr">
        <is>
          <t>data-slot is present and correct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FileUpload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30" customHeight="1" s="24">
      <c r="A72" s="12" t="n">
        <v>64</v>
      </c>
      <c r="B72" s="13" t="inlineStr">
        <is>
          <t>Props</t>
        </is>
      </c>
      <c r="C72" s="13" t="inlineStr">
        <is>
          <t>Item</t>
        </is>
      </c>
      <c r="D72" s="13" t="inlineStr">
        <is>
          <t>non-Atom native props pass through with data-prop-check marker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FileUpload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Refs</t>
        </is>
      </c>
      <c r="C73" s="13" t="inlineStr">
        <is>
          <t>Item</t>
        </is>
      </c>
      <c r="D73" s="13" t="inlineStr">
        <is>
          <t>consumer ref receives the rendered element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FileUpload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Public API</t>
        </is>
      </c>
      <c r="C74" s="13" t="inlineStr">
        <is>
          <t>Item</t>
        </is>
      </c>
      <c r="D74" s="13" t="inlineStr">
        <is>
          <t>file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FileUpload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Composition</t>
        </is>
      </c>
      <c r="C75" s="13" t="inlineStr">
        <is>
          <t>Item</t>
        </is>
      </c>
      <c r="D75" s="13" t="inlineStr">
        <is>
          <t>asChild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FileUpload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Composition</t>
        </is>
      </c>
      <c r="C76" s="13" t="inlineStr">
        <is>
          <t>Item</t>
        </is>
      </c>
      <c r="D76" s="13" t="inlineStr">
        <is>
          <t>render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FileUpload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Public API</t>
        </is>
      </c>
      <c r="C77" s="13" t="inlineStr">
        <is>
          <t>Item</t>
        </is>
      </c>
      <c r="D77" s="13" t="inlineStr">
        <is>
          <t>data-slot prop behavior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FileUpload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Public API</t>
        </is>
      </c>
      <c r="C78" s="13" t="inlineStr">
        <is>
          <t>Item</t>
        </is>
      </c>
      <c r="D78" s="13" t="inlineStr">
        <is>
          <t>[data-slot] prop behavior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FileUpload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Public API</t>
        </is>
      </c>
      <c r="C79" s="13" t="inlineStr">
        <is>
          <t>Item</t>
        </is>
      </c>
      <c r="D79" s="13" t="inlineStr">
        <is>
          <t>[data-name] prop behavior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FileUpload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Public API</t>
        </is>
      </c>
      <c r="C80" s="13" t="inlineStr">
        <is>
          <t>Item</t>
        </is>
      </c>
      <c r="D80" s="13" t="inlineStr">
        <is>
          <t>[data-size] prop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FileUpload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Anatomy</t>
        </is>
      </c>
      <c r="C81" s="13" t="inlineStr">
        <is>
          <t>Dropzone</t>
        </is>
      </c>
      <c r="D81" s="13" t="inlineStr">
        <is>
          <t>renders correct part when expected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FileUpload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Anatomy</t>
        </is>
      </c>
      <c r="C82" s="13" t="inlineStr">
        <is>
          <t>Dropzone</t>
        </is>
      </c>
      <c r="D82" s="13" t="inlineStr">
        <is>
          <t>appears in documented order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FileUpload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Identity</t>
        </is>
      </c>
      <c r="C83" s="13" t="inlineStr">
        <is>
          <t>Dropzone</t>
        </is>
      </c>
      <c r="D83" s="13" t="inlineStr">
        <is>
          <t>default tag is visible in Anatomy/Inspector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FileUpload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Identity</t>
        </is>
      </c>
      <c r="C84" s="13" t="inlineStr">
        <is>
          <t>Dropzone</t>
        </is>
      </c>
      <c r="D84" s="13" t="inlineStr">
        <is>
          <t>data-slot is present and correct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FileUpload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30" customHeight="1" s="24">
      <c r="A85" s="12" t="n">
        <v>77</v>
      </c>
      <c r="B85" s="13" t="inlineStr">
        <is>
          <t>Props</t>
        </is>
      </c>
      <c r="C85" s="13" t="inlineStr">
        <is>
          <t>Dropzone</t>
        </is>
      </c>
      <c r="D85" s="13" t="inlineStr">
        <is>
          <t>non-Atom native props pass through with data-prop-check marker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FileUpload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Refs</t>
        </is>
      </c>
      <c r="C86" s="13" t="inlineStr">
        <is>
          <t>Dropzone</t>
        </is>
      </c>
      <c r="D86" s="13" t="inlineStr">
        <is>
          <t>consumer ref receives the rendered element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FileUpload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Public API</t>
        </is>
      </c>
      <c r="C87" s="13" t="inlineStr">
        <is>
          <t>Dropzone</t>
        </is>
      </c>
      <c r="D87" s="13" t="inlineStr">
        <is>
          <t>Enter prop behavior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FileUpload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Public API</t>
        </is>
      </c>
      <c r="C88" s="13" t="inlineStr">
        <is>
          <t>Dropzone</t>
        </is>
      </c>
      <c r="D88" s="13" t="inlineStr">
        <is>
          <t>Space prop behavior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FileUpload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Public API</t>
        </is>
      </c>
      <c r="C89" s="13" t="inlineStr">
        <is>
          <t>Dropzone</t>
        </is>
      </c>
      <c r="D89" s="13" t="inlineStr">
        <is>
          <t>Tab prop behavior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FileUpload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Anatomy</t>
        </is>
      </c>
      <c r="C90" s="13" t="inlineStr">
        <is>
          <t>HiddenInput</t>
        </is>
      </c>
      <c r="D90" s="13" t="inlineStr">
        <is>
          <t>renders correct part when expected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FileUpload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Anatomy</t>
        </is>
      </c>
      <c r="C91" s="13" t="inlineStr">
        <is>
          <t>HiddenInput</t>
        </is>
      </c>
      <c r="D91" s="13" t="inlineStr">
        <is>
          <t>appears in documented order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FileUpload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Identity</t>
        </is>
      </c>
      <c r="C92" s="13" t="inlineStr">
        <is>
          <t>HiddenInput</t>
        </is>
      </c>
      <c r="D92" s="13" t="inlineStr">
        <is>
          <t>default tag is visible in Anatomy/Inspector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FileUpload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Identity</t>
        </is>
      </c>
      <c r="C93" s="13" t="inlineStr">
        <is>
          <t>HiddenInput</t>
        </is>
      </c>
      <c r="D93" s="13" t="inlineStr">
        <is>
          <t>data-slot is present and correct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FileUpload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30" customHeight="1" s="24">
      <c r="A94" s="12" t="n">
        <v>86</v>
      </c>
      <c r="B94" s="13" t="inlineStr">
        <is>
          <t>Props</t>
        </is>
      </c>
      <c r="C94" s="13" t="inlineStr">
        <is>
          <t>HiddenInput</t>
        </is>
      </c>
      <c r="D94" s="13" t="inlineStr">
        <is>
          <t>non-Atom native props pass through with data-prop-check marker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FileUpload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Refs</t>
        </is>
      </c>
      <c r="C95" s="13" t="inlineStr">
        <is>
          <t>HiddenInput</t>
        </is>
      </c>
      <c r="D95" s="13" t="inlineStr">
        <is>
          <t>consumer ref receives the rendered element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FileUpload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Public API</t>
        </is>
      </c>
      <c r="C96" s="13" t="inlineStr">
        <is>
          <t>HiddenInput</t>
        </is>
      </c>
      <c r="D96" s="13" t="inlineStr">
        <is>
          <t>data-slot prop behavior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FileUpload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Anatomy</t>
        </is>
      </c>
      <c r="C97" s="13" t="inlineStr">
        <is>
          <t>ItemDeleteTrigger</t>
        </is>
      </c>
      <c r="D97" s="13" t="inlineStr">
        <is>
          <t>renders correct part when expected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FileUpload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Anatomy</t>
        </is>
      </c>
      <c r="C98" s="13" t="inlineStr">
        <is>
          <t>ItemDeleteTrigger</t>
        </is>
      </c>
      <c r="D98" s="13" t="inlineStr">
        <is>
          <t>appears in documented order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FileUpload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Identity</t>
        </is>
      </c>
      <c r="C99" s="13" t="inlineStr">
        <is>
          <t>ItemDeleteTrigger</t>
        </is>
      </c>
      <c r="D99" s="13" t="inlineStr">
        <is>
          <t>default tag is visible in Anatomy/Inspector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FileUpload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Identity</t>
        </is>
      </c>
      <c r="C100" s="13" t="inlineStr">
        <is>
          <t>ItemDeleteTrigger</t>
        </is>
      </c>
      <c r="D100" s="13" t="inlineStr">
        <is>
          <t>data-slot is present and correct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FileUpload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30" customHeight="1" s="24">
      <c r="A101" s="12" t="n">
        <v>93</v>
      </c>
      <c r="B101" s="13" t="inlineStr">
        <is>
          <t>Props</t>
        </is>
      </c>
      <c r="C101" s="13" t="inlineStr">
        <is>
          <t>ItemDeleteTrigger</t>
        </is>
      </c>
      <c r="D101" s="13" t="inlineStr">
        <is>
          <t>non-Atom native props pass through with data-prop-check marker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FileUpload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Refs</t>
        </is>
      </c>
      <c r="C102" s="13" t="inlineStr">
        <is>
          <t>ItemDeleteTrigger</t>
        </is>
      </c>
      <c r="D102" s="13" t="inlineStr">
        <is>
          <t>consumer ref receives the rendered element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FileUpload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Composition</t>
        </is>
      </c>
      <c r="C103" s="13" t="inlineStr">
        <is>
          <t>ItemDeleteTrigger</t>
        </is>
      </c>
      <c r="D103" s="13" t="inlineStr">
        <is>
          <t>asChild prop behavior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FileUpload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Composition</t>
        </is>
      </c>
      <c r="C104" s="13" t="inlineStr">
        <is>
          <t>ItemDeleteTrigger</t>
        </is>
      </c>
      <c r="D104" s="13" t="inlineStr">
        <is>
          <t>render prop behavior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FileUpload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Accessibility</t>
        </is>
      </c>
      <c r="C105" s="13" t="inlineStr">
        <is>
          <t>ItemDeleteTrigger</t>
        </is>
      </c>
      <c r="D105" s="13" t="inlineStr">
        <is>
          <t>aria-label prop behavior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FileUpload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Public API</t>
        </is>
      </c>
      <c r="C106" s="13" t="inlineStr">
        <is>
          <t>ItemDeleteTrigger</t>
        </is>
      </c>
      <c r="D106" s="13" t="inlineStr">
        <is>
          <t>data-slot prop behavior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FileUpload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Public API</t>
        </is>
      </c>
      <c r="C107" s="13" t="inlineStr">
        <is>
          <t>ItemDeleteTrigger</t>
        </is>
      </c>
      <c r="D107" s="13" t="inlineStr">
        <is>
          <t>[data-slot] prop behavior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FileUpload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State</t>
        </is>
      </c>
      <c r="C108" s="13" t="inlineStr">
        <is>
          <t>ItemDeleteTrigger</t>
        </is>
      </c>
      <c r="D108" s="13" t="inlineStr">
        <is>
          <t>[data-disabled] prop behavior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FileUpload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State</t>
        </is>
      </c>
      <c r="C109" s="13" t="inlineStr">
        <is>
          <t>ItemDeleteTrigger</t>
        </is>
      </c>
      <c r="D109" s="13" t="inlineStr">
        <is>
          <t>[data-readonly] prop behavior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FileUpload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Anatomy</t>
        </is>
      </c>
      <c r="C110" s="13" t="inlineStr">
        <is>
          <t>ItemGroup</t>
        </is>
      </c>
      <c r="D110" s="13" t="inlineStr">
        <is>
          <t>renders correct part when expected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FileUpload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Anatomy</t>
        </is>
      </c>
      <c r="C111" s="13" t="inlineStr">
        <is>
          <t>ItemGroup</t>
        </is>
      </c>
      <c r="D111" s="13" t="inlineStr">
        <is>
          <t>appears in documented order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FileUpload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Identity</t>
        </is>
      </c>
      <c r="C112" s="13" t="inlineStr">
        <is>
          <t>ItemGroup</t>
        </is>
      </c>
      <c r="D112" s="13" t="inlineStr">
        <is>
          <t>default tag is visible in Anatomy/Inspector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FileUpload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Identity</t>
        </is>
      </c>
      <c r="C113" s="13" t="inlineStr">
        <is>
          <t>ItemGroup</t>
        </is>
      </c>
      <c r="D113" s="13" t="inlineStr">
        <is>
          <t>data-slot is present and correct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FileUpload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30" customHeight="1" s="24">
      <c r="A114" s="12" t="n">
        <v>106</v>
      </c>
      <c r="B114" s="13" t="inlineStr">
        <is>
          <t>Props</t>
        </is>
      </c>
      <c r="C114" s="13" t="inlineStr">
        <is>
          <t>ItemGroup</t>
        </is>
      </c>
      <c r="D114" s="13" t="inlineStr">
        <is>
          <t>non-Atom native props pass through with data-prop-check marker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FileUpload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Refs</t>
        </is>
      </c>
      <c r="C115" s="13" t="inlineStr">
        <is>
          <t>ItemGroup</t>
        </is>
      </c>
      <c r="D115" s="13" t="inlineStr">
        <is>
          <t>consumer ref receives the rendered element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FileUpload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Composition</t>
        </is>
      </c>
      <c r="C116" s="13" t="inlineStr">
        <is>
          <t>ItemGroup</t>
        </is>
      </c>
      <c r="D116" s="13" t="inlineStr">
        <is>
          <t>asChild prop behavior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FileUpload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Composition</t>
        </is>
      </c>
      <c r="C117" s="13" t="inlineStr">
        <is>
          <t>ItemGroup</t>
        </is>
      </c>
      <c r="D117" s="13" t="inlineStr">
        <is>
          <t>render prop behavior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FileUpload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Public API</t>
        </is>
      </c>
      <c r="C118" s="13" t="inlineStr">
        <is>
          <t>ItemGroup</t>
        </is>
      </c>
      <c r="D118" s="13" t="inlineStr">
        <is>
          <t>data-slot prop behavior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FileUpload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Public API</t>
        </is>
      </c>
      <c r="C119" s="13" t="inlineStr">
        <is>
          <t>ItemGroup</t>
        </is>
      </c>
      <c r="D119" s="13" t="inlineStr">
        <is>
          <t>[data-slot] prop behavior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FileUpload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Public API</t>
        </is>
      </c>
      <c r="C120" s="13" t="inlineStr">
        <is>
          <t>ItemGroup</t>
        </is>
      </c>
      <c r="D120" s="13" t="inlineStr">
        <is>
          <t>[data-count] prop behavior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FileUpload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Anatomy</t>
        </is>
      </c>
      <c r="C121" s="13" t="inlineStr">
        <is>
          <t>ItemName</t>
        </is>
      </c>
      <c r="D121" s="13" t="inlineStr">
        <is>
          <t>renders correct part when expected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FileUpload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Anatomy</t>
        </is>
      </c>
      <c r="C122" s="13" t="inlineStr">
        <is>
          <t>ItemName</t>
        </is>
      </c>
      <c r="D122" s="13" t="inlineStr">
        <is>
          <t>appears in documented order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FileUpload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Identity</t>
        </is>
      </c>
      <c r="C123" s="13" t="inlineStr">
        <is>
          <t>ItemName</t>
        </is>
      </c>
      <c r="D123" s="13" t="inlineStr">
        <is>
          <t>default tag is visible in Anatomy/Inspector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FileUpload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Identity</t>
        </is>
      </c>
      <c r="C124" s="13" t="inlineStr">
        <is>
          <t>ItemName</t>
        </is>
      </c>
      <c r="D124" s="13" t="inlineStr">
        <is>
          <t>data-slot is present and correct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FileUpload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30" customHeight="1" s="24">
      <c r="A125" s="12" t="n">
        <v>117</v>
      </c>
      <c r="B125" s="13" t="inlineStr">
        <is>
          <t>Props</t>
        </is>
      </c>
      <c r="C125" s="13" t="inlineStr">
        <is>
          <t>ItemName</t>
        </is>
      </c>
      <c r="D125" s="13" t="inlineStr">
        <is>
          <t>non-Atom native props pass through with data-prop-check marker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FileUpload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Refs</t>
        </is>
      </c>
      <c r="C126" s="13" t="inlineStr">
        <is>
          <t>ItemName</t>
        </is>
      </c>
      <c r="D126" s="13" t="inlineStr">
        <is>
          <t>consumer ref receives the rendered element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FileUpload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Public API</t>
        </is>
      </c>
      <c r="C127" s="13" t="inlineStr">
        <is>
          <t>ItemName</t>
        </is>
      </c>
      <c r="D127" s="13" t="inlineStr">
        <is>
          <t>[data-slot] prop behavior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FileUpload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Anatomy</t>
        </is>
      </c>
      <c r="C128" s="13" t="inlineStr">
        <is>
          <t>ItemSize</t>
        </is>
      </c>
      <c r="D128" s="13" t="inlineStr">
        <is>
          <t>renders correct part when expected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FileUpload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Anatomy</t>
        </is>
      </c>
      <c r="C129" s="13" t="inlineStr">
        <is>
          <t>ItemSize</t>
        </is>
      </c>
      <c r="D129" s="13" t="inlineStr">
        <is>
          <t>appears in documented order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FileUpload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Identity</t>
        </is>
      </c>
      <c r="C130" s="13" t="inlineStr">
        <is>
          <t>ItemSize</t>
        </is>
      </c>
      <c r="D130" s="13" t="inlineStr">
        <is>
          <t>default tag is visible in Anatomy/Inspector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FileUpload playground scenario.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Identity</t>
        </is>
      </c>
      <c r="C131" s="13" t="inlineStr">
        <is>
          <t>ItemSize</t>
        </is>
      </c>
      <c r="D131" s="13" t="inlineStr">
        <is>
          <t>data-slot is present and correct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FileUpload playground scenario.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30" customHeight="1" s="24">
      <c r="A132" s="12" t="n">
        <v>124</v>
      </c>
      <c r="B132" s="13" t="inlineStr">
        <is>
          <t>Props</t>
        </is>
      </c>
      <c r="C132" s="13" t="inlineStr">
        <is>
          <t>ItemSize</t>
        </is>
      </c>
      <c r="D132" s="13" t="inlineStr">
        <is>
          <t>non-Atom native props pass through with data-prop-check marker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FileUpload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Refs</t>
        </is>
      </c>
      <c r="C133" s="13" t="inlineStr">
        <is>
          <t>ItemSize</t>
        </is>
      </c>
      <c r="D133" s="13" t="inlineStr">
        <is>
          <t>consumer ref receives the rendered element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FileUpload playground scenario.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Public API</t>
        </is>
      </c>
      <c r="C134" s="13" t="inlineStr">
        <is>
          <t>ItemSize</t>
        </is>
      </c>
      <c r="D134" s="13" t="inlineStr">
        <is>
          <t>[data-slot] prop behavior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FileUpload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Anatomy</t>
        </is>
      </c>
      <c r="C135" s="13" t="inlineStr">
        <is>
          <t>UploadDropzone</t>
        </is>
      </c>
      <c r="D135" s="13" t="inlineStr">
        <is>
          <t>renders correct part when expected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FileUpload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Anatomy</t>
        </is>
      </c>
      <c r="C136" s="13" t="inlineStr">
        <is>
          <t>UploadDropzone</t>
        </is>
      </c>
      <c r="D136" s="13" t="inlineStr">
        <is>
          <t>appears in documented order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FileUpload playground scenario.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Identity</t>
        </is>
      </c>
      <c r="C137" s="13" t="inlineStr">
        <is>
          <t>UploadDropzone</t>
        </is>
      </c>
      <c r="D137" s="13" t="inlineStr">
        <is>
          <t>default tag is visible in Anatomy/Inspector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FileUpload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Identity</t>
        </is>
      </c>
      <c r="C138" s="13" t="inlineStr">
        <is>
          <t>UploadDropzone</t>
        </is>
      </c>
      <c r="D138" s="13" t="inlineStr">
        <is>
          <t>data-slot is present and correct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FileUpload playground scenario.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30" customHeight="1" s="24">
      <c r="A139" s="12" t="n">
        <v>131</v>
      </c>
      <c r="B139" s="13" t="inlineStr">
        <is>
          <t>Props</t>
        </is>
      </c>
      <c r="C139" s="13" t="inlineStr">
        <is>
          <t>UploadDropzone</t>
        </is>
      </c>
      <c r="D139" s="13" t="inlineStr">
        <is>
          <t>non-Atom native props pass through with data-prop-check marker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FileUpload playground scenario.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Refs</t>
        </is>
      </c>
      <c r="C140" s="13" t="inlineStr">
        <is>
          <t>UploadDropzone</t>
        </is>
      </c>
      <c r="D140" s="13" t="inlineStr">
        <is>
          <t>consumer ref receives the rendered element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FileUpload playground scenario.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15" customHeight="1" s="24">
      <c r="A141" s="12" t="n">
        <v>133</v>
      </c>
      <c r="B141" s="13" t="inlineStr">
        <is>
          <t>Anatomy</t>
        </is>
      </c>
      <c r="C141" s="13" t="inlineStr">
        <is>
          <t>UploadHiddenInput</t>
        </is>
      </c>
      <c r="D141" s="13" t="inlineStr">
        <is>
          <t>renders correct part when expected</t>
        </is>
      </c>
      <c r="E141" s="18" t="inlineStr">
        <is>
          <t>yes</t>
        </is>
      </c>
      <c r="F141" s="19" t="inlineStr">
        <is>
          <t>no</t>
        </is>
      </c>
      <c r="G141" s="12" t="inlineStr">
        <is>
          <t>ready for manual test</t>
        </is>
      </c>
      <c r="H141" s="20" t="inlineStr">
        <is>
          <t>untested</t>
        </is>
      </c>
      <c r="I141" s="13" t="inlineStr">
        <is>
          <t>FileUpload playground scenario.</t>
        </is>
      </c>
      <c r="J141" s="13" t="inlineStr">
        <is>
          <t>Manual verification needed.</t>
        </is>
      </c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Anatomy</t>
        </is>
      </c>
      <c r="C142" s="13" t="inlineStr">
        <is>
          <t>UploadHiddenInput</t>
        </is>
      </c>
      <c r="D142" s="13" t="inlineStr">
        <is>
          <t>appears in documented order</t>
        </is>
      </c>
      <c r="E142" s="18" t="inlineStr">
        <is>
          <t>yes</t>
        </is>
      </c>
      <c r="F142" s="19" t="inlineStr">
        <is>
          <t>no</t>
        </is>
      </c>
      <c r="G142" s="12" t="inlineStr">
        <is>
          <t>ready for manual test</t>
        </is>
      </c>
      <c r="H142" s="20" t="inlineStr">
        <is>
          <t>untested</t>
        </is>
      </c>
      <c r="I142" s="13" t="inlineStr">
        <is>
          <t>FileUpload playground scenario.</t>
        </is>
      </c>
      <c r="J142" s="13" t="inlineStr">
        <is>
          <t>Manual verification needed.</t>
        </is>
      </c>
      <c r="K142" s="14">
        <f>IF(AND(E142="yes",F142="yes",H142="covered"),1,IF(H142="partial",0.5,0))</f>
        <v/>
      </c>
    </row>
    <row r="143" ht="15" customHeight="1" s="24">
      <c r="A143" s="12" t="n">
        <v>135</v>
      </c>
      <c r="B143" s="13" t="inlineStr">
        <is>
          <t>Identity</t>
        </is>
      </c>
      <c r="C143" s="13" t="inlineStr">
        <is>
          <t>UploadHiddenInput</t>
        </is>
      </c>
      <c r="D143" s="13" t="inlineStr">
        <is>
          <t>default tag is visible in Anatomy/Inspector</t>
        </is>
      </c>
      <c r="E143" s="18" t="inlineStr">
        <is>
          <t>yes</t>
        </is>
      </c>
      <c r="F143" s="19" t="inlineStr">
        <is>
          <t>no</t>
        </is>
      </c>
      <c r="G143" s="12" t="inlineStr">
        <is>
          <t>ready for manual test</t>
        </is>
      </c>
      <c r="H143" s="20" t="inlineStr">
        <is>
          <t>untested</t>
        </is>
      </c>
      <c r="I143" s="13" t="inlineStr">
        <is>
          <t>FileUpload playground scenario.</t>
        </is>
      </c>
      <c r="J143" s="13" t="inlineStr">
        <is>
          <t>Manual verification needed.</t>
        </is>
      </c>
      <c r="K143" s="14">
        <f>IF(AND(E143="yes",F143="yes",H143="covered"),1,IF(H143="partial",0.5,0))</f>
        <v/>
      </c>
    </row>
    <row r="144" ht="15" customHeight="1" s="24">
      <c r="A144" s="12" t="n">
        <v>136</v>
      </c>
      <c r="B144" s="13" t="inlineStr">
        <is>
          <t>Identity</t>
        </is>
      </c>
      <c r="C144" s="13" t="inlineStr">
        <is>
          <t>UploadHiddenInput</t>
        </is>
      </c>
      <c r="D144" s="13" t="inlineStr">
        <is>
          <t>data-slot is present and correct</t>
        </is>
      </c>
      <c r="E144" s="18" t="inlineStr">
        <is>
          <t>yes</t>
        </is>
      </c>
      <c r="F144" s="19" t="inlineStr">
        <is>
          <t>no</t>
        </is>
      </c>
      <c r="G144" s="12" t="inlineStr">
        <is>
          <t>ready for manual test</t>
        </is>
      </c>
      <c r="H144" s="20" t="inlineStr">
        <is>
          <t>untested</t>
        </is>
      </c>
      <c r="I144" s="13" t="inlineStr">
        <is>
          <t>FileUpload playground scenario.</t>
        </is>
      </c>
      <c r="J144" s="13" t="inlineStr">
        <is>
          <t>Manual verification needed.</t>
        </is>
      </c>
      <c r="K144" s="14">
        <f>IF(AND(E144="yes",F144="yes",H144="covered"),1,IF(H144="partial",0.5,0))</f>
        <v/>
      </c>
    </row>
    <row r="145" ht="30" customHeight="1" s="24">
      <c r="A145" s="12" t="n">
        <v>137</v>
      </c>
      <c r="B145" s="13" t="inlineStr">
        <is>
          <t>Props</t>
        </is>
      </c>
      <c r="C145" s="13" t="inlineStr">
        <is>
          <t>UploadHiddenInput</t>
        </is>
      </c>
      <c r="D145" s="13" t="inlineStr">
        <is>
          <t>non-Atom native props pass through with data-prop-check marker</t>
        </is>
      </c>
      <c r="E145" s="18" t="inlineStr">
        <is>
          <t>yes</t>
        </is>
      </c>
      <c r="F145" s="19" t="inlineStr">
        <is>
          <t>no</t>
        </is>
      </c>
      <c r="G145" s="12" t="inlineStr">
        <is>
          <t>ready for manual test</t>
        </is>
      </c>
      <c r="H145" s="20" t="inlineStr">
        <is>
          <t>untested</t>
        </is>
      </c>
      <c r="I145" s="13" t="inlineStr">
        <is>
          <t>FileUpload playground scenario.</t>
        </is>
      </c>
      <c r="J145" s="13" t="inlineStr">
        <is>
          <t>Manual verification needed.</t>
        </is>
      </c>
      <c r="K145" s="14">
        <f>IF(AND(E145="yes",F145="yes",H145="covered"),1,IF(H145="partial",0.5,0))</f>
        <v/>
      </c>
    </row>
    <row r="146" ht="15" customHeight="1" s="24">
      <c r="A146" s="12" t="n">
        <v>138</v>
      </c>
      <c r="B146" s="13" t="inlineStr">
        <is>
          <t>Refs</t>
        </is>
      </c>
      <c r="C146" s="13" t="inlineStr">
        <is>
          <t>UploadHiddenInput</t>
        </is>
      </c>
      <c r="D146" s="13" t="inlineStr">
        <is>
          <t>consumer ref receives the rendered element</t>
        </is>
      </c>
      <c r="E146" s="18" t="inlineStr">
        <is>
          <t>yes</t>
        </is>
      </c>
      <c r="F146" s="19" t="inlineStr">
        <is>
          <t>no</t>
        </is>
      </c>
      <c r="G146" s="12" t="inlineStr">
        <is>
          <t>ready for manual test</t>
        </is>
      </c>
      <c r="H146" s="20" t="inlineStr">
        <is>
          <t>untested</t>
        </is>
      </c>
      <c r="I146" s="13" t="inlineStr">
        <is>
          <t>FileUpload playground scenario.</t>
        </is>
      </c>
      <c r="J146" s="13" t="inlineStr">
        <is>
          <t>Manual verification needed.</t>
        </is>
      </c>
      <c r="K146" s="14">
        <f>IF(AND(E146="yes",F146="yes",H146="covered"),1,IF(H146="partial",0.5,0))</f>
        <v/>
      </c>
    </row>
    <row r="147" ht="15" customHeight="1" s="24">
      <c r="A147" s="12" t="n">
        <v>139</v>
      </c>
      <c r="B147" s="13" t="inlineStr">
        <is>
          <t>Anatomy</t>
        </is>
      </c>
      <c r="C147" s="13" t="inlineStr">
        <is>
          <t>UploadItem</t>
        </is>
      </c>
      <c r="D147" s="13" t="inlineStr">
        <is>
          <t>renders correct part when expected</t>
        </is>
      </c>
      <c r="E147" s="18" t="inlineStr">
        <is>
          <t>yes</t>
        </is>
      </c>
      <c r="F147" s="19" t="inlineStr">
        <is>
          <t>no</t>
        </is>
      </c>
      <c r="G147" s="12" t="inlineStr">
        <is>
          <t>ready for manual test</t>
        </is>
      </c>
      <c r="H147" s="20" t="inlineStr">
        <is>
          <t>untested</t>
        </is>
      </c>
      <c r="I147" s="13" t="inlineStr">
        <is>
          <t>FileUpload playground scenario.</t>
        </is>
      </c>
      <c r="J147" s="13" t="inlineStr">
        <is>
          <t>Manual verification needed.</t>
        </is>
      </c>
      <c r="K147" s="14">
        <f>IF(AND(E147="yes",F147="yes",H147="covered"),1,IF(H147="partial",0.5,0))</f>
        <v/>
      </c>
    </row>
    <row r="148" ht="15" customHeight="1" s="24">
      <c r="A148" s="12" t="n">
        <v>140</v>
      </c>
      <c r="B148" s="13" t="inlineStr">
        <is>
          <t>Anatomy</t>
        </is>
      </c>
      <c r="C148" s="13" t="inlineStr">
        <is>
          <t>UploadItem</t>
        </is>
      </c>
      <c r="D148" s="13" t="inlineStr">
        <is>
          <t>appears in documented order</t>
        </is>
      </c>
      <c r="E148" s="18" t="inlineStr">
        <is>
          <t>yes</t>
        </is>
      </c>
      <c r="F148" s="19" t="inlineStr">
        <is>
          <t>no</t>
        </is>
      </c>
      <c r="G148" s="12" t="inlineStr">
        <is>
          <t>ready for manual test</t>
        </is>
      </c>
      <c r="H148" s="20" t="inlineStr">
        <is>
          <t>untested</t>
        </is>
      </c>
      <c r="I148" s="13" t="inlineStr">
        <is>
          <t>FileUpload playground scenario.</t>
        </is>
      </c>
      <c r="J148" s="13" t="inlineStr">
        <is>
          <t>Manual verification needed.</t>
        </is>
      </c>
      <c r="K148" s="14">
        <f>IF(AND(E148="yes",F148="yes",H148="covered"),1,IF(H148="partial",0.5,0))</f>
        <v/>
      </c>
    </row>
    <row r="149" ht="15" customHeight="1" s="24">
      <c r="A149" s="12" t="n">
        <v>141</v>
      </c>
      <c r="B149" s="13" t="inlineStr">
        <is>
          <t>Identity</t>
        </is>
      </c>
      <c r="C149" s="13" t="inlineStr">
        <is>
          <t>UploadItem</t>
        </is>
      </c>
      <c r="D149" s="13" t="inlineStr">
        <is>
          <t>default tag is visible in Anatomy/Inspector</t>
        </is>
      </c>
      <c r="E149" s="18" t="inlineStr">
        <is>
          <t>yes</t>
        </is>
      </c>
      <c r="F149" s="19" t="inlineStr">
        <is>
          <t>no</t>
        </is>
      </c>
      <c r="G149" s="12" t="inlineStr">
        <is>
          <t>ready for manual test</t>
        </is>
      </c>
      <c r="H149" s="20" t="inlineStr">
        <is>
          <t>untested</t>
        </is>
      </c>
      <c r="I149" s="13" t="inlineStr">
        <is>
          <t>FileUpload playground scenario.</t>
        </is>
      </c>
      <c r="J149" s="13" t="inlineStr">
        <is>
          <t>Manual verification needed.</t>
        </is>
      </c>
      <c r="K149" s="14">
        <f>IF(AND(E149="yes",F149="yes",H149="covered"),1,IF(H149="partial",0.5,0))</f>
        <v/>
      </c>
    </row>
    <row r="150" ht="15" customHeight="1" s="24">
      <c r="A150" s="12" t="n">
        <v>142</v>
      </c>
      <c r="B150" s="13" t="inlineStr">
        <is>
          <t>Identity</t>
        </is>
      </c>
      <c r="C150" s="13" t="inlineStr">
        <is>
          <t>UploadItem</t>
        </is>
      </c>
      <c r="D150" s="13" t="inlineStr">
        <is>
          <t>data-slot is present and correct</t>
        </is>
      </c>
      <c r="E150" s="18" t="inlineStr">
        <is>
          <t>yes</t>
        </is>
      </c>
      <c r="F150" s="19" t="inlineStr">
        <is>
          <t>no</t>
        </is>
      </c>
      <c r="G150" s="12" t="inlineStr">
        <is>
          <t>ready for manual test</t>
        </is>
      </c>
      <c r="H150" s="20" t="inlineStr">
        <is>
          <t>untested</t>
        </is>
      </c>
      <c r="I150" s="13" t="inlineStr">
        <is>
          <t>FileUpload playground scenario.</t>
        </is>
      </c>
      <c r="J150" s="13" t="inlineStr">
        <is>
          <t>Manual verification needed.</t>
        </is>
      </c>
      <c r="K150" s="14">
        <f>IF(AND(E150="yes",F150="yes",H150="covered"),1,IF(H150="partial",0.5,0))</f>
        <v/>
      </c>
    </row>
    <row r="151" ht="30" customHeight="1" s="24">
      <c r="A151" s="12" t="n">
        <v>143</v>
      </c>
      <c r="B151" s="13" t="inlineStr">
        <is>
          <t>Props</t>
        </is>
      </c>
      <c r="C151" s="13" t="inlineStr">
        <is>
          <t>UploadItem</t>
        </is>
      </c>
      <c r="D151" s="13" t="inlineStr">
        <is>
          <t>non-Atom native props pass through with data-prop-check marker</t>
        </is>
      </c>
      <c r="E151" s="18" t="inlineStr">
        <is>
          <t>yes</t>
        </is>
      </c>
      <c r="F151" s="19" t="inlineStr">
        <is>
          <t>no</t>
        </is>
      </c>
      <c r="G151" s="12" t="inlineStr">
        <is>
          <t>ready for manual test</t>
        </is>
      </c>
      <c r="H151" s="20" t="inlineStr">
        <is>
          <t>untested</t>
        </is>
      </c>
      <c r="I151" s="13" t="inlineStr">
        <is>
          <t>FileUpload playground scenario.</t>
        </is>
      </c>
      <c r="J151" s="13" t="inlineStr">
        <is>
          <t>Manual verification needed.</t>
        </is>
      </c>
      <c r="K151" s="14">
        <f>IF(AND(E151="yes",F151="yes",H151="covered"),1,IF(H151="partial",0.5,0))</f>
        <v/>
      </c>
    </row>
    <row r="152" ht="15" customHeight="1" s="24">
      <c r="A152" s="12" t="n">
        <v>144</v>
      </c>
      <c r="B152" s="13" t="inlineStr">
        <is>
          <t>Refs</t>
        </is>
      </c>
      <c r="C152" s="13" t="inlineStr">
        <is>
          <t>UploadItem</t>
        </is>
      </c>
      <c r="D152" s="13" t="inlineStr">
        <is>
          <t>consumer ref receives the rendered element</t>
        </is>
      </c>
      <c r="E152" s="18" t="inlineStr">
        <is>
          <t>yes</t>
        </is>
      </c>
      <c r="F152" s="19" t="inlineStr">
        <is>
          <t>no</t>
        </is>
      </c>
      <c r="G152" s="12" t="inlineStr">
        <is>
          <t>ready for manual test</t>
        </is>
      </c>
      <c r="H152" s="20" t="inlineStr">
        <is>
          <t>untested</t>
        </is>
      </c>
      <c r="I152" s="13" t="inlineStr">
        <is>
          <t>FileUpload playground scenario.</t>
        </is>
      </c>
      <c r="J152" s="13" t="inlineStr">
        <is>
          <t>Manual verification needed.</t>
        </is>
      </c>
      <c r="K152" s="14">
        <f>IF(AND(E152="yes",F152="yes",H152="covered"),1,IF(H152="partial",0.5,0))</f>
        <v/>
      </c>
    </row>
    <row r="153" ht="15" customHeight="1" s="24">
      <c r="A153" s="12" t="n">
        <v>145</v>
      </c>
      <c r="B153" s="13" t="inlineStr">
        <is>
          <t>Anatomy</t>
        </is>
      </c>
      <c r="C153" s="13" t="inlineStr">
        <is>
          <t>UploadItemDeleteTrigger</t>
        </is>
      </c>
      <c r="D153" s="13" t="inlineStr">
        <is>
          <t>renders correct part when expected</t>
        </is>
      </c>
      <c r="E153" s="18" t="inlineStr">
        <is>
          <t>yes</t>
        </is>
      </c>
      <c r="F153" s="19" t="inlineStr">
        <is>
          <t>no</t>
        </is>
      </c>
      <c r="G153" s="12" t="inlineStr">
        <is>
          <t>ready for manual test</t>
        </is>
      </c>
      <c r="H153" s="20" t="inlineStr">
        <is>
          <t>untested</t>
        </is>
      </c>
      <c r="I153" s="13" t="inlineStr">
        <is>
          <t>FileUpload playground scenario.</t>
        </is>
      </c>
      <c r="J153" s="13" t="inlineStr">
        <is>
          <t>Manual verification needed.</t>
        </is>
      </c>
      <c r="K153" s="14">
        <f>IF(AND(E153="yes",F153="yes",H153="covered"),1,IF(H153="partial",0.5,0))</f>
        <v/>
      </c>
    </row>
    <row r="154" ht="15" customHeight="1" s="24">
      <c r="A154" s="12" t="n">
        <v>146</v>
      </c>
      <c r="B154" s="13" t="inlineStr">
        <is>
          <t>Anatomy</t>
        </is>
      </c>
      <c r="C154" s="13" t="inlineStr">
        <is>
          <t>UploadItemDeleteTrigger</t>
        </is>
      </c>
      <c r="D154" s="13" t="inlineStr">
        <is>
          <t>appears in documented order</t>
        </is>
      </c>
      <c r="E154" s="18" t="inlineStr">
        <is>
          <t>yes</t>
        </is>
      </c>
      <c r="F154" s="19" t="inlineStr">
        <is>
          <t>no</t>
        </is>
      </c>
      <c r="G154" s="12" t="inlineStr">
        <is>
          <t>ready for manual test</t>
        </is>
      </c>
      <c r="H154" s="20" t="inlineStr">
        <is>
          <t>untested</t>
        </is>
      </c>
      <c r="I154" s="13" t="inlineStr">
        <is>
          <t>FileUpload playground scenario.</t>
        </is>
      </c>
      <c r="J154" s="13" t="inlineStr">
        <is>
          <t>Manual verification needed.</t>
        </is>
      </c>
      <c r="K154" s="14">
        <f>IF(AND(E154="yes",F154="yes",H154="covered"),1,IF(H154="partial",0.5,0))</f>
        <v/>
      </c>
    </row>
    <row r="155" ht="15" customHeight="1" s="24">
      <c r="A155" s="12" t="n">
        <v>147</v>
      </c>
      <c r="B155" s="13" t="inlineStr">
        <is>
          <t>Identity</t>
        </is>
      </c>
      <c r="C155" s="13" t="inlineStr">
        <is>
          <t>UploadItemDeleteTrigger</t>
        </is>
      </c>
      <c r="D155" s="13" t="inlineStr">
        <is>
          <t>default tag is visible in Anatomy/Inspector</t>
        </is>
      </c>
      <c r="E155" s="18" t="inlineStr">
        <is>
          <t>yes</t>
        </is>
      </c>
      <c r="F155" s="19" t="inlineStr">
        <is>
          <t>no</t>
        </is>
      </c>
      <c r="G155" s="12" t="inlineStr">
        <is>
          <t>ready for manual test</t>
        </is>
      </c>
      <c r="H155" s="20" t="inlineStr">
        <is>
          <t>untested</t>
        </is>
      </c>
      <c r="I155" s="13" t="inlineStr">
        <is>
          <t>FileUpload playground scenario.</t>
        </is>
      </c>
      <c r="J155" s="13" t="inlineStr">
        <is>
          <t>Manual verification needed.</t>
        </is>
      </c>
      <c r="K155" s="14">
        <f>IF(AND(E155="yes",F155="yes",H155="covered"),1,IF(H155="partial",0.5,0))</f>
        <v/>
      </c>
    </row>
    <row r="156" ht="15" customHeight="1" s="24">
      <c r="A156" s="12" t="n">
        <v>148</v>
      </c>
      <c r="B156" s="13" t="inlineStr">
        <is>
          <t>Identity</t>
        </is>
      </c>
      <c r="C156" s="13" t="inlineStr">
        <is>
          <t>UploadItemDeleteTrigger</t>
        </is>
      </c>
      <c r="D156" s="13" t="inlineStr">
        <is>
          <t>data-slot is present and correct</t>
        </is>
      </c>
      <c r="E156" s="18" t="inlineStr">
        <is>
          <t>yes</t>
        </is>
      </c>
      <c r="F156" s="19" t="inlineStr">
        <is>
          <t>no</t>
        </is>
      </c>
      <c r="G156" s="12" t="inlineStr">
        <is>
          <t>ready for manual test</t>
        </is>
      </c>
      <c r="H156" s="20" t="inlineStr">
        <is>
          <t>untested</t>
        </is>
      </c>
      <c r="I156" s="13" t="inlineStr">
        <is>
          <t>FileUpload playground scenario.</t>
        </is>
      </c>
      <c r="J156" s="13" t="inlineStr">
        <is>
          <t>Manual verification needed.</t>
        </is>
      </c>
      <c r="K156" s="14">
        <f>IF(AND(E156="yes",F156="yes",H156="covered"),1,IF(H156="partial",0.5,0))</f>
        <v/>
      </c>
    </row>
    <row r="157" ht="30" customHeight="1" s="24">
      <c r="A157" s="12" t="n">
        <v>149</v>
      </c>
      <c r="B157" s="13" t="inlineStr">
        <is>
          <t>Props</t>
        </is>
      </c>
      <c r="C157" s="13" t="inlineStr">
        <is>
          <t>UploadItemDeleteTrigger</t>
        </is>
      </c>
      <c r="D157" s="13" t="inlineStr">
        <is>
          <t>non-Atom native props pass through with data-prop-check marker</t>
        </is>
      </c>
      <c r="E157" s="18" t="inlineStr">
        <is>
          <t>yes</t>
        </is>
      </c>
      <c r="F157" s="19" t="inlineStr">
        <is>
          <t>no</t>
        </is>
      </c>
      <c r="G157" s="12" t="inlineStr">
        <is>
          <t>ready for manual test</t>
        </is>
      </c>
      <c r="H157" s="20" t="inlineStr">
        <is>
          <t>untested</t>
        </is>
      </c>
      <c r="I157" s="13" t="inlineStr">
        <is>
          <t>FileUpload playground scenario.</t>
        </is>
      </c>
      <c r="J157" s="13" t="inlineStr">
        <is>
          <t>Manual verification needed.</t>
        </is>
      </c>
      <c r="K157" s="14">
        <f>IF(AND(E157="yes",F157="yes",H157="covered"),1,IF(H157="partial",0.5,0))</f>
        <v/>
      </c>
    </row>
    <row r="158" ht="15" customHeight="1" s="24">
      <c r="A158" s="12" t="n">
        <v>150</v>
      </c>
      <c r="B158" s="13" t="inlineStr">
        <is>
          <t>Refs</t>
        </is>
      </c>
      <c r="C158" s="13" t="inlineStr">
        <is>
          <t>UploadItemDeleteTrigger</t>
        </is>
      </c>
      <c r="D158" s="13" t="inlineStr">
        <is>
          <t>consumer ref receives the rendered element</t>
        </is>
      </c>
      <c r="E158" s="18" t="inlineStr">
        <is>
          <t>yes</t>
        </is>
      </c>
      <c r="F158" s="19" t="inlineStr">
        <is>
          <t>no</t>
        </is>
      </c>
      <c r="G158" s="12" t="inlineStr">
        <is>
          <t>ready for manual test</t>
        </is>
      </c>
      <c r="H158" s="20" t="inlineStr">
        <is>
          <t>untested</t>
        </is>
      </c>
      <c r="I158" s="13" t="inlineStr">
        <is>
          <t>FileUpload playground scenario.</t>
        </is>
      </c>
      <c r="J158" s="13" t="inlineStr">
        <is>
          <t>Manual verification needed.</t>
        </is>
      </c>
      <c r="K158" s="14">
        <f>IF(AND(E158="yes",F158="yes",H158="covered"),1,IF(H158="partial",0.5,0))</f>
        <v/>
      </c>
    </row>
    <row r="159" ht="15" customHeight="1" s="24">
      <c r="A159" s="12" t="n">
        <v>151</v>
      </c>
      <c r="B159" s="13" t="inlineStr">
        <is>
          <t>Anatomy</t>
        </is>
      </c>
      <c r="C159" s="13" t="inlineStr">
        <is>
          <t>UploadItemGroup</t>
        </is>
      </c>
      <c r="D159" s="13" t="inlineStr">
        <is>
          <t>renders correct part when expected</t>
        </is>
      </c>
      <c r="E159" s="18" t="inlineStr">
        <is>
          <t>yes</t>
        </is>
      </c>
      <c r="F159" s="19" t="inlineStr">
        <is>
          <t>no</t>
        </is>
      </c>
      <c r="G159" s="12" t="inlineStr">
        <is>
          <t>ready for manual test</t>
        </is>
      </c>
      <c r="H159" s="20" t="inlineStr">
        <is>
          <t>untested</t>
        </is>
      </c>
      <c r="I159" s="13" t="inlineStr">
        <is>
          <t>FileUpload playground scenario.</t>
        </is>
      </c>
      <c r="J159" s="13" t="inlineStr">
        <is>
          <t>Manual verification needed.</t>
        </is>
      </c>
      <c r="K159" s="14">
        <f>IF(AND(E159="yes",F159="yes",H159="covered"),1,IF(H159="partial",0.5,0))</f>
        <v/>
      </c>
    </row>
    <row r="160" ht="15" customHeight="1" s="24">
      <c r="A160" s="12" t="n">
        <v>152</v>
      </c>
      <c r="B160" s="13" t="inlineStr">
        <is>
          <t>Anatomy</t>
        </is>
      </c>
      <c r="C160" s="13" t="inlineStr">
        <is>
          <t>UploadItemGroup</t>
        </is>
      </c>
      <c r="D160" s="13" t="inlineStr">
        <is>
          <t>appears in documented order</t>
        </is>
      </c>
      <c r="E160" s="18" t="inlineStr">
        <is>
          <t>yes</t>
        </is>
      </c>
      <c r="F160" s="19" t="inlineStr">
        <is>
          <t>no</t>
        </is>
      </c>
      <c r="G160" s="12" t="inlineStr">
        <is>
          <t>ready for manual test</t>
        </is>
      </c>
      <c r="H160" s="20" t="inlineStr">
        <is>
          <t>untested</t>
        </is>
      </c>
      <c r="I160" s="13" t="inlineStr">
        <is>
          <t>FileUpload playground scenario.</t>
        </is>
      </c>
      <c r="J160" s="13" t="inlineStr">
        <is>
          <t>Manual verification needed.</t>
        </is>
      </c>
      <c r="K160" s="14">
        <f>IF(AND(E160="yes",F160="yes",H160="covered"),1,IF(H160="partial",0.5,0))</f>
        <v/>
      </c>
    </row>
    <row r="161" ht="15" customHeight="1" s="24">
      <c r="A161" s="12" t="n">
        <v>153</v>
      </c>
      <c r="B161" s="13" t="inlineStr">
        <is>
          <t>Identity</t>
        </is>
      </c>
      <c r="C161" s="13" t="inlineStr">
        <is>
          <t>UploadItemGroup</t>
        </is>
      </c>
      <c r="D161" s="13" t="inlineStr">
        <is>
          <t>default tag is visible in Anatomy/Inspector</t>
        </is>
      </c>
      <c r="E161" s="18" t="inlineStr">
        <is>
          <t>yes</t>
        </is>
      </c>
      <c r="F161" s="19" t="inlineStr">
        <is>
          <t>no</t>
        </is>
      </c>
      <c r="G161" s="12" t="inlineStr">
        <is>
          <t>ready for manual test</t>
        </is>
      </c>
      <c r="H161" s="20" t="inlineStr">
        <is>
          <t>untested</t>
        </is>
      </c>
      <c r="I161" s="13" t="inlineStr">
        <is>
          <t>FileUpload playground scenario.</t>
        </is>
      </c>
      <c r="J161" s="13" t="inlineStr">
        <is>
          <t>Manual verification needed.</t>
        </is>
      </c>
      <c r="K161" s="14">
        <f>IF(AND(E161="yes",F161="yes",H161="covered"),1,IF(H161="partial",0.5,0))</f>
        <v/>
      </c>
    </row>
    <row r="162" ht="15" customHeight="1" s="24">
      <c r="A162" s="12" t="n">
        <v>154</v>
      </c>
      <c r="B162" s="13" t="inlineStr">
        <is>
          <t>Identity</t>
        </is>
      </c>
      <c r="C162" s="13" t="inlineStr">
        <is>
          <t>UploadItemGroup</t>
        </is>
      </c>
      <c r="D162" s="13" t="inlineStr">
        <is>
          <t>data-slot is present and correct</t>
        </is>
      </c>
      <c r="E162" s="18" t="inlineStr">
        <is>
          <t>yes</t>
        </is>
      </c>
      <c r="F162" s="19" t="inlineStr">
        <is>
          <t>no</t>
        </is>
      </c>
      <c r="G162" s="12" t="inlineStr">
        <is>
          <t>ready for manual test</t>
        </is>
      </c>
      <c r="H162" s="20" t="inlineStr">
        <is>
          <t>untested</t>
        </is>
      </c>
      <c r="I162" s="13" t="inlineStr">
        <is>
          <t>FileUpload playground scenario.</t>
        </is>
      </c>
      <c r="J162" s="13" t="inlineStr">
        <is>
          <t>Manual verification needed.</t>
        </is>
      </c>
      <c r="K162" s="14">
        <f>IF(AND(E162="yes",F162="yes",H162="covered"),1,IF(H162="partial",0.5,0))</f>
        <v/>
      </c>
    </row>
    <row r="163" ht="30" customHeight="1" s="24">
      <c r="A163" s="12" t="n">
        <v>155</v>
      </c>
      <c r="B163" s="13" t="inlineStr">
        <is>
          <t>Props</t>
        </is>
      </c>
      <c r="C163" s="13" t="inlineStr">
        <is>
          <t>UploadItemGroup</t>
        </is>
      </c>
      <c r="D163" s="13" t="inlineStr">
        <is>
          <t>non-Atom native props pass through with data-prop-check marker</t>
        </is>
      </c>
      <c r="E163" s="18" t="inlineStr">
        <is>
          <t>yes</t>
        </is>
      </c>
      <c r="F163" s="19" t="inlineStr">
        <is>
          <t>no</t>
        </is>
      </c>
      <c r="G163" s="12" t="inlineStr">
        <is>
          <t>ready for manual test</t>
        </is>
      </c>
      <c r="H163" s="20" t="inlineStr">
        <is>
          <t>untested</t>
        </is>
      </c>
      <c r="I163" s="13" t="inlineStr">
        <is>
          <t>FileUpload playground scenario.</t>
        </is>
      </c>
      <c r="J163" s="13" t="inlineStr">
        <is>
          <t>Manual verification needed.</t>
        </is>
      </c>
      <c r="K163" s="14">
        <f>IF(AND(E163="yes",F163="yes",H163="covered"),1,IF(H163="partial",0.5,0))</f>
        <v/>
      </c>
    </row>
    <row r="164" ht="15" customHeight="1" s="24">
      <c r="A164" s="12" t="n">
        <v>156</v>
      </c>
      <c r="B164" s="13" t="inlineStr">
        <is>
          <t>Refs</t>
        </is>
      </c>
      <c r="C164" s="13" t="inlineStr">
        <is>
          <t>UploadItemGroup</t>
        </is>
      </c>
      <c r="D164" s="13" t="inlineStr">
        <is>
          <t>consumer ref receives the rendered element</t>
        </is>
      </c>
      <c r="E164" s="18" t="inlineStr">
        <is>
          <t>yes</t>
        </is>
      </c>
      <c r="F164" s="19" t="inlineStr">
        <is>
          <t>no</t>
        </is>
      </c>
      <c r="G164" s="12" t="inlineStr">
        <is>
          <t>ready for manual test</t>
        </is>
      </c>
      <c r="H164" s="20" t="inlineStr">
        <is>
          <t>untested</t>
        </is>
      </c>
      <c r="I164" s="13" t="inlineStr">
        <is>
          <t>FileUpload playground scenario.</t>
        </is>
      </c>
      <c r="J164" s="13" t="inlineStr">
        <is>
          <t>Manual verification needed.</t>
        </is>
      </c>
      <c r="K164" s="14">
        <f>IF(AND(E164="yes",F164="yes",H164="covered"),1,IF(H164="partial",0.5,0))</f>
        <v/>
      </c>
    </row>
    <row r="165" ht="15" customHeight="1" s="24">
      <c r="A165" s="12" t="n">
        <v>157</v>
      </c>
      <c r="B165" s="13" t="inlineStr">
        <is>
          <t>Anatomy</t>
        </is>
      </c>
      <c r="C165" s="13" t="inlineStr">
        <is>
          <t>UploadItemName</t>
        </is>
      </c>
      <c r="D165" s="13" t="inlineStr">
        <is>
          <t>renders correct part when expected</t>
        </is>
      </c>
      <c r="E165" s="18" t="inlineStr">
        <is>
          <t>yes</t>
        </is>
      </c>
      <c r="F165" s="19" t="inlineStr">
        <is>
          <t>no</t>
        </is>
      </c>
      <c r="G165" s="12" t="inlineStr">
        <is>
          <t>ready for manual test</t>
        </is>
      </c>
      <c r="H165" s="20" t="inlineStr">
        <is>
          <t>untested</t>
        </is>
      </c>
      <c r="I165" s="13" t="inlineStr">
        <is>
          <t>FileUpload playground scenario.</t>
        </is>
      </c>
      <c r="J165" s="13" t="inlineStr">
        <is>
          <t>Manual verification needed.</t>
        </is>
      </c>
      <c r="K165" s="14">
        <f>IF(AND(E165="yes",F165="yes",H165="covered"),1,IF(H165="partial",0.5,0))</f>
        <v/>
      </c>
    </row>
    <row r="166" ht="15" customHeight="1" s="24">
      <c r="A166" s="12" t="n">
        <v>158</v>
      </c>
      <c r="B166" s="13" t="inlineStr">
        <is>
          <t>Anatomy</t>
        </is>
      </c>
      <c r="C166" s="13" t="inlineStr">
        <is>
          <t>UploadItemName</t>
        </is>
      </c>
      <c r="D166" s="13" t="inlineStr">
        <is>
          <t>appears in documented order</t>
        </is>
      </c>
      <c r="E166" s="18" t="inlineStr">
        <is>
          <t>yes</t>
        </is>
      </c>
      <c r="F166" s="19" t="inlineStr">
        <is>
          <t>no</t>
        </is>
      </c>
      <c r="G166" s="12" t="inlineStr">
        <is>
          <t>ready for manual test</t>
        </is>
      </c>
      <c r="H166" s="20" t="inlineStr">
        <is>
          <t>untested</t>
        </is>
      </c>
      <c r="I166" s="13" t="inlineStr">
        <is>
          <t>FileUpload playground scenario.</t>
        </is>
      </c>
      <c r="J166" s="13" t="inlineStr">
        <is>
          <t>Manual verification needed.</t>
        </is>
      </c>
      <c r="K166" s="14">
        <f>IF(AND(E166="yes",F166="yes",H166="covered"),1,IF(H166="partial",0.5,0))</f>
        <v/>
      </c>
    </row>
    <row r="167" ht="15" customHeight="1" s="24">
      <c r="A167" s="12" t="n">
        <v>159</v>
      </c>
      <c r="B167" s="13" t="inlineStr">
        <is>
          <t>Identity</t>
        </is>
      </c>
      <c r="C167" s="13" t="inlineStr">
        <is>
          <t>UploadItemName</t>
        </is>
      </c>
      <c r="D167" s="13" t="inlineStr">
        <is>
          <t>default tag is visible in Anatomy/Inspector</t>
        </is>
      </c>
      <c r="E167" s="18" t="inlineStr">
        <is>
          <t>yes</t>
        </is>
      </c>
      <c r="F167" s="19" t="inlineStr">
        <is>
          <t>no</t>
        </is>
      </c>
      <c r="G167" s="12" t="inlineStr">
        <is>
          <t>ready for manual test</t>
        </is>
      </c>
      <c r="H167" s="20" t="inlineStr">
        <is>
          <t>untested</t>
        </is>
      </c>
      <c r="I167" s="13" t="inlineStr">
        <is>
          <t>FileUpload playground scenario.</t>
        </is>
      </c>
      <c r="J167" s="13" t="inlineStr">
        <is>
          <t>Manual verification needed.</t>
        </is>
      </c>
      <c r="K167" s="14">
        <f>IF(AND(E167="yes",F167="yes",H167="covered"),1,IF(H167="partial",0.5,0))</f>
        <v/>
      </c>
    </row>
    <row r="168" ht="15" customHeight="1" s="24">
      <c r="A168" s="12" t="n">
        <v>160</v>
      </c>
      <c r="B168" s="13" t="inlineStr">
        <is>
          <t>Identity</t>
        </is>
      </c>
      <c r="C168" s="13" t="inlineStr">
        <is>
          <t>UploadItemName</t>
        </is>
      </c>
      <c r="D168" s="13" t="inlineStr">
        <is>
          <t>data-slot is present and correct</t>
        </is>
      </c>
      <c r="E168" s="18" t="inlineStr">
        <is>
          <t>yes</t>
        </is>
      </c>
      <c r="F168" s="19" t="inlineStr">
        <is>
          <t>no</t>
        </is>
      </c>
      <c r="G168" s="12" t="inlineStr">
        <is>
          <t>ready for manual test</t>
        </is>
      </c>
      <c r="H168" s="20" t="inlineStr">
        <is>
          <t>untested</t>
        </is>
      </c>
      <c r="I168" s="13" t="inlineStr">
        <is>
          <t>FileUpload playground scenario.</t>
        </is>
      </c>
      <c r="J168" s="13" t="inlineStr">
        <is>
          <t>Manual verification needed.</t>
        </is>
      </c>
      <c r="K168" s="14">
        <f>IF(AND(E168="yes",F168="yes",H168="covered"),1,IF(H168="partial",0.5,0))</f>
        <v/>
      </c>
    </row>
    <row r="169" ht="30" customHeight="1" s="24">
      <c r="A169" s="12" t="n">
        <v>161</v>
      </c>
      <c r="B169" s="13" t="inlineStr">
        <is>
          <t>Props</t>
        </is>
      </c>
      <c r="C169" s="13" t="inlineStr">
        <is>
          <t>UploadItemName</t>
        </is>
      </c>
      <c r="D169" s="13" t="inlineStr">
        <is>
          <t>non-Atom native props pass through with data-prop-check marker</t>
        </is>
      </c>
      <c r="E169" s="18" t="inlineStr">
        <is>
          <t>yes</t>
        </is>
      </c>
      <c r="F169" s="19" t="inlineStr">
        <is>
          <t>no</t>
        </is>
      </c>
      <c r="G169" s="12" t="inlineStr">
        <is>
          <t>ready for manual test</t>
        </is>
      </c>
      <c r="H169" s="20" t="inlineStr">
        <is>
          <t>untested</t>
        </is>
      </c>
      <c r="I169" s="13" t="inlineStr">
        <is>
          <t>FileUpload playground scenario.</t>
        </is>
      </c>
      <c r="J169" s="13" t="inlineStr">
        <is>
          <t>Manual verification needed.</t>
        </is>
      </c>
      <c r="K169" s="14">
        <f>IF(AND(E169="yes",F169="yes",H169="covered"),1,IF(H169="partial",0.5,0))</f>
        <v/>
      </c>
    </row>
    <row r="170" ht="15" customHeight="1" s="24">
      <c r="A170" s="12" t="n">
        <v>162</v>
      </c>
      <c r="B170" s="13" t="inlineStr">
        <is>
          <t>Refs</t>
        </is>
      </c>
      <c r="C170" s="13" t="inlineStr">
        <is>
          <t>UploadItemName</t>
        </is>
      </c>
      <c r="D170" s="13" t="inlineStr">
        <is>
          <t>consumer ref receives the rendered element</t>
        </is>
      </c>
      <c r="E170" s="18" t="inlineStr">
        <is>
          <t>yes</t>
        </is>
      </c>
      <c r="F170" s="19" t="inlineStr">
        <is>
          <t>no</t>
        </is>
      </c>
      <c r="G170" s="12" t="inlineStr">
        <is>
          <t>ready for manual test</t>
        </is>
      </c>
      <c r="H170" s="20" t="inlineStr">
        <is>
          <t>untested</t>
        </is>
      </c>
      <c r="I170" s="13" t="inlineStr">
        <is>
          <t>FileUpload playground scenario.</t>
        </is>
      </c>
      <c r="J170" s="13" t="inlineStr">
        <is>
          <t>Manual verification needed.</t>
        </is>
      </c>
      <c r="K170" s="14">
        <f>IF(AND(E170="yes",F170="yes",H170="covered"),1,IF(H170="partial",0.5,0))</f>
        <v/>
      </c>
    </row>
    <row r="171" ht="15" customHeight="1" s="24">
      <c r="A171" s="12" t="n">
        <v>163</v>
      </c>
      <c r="B171" s="13" t="inlineStr">
        <is>
          <t>Anatomy</t>
        </is>
      </c>
      <c r="C171" s="13" t="inlineStr">
        <is>
          <t>UploadItemSize</t>
        </is>
      </c>
      <c r="D171" s="13" t="inlineStr">
        <is>
          <t>renders correct part when expected</t>
        </is>
      </c>
      <c r="E171" s="18" t="inlineStr">
        <is>
          <t>yes</t>
        </is>
      </c>
      <c r="F171" s="19" t="inlineStr">
        <is>
          <t>no</t>
        </is>
      </c>
      <c r="G171" s="12" t="inlineStr">
        <is>
          <t>ready for manual test</t>
        </is>
      </c>
      <c r="H171" s="20" t="inlineStr">
        <is>
          <t>untested</t>
        </is>
      </c>
      <c r="I171" s="13" t="inlineStr">
        <is>
          <t>FileUpload playground scenario.</t>
        </is>
      </c>
      <c r="J171" s="13" t="inlineStr">
        <is>
          <t>Manual verification needed.</t>
        </is>
      </c>
      <c r="K171" s="14">
        <f>IF(AND(E171="yes",F171="yes",H171="covered"),1,IF(H171="partial",0.5,0))</f>
        <v/>
      </c>
    </row>
    <row r="172" ht="15" customHeight="1" s="24">
      <c r="A172" s="12" t="n">
        <v>164</v>
      </c>
      <c r="B172" s="13" t="inlineStr">
        <is>
          <t>Anatomy</t>
        </is>
      </c>
      <c r="C172" s="13" t="inlineStr">
        <is>
          <t>UploadItemSize</t>
        </is>
      </c>
      <c r="D172" s="13" t="inlineStr">
        <is>
          <t>appears in documented order</t>
        </is>
      </c>
      <c r="E172" s="18" t="inlineStr">
        <is>
          <t>yes</t>
        </is>
      </c>
      <c r="F172" s="19" t="inlineStr">
        <is>
          <t>no</t>
        </is>
      </c>
      <c r="G172" s="12" t="inlineStr">
        <is>
          <t>ready for manual test</t>
        </is>
      </c>
      <c r="H172" s="20" t="inlineStr">
        <is>
          <t>untested</t>
        </is>
      </c>
      <c r="I172" s="13" t="inlineStr">
        <is>
          <t>FileUpload playground scenario.</t>
        </is>
      </c>
      <c r="J172" s="13" t="inlineStr">
        <is>
          <t>Manual verification needed.</t>
        </is>
      </c>
      <c r="K172" s="14">
        <f>IF(AND(E172="yes",F172="yes",H172="covered"),1,IF(H172="partial",0.5,0))</f>
        <v/>
      </c>
    </row>
    <row r="173" ht="15" customHeight="1" s="24">
      <c r="A173" s="12" t="n">
        <v>165</v>
      </c>
      <c r="B173" s="13" t="inlineStr">
        <is>
          <t>Identity</t>
        </is>
      </c>
      <c r="C173" s="13" t="inlineStr">
        <is>
          <t>UploadItemSize</t>
        </is>
      </c>
      <c r="D173" s="13" t="inlineStr">
        <is>
          <t>default tag is visible in Anatomy/Inspector</t>
        </is>
      </c>
      <c r="E173" s="18" t="inlineStr">
        <is>
          <t>yes</t>
        </is>
      </c>
      <c r="F173" s="19" t="inlineStr">
        <is>
          <t>no</t>
        </is>
      </c>
      <c r="G173" s="12" t="inlineStr">
        <is>
          <t>ready for manual test</t>
        </is>
      </c>
      <c r="H173" s="20" t="inlineStr">
        <is>
          <t>untested</t>
        </is>
      </c>
      <c r="I173" s="13" t="inlineStr">
        <is>
          <t>FileUpload playground scenario.</t>
        </is>
      </c>
      <c r="J173" s="13" t="inlineStr">
        <is>
          <t>Manual verification needed.</t>
        </is>
      </c>
      <c r="K173" s="14">
        <f>IF(AND(E173="yes",F173="yes",H173="covered"),1,IF(H173="partial",0.5,0))</f>
        <v/>
      </c>
    </row>
    <row r="174" ht="15" customHeight="1" s="24">
      <c r="A174" s="12" t="n">
        <v>166</v>
      </c>
      <c r="B174" s="13" t="inlineStr">
        <is>
          <t>Identity</t>
        </is>
      </c>
      <c r="C174" s="13" t="inlineStr">
        <is>
          <t>UploadItemSize</t>
        </is>
      </c>
      <c r="D174" s="13" t="inlineStr">
        <is>
          <t>data-slot is present and correct</t>
        </is>
      </c>
      <c r="E174" s="18" t="inlineStr">
        <is>
          <t>yes</t>
        </is>
      </c>
      <c r="F174" s="19" t="inlineStr">
        <is>
          <t>no</t>
        </is>
      </c>
      <c r="G174" s="12" t="inlineStr">
        <is>
          <t>ready for manual test</t>
        </is>
      </c>
      <c r="H174" s="20" t="inlineStr">
        <is>
          <t>untested</t>
        </is>
      </c>
      <c r="I174" s="13" t="inlineStr">
        <is>
          <t>FileUpload playground scenario.</t>
        </is>
      </c>
      <c r="J174" s="13" t="inlineStr">
        <is>
          <t>Manual verification needed.</t>
        </is>
      </c>
      <c r="K174" s="14">
        <f>IF(AND(E174="yes",F174="yes",H174="covered"),1,IF(H174="partial",0.5,0))</f>
        <v/>
      </c>
    </row>
    <row r="175" ht="30" customHeight="1" s="24">
      <c r="A175" s="12" t="n">
        <v>167</v>
      </c>
      <c r="B175" s="13" t="inlineStr">
        <is>
          <t>Props</t>
        </is>
      </c>
      <c r="C175" s="13" t="inlineStr">
        <is>
          <t>UploadItemSize</t>
        </is>
      </c>
      <c r="D175" s="13" t="inlineStr">
        <is>
          <t>non-Atom native props pass through with data-prop-check marker</t>
        </is>
      </c>
      <c r="E175" s="18" t="inlineStr">
        <is>
          <t>yes</t>
        </is>
      </c>
      <c r="F175" s="19" t="inlineStr">
        <is>
          <t>no</t>
        </is>
      </c>
      <c r="G175" s="12" t="inlineStr">
        <is>
          <t>ready for manual test</t>
        </is>
      </c>
      <c r="H175" s="20" t="inlineStr">
        <is>
          <t>untested</t>
        </is>
      </c>
      <c r="I175" s="13" t="inlineStr">
        <is>
          <t>FileUpload playground scenario.</t>
        </is>
      </c>
      <c r="J175" s="13" t="inlineStr">
        <is>
          <t>Manual verification needed.</t>
        </is>
      </c>
      <c r="K175" s="14">
        <f>IF(AND(E175="yes",F175="yes",H175="covered"),1,IF(H175="partial",0.5,0))</f>
        <v/>
      </c>
    </row>
    <row r="176" ht="15" customHeight="1" s="24">
      <c r="A176" s="12" t="n">
        <v>168</v>
      </c>
      <c r="B176" s="13" t="inlineStr">
        <is>
          <t>Refs</t>
        </is>
      </c>
      <c r="C176" s="13" t="inlineStr">
        <is>
          <t>UploadItemSize</t>
        </is>
      </c>
      <c r="D176" s="13" t="inlineStr">
        <is>
          <t>consumer ref receives the rendered element</t>
        </is>
      </c>
      <c r="E176" s="18" t="inlineStr">
        <is>
          <t>yes</t>
        </is>
      </c>
      <c r="F176" s="19" t="inlineStr">
        <is>
          <t>no</t>
        </is>
      </c>
      <c r="G176" s="12" t="inlineStr">
        <is>
          <t>ready for manual test</t>
        </is>
      </c>
      <c r="H176" s="20" t="inlineStr">
        <is>
          <t>untested</t>
        </is>
      </c>
      <c r="I176" s="13" t="inlineStr">
        <is>
          <t>FileUpload playground scenario.</t>
        </is>
      </c>
      <c r="J176" s="13" t="inlineStr">
        <is>
          <t>Manual verification needed.</t>
        </is>
      </c>
      <c r="K176" s="14">
        <f>IF(AND(E176="yes",F176="yes",H176="covered"),1,IF(H176="partial",0.5,0))</f>
        <v/>
      </c>
    </row>
    <row r="177" ht="15" customHeight="1" s="24">
      <c r="A177" s="12" t="n">
        <v>169</v>
      </c>
      <c r="B177" s="13" t="inlineStr">
        <is>
          <t>Anatomy</t>
        </is>
      </c>
      <c r="C177" s="13" t="inlineStr">
        <is>
          <t>UploadTrigger</t>
        </is>
      </c>
      <c r="D177" s="13" t="inlineStr">
        <is>
          <t>renders correct part when expected</t>
        </is>
      </c>
      <c r="E177" s="18" t="inlineStr">
        <is>
          <t>yes</t>
        </is>
      </c>
      <c r="F177" s="19" t="inlineStr">
        <is>
          <t>no</t>
        </is>
      </c>
      <c r="G177" s="12" t="inlineStr">
        <is>
          <t>ready for manual test</t>
        </is>
      </c>
      <c r="H177" s="20" t="inlineStr">
        <is>
          <t>untested</t>
        </is>
      </c>
      <c r="I177" s="13" t="inlineStr">
        <is>
          <t>FileUpload playground scenario.</t>
        </is>
      </c>
      <c r="J177" s="13" t="inlineStr">
        <is>
          <t>Manual verification needed.</t>
        </is>
      </c>
      <c r="K177" s="14">
        <f>IF(AND(E177="yes",F177="yes",H177="covered"),1,IF(H177="partial",0.5,0))</f>
        <v/>
      </c>
    </row>
    <row r="178" ht="15" customHeight="1" s="24">
      <c r="A178" s="12" t="n">
        <v>170</v>
      </c>
      <c r="B178" s="13" t="inlineStr">
        <is>
          <t>Anatomy</t>
        </is>
      </c>
      <c r="C178" s="13" t="inlineStr">
        <is>
          <t>UploadTrigger</t>
        </is>
      </c>
      <c r="D178" s="13" t="inlineStr">
        <is>
          <t>appears in documented order</t>
        </is>
      </c>
      <c r="E178" s="18" t="inlineStr">
        <is>
          <t>yes</t>
        </is>
      </c>
      <c r="F178" s="19" t="inlineStr">
        <is>
          <t>no</t>
        </is>
      </c>
      <c r="G178" s="12" t="inlineStr">
        <is>
          <t>ready for manual test</t>
        </is>
      </c>
      <c r="H178" s="20" t="inlineStr">
        <is>
          <t>untested</t>
        </is>
      </c>
      <c r="I178" s="13" t="inlineStr">
        <is>
          <t>FileUpload playground scenario.</t>
        </is>
      </c>
      <c r="J178" s="13" t="inlineStr">
        <is>
          <t>Manual verification needed.</t>
        </is>
      </c>
      <c r="K178" s="14">
        <f>IF(AND(E178="yes",F178="yes",H178="covered"),1,IF(H178="partial",0.5,0))</f>
        <v/>
      </c>
    </row>
    <row r="179" ht="15" customHeight="1" s="24">
      <c r="A179" s="12" t="n">
        <v>171</v>
      </c>
      <c r="B179" s="13" t="inlineStr">
        <is>
          <t>Identity</t>
        </is>
      </c>
      <c r="C179" s="13" t="inlineStr">
        <is>
          <t>UploadTrigger</t>
        </is>
      </c>
      <c r="D179" s="13" t="inlineStr">
        <is>
          <t>default tag is visible in Anatomy/Inspector</t>
        </is>
      </c>
      <c r="E179" s="18" t="inlineStr">
        <is>
          <t>yes</t>
        </is>
      </c>
      <c r="F179" s="19" t="inlineStr">
        <is>
          <t>no</t>
        </is>
      </c>
      <c r="G179" s="12" t="inlineStr">
        <is>
          <t>ready for manual test</t>
        </is>
      </c>
      <c r="H179" s="20" t="inlineStr">
        <is>
          <t>untested</t>
        </is>
      </c>
      <c r="I179" s="13" t="inlineStr">
        <is>
          <t>FileUpload playground scenario.</t>
        </is>
      </c>
      <c r="J179" s="13" t="inlineStr">
        <is>
          <t>Manual verification needed.</t>
        </is>
      </c>
      <c r="K179" s="14">
        <f>IF(AND(E179="yes",F179="yes",H179="covered"),1,IF(H179="partial",0.5,0))</f>
        <v/>
      </c>
    </row>
    <row r="180" ht="15" customHeight="1" s="24">
      <c r="A180" s="12" t="n">
        <v>172</v>
      </c>
      <c r="B180" s="13" t="inlineStr">
        <is>
          <t>Identity</t>
        </is>
      </c>
      <c r="C180" s="13" t="inlineStr">
        <is>
          <t>UploadTrigger</t>
        </is>
      </c>
      <c r="D180" s="13" t="inlineStr">
        <is>
          <t>data-slot is present and correct</t>
        </is>
      </c>
      <c r="E180" s="18" t="inlineStr">
        <is>
          <t>yes</t>
        </is>
      </c>
      <c r="F180" s="19" t="inlineStr">
        <is>
          <t>no</t>
        </is>
      </c>
      <c r="G180" s="12" t="inlineStr">
        <is>
          <t>ready for manual test</t>
        </is>
      </c>
      <c r="H180" s="20" t="inlineStr">
        <is>
          <t>untested</t>
        </is>
      </c>
      <c r="I180" s="13" t="inlineStr">
        <is>
          <t>FileUpload playground scenario.</t>
        </is>
      </c>
      <c r="J180" s="13" t="inlineStr">
        <is>
          <t>Manual verification needed.</t>
        </is>
      </c>
      <c r="K180" s="14">
        <f>IF(AND(E180="yes",F180="yes",H180="covered"),1,IF(H180="partial",0.5,0))</f>
        <v/>
      </c>
    </row>
    <row r="181" ht="30" customHeight="1" s="24">
      <c r="A181" s="12" t="n">
        <v>173</v>
      </c>
      <c r="B181" s="13" t="inlineStr">
        <is>
          <t>Props</t>
        </is>
      </c>
      <c r="C181" s="13" t="inlineStr">
        <is>
          <t>UploadTrigger</t>
        </is>
      </c>
      <c r="D181" s="13" t="inlineStr">
        <is>
          <t>non-Atom native props pass through with data-prop-check marker</t>
        </is>
      </c>
      <c r="E181" s="18" t="inlineStr">
        <is>
          <t>yes</t>
        </is>
      </c>
      <c r="F181" s="19" t="inlineStr">
        <is>
          <t>no</t>
        </is>
      </c>
      <c r="G181" s="12" t="inlineStr">
        <is>
          <t>ready for manual test</t>
        </is>
      </c>
      <c r="H181" s="20" t="inlineStr">
        <is>
          <t>untested</t>
        </is>
      </c>
      <c r="I181" s="13" t="inlineStr">
        <is>
          <t>FileUpload playground scenario.</t>
        </is>
      </c>
      <c r="J181" s="13" t="inlineStr">
        <is>
          <t>Manual verification needed.</t>
        </is>
      </c>
      <c r="K181" s="14">
        <f>IF(AND(E181="yes",F181="yes",H181="covered"),1,IF(H181="partial",0.5,0))</f>
        <v/>
      </c>
    </row>
    <row r="182" ht="15" customHeight="1" s="24">
      <c r="A182" s="12" t="n">
        <v>174</v>
      </c>
      <c r="B182" s="13" t="inlineStr">
        <is>
          <t>Refs</t>
        </is>
      </c>
      <c r="C182" s="13" t="inlineStr">
        <is>
          <t>UploadTrigger</t>
        </is>
      </c>
      <c r="D182" s="13" t="inlineStr">
        <is>
          <t>consumer ref receives the rendered element</t>
        </is>
      </c>
      <c r="E182" s="18" t="inlineStr">
        <is>
          <t>yes</t>
        </is>
      </c>
      <c r="F182" s="19" t="inlineStr">
        <is>
          <t>no</t>
        </is>
      </c>
      <c r="G182" s="12" t="inlineStr">
        <is>
          <t>ready for manual test</t>
        </is>
      </c>
      <c r="H182" s="20" t="inlineStr">
        <is>
          <t>untested</t>
        </is>
      </c>
      <c r="I182" s="13" t="inlineStr">
        <is>
          <t>FileUpload playground scenario.</t>
        </is>
      </c>
      <c r="J182" s="13" t="inlineStr">
        <is>
          <t>Manual verification needed.</t>
        </is>
      </c>
      <c r="K182" s="14">
        <f>IF(AND(E182="yes",F182="yes",H182="covered"),1,IF(H182="partial",0.5,0))</f>
        <v/>
      </c>
    </row>
    <row r="183" ht="15" customHeight="1" s="24">
      <c r="A183" s="12" t="n">
        <v>175</v>
      </c>
      <c r="B183" s="13" t="inlineStr">
        <is>
          <t>ARIA</t>
        </is>
      </c>
      <c r="C183" s="13" t="inlineStr">
        <is>
          <t>Live DOM</t>
        </is>
      </c>
      <c r="D183" s="13" t="inlineStr">
        <is>
          <t>aria-describedby is present at the correct time</t>
        </is>
      </c>
      <c r="E183" s="18" t="inlineStr">
        <is>
          <t>yes</t>
        </is>
      </c>
      <c r="F183" s="19" t="inlineStr">
        <is>
          <t>no</t>
        </is>
      </c>
      <c r="G183" s="12" t="inlineStr">
        <is>
          <t>ready for manual test</t>
        </is>
      </c>
      <c r="H183" s="20" t="inlineStr">
        <is>
          <t>untested</t>
        </is>
      </c>
      <c r="I183" s="13" t="inlineStr">
        <is>
          <t>FileUpload playground scenario.</t>
        </is>
      </c>
      <c r="J183" s="13" t="inlineStr">
        <is>
          <t>Manual verification needed.</t>
        </is>
      </c>
      <c r="K183" s="14">
        <f>IF(AND(E183="yes",F183="yes",H183="covered"),1,IF(H183="partial",0.5,0))</f>
        <v/>
      </c>
    </row>
    <row r="184" ht="15" customHeight="1" s="24">
      <c r="A184" s="12" t="n">
        <v>176</v>
      </c>
      <c r="B184" s="13" t="inlineStr">
        <is>
          <t>ARIA</t>
        </is>
      </c>
      <c r="C184" s="13" t="inlineStr">
        <is>
          <t>Live DOM</t>
        </is>
      </c>
      <c r="D184" s="13" t="inlineStr">
        <is>
          <t>aria-disabled is present at the correct time</t>
        </is>
      </c>
      <c r="E184" s="18" t="inlineStr">
        <is>
          <t>yes</t>
        </is>
      </c>
      <c r="F184" s="19" t="inlineStr">
        <is>
          <t>no</t>
        </is>
      </c>
      <c r="G184" s="12" t="inlineStr">
        <is>
          <t>ready for manual test</t>
        </is>
      </c>
      <c r="H184" s="20" t="inlineStr">
        <is>
          <t>untested</t>
        </is>
      </c>
      <c r="I184" s="13" t="inlineStr">
        <is>
          <t>FileUpload playground scenario.</t>
        </is>
      </c>
      <c r="J184" s="13" t="inlineStr">
        <is>
          <t>Manual verification needed.</t>
        </is>
      </c>
      <c r="K184" s="14">
        <f>IF(AND(E184="yes",F184="yes",H184="covered"),1,IF(H184="partial",0.5,0))</f>
        <v/>
      </c>
    </row>
    <row r="185" ht="15" customHeight="1" s="24">
      <c r="A185" s="12" t="n">
        <v>177</v>
      </c>
      <c r="B185" s="13" t="inlineStr">
        <is>
          <t>ARIA</t>
        </is>
      </c>
      <c r="C185" s="13" t="inlineStr">
        <is>
          <t>Live DOM</t>
        </is>
      </c>
      <c r="D185" s="13" t="inlineStr">
        <is>
          <t>aria-invalid is present at the correct time</t>
        </is>
      </c>
      <c r="E185" s="18" t="inlineStr">
        <is>
          <t>yes</t>
        </is>
      </c>
      <c r="F185" s="19" t="inlineStr">
        <is>
          <t>no</t>
        </is>
      </c>
      <c r="G185" s="12" t="inlineStr">
        <is>
          <t>ready for manual test</t>
        </is>
      </c>
      <c r="H185" s="20" t="inlineStr">
        <is>
          <t>untested</t>
        </is>
      </c>
      <c r="I185" s="13" t="inlineStr">
        <is>
          <t>FileUpload playground scenario.</t>
        </is>
      </c>
      <c r="J185" s="13" t="inlineStr">
        <is>
          <t>Manual verification needed.</t>
        </is>
      </c>
      <c r="K185" s="14">
        <f>IF(AND(E185="yes",F185="yes",H185="covered"),1,IF(H185="partial",0.5,0))</f>
        <v/>
      </c>
    </row>
    <row r="186" ht="15" customHeight="1" s="24">
      <c r="A186" s="12" t="n">
        <v>178</v>
      </c>
      <c r="B186" s="13" t="inlineStr">
        <is>
          <t>ARIA</t>
        </is>
      </c>
      <c r="C186" s="13" t="inlineStr">
        <is>
          <t>Live DOM</t>
        </is>
      </c>
      <c r="D186" s="13" t="inlineStr">
        <is>
          <t>aria-label is present at the correct time</t>
        </is>
      </c>
      <c r="E186" s="18" t="inlineStr">
        <is>
          <t>yes</t>
        </is>
      </c>
      <c r="F186" s="19" t="inlineStr">
        <is>
          <t>no</t>
        </is>
      </c>
      <c r="G186" s="12" t="inlineStr">
        <is>
          <t>ready for manual test</t>
        </is>
      </c>
      <c r="H186" s="20" t="inlineStr">
        <is>
          <t>untested</t>
        </is>
      </c>
      <c r="I186" s="13" t="inlineStr">
        <is>
          <t>FileUpload playground scenario.</t>
        </is>
      </c>
      <c r="J186" s="13" t="inlineStr">
        <is>
          <t>Manual verification needed.</t>
        </is>
      </c>
      <c r="K186" s="14">
        <f>IF(AND(E186="yes",F186="yes",H186="covered"),1,IF(H186="partial",0.5,0))</f>
        <v/>
      </c>
    </row>
    <row r="187" ht="15" customHeight="1" s="24">
      <c r="A187" s="12" t="n">
        <v>179</v>
      </c>
      <c r="B187" s="13" t="inlineStr">
        <is>
          <t>Data</t>
        </is>
      </c>
      <c r="C187" s="13" t="inlineStr">
        <is>
          <t>Live DOM</t>
        </is>
      </c>
      <c r="D187" s="13" t="inlineStr">
        <is>
          <t>data-accepted is present at the correct time</t>
        </is>
      </c>
      <c r="E187" s="18" t="inlineStr">
        <is>
          <t>yes</t>
        </is>
      </c>
      <c r="F187" s="19" t="inlineStr">
        <is>
          <t>no</t>
        </is>
      </c>
      <c r="G187" s="12" t="inlineStr">
        <is>
          <t>ready for manual test</t>
        </is>
      </c>
      <c r="H187" s="20" t="inlineStr">
        <is>
          <t>untested</t>
        </is>
      </c>
      <c r="I187" s="13" t="inlineStr">
        <is>
          <t>FileUpload playground scenario.</t>
        </is>
      </c>
      <c r="J187" s="13" t="inlineStr">
        <is>
          <t>Manual verification needed.</t>
        </is>
      </c>
      <c r="K187" s="14">
        <f>IF(AND(E187="yes",F187="yes",H187="covered"),1,IF(H187="partial",0.5,0))</f>
        <v/>
      </c>
    </row>
    <row r="188" ht="15" customHeight="1" s="24">
      <c r="A188" s="12" t="n">
        <v>180</v>
      </c>
      <c r="B188" s="13" t="inlineStr">
        <is>
          <t>Data</t>
        </is>
      </c>
      <c r="C188" s="13" t="inlineStr">
        <is>
          <t>Live DOM</t>
        </is>
      </c>
      <c r="D188" s="13" t="inlineStr">
        <is>
          <t>data-count is present at the correct time</t>
        </is>
      </c>
      <c r="E188" s="18" t="inlineStr">
        <is>
          <t>yes</t>
        </is>
      </c>
      <c r="F188" s="19" t="inlineStr">
        <is>
          <t>no</t>
        </is>
      </c>
      <c r="G188" s="12" t="inlineStr">
        <is>
          <t>ready for manual test</t>
        </is>
      </c>
      <c r="H188" s="20" t="inlineStr">
        <is>
          <t>untested</t>
        </is>
      </c>
      <c r="I188" s="13" t="inlineStr">
        <is>
          <t>FileUpload playground scenario.</t>
        </is>
      </c>
      <c r="J188" s="13" t="inlineStr">
        <is>
          <t>Manual verification needed.</t>
        </is>
      </c>
      <c r="K188" s="14">
        <f>IF(AND(E188="yes",F188="yes",H188="covered"),1,IF(H188="partial",0.5,0))</f>
        <v/>
      </c>
    </row>
    <row r="189" ht="15" customHeight="1" s="24">
      <c r="A189" s="12" t="n">
        <v>181</v>
      </c>
      <c r="B189" s="13" t="inlineStr">
        <is>
          <t>Data</t>
        </is>
      </c>
      <c r="C189" s="13" t="inlineStr">
        <is>
          <t>Live DOM</t>
        </is>
      </c>
      <c r="D189" s="13" t="inlineStr">
        <is>
          <t>data-disabled is present at the correct time</t>
        </is>
      </c>
      <c r="E189" s="18" t="inlineStr">
        <is>
          <t>yes</t>
        </is>
      </c>
      <c r="F189" s="19" t="inlineStr">
        <is>
          <t>no</t>
        </is>
      </c>
      <c r="G189" s="12" t="inlineStr">
        <is>
          <t>ready for manual test</t>
        </is>
      </c>
      <c r="H189" s="20" t="inlineStr">
        <is>
          <t>untested</t>
        </is>
      </c>
      <c r="I189" s="13" t="inlineStr">
        <is>
          <t>FileUpload playground scenario.</t>
        </is>
      </c>
      <c r="J189" s="13" t="inlineStr">
        <is>
          <t>Manual verification needed.</t>
        </is>
      </c>
      <c r="K189" s="14">
        <f>IF(AND(E189="yes",F189="yes",H189="covered"),1,IF(H189="partial",0.5,0))</f>
        <v/>
      </c>
    </row>
    <row r="190" ht="15" customHeight="1" s="24">
      <c r="A190" s="12" t="n">
        <v>182</v>
      </c>
      <c r="B190" s="13" t="inlineStr">
        <is>
          <t>Data</t>
        </is>
      </c>
      <c r="C190" s="13" t="inlineStr">
        <is>
          <t>Live DOM</t>
        </is>
      </c>
      <c r="D190" s="13" t="inlineStr">
        <is>
          <t>data-drag is present at the correct time</t>
        </is>
      </c>
      <c r="E190" s="18" t="inlineStr">
        <is>
          <t>yes</t>
        </is>
      </c>
      <c r="F190" s="19" t="inlineStr">
        <is>
          <t>no</t>
        </is>
      </c>
      <c r="G190" s="12" t="inlineStr">
        <is>
          <t>ready for manual test</t>
        </is>
      </c>
      <c r="H190" s="20" t="inlineStr">
        <is>
          <t>untested</t>
        </is>
      </c>
      <c r="I190" s="13" t="inlineStr">
        <is>
          <t>FileUpload playground scenario.</t>
        </is>
      </c>
      <c r="J190" s="13" t="inlineStr">
        <is>
          <t>Manual verification needed.</t>
        </is>
      </c>
      <c r="K190" s="14">
        <f>IF(AND(E190="yes",F190="yes",H190="covered"),1,IF(H190="partial",0.5,0))</f>
        <v/>
      </c>
    </row>
    <row r="191" ht="15" customHeight="1" s="24">
      <c r="A191" s="12" t="n">
        <v>183</v>
      </c>
      <c r="B191" s="13" t="inlineStr">
        <is>
          <t>Data</t>
        </is>
      </c>
      <c r="C191" s="13" t="inlineStr">
        <is>
          <t>Live DOM</t>
        </is>
      </c>
      <c r="D191" s="13" t="inlineStr">
        <is>
          <t>data-dragging is present at the correct time</t>
        </is>
      </c>
      <c r="E191" s="18" t="inlineStr">
        <is>
          <t>yes</t>
        </is>
      </c>
      <c r="F191" s="19" t="inlineStr">
        <is>
          <t>no</t>
        </is>
      </c>
      <c r="G191" s="12" t="inlineStr">
        <is>
          <t>ready for manual test</t>
        </is>
      </c>
      <c r="H191" s="20" t="inlineStr">
        <is>
          <t>untested</t>
        </is>
      </c>
      <c r="I191" s="13" t="inlineStr">
        <is>
          <t>FileUpload playground scenario.</t>
        </is>
      </c>
      <c r="J191" s="13" t="inlineStr">
        <is>
          <t>Manual verification needed.</t>
        </is>
      </c>
      <c r="K191" s="14">
        <f>IF(AND(E191="yes",F191="yes",H191="covered"),1,IF(H191="partial",0.5,0))</f>
        <v/>
      </c>
    </row>
    <row r="192" ht="15" customHeight="1" s="24">
      <c r="A192" s="12" t="n">
        <v>184</v>
      </c>
      <c r="B192" s="13" t="inlineStr">
        <is>
          <t>Data</t>
        </is>
      </c>
      <c r="C192" s="13" t="inlineStr">
        <is>
          <t>Live DOM</t>
        </is>
      </c>
      <c r="D192" s="13" t="inlineStr">
        <is>
          <t>data-filled is present at the correct time</t>
        </is>
      </c>
      <c r="E192" s="18" t="inlineStr">
        <is>
          <t>yes</t>
        </is>
      </c>
      <c r="F192" s="19" t="inlineStr">
        <is>
          <t>no</t>
        </is>
      </c>
      <c r="G192" s="12" t="inlineStr">
        <is>
          <t>ready for manual test</t>
        </is>
      </c>
      <c r="H192" s="20" t="inlineStr">
        <is>
          <t>untested</t>
        </is>
      </c>
      <c r="I192" s="13" t="inlineStr">
        <is>
          <t>FileUpload playground scenario.</t>
        </is>
      </c>
      <c r="J192" s="13" t="inlineStr">
        <is>
          <t>Manual verification needed.</t>
        </is>
      </c>
      <c r="K192" s="14">
        <f>IF(AND(E192="yes",F192="yes",H192="covered"),1,IF(H192="partial",0.5,0))</f>
        <v/>
      </c>
    </row>
    <row r="193" ht="15" customHeight="1" s="24">
      <c r="A193" s="12" t="n">
        <v>185</v>
      </c>
      <c r="B193" s="13" t="inlineStr">
        <is>
          <t>Data</t>
        </is>
      </c>
      <c r="C193" s="13" t="inlineStr">
        <is>
          <t>Live DOM</t>
        </is>
      </c>
      <c r="D193" s="13" t="inlineStr">
        <is>
          <t>data-index is present at the correct time</t>
        </is>
      </c>
      <c r="E193" s="18" t="inlineStr">
        <is>
          <t>yes</t>
        </is>
      </c>
      <c r="F193" s="19" t="inlineStr">
        <is>
          <t>no</t>
        </is>
      </c>
      <c r="G193" s="12" t="inlineStr">
        <is>
          <t>ready for manual test</t>
        </is>
      </c>
      <c r="H193" s="20" t="inlineStr">
        <is>
          <t>untested</t>
        </is>
      </c>
      <c r="I193" s="13" t="inlineStr">
        <is>
          <t>FileUpload playground scenario.</t>
        </is>
      </c>
      <c r="J193" s="13" t="inlineStr">
        <is>
          <t>Manual verification needed.</t>
        </is>
      </c>
      <c r="K193" s="14">
        <f>IF(AND(E193="yes",F193="yes",H193="covered"),1,IF(H193="partial",0.5,0))</f>
        <v/>
      </c>
    </row>
    <row r="194" ht="15" customHeight="1" s="24">
      <c r="A194" s="12" t="n">
        <v>186</v>
      </c>
      <c r="B194" s="13" t="inlineStr">
        <is>
          <t>Data</t>
        </is>
      </c>
      <c r="C194" s="13" t="inlineStr">
        <is>
          <t>Live DOM</t>
        </is>
      </c>
      <c r="D194" s="13" t="inlineStr">
        <is>
          <t>data-invalid is present at the correct time</t>
        </is>
      </c>
      <c r="E194" s="18" t="inlineStr">
        <is>
          <t>yes</t>
        </is>
      </c>
      <c r="F194" s="19" t="inlineStr">
        <is>
          <t>no</t>
        </is>
      </c>
      <c r="G194" s="12" t="inlineStr">
        <is>
          <t>ready for manual test</t>
        </is>
      </c>
      <c r="H194" s="20" t="inlineStr">
        <is>
          <t>untested</t>
        </is>
      </c>
      <c r="I194" s="13" t="inlineStr">
        <is>
          <t>FileUpload playground scenario.</t>
        </is>
      </c>
      <c r="J194" s="13" t="inlineStr">
        <is>
          <t>Manual verification needed.</t>
        </is>
      </c>
      <c r="K194" s="14">
        <f>IF(AND(E194="yes",F194="yes",H194="covered"),1,IF(H194="partial",0.5,0))</f>
        <v/>
      </c>
    </row>
    <row r="195" ht="15" customHeight="1" s="24">
      <c r="A195" s="12" t="n">
        <v>187</v>
      </c>
      <c r="B195" s="13" t="inlineStr">
        <is>
          <t>Data</t>
        </is>
      </c>
      <c r="C195" s="13" t="inlineStr">
        <is>
          <t>Live DOM</t>
        </is>
      </c>
      <c r="D195" s="13" t="inlineStr">
        <is>
          <t>data-name is present at the correct time</t>
        </is>
      </c>
      <c r="E195" s="18" t="inlineStr">
        <is>
          <t>yes</t>
        </is>
      </c>
      <c r="F195" s="19" t="inlineStr">
        <is>
          <t>no</t>
        </is>
      </c>
      <c r="G195" s="12" t="inlineStr">
        <is>
          <t>ready for manual test</t>
        </is>
      </c>
      <c r="H195" s="20" t="inlineStr">
        <is>
          <t>untested</t>
        </is>
      </c>
      <c r="I195" s="13" t="inlineStr">
        <is>
          <t>FileUpload playground scenario.</t>
        </is>
      </c>
      <c r="J195" s="13" t="inlineStr">
        <is>
          <t>Manual verification needed.</t>
        </is>
      </c>
      <c r="K195" s="14">
        <f>IF(AND(E195="yes",F195="yes",H195="covered"),1,IF(H195="partial",0.5,0))</f>
        <v/>
      </c>
    </row>
    <row r="196" ht="15" customHeight="1" s="24">
      <c r="A196" s="12" t="n">
        <v>188</v>
      </c>
      <c r="B196" s="13" t="inlineStr">
        <is>
          <t>Data</t>
        </is>
      </c>
      <c r="C196" s="13" t="inlineStr">
        <is>
          <t>Live DOM</t>
        </is>
      </c>
      <c r="D196" s="13" t="inlineStr">
        <is>
          <t>data-readonly is present at the correct time</t>
        </is>
      </c>
      <c r="E196" s="18" t="inlineStr">
        <is>
          <t>yes</t>
        </is>
      </c>
      <c r="F196" s="19" t="inlineStr">
        <is>
          <t>no</t>
        </is>
      </c>
      <c r="G196" s="12" t="inlineStr">
        <is>
          <t>ready for manual test</t>
        </is>
      </c>
      <c r="H196" s="20" t="inlineStr">
        <is>
          <t>untested</t>
        </is>
      </c>
      <c r="I196" s="13" t="inlineStr">
        <is>
          <t>FileUpload playground scenario.</t>
        </is>
      </c>
      <c r="J196" s="13" t="inlineStr">
        <is>
          <t>Manual verification needed.</t>
        </is>
      </c>
      <c r="K196" s="14">
        <f>IF(AND(E196="yes",F196="yes",H196="covered"),1,IF(H196="partial",0.5,0))</f>
        <v/>
      </c>
    </row>
    <row r="197" ht="15" customHeight="1" s="24">
      <c r="A197" s="12" t="n">
        <v>189</v>
      </c>
      <c r="B197" s="13" t="inlineStr">
        <is>
          <t>Data</t>
        </is>
      </c>
      <c r="C197" s="13" t="inlineStr">
        <is>
          <t>Live DOM</t>
        </is>
      </c>
      <c r="D197" s="13" t="inlineStr">
        <is>
          <t>data-rejected is present at the correct time</t>
        </is>
      </c>
      <c r="E197" s="18" t="inlineStr">
        <is>
          <t>yes</t>
        </is>
      </c>
      <c r="F197" s="19" t="inlineStr">
        <is>
          <t>no</t>
        </is>
      </c>
      <c r="G197" s="12" t="inlineStr">
        <is>
          <t>ready for manual test</t>
        </is>
      </c>
      <c r="H197" s="20" t="inlineStr">
        <is>
          <t>untested</t>
        </is>
      </c>
      <c r="I197" s="13" t="inlineStr">
        <is>
          <t>FileUpload playground scenario.</t>
        </is>
      </c>
      <c r="J197" s="13" t="inlineStr">
        <is>
          <t>Manual verification needed.</t>
        </is>
      </c>
      <c r="K197" s="14">
        <f>IF(AND(E197="yes",F197="yes",H197="covered"),1,IF(H197="partial",0.5,0))</f>
        <v/>
      </c>
    </row>
    <row r="198" ht="15" customHeight="1" s="24">
      <c r="A198" s="12" t="n">
        <v>190</v>
      </c>
      <c r="B198" s="13" t="inlineStr">
        <is>
          <t>Data</t>
        </is>
      </c>
      <c r="C198" s="13" t="inlineStr">
        <is>
          <t>Live DOM</t>
        </is>
      </c>
      <c r="D198" s="13" t="inlineStr">
        <is>
          <t>data-required is present at the correct time</t>
        </is>
      </c>
      <c r="E198" s="18" t="inlineStr">
        <is>
          <t>yes</t>
        </is>
      </c>
      <c r="F198" s="19" t="inlineStr">
        <is>
          <t>no</t>
        </is>
      </c>
      <c r="G198" s="12" t="inlineStr">
        <is>
          <t>ready for manual test</t>
        </is>
      </c>
      <c r="H198" s="20" t="inlineStr">
        <is>
          <t>untested</t>
        </is>
      </c>
      <c r="I198" s="13" t="inlineStr">
        <is>
          <t>FileUpload playground scenario.</t>
        </is>
      </c>
      <c r="J198" s="13" t="inlineStr">
        <is>
          <t>Manual verification needed.</t>
        </is>
      </c>
      <c r="K198" s="14">
        <f>IF(AND(E198="yes",F198="yes",H198="covered"),1,IF(H198="partial",0.5,0))</f>
        <v/>
      </c>
    </row>
    <row r="199" ht="15" customHeight="1" s="24">
      <c r="A199" s="12" t="n">
        <v>191</v>
      </c>
      <c r="B199" s="13" t="inlineStr">
        <is>
          <t>Data</t>
        </is>
      </c>
      <c r="C199" s="13" t="inlineStr">
        <is>
          <t>Live DOM</t>
        </is>
      </c>
      <c r="D199" s="13" t="inlineStr">
        <is>
          <t>data-size is present at the correct time</t>
        </is>
      </c>
      <c r="E199" s="18" t="inlineStr">
        <is>
          <t>yes</t>
        </is>
      </c>
      <c r="F199" s="19" t="inlineStr">
        <is>
          <t>no</t>
        </is>
      </c>
      <c r="G199" s="12" t="inlineStr">
        <is>
          <t>ready for manual test</t>
        </is>
      </c>
      <c r="H199" s="20" t="inlineStr">
        <is>
          <t>untested</t>
        </is>
      </c>
      <c r="I199" s="13" t="inlineStr">
        <is>
          <t>FileUpload playground scenario.</t>
        </is>
      </c>
      <c r="J199" s="13" t="inlineStr">
        <is>
          <t>Manual verification needed.</t>
        </is>
      </c>
      <c r="K199" s="14">
        <f>IF(AND(E199="yes",F199="yes",H199="covered"),1,IF(H199="partial",0.5,0))</f>
        <v/>
      </c>
    </row>
    <row r="200" ht="15" customHeight="1" s="24">
      <c r="A200" s="12" t="n">
        <v>192</v>
      </c>
      <c r="B200" s="13" t="inlineStr">
        <is>
          <t>Data</t>
        </is>
      </c>
      <c r="C200" s="13" t="inlineStr">
        <is>
          <t>Live DOM</t>
        </is>
      </c>
      <c r="D200" s="13" t="inlineStr">
        <is>
          <t>data-slot is present at the correct time</t>
        </is>
      </c>
      <c r="E200" s="18" t="inlineStr">
        <is>
          <t>yes</t>
        </is>
      </c>
      <c r="F200" s="19" t="inlineStr">
        <is>
          <t>no</t>
        </is>
      </c>
      <c r="G200" s="12" t="inlineStr">
        <is>
          <t>ready for manual test</t>
        </is>
      </c>
      <c r="H200" s="20" t="inlineStr">
        <is>
          <t>untested</t>
        </is>
      </c>
      <c r="I200" s="13" t="inlineStr">
        <is>
          <t>FileUpload playground scenario.</t>
        </is>
      </c>
      <c r="J200" s="13" t="inlineStr">
        <is>
          <t>Manual verification needed.</t>
        </is>
      </c>
      <c r="K200" s="14">
        <f>IF(AND(E200="yes",F200="yes",H200="covered"),1,IF(H200="partial",0.5,0))</f>
        <v/>
      </c>
    </row>
    <row r="201" ht="15" customHeight="1" s="24">
      <c r="A201" s="12" t="n">
        <v>193</v>
      </c>
      <c r="B201" s="13" t="inlineStr">
        <is>
          <t>Data</t>
        </is>
      </c>
      <c r="C201" s="13" t="inlineStr">
        <is>
          <t>Live DOM</t>
        </is>
      </c>
      <c r="D201" s="13" t="inlineStr">
        <is>
          <t>data-state is present at the correct time</t>
        </is>
      </c>
      <c r="E201" s="18" t="inlineStr">
        <is>
          <t>yes</t>
        </is>
      </c>
      <c r="F201" s="19" t="inlineStr">
        <is>
          <t>no</t>
        </is>
      </c>
      <c r="G201" s="12" t="inlineStr">
        <is>
          <t>ready for manual test</t>
        </is>
      </c>
      <c r="H201" s="20" t="inlineStr">
        <is>
          <t>untested</t>
        </is>
      </c>
      <c r="I201" s="13" t="inlineStr">
        <is>
          <t>FileUpload playground scenario.</t>
        </is>
      </c>
      <c r="J201" s="13" t="inlineStr">
        <is>
          <t>Manual verification needed.</t>
        </is>
      </c>
      <c r="K201" s="14">
        <f>IF(AND(E201="yes",F201="yes",H201="covered"),1,IF(H201="partial",0.5,0))</f>
        <v/>
      </c>
    </row>
    <row r="202" ht="15" customHeight="1" s="24">
      <c r="A202" s="12" t="n">
        <v>194</v>
      </c>
      <c r="B202" s="13" t="inlineStr">
        <is>
          <t>Composition</t>
        </is>
      </c>
      <c r="C202" s="13" t="inlineStr">
        <is>
          <t>FileUpload</t>
        </is>
      </c>
      <c r="D202" s="13" t="inlineStr">
        <is>
          <t>asChild preserves child content without double nesting</t>
        </is>
      </c>
      <c r="E202" s="18" t="inlineStr">
        <is>
          <t>yes</t>
        </is>
      </c>
      <c r="F202" s="19" t="inlineStr">
        <is>
          <t>no</t>
        </is>
      </c>
      <c r="G202" s="12" t="inlineStr">
        <is>
          <t>ready for manual test</t>
        </is>
      </c>
      <c r="H202" s="20" t="inlineStr">
        <is>
          <t>untested</t>
        </is>
      </c>
      <c r="I202" s="13" t="inlineStr">
        <is>
          <t>FileUpload playground scenario.</t>
        </is>
      </c>
      <c r="J202" s="13" t="inlineStr">
        <is>
          <t>Manual verification needed.</t>
        </is>
      </c>
      <c r="K202" s="14">
        <f>IF(AND(E202="yes",F202="yes",H202="covered"),1,IF(H202="partial",0.5,0))</f>
        <v/>
      </c>
    </row>
    <row r="203" ht="15" customHeight="1" s="24">
      <c r="A203" s="12" t="n">
        <v>195</v>
      </c>
      <c r="B203" s="13" t="inlineStr">
        <is>
          <t>Composition</t>
        </is>
      </c>
      <c r="C203" s="13" t="inlineStr">
        <is>
          <t>FileUpload</t>
        </is>
      </c>
      <c r="D203" s="13" t="inlineStr">
        <is>
          <t>asChild merges Atom props and consumer props</t>
        </is>
      </c>
      <c r="E203" s="18" t="inlineStr">
        <is>
          <t>yes</t>
        </is>
      </c>
      <c r="F203" s="19" t="inlineStr">
        <is>
          <t>no</t>
        </is>
      </c>
      <c r="G203" s="12" t="inlineStr">
        <is>
          <t>ready for manual test</t>
        </is>
      </c>
      <c r="H203" s="20" t="inlineStr">
        <is>
          <t>untested</t>
        </is>
      </c>
      <c r="I203" s="13" t="inlineStr">
        <is>
          <t>FileUpload playground scenario.</t>
        </is>
      </c>
      <c r="J203" s="13" t="inlineStr">
        <is>
          <t>Manual verification needed.</t>
        </is>
      </c>
      <c r="K203" s="14">
        <f>IF(AND(E203="yes",F203="yes",H203="covered"),1,IF(H203="partial",0.5,0))</f>
        <v/>
      </c>
    </row>
    <row r="204" ht="30" customHeight="1" s="24">
      <c r="A204" s="12" t="n">
        <v>196</v>
      </c>
      <c r="B204" s="13" t="inlineStr">
        <is>
          <t>Composition</t>
        </is>
      </c>
      <c r="C204" s="13" t="inlineStr">
        <is>
          <t>FileUpload</t>
        </is>
      </c>
      <c r="D204" s="13" t="inlineStr">
        <is>
          <t>asChild lets preventDefault block Atom behavior where supported</t>
        </is>
      </c>
      <c r="E204" s="18" t="inlineStr">
        <is>
          <t>yes</t>
        </is>
      </c>
      <c r="F204" s="19" t="inlineStr">
        <is>
          <t>no</t>
        </is>
      </c>
      <c r="G204" s="12" t="inlineStr">
        <is>
          <t>ready for manual test</t>
        </is>
      </c>
      <c r="H204" s="20" t="inlineStr">
        <is>
          <t>untested</t>
        </is>
      </c>
      <c r="I204" s="13" t="inlineStr">
        <is>
          <t>FileUpload playground scenario.</t>
        </is>
      </c>
      <c r="J204" s="13" t="inlineStr">
        <is>
          <t>Manual verification needed.</t>
        </is>
      </c>
      <c r="K204" s="14">
        <f>IF(AND(E204="yes",F204="yes",H204="covered"),1,IF(H204="partial",0.5,0))</f>
        <v/>
      </c>
    </row>
    <row r="205" ht="15" customHeight="1" s="24">
      <c r="A205" s="12" t="n">
        <v>197</v>
      </c>
      <c r="B205" s="13" t="inlineStr">
        <is>
          <t>Composition</t>
        </is>
      </c>
      <c r="C205" s="13" t="inlineStr">
        <is>
          <t>FileUpload</t>
        </is>
      </c>
      <c r="D205" s="13" t="inlineStr">
        <is>
          <t>render prop renders custom element</t>
        </is>
      </c>
      <c r="E205" s="18" t="inlineStr">
        <is>
          <t>yes</t>
        </is>
      </c>
      <c r="F205" s="19" t="inlineStr">
        <is>
          <t>no</t>
        </is>
      </c>
      <c r="G205" s="12" t="inlineStr">
        <is>
          <t>ready for manual test</t>
        </is>
      </c>
      <c r="H205" s="20" t="inlineStr">
        <is>
          <t>untested</t>
        </is>
      </c>
      <c r="I205" s="13" t="inlineStr">
        <is>
          <t>FileUpload playground scenario.</t>
        </is>
      </c>
      <c r="J205" s="13" t="inlineStr">
        <is>
          <t>Manual verification needed.</t>
        </is>
      </c>
      <c r="K205" s="14">
        <f>IF(AND(E205="yes",F205="yes",H205="covered"),1,IF(H205="partial",0.5,0))</f>
        <v/>
      </c>
    </row>
    <row r="206" ht="15" customHeight="1" s="24">
      <c r="A206" s="12" t="n">
        <v>198</v>
      </c>
      <c r="B206" s="13" t="inlineStr">
        <is>
          <t>Composition</t>
        </is>
      </c>
      <c r="C206" s="13" t="inlineStr">
        <is>
          <t>FileUpload</t>
        </is>
      </c>
      <c r="D206" s="13" t="inlineStr">
        <is>
          <t>render prop preserves refs and behavior props</t>
        </is>
      </c>
      <c r="E206" s="18" t="inlineStr">
        <is>
          <t>yes</t>
        </is>
      </c>
      <c r="F206" s="19" t="inlineStr">
        <is>
          <t>no</t>
        </is>
      </c>
      <c r="G206" s="12" t="inlineStr">
        <is>
          <t>ready for manual test</t>
        </is>
      </c>
      <c r="H206" s="20" t="inlineStr">
        <is>
          <t>untested</t>
        </is>
      </c>
      <c r="I206" s="13" t="inlineStr">
        <is>
          <t>FileUpload playground scenario.</t>
        </is>
      </c>
      <c r="J206" s="13" t="inlineStr">
        <is>
          <t>Manual verification needed.</t>
        </is>
      </c>
      <c r="K206" s="14">
        <f>IF(AND(E206="yes",F206="yes",H206="covered"),1,IF(H206="partial",0.5,0))</f>
        <v/>
      </c>
    </row>
    <row r="207" ht="15" customHeight="1" s="24">
      <c r="A207" s="12" t="n">
        <v>199</v>
      </c>
      <c r="B207" s="13" t="inlineStr">
        <is>
          <t>State</t>
        </is>
      </c>
      <c r="C207" s="13" t="inlineStr">
        <is>
          <t>Root</t>
        </is>
      </c>
      <c r="D207" s="13" t="inlineStr">
        <is>
          <t>controlled state path</t>
        </is>
      </c>
      <c r="E207" s="18" t="inlineStr">
        <is>
          <t>yes</t>
        </is>
      </c>
      <c r="F207" s="19" t="inlineStr">
        <is>
          <t>no</t>
        </is>
      </c>
      <c r="G207" s="12" t="inlineStr">
        <is>
          <t>ready for manual test</t>
        </is>
      </c>
      <c r="H207" s="20" t="inlineStr">
        <is>
          <t>untested</t>
        </is>
      </c>
      <c r="I207" s="13" t="inlineStr">
        <is>
          <t>FileUpload playground scenario.</t>
        </is>
      </c>
      <c r="J207" s="13" t="inlineStr">
        <is>
          <t>Manual verification needed.</t>
        </is>
      </c>
      <c r="K207" s="14">
        <f>IF(AND(E207="yes",F207="yes",H207="covered"),1,IF(H207="partial",0.5,0))</f>
        <v/>
      </c>
    </row>
    <row r="208" ht="15" customHeight="1" s="24">
      <c r="A208" s="12" t="n">
        <v>200</v>
      </c>
      <c r="B208" s="13" t="inlineStr">
        <is>
          <t>State</t>
        </is>
      </c>
      <c r="C208" s="13" t="inlineStr">
        <is>
          <t>Root</t>
        </is>
      </c>
      <c r="D208" s="13" t="inlineStr">
        <is>
          <t>uncontrolled default state path</t>
        </is>
      </c>
      <c r="E208" s="18" t="inlineStr">
        <is>
          <t>yes</t>
        </is>
      </c>
      <c r="F208" s="19" t="inlineStr">
        <is>
          <t>no</t>
        </is>
      </c>
      <c r="G208" s="12" t="inlineStr">
        <is>
          <t>ready for manual test</t>
        </is>
      </c>
      <c r="H208" s="20" t="inlineStr">
        <is>
          <t>untested</t>
        </is>
      </c>
      <c r="I208" s="13" t="inlineStr">
        <is>
          <t>FileUpload playground scenario.</t>
        </is>
      </c>
      <c r="J208" s="13" t="inlineStr">
        <is>
          <t>Manual verification needed.</t>
        </is>
      </c>
      <c r="K208" s="14">
        <f>IF(AND(E208="yes",F208="yes",H208="covered"),1,IF(H208="partial",0.5,0))</f>
        <v/>
      </c>
    </row>
    <row r="209" ht="15" customHeight="1" s="24">
      <c r="A209" s="12" t="n">
        <v>201</v>
      </c>
      <c r="B209" s="13" t="inlineStr">
        <is>
          <t>State</t>
        </is>
      </c>
      <c r="C209" s="13" t="inlineStr">
        <is>
          <t>Root</t>
        </is>
      </c>
      <c r="D209" s="13" t="inlineStr">
        <is>
          <t>state change callback fires once with correct value</t>
        </is>
      </c>
      <c r="E209" s="18" t="inlineStr">
        <is>
          <t>yes</t>
        </is>
      </c>
      <c r="F209" s="19" t="inlineStr">
        <is>
          <t>no</t>
        </is>
      </c>
      <c r="G209" s="12" t="inlineStr">
        <is>
          <t>ready for manual test</t>
        </is>
      </c>
      <c r="H209" s="20" t="inlineStr">
        <is>
          <t>untested</t>
        </is>
      </c>
      <c r="I209" s="13" t="inlineStr">
        <is>
          <t>FileUpload playground scenario.</t>
        </is>
      </c>
      <c r="J209" s="13" t="inlineStr">
        <is>
          <t>Manual verification needed.</t>
        </is>
      </c>
      <c r="K209" s="14">
        <f>IF(AND(E209="yes",F209="yes",H209="covered"),1,IF(H209="partial",0.5,0))</f>
        <v/>
      </c>
    </row>
    <row r="210" ht="30" customHeight="1" s="24">
      <c r="A210" s="12" t="n">
        <v>202</v>
      </c>
      <c r="B210" s="13" t="inlineStr">
        <is>
          <t>State</t>
        </is>
      </c>
      <c r="C210" s="13" t="inlineStr">
        <is>
          <t>FileUpload</t>
        </is>
      </c>
      <c r="D210" s="13" t="inlineStr">
        <is>
          <t>disabled state blocks or exposes behavior correctly where supported</t>
        </is>
      </c>
      <c r="E210" s="18" t="inlineStr">
        <is>
          <t>yes</t>
        </is>
      </c>
      <c r="F210" s="19" t="inlineStr">
        <is>
          <t>no</t>
        </is>
      </c>
      <c r="G210" s="12" t="inlineStr">
        <is>
          <t>ready for manual test</t>
        </is>
      </c>
      <c r="H210" s="20" t="inlineStr">
        <is>
          <t>untested</t>
        </is>
      </c>
      <c r="I210" s="13" t="inlineStr">
        <is>
          <t>FileUpload playground scenario.</t>
        </is>
      </c>
      <c r="J210" s="13" t="inlineStr">
        <is>
          <t>Manual verification needed.</t>
        </is>
      </c>
      <c r="K210" s="14">
        <f>IF(AND(E210="yes",F210="yes",H210="covered"),1,IF(H210="partial",0.5,0))</f>
        <v/>
      </c>
    </row>
    <row r="211" ht="30" customHeight="1" s="24">
      <c r="A211" s="12" t="n">
        <v>203</v>
      </c>
      <c r="B211" s="13" t="inlineStr">
        <is>
          <t>State</t>
        </is>
      </c>
      <c r="C211" s="13" t="inlineStr">
        <is>
          <t>FileUpload</t>
        </is>
      </c>
      <c r="D211" s="13" t="inlineStr">
        <is>
          <t>readonly/readOnly state blocks or exposes behavior correctly where supported</t>
        </is>
      </c>
      <c r="E211" s="18" t="inlineStr">
        <is>
          <t>yes</t>
        </is>
      </c>
      <c r="F211" s="19" t="inlineStr">
        <is>
          <t>no</t>
        </is>
      </c>
      <c r="G211" s="12" t="inlineStr">
        <is>
          <t>ready for manual test</t>
        </is>
      </c>
      <c r="H211" s="20" t="inlineStr">
        <is>
          <t>untested</t>
        </is>
      </c>
      <c r="I211" s="13" t="inlineStr">
        <is>
          <t>FileUpload playground scenario.</t>
        </is>
      </c>
      <c r="J211" s="13" t="inlineStr">
        <is>
          <t>Manual verification needed.</t>
        </is>
      </c>
      <c r="K211" s="14">
        <f>IF(AND(E211="yes",F211="yes",H211="covered"),1,IF(H211="partial",0.5,0))</f>
        <v/>
      </c>
    </row>
    <row r="212" ht="30" customHeight="1" s="24">
      <c r="A212" s="12" t="n">
        <v>204</v>
      </c>
      <c r="B212" s="13" t="inlineStr">
        <is>
          <t>State</t>
        </is>
      </c>
      <c r="C212" s="13" t="inlineStr">
        <is>
          <t>FileUpload</t>
        </is>
      </c>
      <c r="D212" s="13" t="inlineStr">
        <is>
          <t>required state blocks or exposes behavior correctly where supported</t>
        </is>
      </c>
      <c r="E212" s="18" t="inlineStr">
        <is>
          <t>yes</t>
        </is>
      </c>
      <c r="F212" s="19" t="inlineStr">
        <is>
          <t>no</t>
        </is>
      </c>
      <c r="G212" s="12" t="inlineStr">
        <is>
          <t>ready for manual test</t>
        </is>
      </c>
      <c r="H212" s="20" t="inlineStr">
        <is>
          <t>untested</t>
        </is>
      </c>
      <c r="I212" s="13" t="inlineStr">
        <is>
          <t>FileUpload playground scenario.</t>
        </is>
      </c>
      <c r="J212" s="13" t="inlineStr">
        <is>
          <t>Manual verification needed.</t>
        </is>
      </c>
      <c r="K212" s="14">
        <f>IF(AND(E212="yes",F212="yes",H212="covered"),1,IF(H212="partial",0.5,0))</f>
        <v/>
      </c>
    </row>
    <row r="213" ht="30" customHeight="1" s="24">
      <c r="A213" s="12" t="n">
        <v>205</v>
      </c>
      <c r="B213" s="13" t="inlineStr">
        <is>
          <t>State</t>
        </is>
      </c>
      <c r="C213" s="13" t="inlineStr">
        <is>
          <t>FileUpload</t>
        </is>
      </c>
      <c r="D213" s="13" t="inlineStr">
        <is>
          <t>invalid state blocks or exposes behavior correctly where supported</t>
        </is>
      </c>
      <c r="E213" s="18" t="inlineStr">
        <is>
          <t>yes</t>
        </is>
      </c>
      <c r="F213" s="19" t="inlineStr">
        <is>
          <t>no</t>
        </is>
      </c>
      <c r="G213" s="12" t="inlineStr">
        <is>
          <t>ready for manual test</t>
        </is>
      </c>
      <c r="H213" s="20" t="inlineStr">
        <is>
          <t>untested</t>
        </is>
      </c>
      <c r="I213" s="13" t="inlineStr">
        <is>
          <t>FileUpload playground scenario.</t>
        </is>
      </c>
      <c r="J213" s="13" t="inlineStr">
        <is>
          <t>Manual verification needed.</t>
        </is>
      </c>
      <c r="K213" s="14">
        <f>IF(AND(E213="yes",F213="yes",H213="covered"),1,IF(H213="partial",0.5,0))</f>
        <v/>
      </c>
    </row>
    <row r="214" ht="15" customHeight="1" s="24">
      <c r="A214" s="12" t="n">
        <v>206</v>
      </c>
      <c r="B214" s="13" t="inlineStr">
        <is>
          <t>Forms</t>
        </is>
      </c>
      <c r="C214" s="13" t="inlineStr">
        <is>
          <t>FileUpload</t>
        </is>
      </c>
      <c r="D214" s="13" t="inlineStr">
        <is>
          <t>form value participates correctly where supported</t>
        </is>
      </c>
      <c r="E214" s="18" t="inlineStr">
        <is>
          <t>yes</t>
        </is>
      </c>
      <c r="F214" s="19" t="inlineStr">
        <is>
          <t>no</t>
        </is>
      </c>
      <c r="G214" s="12" t="inlineStr">
        <is>
          <t>ready for manual test</t>
        </is>
      </c>
      <c r="H214" s="20" t="inlineStr">
        <is>
          <t>untested</t>
        </is>
      </c>
      <c r="I214" s="13" t="inlineStr">
        <is>
          <t>FileUpload playground scenario.</t>
        </is>
      </c>
      <c r="J214" s="13" t="inlineStr">
        <is>
          <t>Manual verification needed.</t>
        </is>
      </c>
      <c r="K214" s="14">
        <f>IF(AND(E214="yes",F214="yes",H214="covered"),1,IF(H214="partial",0.5,0))</f>
        <v/>
      </c>
    </row>
    <row r="215" ht="30" customHeight="1" s="24">
      <c r="A215" s="12" t="n">
        <v>207</v>
      </c>
      <c r="B215" s="13" t="inlineStr">
        <is>
          <t>Forms</t>
        </is>
      </c>
      <c r="C215" s="13" t="inlineStr">
        <is>
          <t>FileUpload</t>
        </is>
      </c>
      <c r="D215" s="13" t="inlineStr">
        <is>
          <t>hidden input mirrors value/checked/disabled where supported</t>
        </is>
      </c>
      <c r="E215" s="18" t="inlineStr">
        <is>
          <t>yes</t>
        </is>
      </c>
      <c r="F215" s="19" t="inlineStr">
        <is>
          <t>no</t>
        </is>
      </c>
      <c r="G215" s="12" t="inlineStr">
        <is>
          <t>ready for manual test</t>
        </is>
      </c>
      <c r="H215" s="20" t="inlineStr">
        <is>
          <t>untested</t>
        </is>
      </c>
      <c r="I215" s="13" t="inlineStr">
        <is>
          <t>FileUpload playground scenario.</t>
        </is>
      </c>
      <c r="J215" s="13" t="inlineStr">
        <is>
          <t>Manual verification needed.</t>
        </is>
      </c>
      <c r="K215" s="14">
        <f>IF(AND(E215="yes",F215="yes",H215="covered"),1,IF(H215="partial",0.5,0))</f>
        <v/>
      </c>
    </row>
    <row r="216" ht="15" customHeight="1" s="24">
      <c r="A216" s="12" t="n">
        <v>208</v>
      </c>
      <c r="B216" s="13" t="inlineStr">
        <is>
          <t>Interaction</t>
        </is>
      </c>
      <c r="C216" s="13" t="inlineStr">
        <is>
          <t>Trigger</t>
        </is>
      </c>
      <c r="D216" s="13" t="inlineStr">
        <is>
          <t>mouse click or pointer activation</t>
        </is>
      </c>
      <c r="E216" s="18" t="inlineStr">
        <is>
          <t>yes</t>
        </is>
      </c>
      <c r="F216" s="19" t="inlineStr">
        <is>
          <t>no</t>
        </is>
      </c>
      <c r="G216" s="12" t="inlineStr">
        <is>
          <t>ready for manual test</t>
        </is>
      </c>
      <c r="H216" s="20" t="inlineStr">
        <is>
          <t>untested</t>
        </is>
      </c>
      <c r="I216" s="13" t="inlineStr">
        <is>
          <t>FileUpload playground scenario.</t>
        </is>
      </c>
      <c r="J216" s="13" t="inlineStr">
        <is>
          <t>Manual verification needed.</t>
        </is>
      </c>
      <c r="K216" s="14">
        <f>IF(AND(E216="yes",F216="yes",H216="covered"),1,IF(H216="partial",0.5,0))</f>
        <v/>
      </c>
    </row>
    <row r="217" ht="15" customHeight="1" s="24">
      <c r="A217" s="12" t="n">
        <v>209</v>
      </c>
      <c r="B217" s="13" t="inlineStr">
        <is>
          <t>Interaction</t>
        </is>
      </c>
      <c r="C217" s="13" t="inlineStr">
        <is>
          <t>Trigger</t>
        </is>
      </c>
      <c r="D217" s="13" t="inlineStr">
        <is>
          <t>Enter key activation</t>
        </is>
      </c>
      <c r="E217" s="18" t="inlineStr">
        <is>
          <t>yes</t>
        </is>
      </c>
      <c r="F217" s="19" t="inlineStr">
        <is>
          <t>no</t>
        </is>
      </c>
      <c r="G217" s="12" t="inlineStr">
        <is>
          <t>ready for manual test</t>
        </is>
      </c>
      <c r="H217" s="20" t="inlineStr">
        <is>
          <t>untested</t>
        </is>
      </c>
      <c r="I217" s="13" t="inlineStr">
        <is>
          <t>FileUpload playground scenario.</t>
        </is>
      </c>
      <c r="J217" s="13" t="inlineStr">
        <is>
          <t>Manual verification needed.</t>
        </is>
      </c>
      <c r="K217" s="14">
        <f>IF(AND(E217="yes",F217="yes",H217="covered"),1,IF(H217="partial",0.5,0))</f>
        <v/>
      </c>
    </row>
    <row r="218" ht="15" customHeight="1" s="24">
      <c r="A218" s="12" t="n">
        <v>210</v>
      </c>
      <c r="B218" s="13" t="inlineStr">
        <is>
          <t>Interaction</t>
        </is>
      </c>
      <c r="C218" s="13" t="inlineStr">
        <is>
          <t>Trigger</t>
        </is>
      </c>
      <c r="D218" s="13" t="inlineStr">
        <is>
          <t>Space key activation</t>
        </is>
      </c>
      <c r="E218" s="18" t="inlineStr">
        <is>
          <t>yes</t>
        </is>
      </c>
      <c r="F218" s="19" t="inlineStr">
        <is>
          <t>no</t>
        </is>
      </c>
      <c r="G218" s="12" t="inlineStr">
        <is>
          <t>ready for manual test</t>
        </is>
      </c>
      <c r="H218" s="20" t="inlineStr">
        <is>
          <t>untested</t>
        </is>
      </c>
      <c r="I218" s="13" t="inlineStr">
        <is>
          <t>FileUpload playground scenario.</t>
        </is>
      </c>
      <c r="J218" s="13" t="inlineStr">
        <is>
          <t>Manual verification needed.</t>
        </is>
      </c>
      <c r="K218" s="14">
        <f>IF(AND(E218="yes",F218="yes",H218="covered"),1,IF(H218="partial",0.5,0))</f>
        <v/>
      </c>
    </row>
    <row r="219" ht="15" customHeight="1" s="24">
      <c r="A219" s="12" t="n">
        <v>211</v>
      </c>
      <c r="B219" s="13" t="inlineStr">
        <is>
          <t>Interaction</t>
        </is>
      </c>
      <c r="C219" s="13" t="inlineStr">
        <is>
          <t>Trigger</t>
        </is>
      </c>
      <c r="D219" s="13" t="inlineStr">
        <is>
          <t>disabled trigger blocks pointer and keyboard</t>
        </is>
      </c>
      <c r="E219" s="18" t="inlineStr">
        <is>
          <t>yes</t>
        </is>
      </c>
      <c r="F219" s="19" t="inlineStr">
        <is>
          <t>no</t>
        </is>
      </c>
      <c r="G219" s="12" t="inlineStr">
        <is>
          <t>ready for manual test</t>
        </is>
      </c>
      <c r="H219" s="20" t="inlineStr">
        <is>
          <t>untested</t>
        </is>
      </c>
      <c r="I219" s="13" t="inlineStr">
        <is>
          <t>FileUpload playground scenario.</t>
        </is>
      </c>
      <c r="J219" s="13" t="inlineStr">
        <is>
          <t>Manual verification needed.</t>
        </is>
      </c>
      <c r="K219" s="14">
        <f>IF(AND(E219="yes",F219="yes",H219="covered"),1,IF(H219="partial",0.5,0))</f>
        <v/>
      </c>
    </row>
    <row r="220" ht="15" customHeight="1" s="24">
      <c r="A220" s="12" t="n">
        <v>212</v>
      </c>
      <c r="B220" s="13" t="inlineStr">
        <is>
          <t>Focus</t>
        </is>
      </c>
      <c r="C220" s="13" t="inlineStr">
        <is>
          <t>Trigger</t>
        </is>
      </c>
      <c r="D220" s="13" t="inlineStr">
        <is>
          <t>focus ring and focus restoration are correct</t>
        </is>
      </c>
      <c r="E220" s="18" t="inlineStr">
        <is>
          <t>yes</t>
        </is>
      </c>
      <c r="F220" s="19" t="inlineStr">
        <is>
          <t>no</t>
        </is>
      </c>
      <c r="G220" s="12" t="inlineStr">
        <is>
          <t>ready for manual test</t>
        </is>
      </c>
      <c r="H220" s="20" t="inlineStr">
        <is>
          <t>untested</t>
        </is>
      </c>
      <c r="I220" s="13" t="inlineStr">
        <is>
          <t>FileUpload playground scenario.</t>
        </is>
      </c>
      <c r="J220" s="13" t="inlineStr">
        <is>
          <t>Manual verification needed.</t>
        </is>
      </c>
      <c r="K220" s="14">
        <f>IF(AND(E220="yes",F220="yes",H220="covered"),1,IF(H220="partial",0.5,0))</f>
        <v/>
      </c>
    </row>
    <row r="221" ht="15" customHeight="1" s="24">
      <c r="A221" s="12" t="n">
        <v>213</v>
      </c>
      <c r="B221" s="13" t="inlineStr">
        <is>
          <t>Keyboard</t>
        </is>
      </c>
      <c r="C221" s="13" t="inlineStr">
        <is>
          <t>FileUpload</t>
        </is>
      </c>
      <c r="D221" s="13" t="inlineStr">
        <is>
          <t xml:space="preserve">  behavior</t>
        </is>
      </c>
      <c r="E221" s="18" t="inlineStr">
        <is>
          <t>yes</t>
        </is>
      </c>
      <c r="F221" s="19" t="inlineStr">
        <is>
          <t>no</t>
        </is>
      </c>
      <c r="G221" s="12" t="inlineStr">
        <is>
          <t>ready for manual test</t>
        </is>
      </c>
      <c r="H221" s="20" t="inlineStr">
        <is>
          <t>untested</t>
        </is>
      </c>
      <c r="I221" s="13" t="inlineStr">
        <is>
          <t>FileUpload playground scenario.</t>
        </is>
      </c>
      <c r="J221" s="13" t="inlineStr">
        <is>
          <t>Manual verification needed.</t>
        </is>
      </c>
      <c r="K221" s="14">
        <f>IF(AND(E221="yes",F221="yes",H221="covered"),1,IF(H221="partial",0.5,0))</f>
        <v/>
      </c>
    </row>
    <row r="222" ht="15" customHeight="1" s="24">
      <c r="A222" s="12" t="n">
        <v>214</v>
      </c>
      <c r="B222" s="13" t="inlineStr">
        <is>
          <t>Keyboard</t>
        </is>
      </c>
      <c r="C222" s="13" t="inlineStr">
        <is>
          <t>FileUpload</t>
        </is>
      </c>
      <c r="D222" s="13" t="inlineStr">
        <is>
          <t>Enter behavior</t>
        </is>
      </c>
      <c r="E222" s="18" t="inlineStr">
        <is>
          <t>yes</t>
        </is>
      </c>
      <c r="F222" s="19" t="inlineStr">
        <is>
          <t>no</t>
        </is>
      </c>
      <c r="G222" s="12" t="inlineStr">
        <is>
          <t>ready for manual test</t>
        </is>
      </c>
      <c r="H222" s="20" t="inlineStr">
        <is>
          <t>untested</t>
        </is>
      </c>
      <c r="I222" s="13" t="inlineStr">
        <is>
          <t>FileUpload playground scenario.</t>
        </is>
      </c>
      <c r="J222" s="13" t="inlineStr">
        <is>
          <t>Manual verification needed.</t>
        </is>
      </c>
      <c r="K222" s="14">
        <f>IF(AND(E222="yes",F222="yes",H222="covered"),1,IF(H222="partial",0.5,0))</f>
        <v/>
      </c>
    </row>
  </sheetData>
  <autoFilter ref="A8:K222"/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Form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IFERROR(SUM(K9:K45)/COUNT(K9:K45),0)</f>
        <v/>
      </c>
      <c r="C4" s="8" t="inlineStr">
        <is>
          <t>Covered</t>
        </is>
      </c>
      <c r="D4" s="10">
        <f>COUNTIFS(E9:E45,"yes",F9:F45,"yes",H9:H45,"covered")</f>
        <v/>
      </c>
      <c r="E4" s="8" t="inlineStr">
        <is>
          <t>Partial</t>
        </is>
      </c>
      <c r="F4" s="10">
        <f>COUNTIF(H9:H45,"partial")</f>
        <v/>
      </c>
      <c r="G4" s="8" t="inlineStr">
        <is>
          <t>Missing</t>
        </is>
      </c>
      <c r="H4" s="10">
        <f>COUNTIFS(E9:E45,"&lt;&gt;yes") + COUNTIFS(E9:E45,"yes",H9:H45,"missing")</f>
        <v/>
      </c>
      <c r="I4" s="8" t="inlineStr">
        <is>
          <t>Untested</t>
        </is>
      </c>
      <c r="J4" s="10">
        <f>COUNTIFS(E9:E45,"yes",F9:F45,"&lt;&gt;yes") + COUNTIFS(E9:E45,"yes",F9:F45,"yes",H9:H45,"untested")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Form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yes</t>
        </is>
      </c>
      <c r="G9" s="12" t="inlineStr">
        <is>
          <t>pass</t>
        </is>
      </c>
      <c r="H9" s="20" t="inlineStr">
        <is>
          <t>covered</t>
        </is>
      </c>
      <c r="I9" s="13" t="inlineStr">
        <is>
          <t>Form playground manual verification.</t>
        </is>
      </c>
      <c r="J9" s="13" t="inlineStr"/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Form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yes</t>
        </is>
      </c>
      <c r="G10" s="12" t="inlineStr">
        <is>
          <t>pass</t>
        </is>
      </c>
      <c r="H10" s="20" t="inlineStr">
        <is>
          <t>covered</t>
        </is>
      </c>
      <c r="I10" s="13" t="inlineStr">
        <is>
          <t>Form playground manual verification.</t>
        </is>
      </c>
      <c r="J10" s="13" t="inlineStr"/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Form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yes</t>
        </is>
      </c>
      <c r="G11" s="12" t="inlineStr">
        <is>
          <t>pass</t>
        </is>
      </c>
      <c r="H11" s="20" t="inlineStr">
        <is>
          <t>covered</t>
        </is>
      </c>
      <c r="I11" s="13" t="inlineStr">
        <is>
          <t>Form playground manual verification.</t>
        </is>
      </c>
      <c r="J11" s="13" t="inlineStr"/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Form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yes</t>
        </is>
      </c>
      <c r="G12" s="12" t="inlineStr">
        <is>
          <t>pass</t>
        </is>
      </c>
      <c r="H12" s="20" t="inlineStr">
        <is>
          <t>covered</t>
        </is>
      </c>
      <c r="I12" s="13" t="inlineStr">
        <is>
          <t>Form playground manual verification.</t>
        </is>
      </c>
      <c r="J12" s="13" t="inlineStr"/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Root</t>
        </is>
      </c>
      <c r="D13" s="13" t="inlineStr">
        <is>
          <t>renders a native form by default</t>
        </is>
      </c>
      <c r="E13" s="18" t="inlineStr">
        <is>
          <t>yes</t>
        </is>
      </c>
      <c r="F13" s="19" t="inlineStr">
        <is>
          <t>yes</t>
        </is>
      </c>
      <c r="G13" s="12" t="inlineStr">
        <is>
          <t>pass</t>
        </is>
      </c>
      <c r="H13" s="20" t="inlineStr">
        <is>
          <t>covered</t>
        </is>
      </c>
      <c r="I13" s="13" t="inlineStr">
        <is>
          <t>Form playground manual verification.</t>
        </is>
      </c>
      <c r="J13" s="13" t="inlineStr"/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Root</t>
        </is>
      </c>
      <c r="D14" s="13" t="inlineStr">
        <is>
          <t>composes native onSubmit and onReset handlers</t>
        </is>
      </c>
      <c r="E14" s="18" t="inlineStr">
        <is>
          <t>yes</t>
        </is>
      </c>
      <c r="F14" s="19" t="inlineStr">
        <is>
          <t>yes</t>
        </is>
      </c>
      <c r="G14" s="12" t="inlineStr">
        <is>
          <t>pass</t>
        </is>
      </c>
      <c r="H14" s="20" t="inlineStr">
        <is>
          <t>covered</t>
        </is>
      </c>
      <c r="I14" s="13" t="inlineStr">
        <is>
          <t>Form playground manual verification.</t>
        </is>
      </c>
      <c r="J14" s="13" t="inlineStr"/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Root</t>
        </is>
      </c>
      <c r="D15" s="13" t="inlineStr">
        <is>
          <t>supports optional preventDefaultOnSubmit</t>
        </is>
      </c>
      <c r="E15" s="18" t="inlineStr">
        <is>
          <t>yes</t>
        </is>
      </c>
      <c r="F15" s="19" t="inlineStr">
        <is>
          <t>yes</t>
        </is>
      </c>
      <c r="G15" s="12" t="inlineStr">
        <is>
          <t>pass</t>
        </is>
      </c>
      <c r="H15" s="20" t="inlineStr">
        <is>
          <t>covered</t>
        </is>
      </c>
      <c r="I15" s="13" t="inlineStr">
        <is>
          <t>Form playground manual verification.</t>
        </is>
      </c>
      <c r="J15" s="13" t="inlineStr"/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Root</t>
        </is>
      </c>
      <c r="D16" s="13" t="inlineStr">
        <is>
          <t>supports no validation, passing validation, and failing validation</t>
        </is>
      </c>
      <c r="E16" s="18" t="inlineStr">
        <is>
          <t>yes</t>
        </is>
      </c>
      <c r="F16" s="19" t="inlineStr">
        <is>
          <t>yes</t>
        </is>
      </c>
      <c r="G16" s="12" t="inlineStr">
        <is>
          <t>pass</t>
        </is>
      </c>
      <c r="H16" s="20" t="inlineStr">
        <is>
          <t>covered</t>
        </is>
      </c>
      <c r="I16" s="13" t="inlineStr">
        <is>
          <t>Form playground manual verification.</t>
        </is>
      </c>
      <c r="J16" s="13" t="inlineStr"/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Root</t>
        </is>
      </c>
      <c r="D17" s="13" t="inlineStr">
        <is>
          <t>supports async submit validation while exposing pending state</t>
        </is>
      </c>
      <c r="E17" s="18" t="inlineStr">
        <is>
          <t>yes</t>
        </is>
      </c>
      <c r="F17" s="19" t="inlineStr">
        <is>
          <t>yes</t>
        </is>
      </c>
      <c r="G17" s="12" t="inlineStr">
        <is>
          <t>pass</t>
        </is>
      </c>
      <c r="H17" s="20" t="inlineStr">
        <is>
          <t>covered</t>
        </is>
      </c>
      <c r="I17" s="13" t="inlineStr">
        <is>
          <t>Form playground manual verification.</t>
        </is>
      </c>
      <c r="J17" s="13" t="inlineStr"/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Root</t>
        </is>
      </c>
      <c r="D18" s="13" t="inlineStr">
        <is>
          <t>exposes submitting, submitted, and invalid state through data attributes</t>
        </is>
      </c>
      <c r="E18" s="18" t="inlineStr">
        <is>
          <t>yes</t>
        </is>
      </c>
      <c r="F18" s="19" t="inlineStr">
        <is>
          <t>yes</t>
        </is>
      </c>
      <c r="G18" s="12" t="inlineStr">
        <is>
          <t>pass</t>
        </is>
      </c>
      <c r="H18" s="20" t="inlineStr">
        <is>
          <t>covered</t>
        </is>
      </c>
      <c r="I18" s="13" t="inlineStr">
        <is>
          <t>Form playground manual verification.</t>
        </is>
      </c>
      <c r="J18" s="13" t="inlineStr"/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yes</t>
        </is>
      </c>
      <c r="G19" s="12" t="inlineStr">
        <is>
          <t>pass</t>
        </is>
      </c>
      <c r="H19" s="20" t="inlineStr">
        <is>
          <t>covered</t>
        </is>
      </c>
      <c r="I19" s="13" t="inlineStr">
        <is>
          <t>Form playground manual verification.</t>
        </is>
      </c>
      <c r="J19" s="13" t="inlineStr"/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is the only Form anatomy part</t>
        </is>
      </c>
      <c r="E20" s="18" t="inlineStr">
        <is>
          <t>yes</t>
        </is>
      </c>
      <c r="F20" s="19" t="inlineStr">
        <is>
          <t>yes</t>
        </is>
      </c>
      <c r="G20" s="12" t="inlineStr">
        <is>
          <t>pass</t>
        </is>
      </c>
      <c r="H20" s="20" t="inlineStr">
        <is>
          <t>covered</t>
        </is>
      </c>
      <c r="I20" s="13" t="inlineStr">
        <is>
          <t>Form playground manual verification.</t>
        </is>
      </c>
      <c r="J20" s="13" t="inlineStr"/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form in Anatomy/Inspector</t>
        </is>
      </c>
      <c r="E21" s="18" t="inlineStr">
        <is>
          <t>yes</t>
        </is>
      </c>
      <c r="F21" s="19" t="inlineStr">
        <is>
          <t>yes</t>
        </is>
      </c>
      <c r="G21" s="12" t="inlineStr">
        <is>
          <t>pass</t>
        </is>
      </c>
      <c r="H21" s="20" t="inlineStr">
        <is>
          <t>covered</t>
        </is>
      </c>
      <c r="I21" s="13" t="inlineStr">
        <is>
          <t>Form playground manual verification.</t>
        </is>
      </c>
      <c r="J21" s="13" t="inlineStr"/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ref target is form</t>
        </is>
      </c>
      <c r="E22" s="18" t="inlineStr">
        <is>
          <t>yes</t>
        </is>
      </c>
      <c r="F22" s="19" t="inlineStr">
        <is>
          <t>yes</t>
        </is>
      </c>
      <c r="G22" s="12" t="inlineStr">
        <is>
          <t>pass</t>
        </is>
      </c>
      <c r="H22" s="20" t="inlineStr">
        <is>
          <t>covered</t>
        </is>
      </c>
      <c r="I22" s="13" t="inlineStr">
        <is>
          <t>Form playground manual verification.</t>
        </is>
      </c>
      <c r="J22" s="13" t="inlineStr"/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data-slot is form</t>
        </is>
      </c>
      <c r="E23" s="18" t="inlineStr">
        <is>
          <t>yes</t>
        </is>
      </c>
      <c r="F23" s="19" t="inlineStr">
        <is>
          <t>yes</t>
        </is>
      </c>
      <c r="G23" s="12" t="inlineStr">
        <is>
          <t>pass</t>
        </is>
      </c>
      <c r="H23" s="20" t="inlineStr">
        <is>
          <t>covered</t>
        </is>
      </c>
      <c r="I23" s="13" t="inlineStr">
        <is>
          <t>Form playground manual verification.</t>
        </is>
      </c>
      <c r="J23" s="13" t="inlineStr"/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Props</t>
        </is>
      </c>
      <c r="C24" s="13" t="inlineStr">
        <is>
          <t>Root</t>
        </is>
      </c>
      <c r="D24" s="13" t="inlineStr">
        <is>
          <t>non-Atom native props pass through with data-prop-check marker</t>
        </is>
      </c>
      <c r="E24" s="18" t="inlineStr">
        <is>
          <t>yes</t>
        </is>
      </c>
      <c r="F24" s="19" t="inlineStr">
        <is>
          <t>yes</t>
        </is>
      </c>
      <c r="G24" s="12" t="inlineStr">
        <is>
          <t>pass</t>
        </is>
      </c>
      <c r="H24" s="20" t="inlineStr">
        <is>
          <t>covered</t>
        </is>
      </c>
      <c r="I24" s="13" t="inlineStr">
        <is>
          <t>Form playground manual verification.</t>
        </is>
      </c>
      <c r="J24" s="13" t="inlineStr"/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preventDefaultOnSubmit prop behavior</t>
        </is>
      </c>
      <c r="E25" s="18" t="inlineStr">
        <is>
          <t>yes</t>
        </is>
      </c>
      <c r="F25" s="19" t="inlineStr">
        <is>
          <t>yes</t>
        </is>
      </c>
      <c r="G25" s="12" t="inlineStr">
        <is>
          <t>pass</t>
        </is>
      </c>
      <c r="H25" s="20" t="inlineStr">
        <is>
          <t>covered</t>
        </is>
      </c>
      <c r="I25" s="13" t="inlineStr">
        <is>
          <t>Form playground manual verification.</t>
        </is>
      </c>
      <c r="J25" s="13" t="inlineStr"/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validateOnSubmit prop behavior</t>
        </is>
      </c>
      <c r="E26" s="18" t="inlineStr">
        <is>
          <t>yes</t>
        </is>
      </c>
      <c r="F26" s="19" t="inlineStr">
        <is>
          <t>yes</t>
        </is>
      </c>
      <c r="G26" s="12" t="inlineStr">
        <is>
          <t>pass</t>
        </is>
      </c>
      <c r="H26" s="20" t="inlineStr">
        <is>
          <t>covered</t>
        </is>
      </c>
      <c r="I26" s="13" t="inlineStr">
        <is>
          <t>Form playground manual verification.</t>
        </is>
      </c>
      <c r="J26" s="13" t="inlineStr"/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onSubmit prop behavior</t>
        </is>
      </c>
      <c r="E27" s="18" t="inlineStr">
        <is>
          <t>yes</t>
        </is>
      </c>
      <c r="F27" s="19" t="inlineStr">
        <is>
          <t>yes</t>
        </is>
      </c>
      <c r="G27" s="12" t="inlineStr">
        <is>
          <t>pass</t>
        </is>
      </c>
      <c r="H27" s="20" t="inlineStr">
        <is>
          <t>covered</t>
        </is>
      </c>
      <c r="I27" s="13" t="inlineStr">
        <is>
          <t>Form playground manual verification.</t>
        </is>
      </c>
      <c r="J27" s="13" t="inlineStr"/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onReset prop behavior</t>
        </is>
      </c>
      <c r="E28" s="18" t="inlineStr">
        <is>
          <t>yes</t>
        </is>
      </c>
      <c r="F28" s="19" t="inlineStr">
        <is>
          <t>yes</t>
        </is>
      </c>
      <c r="G28" s="12" t="inlineStr">
        <is>
          <t>pass</t>
        </is>
      </c>
      <c r="H28" s="20" t="inlineStr">
        <is>
          <t>covered</t>
        </is>
      </c>
      <c r="I28" s="13" t="inlineStr">
        <is>
          <t>Form playground manual verification.</t>
        </is>
      </c>
      <c r="J28" s="13" t="inlineStr"/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Composition</t>
        </is>
      </c>
      <c r="C29" s="13" t="inlineStr">
        <is>
          <t>Root</t>
        </is>
      </c>
      <c r="D29" s="13" t="inlineStr">
        <is>
          <t>asChild prop behavior</t>
        </is>
      </c>
      <c r="E29" s="18" t="inlineStr">
        <is>
          <t>yes</t>
        </is>
      </c>
      <c r="F29" s="19" t="inlineStr">
        <is>
          <t>yes</t>
        </is>
      </c>
      <c r="G29" s="12" t="inlineStr">
        <is>
          <t>pass</t>
        </is>
      </c>
      <c r="H29" s="20" t="inlineStr">
        <is>
          <t>covered</t>
        </is>
      </c>
      <c r="I29" s="13" t="inlineStr">
        <is>
          <t>Form playground manual verification.</t>
        </is>
      </c>
      <c r="J29" s="13" t="inlineStr"/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Composition</t>
        </is>
      </c>
      <c r="C30" s="13" t="inlineStr">
        <is>
          <t>Root</t>
        </is>
      </c>
      <c r="D30" s="13" t="inlineStr">
        <is>
          <t>render prop behavior</t>
        </is>
      </c>
      <c r="E30" s="18" t="inlineStr">
        <is>
          <t>yes</t>
        </is>
      </c>
      <c r="F30" s="19" t="inlineStr">
        <is>
          <t>yes</t>
        </is>
      </c>
      <c r="G30" s="12" t="inlineStr">
        <is>
          <t>pass</t>
        </is>
      </c>
      <c r="H30" s="20" t="inlineStr">
        <is>
          <t>covered</t>
        </is>
      </c>
      <c r="I30" s="13" t="inlineStr">
        <is>
          <t>Form playground manual verification.</t>
        </is>
      </c>
      <c r="J30" s="13" t="inlineStr"/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Data</t>
        </is>
      </c>
      <c r="C31" s="13" t="inlineStr">
        <is>
          <t>Root</t>
        </is>
      </c>
      <c r="D31" s="13" t="inlineStr">
        <is>
          <t>data-slot is present at the correct time</t>
        </is>
      </c>
      <c r="E31" s="18" t="inlineStr">
        <is>
          <t>yes</t>
        </is>
      </c>
      <c r="F31" s="19" t="inlineStr">
        <is>
          <t>yes</t>
        </is>
      </c>
      <c r="G31" s="12" t="inlineStr">
        <is>
          <t>pass</t>
        </is>
      </c>
      <c r="H31" s="20" t="inlineStr">
        <is>
          <t>covered</t>
        </is>
      </c>
      <c r="I31" s="13" t="inlineStr">
        <is>
          <t>Form playground manual verification.</t>
        </is>
      </c>
      <c r="J31" s="13" t="inlineStr"/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Data</t>
        </is>
      </c>
      <c r="C32" s="13" t="inlineStr">
        <is>
          <t>Root</t>
        </is>
      </c>
      <c r="D32" s="13" t="inlineStr">
        <is>
          <t>data-submitting is present during async submit</t>
        </is>
      </c>
      <c r="E32" s="18" t="inlineStr">
        <is>
          <t>yes</t>
        </is>
      </c>
      <c r="F32" s="19" t="inlineStr">
        <is>
          <t>yes</t>
        </is>
      </c>
      <c r="G32" s="12" t="inlineStr">
        <is>
          <t>pass</t>
        </is>
      </c>
      <c r="H32" s="20" t="inlineStr">
        <is>
          <t>covered</t>
        </is>
      </c>
      <c r="I32" s="13" t="inlineStr">
        <is>
          <t>Form playground manual verification.</t>
        </is>
      </c>
      <c r="J32" s="13" t="inlineStr"/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Data</t>
        </is>
      </c>
      <c r="C33" s="13" t="inlineStr">
        <is>
          <t>Root</t>
        </is>
      </c>
      <c r="D33" s="13" t="inlineStr">
        <is>
          <t>data-submitted is present after successful submit</t>
        </is>
      </c>
      <c r="E33" s="18" t="inlineStr">
        <is>
          <t>yes</t>
        </is>
      </c>
      <c r="F33" s="19" t="inlineStr">
        <is>
          <t>yes</t>
        </is>
      </c>
      <c r="G33" s="12" t="inlineStr">
        <is>
          <t>pass</t>
        </is>
      </c>
      <c r="H33" s="20" t="inlineStr">
        <is>
          <t>covered</t>
        </is>
      </c>
      <c r="I33" s="13" t="inlineStr">
        <is>
          <t>Form playground manual verification.</t>
        </is>
      </c>
      <c r="J33" s="13" t="inlineStr"/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Data</t>
        </is>
      </c>
      <c r="C34" s="13" t="inlineStr">
        <is>
          <t>Root</t>
        </is>
      </c>
      <c r="D34" s="13" t="inlineStr">
        <is>
          <t>data-invalid is present after failed validation</t>
        </is>
      </c>
      <c r="E34" s="18" t="inlineStr">
        <is>
          <t>yes</t>
        </is>
      </c>
      <c r="F34" s="19" t="inlineStr">
        <is>
          <t>yes</t>
        </is>
      </c>
      <c r="G34" s="12" t="inlineStr">
        <is>
          <t>pass</t>
        </is>
      </c>
      <c r="H34" s="20" t="inlineStr">
        <is>
          <t>covered</t>
        </is>
      </c>
      <c r="I34" s="13" t="inlineStr">
        <is>
          <t>Form playground manual verification.</t>
        </is>
      </c>
      <c r="J34" s="13" t="inlineStr"/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Data</t>
        </is>
      </c>
      <c r="C35" s="13" t="inlineStr">
        <is>
          <t>Live DOM</t>
        </is>
      </c>
      <c r="D35" s="13" t="inlineStr">
        <is>
          <t>data-slot is visible in Anatomy/Inspector</t>
        </is>
      </c>
      <c r="E35" s="18" t="inlineStr">
        <is>
          <t>yes</t>
        </is>
      </c>
      <c r="F35" s="19" t="inlineStr">
        <is>
          <t>yes</t>
        </is>
      </c>
      <c r="G35" s="12" t="inlineStr">
        <is>
          <t>pass</t>
        </is>
      </c>
      <c r="H35" s="20" t="inlineStr">
        <is>
          <t>covered</t>
        </is>
      </c>
      <c r="I35" s="13" t="inlineStr">
        <is>
          <t>Form playground manual verification.</t>
        </is>
      </c>
      <c r="J35" s="13" t="inlineStr"/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Data</t>
        </is>
      </c>
      <c r="C36" s="13" t="inlineStr">
        <is>
          <t>Live DOM</t>
        </is>
      </c>
      <c r="D36" s="13" t="inlineStr">
        <is>
          <t>data-submitting is visible in Anatomy/Inspector</t>
        </is>
      </c>
      <c r="E36" s="18" t="inlineStr">
        <is>
          <t>yes</t>
        </is>
      </c>
      <c r="F36" s="19" t="inlineStr">
        <is>
          <t>yes</t>
        </is>
      </c>
      <c r="G36" s="12" t="inlineStr">
        <is>
          <t>pass</t>
        </is>
      </c>
      <c r="H36" s="20" t="inlineStr">
        <is>
          <t>covered</t>
        </is>
      </c>
      <c r="I36" s="13" t="inlineStr">
        <is>
          <t>Form playground manual verification.</t>
        </is>
      </c>
      <c r="J36" s="13" t="inlineStr"/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Data</t>
        </is>
      </c>
      <c r="C37" s="13" t="inlineStr">
        <is>
          <t>Live DOM</t>
        </is>
      </c>
      <c r="D37" s="13" t="inlineStr">
        <is>
          <t>data-submitted is visible in Anatomy/Inspector</t>
        </is>
      </c>
      <c r="E37" s="18" t="inlineStr">
        <is>
          <t>yes</t>
        </is>
      </c>
      <c r="F37" s="19" t="inlineStr">
        <is>
          <t>yes</t>
        </is>
      </c>
      <c r="G37" s="12" t="inlineStr">
        <is>
          <t>pass</t>
        </is>
      </c>
      <c r="H37" s="20" t="inlineStr">
        <is>
          <t>covered</t>
        </is>
      </c>
      <c r="I37" s="13" t="inlineStr">
        <is>
          <t>Form playground manual verification.</t>
        </is>
      </c>
      <c r="J37" s="13" t="inlineStr"/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Data</t>
        </is>
      </c>
      <c r="C38" s="13" t="inlineStr">
        <is>
          <t>Live DOM</t>
        </is>
      </c>
      <c r="D38" s="13" t="inlineStr">
        <is>
          <t>data-invalid is visible in Anatomy/Inspector</t>
        </is>
      </c>
      <c r="E38" s="18" t="inlineStr">
        <is>
          <t>yes</t>
        </is>
      </c>
      <c r="F38" s="19" t="inlineStr">
        <is>
          <t>yes</t>
        </is>
      </c>
      <c r="G38" s="12" t="inlineStr">
        <is>
          <t>pass</t>
        </is>
      </c>
      <c r="H38" s="20" t="inlineStr">
        <is>
          <t>covered</t>
        </is>
      </c>
      <c r="I38" s="13" t="inlineStr">
        <is>
          <t>Form playground manual verification.</t>
        </is>
      </c>
      <c r="J38" s="13" t="inlineStr"/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Composition</t>
        </is>
      </c>
      <c r="C39" s="13" t="inlineStr">
        <is>
          <t>Root</t>
        </is>
      </c>
      <c r="D39" s="13" t="inlineStr">
        <is>
          <t>asChild preserves child form content without double nesting</t>
        </is>
      </c>
      <c r="E39" s="18" t="inlineStr">
        <is>
          <t>yes</t>
        </is>
      </c>
      <c r="F39" s="19" t="inlineStr">
        <is>
          <t>yes</t>
        </is>
      </c>
      <c r="G39" s="12" t="inlineStr">
        <is>
          <t>pass</t>
        </is>
      </c>
      <c r="H39" s="20" t="inlineStr">
        <is>
          <t>covered</t>
        </is>
      </c>
      <c r="I39" s="13" t="inlineStr">
        <is>
          <t>Form playground manual verification.</t>
        </is>
      </c>
      <c r="J39" s="13" t="inlineStr"/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Composition</t>
        </is>
      </c>
      <c r="C40" s="13" t="inlineStr">
        <is>
          <t>Root</t>
        </is>
      </c>
      <c r="D40" s="13" t="inlineStr">
        <is>
          <t>asChild merges Atom props and consumer props</t>
        </is>
      </c>
      <c r="E40" s="18" t="inlineStr">
        <is>
          <t>yes</t>
        </is>
      </c>
      <c r="F40" s="19" t="inlineStr">
        <is>
          <t>yes</t>
        </is>
      </c>
      <c r="G40" s="12" t="inlineStr">
        <is>
          <t>pass</t>
        </is>
      </c>
      <c r="H40" s="20" t="inlineStr">
        <is>
          <t>covered</t>
        </is>
      </c>
      <c r="I40" s="13" t="inlineStr">
        <is>
          <t>Form playground manual verification.</t>
        </is>
      </c>
      <c r="J40" s="13" t="inlineStr"/>
      <c r="K40" s="14">
        <f>IF(AND(E40="yes",F40="yes",H40="covered"),1,IF(H40="partial",0.5,0))</f>
        <v/>
      </c>
    </row>
    <row r="41" ht="30" customHeight="1" s="24">
      <c r="A41" s="12" t="n">
        <v>33</v>
      </c>
      <c r="B41" s="13" t="inlineStr">
        <is>
          <t>Composition</t>
        </is>
      </c>
      <c r="C41" s="13" t="inlineStr">
        <is>
          <t>Root</t>
        </is>
      </c>
      <c r="D41" s="13" t="inlineStr">
        <is>
          <t>asChild preserves submit/reset behavior</t>
        </is>
      </c>
      <c r="E41" s="18" t="inlineStr">
        <is>
          <t>yes</t>
        </is>
      </c>
      <c r="F41" s="19" t="inlineStr">
        <is>
          <t>yes</t>
        </is>
      </c>
      <c r="G41" s="12" t="inlineStr">
        <is>
          <t>pass</t>
        </is>
      </c>
      <c r="H41" s="20" t="inlineStr">
        <is>
          <t>covered</t>
        </is>
      </c>
      <c r="I41" s="13" t="inlineStr">
        <is>
          <t>Form playground manual verification.</t>
        </is>
      </c>
      <c r="J41" s="13" t="inlineStr"/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Composition</t>
        </is>
      </c>
      <c r="C42" s="13" t="inlineStr">
        <is>
          <t>Root</t>
        </is>
      </c>
      <c r="D42" s="13" t="inlineStr">
        <is>
          <t>render prop renders custom form element</t>
        </is>
      </c>
      <c r="E42" s="18" t="inlineStr">
        <is>
          <t>yes</t>
        </is>
      </c>
      <c r="F42" s="19" t="inlineStr">
        <is>
          <t>yes</t>
        </is>
      </c>
      <c r="G42" s="12" t="inlineStr">
        <is>
          <t>pass</t>
        </is>
      </c>
      <c r="H42" s="20" t="inlineStr">
        <is>
          <t>covered</t>
        </is>
      </c>
      <c r="I42" s="13" t="inlineStr">
        <is>
          <t>Form playground manual verification.</t>
        </is>
      </c>
      <c r="J42" s="13" t="inlineStr"/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Root</t>
        </is>
      </c>
      <c r="D43" s="13" t="inlineStr">
        <is>
          <t>render prop preserves refs and behavior props</t>
        </is>
      </c>
      <c r="E43" s="18" t="inlineStr">
        <is>
          <t>yes</t>
        </is>
      </c>
      <c r="F43" s="19" t="inlineStr">
        <is>
          <t>yes</t>
        </is>
      </c>
      <c r="G43" s="12" t="inlineStr">
        <is>
          <t>pass</t>
        </is>
      </c>
      <c r="H43" s="20" t="inlineStr">
        <is>
          <t>covered</t>
        </is>
      </c>
      <c r="I43" s="13" t="inlineStr">
        <is>
          <t>Form playground manual verification.</t>
        </is>
      </c>
      <c r="J43" s="13" t="inlineStr"/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State</t>
        </is>
      </c>
      <c r="C44" s="13" t="inlineStr">
        <is>
          <t>Root</t>
        </is>
      </c>
      <c r="D44" s="13" t="inlineStr">
        <is>
          <t>reset clears submitted, submitting, and invalid state</t>
        </is>
      </c>
      <c r="E44" s="18" t="inlineStr">
        <is>
          <t>yes</t>
        </is>
      </c>
      <c r="F44" s="19" t="inlineStr">
        <is>
          <t>yes</t>
        </is>
      </c>
      <c r="G44" s="12" t="inlineStr">
        <is>
          <t>pass</t>
        </is>
      </c>
      <c r="H44" s="20" t="inlineStr">
        <is>
          <t>covered</t>
        </is>
      </c>
      <c r="I44" s="13" t="inlineStr">
        <is>
          <t>Form playground manual verification.</t>
        </is>
      </c>
      <c r="J44" s="13" t="inlineStr"/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Log</t>
        </is>
      </c>
      <c r="C45" s="13" t="inlineStr">
        <is>
          <t>Root</t>
        </is>
      </c>
      <c r="D45" s="13" t="inlineStr">
        <is>
          <t>logs validation, submit, reset, and navigation prevention clearly</t>
        </is>
      </c>
      <c r="E45" s="18" t="inlineStr">
        <is>
          <t>yes</t>
        </is>
      </c>
      <c r="F45" s="19" t="inlineStr">
        <is>
          <t>yes</t>
        </is>
      </c>
      <c r="G45" s="12" t="inlineStr">
        <is>
          <t>pass</t>
        </is>
      </c>
      <c r="H45" s="20" t="inlineStr">
        <is>
          <t>covered</t>
        </is>
      </c>
      <c r="I45" s="13" t="inlineStr">
        <is>
          <t>Form playground manual verification.</t>
        </is>
      </c>
      <c r="J45" s="13" t="inlineStr"/>
      <c r="K45" s="14">
        <f>IF(AND(E45="yes",F45="yes",H45="covered"),1,IF(H45="partial",0.5,0))</f>
        <v/>
      </c>
    </row>
    <row r="46" ht="15" customHeight="1" s="24">
      <c r="A46" s="12" t="n"/>
      <c r="B46" s="13" t="n"/>
      <c r="C46" s="13" t="n"/>
      <c r="D46" s="13" t="n"/>
      <c r="E46" s="18" t="n"/>
      <c r="F46" s="19" t="n"/>
      <c r="G46" s="12" t="n"/>
      <c r="H46" s="20" t="n"/>
      <c r="I46" s="13" t="n"/>
      <c r="J46" s="13" t="n"/>
      <c r="K46" s="14" t="n"/>
    </row>
    <row r="47" ht="30" customHeight="1" s="24">
      <c r="A47" s="12" t="n"/>
      <c r="B47" s="13" t="n"/>
      <c r="C47" s="13" t="n"/>
      <c r="D47" s="13" t="n"/>
      <c r="E47" s="18" t="n"/>
      <c r="F47" s="19" t="n"/>
      <c r="G47" s="12" t="n"/>
      <c r="H47" s="20" t="n"/>
      <c r="I47" s="13" t="n"/>
      <c r="J47" s="13" t="n"/>
      <c r="K47" s="14" t="n"/>
    </row>
    <row r="48" ht="30" customHeight="1" s="24">
      <c r="A48" s="12" t="n"/>
      <c r="B48" s="13" t="n"/>
      <c r="C48" s="13" t="n"/>
      <c r="D48" s="13" t="n"/>
      <c r="E48" s="18" t="n"/>
      <c r="F48" s="19" t="n"/>
      <c r="G48" s="12" t="n"/>
      <c r="H48" s="20" t="n"/>
      <c r="I48" s="13" t="n"/>
      <c r="J48" s="13" t="n"/>
      <c r="K48" s="14" t="n"/>
    </row>
    <row r="49" ht="30" customHeight="1" s="24">
      <c r="A49" s="12" t="n"/>
      <c r="B49" s="13" t="n"/>
      <c r="C49" s="13" t="n"/>
      <c r="D49" s="13" t="n"/>
      <c r="E49" s="18" t="n"/>
      <c r="F49" s="19" t="n"/>
      <c r="G49" s="12" t="n"/>
      <c r="H49" s="20" t="n"/>
      <c r="I49" s="13" t="n"/>
      <c r="J49" s="13" t="n"/>
      <c r="K49" s="14" t="n"/>
    </row>
    <row r="50" ht="30" customHeight="1" s="24">
      <c r="A50" s="12" t="n"/>
      <c r="B50" s="13" t="n"/>
      <c r="C50" s="13" t="n"/>
      <c r="D50" s="13" t="n"/>
      <c r="E50" s="18" t="n"/>
      <c r="F50" s="19" t="n"/>
      <c r="G50" s="12" t="n"/>
      <c r="H50" s="20" t="n"/>
      <c r="I50" s="13" t="n"/>
      <c r="J50" s="13" t="n"/>
      <c r="K50" s="14" t="n"/>
    </row>
    <row r="51" ht="15" customHeight="1" s="24">
      <c r="A51" s="12" t="n"/>
      <c r="B51" s="13" t="n"/>
      <c r="C51" s="13" t="n"/>
      <c r="D51" s="13" t="n"/>
      <c r="E51" s="18" t="n"/>
      <c r="F51" s="19" t="n"/>
      <c r="G51" s="12" t="n"/>
      <c r="H51" s="20" t="n"/>
      <c r="I51" s="13" t="n"/>
      <c r="J51" s="13" t="n"/>
      <c r="K51" s="14" t="n"/>
    </row>
    <row r="52" ht="30" customHeight="1" s="24">
      <c r="A52" s="12" t="n"/>
      <c r="B52" s="13" t="n"/>
      <c r="C52" s="13" t="n"/>
      <c r="D52" s="13" t="n"/>
      <c r="E52" s="18" t="n"/>
      <c r="F52" s="19" t="n"/>
      <c r="G52" s="12" t="n"/>
      <c r="H52" s="20" t="n"/>
      <c r="I52" s="13" t="n"/>
      <c r="J52" s="13" t="n"/>
      <c r="K52" s="14" t="n"/>
    </row>
  </sheetData>
  <autoFilter ref="A8:K52"/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2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HoverCard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IFERROR(SUM(K9:K123)/COUNT(K9:K123),0)</f>
        <v/>
      </c>
      <c r="C4" s="8" t="inlineStr">
        <is>
          <t>Covered</t>
        </is>
      </c>
      <c r="D4" s="10">
        <f>COUNTIFS(E9:E123,"yes",F9:F123,"yes",H9:H123,"covered")</f>
        <v/>
      </c>
      <c r="E4" s="8" t="inlineStr">
        <is>
          <t>Partial</t>
        </is>
      </c>
      <c r="F4" s="10">
        <f>COUNTIF(H9:H123,"partial")</f>
        <v/>
      </c>
      <c r="G4" s="8" t="inlineStr">
        <is>
          <t>Missing</t>
        </is>
      </c>
      <c r="H4" s="10">
        <f>COUNTIFS(E9:E123,"&lt;&gt;yes") + COUNTIFS(E9:E123,"yes",H9:H123,"missing")</f>
        <v/>
      </c>
      <c r="I4" s="8" t="inlineStr">
        <is>
          <t>Untested</t>
        </is>
      </c>
      <c r="J4" s="10">
        <f>COUNTIFS(E9:E123,"yes",F9:F123,"&lt;&gt;yes") + COUNTIFS(E9:E123,"yes",F9:F123,"yes",H9:H123,"untested")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HoverCard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HoverCard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45" customHeight="1" s="24">
      <c r="A10" s="12" t="n">
        <v>2</v>
      </c>
      <c r="B10" s="13" t="inlineStr">
        <is>
          <t>Playground</t>
        </is>
      </c>
      <c r="C10" s="13" t="inlineStr">
        <is>
          <t>HoverCard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HoverCard playground page uses shared Canvas/Source, Anatomy, Inspector, and Log infrastructure.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HoverCard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HoverCard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HoverCard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HoverCard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HoverCard</t>
        </is>
      </c>
      <c r="D13" s="13" t="inlineStr">
        <is>
          <t>Controlled and uncontrolled open state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HoverCard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HoverCard</t>
        </is>
      </c>
      <c r="D14" s="13" t="inlineStr">
        <is>
          <t>Opens from hover and focus-visible trigger interactions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HoverCard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HoverCard</t>
        </is>
      </c>
      <c r="D15" s="13" t="inlineStr">
        <is>
          <t>Configurable open and close delays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HoverCard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45" customHeight="1" s="24">
      <c r="A16" s="12" t="n">
        <v>8</v>
      </c>
      <c r="B16" s="13" t="inlineStr">
        <is>
          <t>Feature</t>
        </is>
      </c>
      <c r="C16" s="13" t="inlineStr">
        <is>
          <t>HoverCard</t>
        </is>
      </c>
      <c r="D16" s="13" t="inlineStr">
        <is>
          <t>Floating UI positioning with side, align, side offset, collision shift, flip, and arrow coordinates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HoverCard playground exposes side/align/offset positioning controls; mobile/touch behavior is ready for device verification.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HoverCard</t>
        </is>
      </c>
      <c r="D17" s="13" t="inlineStr">
        <is>
          <t>Portal and arrow parts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HoverCard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HoverCard</t>
        </is>
      </c>
      <c r="D18" s="13" t="inlineStr">
        <is>
          <t>Headless only: no card styling, shadows, animation, or layout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HoverCard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HoverCard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HoverCard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HoverCard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HoverCard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HoverCard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4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Package tests/source review verify consumer ref plumbing for HoverCard; playground manual pass can inspect rendered DOM behavior.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open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HoverCard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defaultOpen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HoverCard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onOpenChange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HoverCard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openDelay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HoverCard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closeDelay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HoverCard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disabled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HoverCard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Anatomy</t>
        </is>
      </c>
      <c r="C31" s="13" t="inlineStr">
        <is>
          <t>Portal</t>
        </is>
      </c>
      <c r="D31" s="13" t="inlineStr">
        <is>
          <t>renders correct part when expected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HoverCard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Anatomy</t>
        </is>
      </c>
      <c r="C32" s="13" t="inlineStr">
        <is>
          <t>Portal</t>
        </is>
      </c>
      <c r="D32" s="13" t="inlineStr">
        <is>
          <t>appears in documented order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HoverCard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Identity</t>
        </is>
      </c>
      <c r="C33" s="13" t="inlineStr">
        <is>
          <t>Portal</t>
        </is>
      </c>
      <c r="D33" s="13" t="inlineStr">
        <is>
          <t>default tag is visible in Anatomy/Inspector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HoverCard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Identity</t>
        </is>
      </c>
      <c r="C34" s="13" t="inlineStr">
        <is>
          <t>Portal</t>
        </is>
      </c>
      <c r="D34" s="13" t="inlineStr">
        <is>
          <t>data-slot is present and correct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HoverCard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30" customHeight="1" s="24">
      <c r="A35" s="12" t="n">
        <v>27</v>
      </c>
      <c r="B35" s="13" t="inlineStr">
        <is>
          <t>Props</t>
        </is>
      </c>
      <c r="C35" s="13" t="inlineStr">
        <is>
          <t>Portal</t>
        </is>
      </c>
      <c r="D35" s="13" t="inlineStr">
        <is>
          <t>non-Atom native props pass through with data-prop-check marker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HoverCard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45" customHeight="1" s="24">
      <c r="A36" s="12" t="n">
        <v>28</v>
      </c>
      <c r="B36" s="13" t="inlineStr">
        <is>
          <t>Refs</t>
        </is>
      </c>
      <c r="C36" s="13" t="inlineStr">
        <is>
          <t>Portal</t>
        </is>
      </c>
      <c r="D36" s="13" t="inlineStr">
        <is>
          <t>consumer ref receives the rendered element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Package tests/source review verify consumer ref plumbing for HoverCard; playground manual pass can inspect rendered DOM behavior.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Positioning</t>
        </is>
      </c>
      <c r="C37" s="13" t="inlineStr">
        <is>
          <t>Portal</t>
        </is>
      </c>
      <c r="D37" s="13" t="inlineStr">
        <is>
          <t>container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HoverCard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State</t>
        </is>
      </c>
      <c r="C38" s="13" t="inlineStr">
        <is>
          <t>Portal</t>
        </is>
      </c>
      <c r="D38" s="13" t="inlineStr">
        <is>
          <t>disabled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HoverCard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Anatomy</t>
        </is>
      </c>
      <c r="C39" s="13" t="inlineStr">
        <is>
          <t>Trigger</t>
        </is>
      </c>
      <c r="D39" s="13" t="inlineStr">
        <is>
          <t>renders correct part when expected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HoverCard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Anatomy</t>
        </is>
      </c>
      <c r="C40" s="13" t="inlineStr">
        <is>
          <t>Trigger</t>
        </is>
      </c>
      <c r="D40" s="13" t="inlineStr">
        <is>
          <t>appears in documented order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HoverCard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Identity</t>
        </is>
      </c>
      <c r="C41" s="13" t="inlineStr">
        <is>
          <t>Trigger</t>
        </is>
      </c>
      <c r="D41" s="13" t="inlineStr">
        <is>
          <t>default tag is visible in Anatomy/Inspector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HoverCard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Identity</t>
        </is>
      </c>
      <c r="C42" s="13" t="inlineStr">
        <is>
          <t>Trigger</t>
        </is>
      </c>
      <c r="D42" s="13" t="inlineStr">
        <is>
          <t>data-slot is present and correct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HoverCard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30" customHeight="1" s="24">
      <c r="A43" s="12" t="n">
        <v>35</v>
      </c>
      <c r="B43" s="13" t="inlineStr">
        <is>
          <t>Props</t>
        </is>
      </c>
      <c r="C43" s="13" t="inlineStr">
        <is>
          <t>Trigger</t>
        </is>
      </c>
      <c r="D43" s="13" t="inlineStr">
        <is>
          <t>non-Atom native props pass through with data-prop-check marker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HoverCard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45" customHeight="1" s="24">
      <c r="A44" s="12" t="n">
        <v>36</v>
      </c>
      <c r="B44" s="13" t="inlineStr">
        <is>
          <t>Refs</t>
        </is>
      </c>
      <c r="C44" s="13" t="inlineStr">
        <is>
          <t>Trigger</t>
        </is>
      </c>
      <c r="D44" s="13" t="inlineStr">
        <is>
          <t>consumer ref receives the rendered element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Package tests/source review verify consumer ref plumbing for HoverCard; playground manual pass can inspect rendered DOM behavior.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Composition</t>
        </is>
      </c>
      <c r="C45" s="13" t="inlineStr">
        <is>
          <t>Trigger</t>
        </is>
      </c>
      <c r="D45" s="13" t="inlineStr">
        <is>
          <t>asChild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HoverCard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Composition</t>
        </is>
      </c>
      <c r="C46" s="13" t="inlineStr">
        <is>
          <t>Trigger</t>
        </is>
      </c>
      <c r="D46" s="13" t="inlineStr">
        <is>
          <t>render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HoverCard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Public API</t>
        </is>
      </c>
      <c r="C47" s="13" t="inlineStr">
        <is>
          <t>Trigger</t>
        </is>
      </c>
      <c r="D47" s="13" t="inlineStr">
        <is>
          <t>data-slot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HoverCard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Trigger</t>
        </is>
      </c>
      <c r="D48" s="13" t="inlineStr">
        <is>
          <t>[data-slot]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HoverCard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Trigger</t>
        </is>
      </c>
      <c r="D49" s="13" t="inlineStr">
        <is>
          <t>[data-state]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HoverCard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Anatomy</t>
        </is>
      </c>
      <c r="C50" s="13" t="inlineStr">
        <is>
          <t>Content</t>
        </is>
      </c>
      <c r="D50" s="13" t="inlineStr">
        <is>
          <t>renders correct part when expected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HoverCard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Anatomy</t>
        </is>
      </c>
      <c r="C51" s="13" t="inlineStr">
        <is>
          <t>Content</t>
        </is>
      </c>
      <c r="D51" s="13" t="inlineStr">
        <is>
          <t>appears in documented order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HoverCard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Identity</t>
        </is>
      </c>
      <c r="C52" s="13" t="inlineStr">
        <is>
          <t>Content</t>
        </is>
      </c>
      <c r="D52" s="13" t="inlineStr">
        <is>
          <t>default tag is visible in Anatomy/Inspector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HoverCard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Identity</t>
        </is>
      </c>
      <c r="C53" s="13" t="inlineStr">
        <is>
          <t>Content</t>
        </is>
      </c>
      <c r="D53" s="13" t="inlineStr">
        <is>
          <t>data-slot is present and correct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HoverCard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30" customHeight="1" s="24">
      <c r="A54" s="12" t="n">
        <v>46</v>
      </c>
      <c r="B54" s="13" t="inlineStr">
        <is>
          <t>Props</t>
        </is>
      </c>
      <c r="C54" s="13" t="inlineStr">
        <is>
          <t>Content</t>
        </is>
      </c>
      <c r="D54" s="13" t="inlineStr">
        <is>
          <t>non-Atom native props pass through with data-prop-check marker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HoverCard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45" customHeight="1" s="24">
      <c r="A55" s="12" t="n">
        <v>47</v>
      </c>
      <c r="B55" s="13" t="inlineStr">
        <is>
          <t>Refs</t>
        </is>
      </c>
      <c r="C55" s="13" t="inlineStr">
        <is>
          <t>Content</t>
        </is>
      </c>
      <c r="D55" s="13" t="inlineStr">
        <is>
          <t>consumer ref receives the rendered element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Package tests/source review verify consumer ref plumbing for HoverCard; playground manual pass can inspect rendered DOM behavior.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Positioning</t>
        </is>
      </c>
      <c r="C56" s="13" t="inlineStr">
        <is>
          <t>Content</t>
        </is>
      </c>
      <c r="D56" s="13" t="inlineStr">
        <is>
          <t>side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HoverCard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Positioning</t>
        </is>
      </c>
      <c r="C57" s="13" t="inlineStr">
        <is>
          <t>Content</t>
        </is>
      </c>
      <c r="D57" s="13" t="inlineStr">
        <is>
          <t>align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HoverCard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Positioning</t>
        </is>
      </c>
      <c r="C58" s="13" t="inlineStr">
        <is>
          <t>Content</t>
        </is>
      </c>
      <c r="D58" s="13" t="inlineStr">
        <is>
          <t>sideOffset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HoverCard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Accessibility</t>
        </is>
      </c>
      <c r="C59" s="13" t="inlineStr">
        <is>
          <t>Content</t>
        </is>
      </c>
      <c r="D59" s="13" t="inlineStr">
        <is>
          <t>ariaLabel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HoverCard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Content</t>
        </is>
      </c>
      <c r="D60" s="13" t="inlineStr">
        <is>
          <t>data-slot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HoverCard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Content</t>
        </is>
      </c>
      <c r="D61" s="13" t="inlineStr">
        <is>
          <t>[data-slot]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HoverCard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Content</t>
        </is>
      </c>
      <c r="D62" s="13" t="inlineStr">
        <is>
          <t>[data-state]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HoverCard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Positioning</t>
        </is>
      </c>
      <c r="C63" s="13" t="inlineStr">
        <is>
          <t>Content</t>
        </is>
      </c>
      <c r="D63" s="13" t="inlineStr">
        <is>
          <t>[data-side]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HoverCard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Content</t>
        </is>
      </c>
      <c r="D64" s="13" t="inlineStr">
        <is>
          <t>[data-positioned]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HoverCard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Arrow</t>
        </is>
      </c>
      <c r="D65" s="13" t="inlineStr">
        <is>
          <t>renders correct part when expected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HoverCard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Anatomy</t>
        </is>
      </c>
      <c r="C66" s="13" t="inlineStr">
        <is>
          <t>Arrow</t>
        </is>
      </c>
      <c r="D66" s="13" t="inlineStr">
        <is>
          <t>appears in documented order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HoverCard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Arrow</t>
        </is>
      </c>
      <c r="D67" s="13" t="inlineStr">
        <is>
          <t>default tag is visible in Anatomy/Inspector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HoverCard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Identity</t>
        </is>
      </c>
      <c r="C68" s="13" t="inlineStr">
        <is>
          <t>Arrow</t>
        </is>
      </c>
      <c r="D68" s="13" t="inlineStr">
        <is>
          <t>data-slot is present and correct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HoverCard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30" customHeight="1" s="24">
      <c r="A69" s="12" t="n">
        <v>61</v>
      </c>
      <c r="B69" s="13" t="inlineStr">
        <is>
          <t>Props</t>
        </is>
      </c>
      <c r="C69" s="13" t="inlineStr">
        <is>
          <t>Arrow</t>
        </is>
      </c>
      <c r="D69" s="13" t="inlineStr">
        <is>
          <t>non-Atom native props pass through with data-prop-check marker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HoverCard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45" customHeight="1" s="24">
      <c r="A70" s="12" t="n">
        <v>62</v>
      </c>
      <c r="B70" s="13" t="inlineStr">
        <is>
          <t>Refs</t>
        </is>
      </c>
      <c r="C70" s="13" t="inlineStr">
        <is>
          <t>Arrow</t>
        </is>
      </c>
      <c r="D70" s="13" t="inlineStr">
        <is>
          <t>consumer ref receives the rendered element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Package tests/source review verify consumer ref plumbing for HoverCard; playground manual pass can inspect rendered DOM behavior.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Public API</t>
        </is>
      </c>
      <c r="C71" s="13" t="inlineStr">
        <is>
          <t>Arrow</t>
        </is>
      </c>
      <c r="D71" s="13" t="inlineStr">
        <is>
          <t>width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HoverCard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Arrow</t>
        </is>
      </c>
      <c r="D72" s="13" t="inlineStr">
        <is>
          <t>height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HoverCard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Arrow</t>
        </is>
      </c>
      <c r="D73" s="13" t="inlineStr">
        <is>
          <t>data-slot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HoverCard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Public API</t>
        </is>
      </c>
      <c r="C74" s="13" t="inlineStr">
        <is>
          <t>Arrow</t>
        </is>
      </c>
      <c r="D74" s="13" t="inlineStr">
        <is>
          <t>[data-slot]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HoverCard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Positioning</t>
        </is>
      </c>
      <c r="C75" s="13" t="inlineStr">
        <is>
          <t>Arrow</t>
        </is>
      </c>
      <c r="D75" s="13" t="inlineStr">
        <is>
          <t>[data-side]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HoverCard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Anatomy</t>
        </is>
      </c>
      <c r="C76" s="13" t="inlineStr">
        <is>
          <t>CardContent</t>
        </is>
      </c>
      <c r="D76" s="13" t="inlineStr">
        <is>
          <t>renders correct part when expected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HoverCard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Anatomy</t>
        </is>
      </c>
      <c r="C77" s="13" t="inlineStr">
        <is>
          <t>CardContent</t>
        </is>
      </c>
      <c r="D77" s="13" t="inlineStr">
        <is>
          <t>appears in documented order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HoverCard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Identity</t>
        </is>
      </c>
      <c r="C78" s="13" t="inlineStr">
        <is>
          <t>CardContent</t>
        </is>
      </c>
      <c r="D78" s="13" t="inlineStr">
        <is>
          <t>default tag is visible in Anatomy/Inspector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HoverCard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Identity</t>
        </is>
      </c>
      <c r="C79" s="13" t="inlineStr">
        <is>
          <t>CardContent</t>
        </is>
      </c>
      <c r="D79" s="13" t="inlineStr">
        <is>
          <t>data-slot is present and correct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HoverCard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30" customHeight="1" s="24">
      <c r="A80" s="12" t="n">
        <v>72</v>
      </c>
      <c r="B80" s="13" t="inlineStr">
        <is>
          <t>Props</t>
        </is>
      </c>
      <c r="C80" s="13" t="inlineStr">
        <is>
          <t>CardContent</t>
        </is>
      </c>
      <c r="D80" s="13" t="inlineStr">
        <is>
          <t>non-Atom native props pass through with data-prop-check marker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HoverCard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45" customHeight="1" s="24">
      <c r="A81" s="12" t="n">
        <v>73</v>
      </c>
      <c r="B81" s="13" t="inlineStr">
        <is>
          <t>Refs</t>
        </is>
      </c>
      <c r="C81" s="13" t="inlineStr">
        <is>
          <t>CardContent</t>
        </is>
      </c>
      <c r="D81" s="13" t="inlineStr">
        <is>
          <t>consumer ref receives the rendered element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Package tests/source review verify consumer ref plumbing for HoverCard; playground manual pass can inspect rendered DOM behavior.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Anatomy</t>
        </is>
      </c>
      <c r="C82" s="13" t="inlineStr">
        <is>
          <t>CardPortal</t>
        </is>
      </c>
      <c r="D82" s="13" t="inlineStr">
        <is>
          <t>renders correct part when expected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HoverCard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Anatomy</t>
        </is>
      </c>
      <c r="C83" s="13" t="inlineStr">
        <is>
          <t>CardPortal</t>
        </is>
      </c>
      <c r="D83" s="13" t="inlineStr">
        <is>
          <t>appears in documented order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HoverCard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Identity</t>
        </is>
      </c>
      <c r="C84" s="13" t="inlineStr">
        <is>
          <t>CardPortal</t>
        </is>
      </c>
      <c r="D84" s="13" t="inlineStr">
        <is>
          <t>default tag is visible in Anatomy/Inspector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HoverCard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Identity</t>
        </is>
      </c>
      <c r="C85" s="13" t="inlineStr">
        <is>
          <t>CardPortal</t>
        </is>
      </c>
      <c r="D85" s="13" t="inlineStr">
        <is>
          <t>data-slot is present and correct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HoverCard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30" customHeight="1" s="24">
      <c r="A86" s="12" t="n">
        <v>78</v>
      </c>
      <c r="B86" s="13" t="inlineStr">
        <is>
          <t>Props</t>
        </is>
      </c>
      <c r="C86" s="13" t="inlineStr">
        <is>
          <t>CardPortal</t>
        </is>
      </c>
      <c r="D86" s="13" t="inlineStr">
        <is>
          <t>non-Atom native props pass through with data-prop-check marker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HoverCard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45" customHeight="1" s="24">
      <c r="A87" s="12" t="n">
        <v>79</v>
      </c>
      <c r="B87" s="13" t="inlineStr">
        <is>
          <t>Refs</t>
        </is>
      </c>
      <c r="C87" s="13" t="inlineStr">
        <is>
          <t>CardPortal</t>
        </is>
      </c>
      <c r="D87" s="13" t="inlineStr">
        <is>
          <t>consumer ref receives the rendered element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Package tests/source review verify consumer ref plumbing for HoverCard; playground manual pass can inspect rendered DOM behavior.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Anatomy</t>
        </is>
      </c>
      <c r="C88" s="13" t="inlineStr">
        <is>
          <t>CardTrigger</t>
        </is>
      </c>
      <c r="D88" s="13" t="inlineStr">
        <is>
          <t>renders correct part when expected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HoverCard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Anatomy</t>
        </is>
      </c>
      <c r="C89" s="13" t="inlineStr">
        <is>
          <t>CardTrigger</t>
        </is>
      </c>
      <c r="D89" s="13" t="inlineStr">
        <is>
          <t>appears in documented order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HoverCard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Identity</t>
        </is>
      </c>
      <c r="C90" s="13" t="inlineStr">
        <is>
          <t>CardTrigger</t>
        </is>
      </c>
      <c r="D90" s="13" t="inlineStr">
        <is>
          <t>default tag is visible in Anatomy/Inspector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HoverCard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Identity</t>
        </is>
      </c>
      <c r="C91" s="13" t="inlineStr">
        <is>
          <t>CardTrigger</t>
        </is>
      </c>
      <c r="D91" s="13" t="inlineStr">
        <is>
          <t>data-slot is present and correct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HoverCard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30" customHeight="1" s="24">
      <c r="A92" s="12" t="n">
        <v>84</v>
      </c>
      <c r="B92" s="13" t="inlineStr">
        <is>
          <t>Props</t>
        </is>
      </c>
      <c r="C92" s="13" t="inlineStr">
        <is>
          <t>CardTrigger</t>
        </is>
      </c>
      <c r="D92" s="13" t="inlineStr">
        <is>
          <t>non-Atom native props pass through with data-prop-check marker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HoverCard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45" customHeight="1" s="24">
      <c r="A93" s="12" t="n">
        <v>85</v>
      </c>
      <c r="B93" s="13" t="inlineStr">
        <is>
          <t>Refs</t>
        </is>
      </c>
      <c r="C93" s="13" t="inlineStr">
        <is>
          <t>CardTrigger</t>
        </is>
      </c>
      <c r="D93" s="13" t="inlineStr">
        <is>
          <t>consumer ref receives the rendered element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Package tests/source review verify consumer ref plumbing for HoverCard; playground manual pass can inspect rendered DOM behavior.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ARIA</t>
        </is>
      </c>
      <c r="C94" s="13" t="inlineStr">
        <is>
          <t>Live DOM</t>
        </is>
      </c>
      <c r="D94" s="13" t="inlineStr">
        <is>
          <t>aria-label is present at the correct time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HoverCard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Data</t>
        </is>
      </c>
      <c r="C95" s="13" t="inlineStr">
        <is>
          <t>Live DOM</t>
        </is>
      </c>
      <c r="D95" s="13" t="inlineStr">
        <is>
          <t>data-positioned is present at the correct time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HoverCard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Data</t>
        </is>
      </c>
      <c r="C96" s="13" t="inlineStr">
        <is>
          <t>Live DOM</t>
        </is>
      </c>
      <c r="D96" s="13" t="inlineStr">
        <is>
          <t>data-side is present at the correct time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HoverCard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Data</t>
        </is>
      </c>
      <c r="C97" s="13" t="inlineStr">
        <is>
          <t>Live DOM</t>
        </is>
      </c>
      <c r="D97" s="13" t="inlineStr">
        <is>
          <t>data-slot is present at the correct time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HoverCard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Data</t>
        </is>
      </c>
      <c r="C98" s="13" t="inlineStr">
        <is>
          <t>Live DOM</t>
        </is>
      </c>
      <c r="D98" s="13" t="inlineStr">
        <is>
          <t>data-state is present at the correct time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HoverCard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Composition</t>
        </is>
      </c>
      <c r="C99" s="13" t="inlineStr">
        <is>
          <t>HoverCard</t>
        </is>
      </c>
      <c r="D99" s="13" t="inlineStr">
        <is>
          <t>asChild preserves child content without double nesting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HoverCard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Composition</t>
        </is>
      </c>
      <c r="C100" s="13" t="inlineStr">
        <is>
          <t>HoverCard</t>
        </is>
      </c>
      <c r="D100" s="13" t="inlineStr">
        <is>
          <t>asChild merges Atom props and consumer props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HoverCard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30" customHeight="1" s="24">
      <c r="A101" s="12" t="n">
        <v>93</v>
      </c>
      <c r="B101" s="13" t="inlineStr">
        <is>
          <t>Composition</t>
        </is>
      </c>
      <c r="C101" s="13" t="inlineStr">
        <is>
          <t>HoverCard</t>
        </is>
      </c>
      <c r="D101" s="13" t="inlineStr">
        <is>
          <t>asChild lets preventDefault block Atom behavior where supported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HoverCard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Composition</t>
        </is>
      </c>
      <c r="C102" s="13" t="inlineStr">
        <is>
          <t>HoverCard</t>
        </is>
      </c>
      <c r="D102" s="13" t="inlineStr">
        <is>
          <t>render prop renders custom element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HoverCard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45" customHeight="1" s="24">
      <c r="A103" s="12" t="n">
        <v>95</v>
      </c>
      <c r="B103" s="13" t="inlineStr">
        <is>
          <t>Composition</t>
        </is>
      </c>
      <c r="C103" s="13" t="inlineStr">
        <is>
          <t>HoverCard</t>
        </is>
      </c>
      <c r="D103" s="13" t="inlineStr">
        <is>
          <t>render prop preserves refs and behavior props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Composition controls/package tests cover render/asChild behavior for HoverCard; ready for manual verification where exposed.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State</t>
        </is>
      </c>
      <c r="C104" s="13" t="inlineStr">
        <is>
          <t>Root</t>
        </is>
      </c>
      <c r="D104" s="13" t="inlineStr">
        <is>
          <t>controlled state path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HoverCard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State</t>
        </is>
      </c>
      <c r="C105" s="13" t="inlineStr">
        <is>
          <t>Root</t>
        </is>
      </c>
      <c r="D105" s="13" t="inlineStr">
        <is>
          <t>uncontrolled default state path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HoverCard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State</t>
        </is>
      </c>
      <c r="C106" s="13" t="inlineStr">
        <is>
          <t>Root</t>
        </is>
      </c>
      <c r="D106" s="13" t="inlineStr">
        <is>
          <t>state change callback fires once with correct value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HoverCard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Interaction</t>
        </is>
      </c>
      <c r="C107" s="13" t="inlineStr">
        <is>
          <t>Trigger</t>
        </is>
      </c>
      <c r="D107" s="13" t="inlineStr">
        <is>
          <t>mouse click or pointer activation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HoverCard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Interaction</t>
        </is>
      </c>
      <c r="C108" s="13" t="inlineStr">
        <is>
          <t>Trigger</t>
        </is>
      </c>
      <c r="D108" s="13" t="inlineStr">
        <is>
          <t>Enter key activation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HoverCard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Interaction</t>
        </is>
      </c>
      <c r="C109" s="13" t="inlineStr">
        <is>
          <t>Trigger</t>
        </is>
      </c>
      <c r="D109" s="13" t="inlineStr">
        <is>
          <t>Space key activation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HoverCard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Interaction</t>
        </is>
      </c>
      <c r="C110" s="13" t="inlineStr">
        <is>
          <t>Trigger</t>
        </is>
      </c>
      <c r="D110" s="13" t="inlineStr">
        <is>
          <t>disabled trigger blocks pointer and keyboard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HoverCard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Focus</t>
        </is>
      </c>
      <c r="C111" s="13" t="inlineStr">
        <is>
          <t>Trigger</t>
        </is>
      </c>
      <c r="D111" s="13" t="inlineStr">
        <is>
          <t>focus ring and focus restoration are correct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HoverCard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Dismiss</t>
        </is>
      </c>
      <c r="C112" s="13" t="inlineStr">
        <is>
          <t>HoverCard</t>
        </is>
      </c>
      <c r="D112" s="13" t="inlineStr">
        <is>
          <t>Escape closes only the topmost active layer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HoverCard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Dismiss</t>
        </is>
      </c>
      <c r="C113" s="13" t="inlineStr">
        <is>
          <t>HoverCard</t>
        </is>
      </c>
      <c r="D113" s="13" t="inlineStr">
        <is>
          <t>outside click/interact closes when enabled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HoverCard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Dismiss</t>
        </is>
      </c>
      <c r="C114" s="13" t="inlineStr">
        <is>
          <t>HoverCard</t>
        </is>
      </c>
      <c r="D114" s="13" t="inlineStr">
        <is>
          <t>outside click/interact is blocked when disabled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HoverCard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Focus</t>
        </is>
      </c>
      <c r="C115" s="13" t="inlineStr">
        <is>
          <t>HoverCard</t>
        </is>
      </c>
      <c r="D115" s="13" t="inlineStr">
        <is>
          <t>focus returns to the correct trigger/anchor after close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HoverCard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Focus</t>
        </is>
      </c>
      <c r="C116" s="13" t="inlineStr">
        <is>
          <t>HoverCard</t>
        </is>
      </c>
      <c r="D116" s="13" t="inlineStr">
        <is>
          <t>nested overlays keep focus and Escape order correct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HoverCard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45" customHeight="1" s="24">
      <c r="A117" s="12" t="n">
        <v>109</v>
      </c>
      <c r="B117" s="13" t="inlineStr">
        <is>
          <t>Mobile</t>
        </is>
      </c>
      <c r="C117" s="13" t="inlineStr">
        <is>
          <t>HoverCard</t>
        </is>
      </c>
      <c r="D117" s="13" t="inlineStr">
        <is>
          <t>mobile viewport/touch behavior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HoverCard playground exposes side/align/offset positioning controls; mobile/touch behavior is ready for device verification.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Portal</t>
        </is>
      </c>
      <c r="C118" s="13" t="inlineStr">
        <is>
          <t>HoverCard</t>
        </is>
      </c>
      <c r="D118" s="13" t="inlineStr">
        <is>
          <t>portal renders in body by default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HoverCard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Portal</t>
        </is>
      </c>
      <c r="C119" s="13" t="inlineStr">
        <is>
          <t>HoverCard</t>
        </is>
      </c>
      <c r="D119" s="13" t="inlineStr">
        <is>
          <t>custom/disabled portal path works where supported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HoverCard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Positioning</t>
        </is>
      </c>
      <c r="C120" s="13" t="inlineStr">
        <is>
          <t>HoverCard</t>
        </is>
      </c>
      <c r="D120" s="13" t="inlineStr">
        <is>
          <t>side options position content correctly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HoverCard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Positioning</t>
        </is>
      </c>
      <c r="C121" s="13" t="inlineStr">
        <is>
          <t>HoverCard</t>
        </is>
      </c>
      <c r="D121" s="13" t="inlineStr">
        <is>
          <t>align options position content correctly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HoverCard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45" customHeight="1" s="24">
      <c r="A122" s="12" t="n">
        <v>114</v>
      </c>
      <c r="B122" s="13" t="inlineStr">
        <is>
          <t>Positioning</t>
        </is>
      </c>
      <c r="C122" s="13" t="inlineStr">
        <is>
          <t>HoverCard</t>
        </is>
      </c>
      <c r="D122" s="13" t="inlineStr">
        <is>
          <t>collision/flip/shift behavior stays in viewport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HoverCard playground exposes side/align/offset positioning controls; mobile/touch behavior is ready for device verification.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30" customHeight="1" s="24">
      <c r="A123" s="12" t="n">
        <v>115</v>
      </c>
      <c r="B123" s="13" t="inlineStr">
        <is>
          <t>Positioning</t>
        </is>
      </c>
      <c r="C123" s="13" t="inlineStr">
        <is>
          <t>HoverCard</t>
        </is>
      </c>
      <c r="D123" s="13" t="inlineStr">
        <is>
          <t>arrow or anchor geometry matches content where supported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HoverCard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</sheetData>
  <autoFilter ref="A8:K123"/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Input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IFERROR(SUM(K9:K79)/COUNT(K9:K79),0)</f>
        <v/>
      </c>
      <c r="C4" s="8" t="inlineStr">
        <is>
          <t>Covered</t>
        </is>
      </c>
      <c r="D4" s="10">
        <f>COUNTIFS(E9:E79,"yes",F9:F79,"yes",H9:H79,"covered")</f>
        <v/>
      </c>
      <c r="E4" s="8" t="inlineStr">
        <is>
          <t>Partial</t>
        </is>
      </c>
      <c r="F4" s="10">
        <f>COUNTIF(H9:H79,"partial")</f>
        <v/>
      </c>
      <c r="G4" s="8" t="inlineStr">
        <is>
          <t>Missing</t>
        </is>
      </c>
      <c r="H4" s="10">
        <f>COUNTIFS(E9:E79,"&lt;&gt;yes") + COUNTIFS(E9:E79,"yes",H9:H79,"missing")</f>
        <v/>
      </c>
      <c r="I4" s="8" t="inlineStr">
        <is>
          <t>Untested</t>
        </is>
      </c>
      <c r="J4" s="10">
        <f>COUNTIFS(E9:E79,"yes",F9:F79,"&lt;&gt;yes") + COUNTIFS(E9:E79,"yes",F9:F79,"yes",H9:H79,"untested")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Input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Input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Input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Input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30" customHeight="1" s="24">
      <c r="A11" s="12" t="n">
        <v>3</v>
      </c>
      <c r="B11" s="13" t="inlineStr">
        <is>
          <t>Playground</t>
        </is>
      </c>
      <c r="C11" s="13" t="inlineStr">
        <is>
          <t>Input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Input playground page uses shared Canvas/Source, Anatomy, Inspector, and Log infrastructure.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Input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Input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Input</t>
        </is>
      </c>
      <c r="D13" s="13" t="inlineStr">
        <is>
          <t>Renders a native `&lt;input&gt;`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Input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Input</t>
        </is>
      </c>
      <c r="D14" s="13" t="inlineStr">
        <is>
          <t>Supports controlled and uncontrolled value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Input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Input</t>
        </is>
      </c>
      <c r="D15" s="13" t="inlineStr">
        <is>
          <t>Integrates with `Field.Root` for IDs, descriptions, errors, and state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Input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Input</t>
        </is>
      </c>
      <c r="D16" s="13" t="inlineStr">
        <is>
          <t>Exposes filled, focused, disabled, readonly, and invalid state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Input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Input</t>
        </is>
      </c>
      <c r="D17" s="13" t="inlineStr">
        <is>
          <t>Includes an optional clear button that clears and refocuses the input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Input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Input</t>
        </is>
      </c>
      <c r="D18" s="13" t="inlineStr">
        <is>
          <t>Preserves native input props and event handlers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Input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Input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4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Input form-field playground page exposes this part/prop in Anatomy, Inspector, Source, or toolbar controls.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4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Input source/anatomy documents whether Root renders DOM; Inspector verifies rendered descendants.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Input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Input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Input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Input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Input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Input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disabled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Input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required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Input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readOnly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Input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invalid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Input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4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id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Input form-field playground page exposes this part/prop in Anatomy, Inspector, Source, or toolbar controls.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Composition</t>
        </is>
      </c>
      <c r="C33" s="13" t="inlineStr">
        <is>
          <t>Root</t>
        </is>
      </c>
      <c r="D33" s="13" t="inlineStr">
        <is>
          <t>asChild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Input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Composition</t>
        </is>
      </c>
      <c r="C34" s="13" t="inlineStr">
        <is>
          <t>Root</t>
        </is>
      </c>
      <c r="D34" s="13" t="inlineStr">
        <is>
          <t>render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Input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[data-slot]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Input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[data-filled]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Input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[data-focused]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Input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State</t>
        </is>
      </c>
      <c r="C38" s="13" t="inlineStr">
        <is>
          <t>Root</t>
        </is>
      </c>
      <c r="D38" s="13" t="inlineStr">
        <is>
          <t>[data-disabled]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Input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Root</t>
        </is>
      </c>
      <c r="D39" s="13" t="inlineStr">
        <is>
          <t>[data-readonly]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Input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Root</t>
        </is>
      </c>
      <c r="D40" s="13" t="inlineStr">
        <is>
          <t>[data-invalid]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Input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Anatomy</t>
        </is>
      </c>
      <c r="C41" s="13" t="inlineStr">
        <is>
          <t>Clear</t>
        </is>
      </c>
      <c r="D41" s="13" t="inlineStr">
        <is>
          <t>renders correct part when expected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Input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45" customHeight="1" s="24">
      <c r="A42" s="12" t="n">
        <v>34</v>
      </c>
      <c r="B42" s="13" t="inlineStr">
        <is>
          <t>Anatomy</t>
        </is>
      </c>
      <c r="C42" s="13" t="inlineStr">
        <is>
          <t>Clear</t>
        </is>
      </c>
      <c r="D42" s="13" t="inlineStr">
        <is>
          <t>appears in documented order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Input form-field playground page exposes this part/prop in Anatomy, Inspector, Source, or toolbar controls.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45" customHeight="1" s="24">
      <c r="A43" s="12" t="n">
        <v>35</v>
      </c>
      <c r="B43" s="13" t="inlineStr">
        <is>
          <t>Identity</t>
        </is>
      </c>
      <c r="C43" s="13" t="inlineStr">
        <is>
          <t>Clear</t>
        </is>
      </c>
      <c r="D43" s="13" t="inlineStr">
        <is>
          <t>default tag is visible in Anatomy/Inspector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Input form-field playground page exposes this part/prop in Anatomy, Inspector, Source, or toolbar controls.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Clear</t>
        </is>
      </c>
      <c r="D44" s="13" t="inlineStr">
        <is>
          <t>data-slot is present and correct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Input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30" customHeight="1" s="24">
      <c r="A45" s="12" t="n">
        <v>37</v>
      </c>
      <c r="B45" s="13" t="inlineStr">
        <is>
          <t>Props</t>
        </is>
      </c>
      <c r="C45" s="13" t="inlineStr">
        <is>
          <t>Clear</t>
        </is>
      </c>
      <c r="D45" s="13" t="inlineStr">
        <is>
          <t>non-Atom native props pass through with data-prop-check marker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Input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Refs</t>
        </is>
      </c>
      <c r="C46" s="13" t="inlineStr">
        <is>
          <t>Clear</t>
        </is>
      </c>
      <c r="D46" s="13" t="inlineStr">
        <is>
          <t>consumer ref receives the rendered element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Input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State</t>
        </is>
      </c>
      <c r="C47" s="13" t="inlineStr">
        <is>
          <t>Clear</t>
        </is>
      </c>
      <c r="D47" s="13" t="inlineStr">
        <is>
          <t>onClear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Input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Composition</t>
        </is>
      </c>
      <c r="C48" s="13" t="inlineStr">
        <is>
          <t>Clear</t>
        </is>
      </c>
      <c r="D48" s="13" t="inlineStr">
        <is>
          <t>asChild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Input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Composition</t>
        </is>
      </c>
      <c r="C49" s="13" t="inlineStr">
        <is>
          <t>Clear</t>
        </is>
      </c>
      <c r="D49" s="13" t="inlineStr">
        <is>
          <t>render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Input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Clear</t>
        </is>
      </c>
      <c r="D50" s="13" t="inlineStr">
        <is>
          <t>[data-slot]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Input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State</t>
        </is>
      </c>
      <c r="C51" s="13" t="inlineStr">
        <is>
          <t>Clear</t>
        </is>
      </c>
      <c r="D51" s="13" t="inlineStr">
        <is>
          <t>[data-disabled]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Input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45" customHeight="1" s="24">
      <c r="A52" s="12" t="n">
        <v>44</v>
      </c>
      <c r="B52" s="13" t="inlineStr">
        <is>
          <t>Public API</t>
        </is>
      </c>
      <c r="C52" s="13" t="inlineStr">
        <is>
          <t>Clear</t>
        </is>
      </c>
      <c r="D52" s="13" t="inlineStr">
        <is>
          <t>[data-hidden]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Input form-field playground page exposes this part/prop in Anatomy, Inspector, Source, or toolbar controls.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ARIA</t>
        </is>
      </c>
      <c r="C53" s="13" t="inlineStr">
        <is>
          <t>Live DOM</t>
        </is>
      </c>
      <c r="D53" s="13" t="inlineStr">
        <is>
          <t>aria-describedby is present at the correct time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Input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30" customHeight="1" s="24">
      <c r="A54" s="12" t="n">
        <v>46</v>
      </c>
      <c r="B54" s="13" t="inlineStr">
        <is>
          <t>ARIA</t>
        </is>
      </c>
      <c r="C54" s="13" t="inlineStr">
        <is>
          <t>Live DOM</t>
        </is>
      </c>
      <c r="D54" s="13" t="inlineStr">
        <is>
          <t>aria-hidden is present at the correct time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Shared Anatomy/Inspector expose live ARIA/data attributes for Input when the part is rendered.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ARIA</t>
        </is>
      </c>
      <c r="C55" s="13" t="inlineStr">
        <is>
          <t>Live DOM</t>
        </is>
      </c>
      <c r="D55" s="13" t="inlineStr">
        <is>
          <t>aria-invalid is present at the correct time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Input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30" customHeight="1" s="24">
      <c r="A56" s="12" t="n">
        <v>48</v>
      </c>
      <c r="B56" s="13" t="inlineStr">
        <is>
          <t>ARIA</t>
        </is>
      </c>
      <c r="C56" s="13" t="inlineStr">
        <is>
          <t>Live DOM</t>
        </is>
      </c>
      <c r="D56" s="13" t="inlineStr">
        <is>
          <t>aria-label is present at the correct time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Shared Anatomy/Inspector expose live ARIA/data attributes for Input when the part is rendered.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ARIA</t>
        </is>
      </c>
      <c r="C57" s="13" t="inlineStr">
        <is>
          <t>Live DOM</t>
        </is>
      </c>
      <c r="D57" s="13" t="inlineStr">
        <is>
          <t>aria-readonly is present at the correct time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Input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ARIA</t>
        </is>
      </c>
      <c r="C58" s="13" t="inlineStr">
        <is>
          <t>Live DOM</t>
        </is>
      </c>
      <c r="D58" s="13" t="inlineStr">
        <is>
          <t>aria-required is present at the correct time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Input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Data</t>
        </is>
      </c>
      <c r="C59" s="13" t="inlineStr">
        <is>
          <t>Live DOM</t>
        </is>
      </c>
      <c r="D59" s="13" t="inlineStr">
        <is>
          <t>data-disabled is present at the correct time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Input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Data</t>
        </is>
      </c>
      <c r="C60" s="13" t="inlineStr">
        <is>
          <t>Live DOM</t>
        </is>
      </c>
      <c r="D60" s="13" t="inlineStr">
        <is>
          <t>data-filled is present at the correct time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Input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Data</t>
        </is>
      </c>
      <c r="C61" s="13" t="inlineStr">
        <is>
          <t>Live DOM</t>
        </is>
      </c>
      <c r="D61" s="13" t="inlineStr">
        <is>
          <t>data-focused is present at the correct time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Input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30" customHeight="1" s="24">
      <c r="A62" s="12" t="n">
        <v>54</v>
      </c>
      <c r="B62" s="13" t="inlineStr">
        <is>
          <t>Data</t>
        </is>
      </c>
      <c r="C62" s="13" t="inlineStr">
        <is>
          <t>Live DOM</t>
        </is>
      </c>
      <c r="D62" s="13" t="inlineStr">
        <is>
          <t>data-hidden is present at the correct time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Shared Anatomy/Inspector expose live ARIA/data attributes for Input when the part is rendered.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Data</t>
        </is>
      </c>
      <c r="C63" s="13" t="inlineStr">
        <is>
          <t>Live DOM</t>
        </is>
      </c>
      <c r="D63" s="13" t="inlineStr">
        <is>
          <t>data-invalid is present at the correct time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Input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Data</t>
        </is>
      </c>
      <c r="C64" s="13" t="inlineStr">
        <is>
          <t>Live DOM</t>
        </is>
      </c>
      <c r="D64" s="13" t="inlineStr">
        <is>
          <t>data-readonly is present at the correct time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Input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Data</t>
        </is>
      </c>
      <c r="C65" s="13" t="inlineStr">
        <is>
          <t>Live DOM</t>
        </is>
      </c>
      <c r="D65" s="13" t="inlineStr">
        <is>
          <t>data-slot is present at the correct time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Input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Composition</t>
        </is>
      </c>
      <c r="C66" s="13" t="inlineStr">
        <is>
          <t>Input</t>
        </is>
      </c>
      <c r="D66" s="13" t="inlineStr">
        <is>
          <t>asChild preserves child content without double nesting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Input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Composition</t>
        </is>
      </c>
      <c r="C67" s="13" t="inlineStr">
        <is>
          <t>Input</t>
        </is>
      </c>
      <c r="D67" s="13" t="inlineStr">
        <is>
          <t>asChild merges Atom props and consumer props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Input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Composition</t>
        </is>
      </c>
      <c r="C68" s="13" t="inlineStr">
        <is>
          <t>Input</t>
        </is>
      </c>
      <c r="D68" s="13" t="inlineStr">
        <is>
          <t>asChild lets preventDefault block Atom behavior where supported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Input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Composition</t>
        </is>
      </c>
      <c r="C69" s="13" t="inlineStr">
        <is>
          <t>Input</t>
        </is>
      </c>
      <c r="D69" s="13" t="inlineStr">
        <is>
          <t>render prop renders custom element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Input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Composition</t>
        </is>
      </c>
      <c r="C70" s="13" t="inlineStr">
        <is>
          <t>Input</t>
        </is>
      </c>
      <c r="D70" s="13" t="inlineStr">
        <is>
          <t>render prop preserves refs and behavior props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Input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State</t>
        </is>
      </c>
      <c r="C71" s="13" t="inlineStr">
        <is>
          <t>Root</t>
        </is>
      </c>
      <c r="D71" s="13" t="inlineStr">
        <is>
          <t>controlled state path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Input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State</t>
        </is>
      </c>
      <c r="C72" s="13" t="inlineStr">
        <is>
          <t>Root</t>
        </is>
      </c>
      <c r="D72" s="13" t="inlineStr">
        <is>
          <t>uncontrolled default state path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Input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State</t>
        </is>
      </c>
      <c r="C73" s="13" t="inlineStr">
        <is>
          <t>Root</t>
        </is>
      </c>
      <c r="D73" s="13" t="inlineStr">
        <is>
          <t>state change callback fires once with correct value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Input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30" customHeight="1" s="24">
      <c r="A74" s="12" t="n">
        <v>66</v>
      </c>
      <c r="B74" s="13" t="inlineStr">
        <is>
          <t>State</t>
        </is>
      </c>
      <c r="C74" s="13" t="inlineStr">
        <is>
          <t>Input</t>
        </is>
      </c>
      <c r="D74" s="13" t="inlineStr">
        <is>
          <t>disabled state blocks or exposes behavior correctly where supported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Input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30" customHeight="1" s="24">
      <c r="A75" s="12" t="n">
        <v>67</v>
      </c>
      <c r="B75" s="13" t="inlineStr">
        <is>
          <t>State</t>
        </is>
      </c>
      <c r="C75" s="13" t="inlineStr">
        <is>
          <t>Input</t>
        </is>
      </c>
      <c r="D75" s="13" t="inlineStr">
        <is>
          <t>readonly/readOnly state blocks or exposes behavior correctly where supported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Input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30" customHeight="1" s="24">
      <c r="A76" s="12" t="n">
        <v>68</v>
      </c>
      <c r="B76" s="13" t="inlineStr">
        <is>
          <t>State</t>
        </is>
      </c>
      <c r="C76" s="13" t="inlineStr">
        <is>
          <t>Input</t>
        </is>
      </c>
      <c r="D76" s="13" t="inlineStr">
        <is>
          <t>required state blocks or exposes behavior correctly where supported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Input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30" customHeight="1" s="24">
      <c r="A77" s="12" t="n">
        <v>69</v>
      </c>
      <c r="B77" s="13" t="inlineStr">
        <is>
          <t>State</t>
        </is>
      </c>
      <c r="C77" s="13" t="inlineStr">
        <is>
          <t>Input</t>
        </is>
      </c>
      <c r="D77" s="13" t="inlineStr">
        <is>
          <t>invalid state blocks or exposes behavior correctly where supported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Input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Forms</t>
        </is>
      </c>
      <c r="C78" s="13" t="inlineStr">
        <is>
          <t>Input</t>
        </is>
      </c>
      <c r="D78" s="13" t="inlineStr">
        <is>
          <t>form value participates correctly where supported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Input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30" customHeight="1" s="24">
      <c r="A79" s="12" t="n">
        <v>71</v>
      </c>
      <c r="B79" s="13" t="inlineStr">
        <is>
          <t>Forms</t>
        </is>
      </c>
      <c r="C79" s="13" t="inlineStr">
        <is>
          <t>Input</t>
        </is>
      </c>
      <c r="D79" s="13" t="inlineStr">
        <is>
          <t>hidden input mirrors value/checked/disabled where supported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Input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</sheetData>
  <autoFilter ref="A8:K79"/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Label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IFERROR(SUM(K9:K35)/COUNT(K9:K35),0)</f>
        <v/>
      </c>
      <c r="C4" s="8" t="inlineStr">
        <is>
          <t>Covered</t>
        </is>
      </c>
      <c r="D4" s="10">
        <f>COUNTIFS(E9:E35,"yes",F9:F35,"yes",H9:H35,"covered")</f>
        <v/>
      </c>
      <c r="E4" s="8" t="inlineStr">
        <is>
          <t>Partial</t>
        </is>
      </c>
      <c r="F4" s="10">
        <f>COUNTIF(H9:H35,"partial")</f>
        <v/>
      </c>
      <c r="G4" s="8" t="inlineStr">
        <is>
          <t>Missing</t>
        </is>
      </c>
      <c r="H4" s="10">
        <f>COUNTIFS(E9:E35,"&lt;&gt;yes") + COUNTIFS(E9:E35,"yes",H9:H35,"missing")</f>
        <v/>
      </c>
      <c r="I4" s="8" t="inlineStr">
        <is>
          <t>Untested</t>
        </is>
      </c>
      <c r="J4" s="10">
        <f>COUNTIFS(E9:E35,"yes",F9:F35,"&lt;&gt;yes") + COUNTIFS(E9:E35,"yes",F9:F35,"yes",H9:H35,"untested")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Label</t>
        </is>
      </c>
      <c r="D9" s="13" t="inlineStr">
        <is>
          <t>scenario is reachable from Fields &gt; Label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Fields menu opens the Label playground page.</t>
        </is>
      </c>
      <c r="J9" s="13" t="inlineStr">
        <is>
          <t>Manual verification complete.</t>
        </is>
      </c>
      <c r="K9" s="14">
        <f>IF(AND(E9="yes",F9="yes",H9="covered"),1,IF(H9="partial",0.5,0))</f>
        <v/>
      </c>
    </row>
    <row r="10" ht="30" customHeight="1" s="24">
      <c r="A10" s="12" t="n">
        <v>2</v>
      </c>
      <c r="B10" s="13" t="inlineStr">
        <is>
          <t>Playground</t>
        </is>
      </c>
      <c r="C10" s="13" t="inlineStr">
        <is>
          <t>Label</t>
        </is>
      </c>
      <c r="D10" s="13" t="inlineStr">
        <is>
          <t>canvas source reflects current toggles without false-prop noise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Source view is generated from the Label scenario state.</t>
        </is>
      </c>
      <c r="J10" s="13" t="inlineStr">
        <is>
          <t>Manual verification complete.</t>
        </is>
      </c>
      <c r="K10" s="14">
        <f>IF(AND(E10="yes",F10="yes",H10="covered"),1,IF(H10="partial",0.5,0))</f>
        <v/>
      </c>
    </row>
    <row r="11" ht="30" customHeight="1" s="24">
      <c r="A11" s="12" t="n">
        <v>3</v>
      </c>
      <c r="B11" s="13" t="inlineStr">
        <is>
          <t>Playground</t>
        </is>
      </c>
      <c r="C11" s="13" t="inlineStr">
        <is>
          <t>Label</t>
        </is>
      </c>
      <c r="D11" s="13" t="inlineStr">
        <is>
          <t>anatomy contains only the real Label Root part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Anatomy shows Root only; helper input remains inspectable in Canvas.</t>
        </is>
      </c>
      <c r="J11" s="13" t="inlineStr">
        <is>
          <t>Manual verification complete.</t>
        </is>
      </c>
      <c r="K11" s="14">
        <f>IF(AND(E11="yes",F11="yes",H11="covered"),1,IF(H11="partial",0.5,0))</f>
        <v/>
      </c>
    </row>
    <row r="12" ht="30" customHeight="1" s="24">
      <c r="A12" s="12" t="n">
        <v>4</v>
      </c>
      <c r="B12" s="13" t="inlineStr">
        <is>
          <t>Playground</t>
        </is>
      </c>
      <c r="C12" s="13" t="inlineStr">
        <is>
          <t>Label</t>
        </is>
      </c>
      <c r="D12" s="13" t="inlineStr">
        <is>
          <t>inspector selected/focused/logs work for the Label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Shared Inspector and log panel are wired to Label canvas elements.</t>
        </is>
      </c>
      <c r="J12" s="13" t="inlineStr">
        <is>
          <t>Manual verification complete.</t>
        </is>
      </c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Anatomy</t>
        </is>
      </c>
      <c r="C13" s="13" t="inlineStr">
        <is>
          <t>Root</t>
        </is>
      </c>
      <c r="D13" s="13" t="inlineStr">
        <is>
          <t>renders when expected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Root anatomy uses the live [data-label-root] element.</t>
        </is>
      </c>
      <c r="J13" s="13" t="inlineStr">
        <is>
          <t>Manual verification complete.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Identity</t>
        </is>
      </c>
      <c r="C14" s="13" t="inlineStr">
        <is>
          <t>Root</t>
        </is>
      </c>
      <c r="D14" s="13" t="inlineStr">
        <is>
          <t>default tag is label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Attributes group exposes the live tag.</t>
        </is>
      </c>
      <c r="J14" s="13" t="inlineStr">
        <is>
          <t>Manual verification complete.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Identity</t>
        </is>
      </c>
      <c r="C15" s="13" t="inlineStr">
        <is>
          <t>Root</t>
        </is>
      </c>
      <c r="D15" s="13" t="inlineStr">
        <is>
          <t>ref target receives the rendered element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Root anatomy includes Ref target.</t>
        </is>
      </c>
      <c r="J15" s="13" t="inlineStr">
        <is>
          <t>Manual verification complete.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Content</t>
        </is>
      </c>
      <c r="C16" s="13" t="inlineStr">
        <is>
          <t>Root</t>
        </is>
      </c>
      <c r="D16" s="13" t="inlineStr">
        <is>
          <t>label text remains Email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Root summary and Inspector text expose the live text.</t>
        </is>
      </c>
      <c r="J16" s="13" t="inlineStr">
        <is>
          <t>Manual verification complete.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Data</t>
        </is>
      </c>
      <c r="C17" s="13" t="inlineStr">
        <is>
          <t>Root</t>
        </is>
      </c>
      <c r="D17" s="13" t="inlineStr">
        <is>
          <t>data-slot is label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Shared Anatomy/Inspector Data group exposes data-slot.</t>
        </is>
      </c>
      <c r="J17" s="13" t="inlineStr">
        <is>
          <t>Manual verification complete.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Data</t>
        </is>
      </c>
      <c r="C18" s="13" t="inlineStr">
        <is>
          <t>Root</t>
        </is>
      </c>
      <c r="D18" s="13" t="inlineStr">
        <is>
          <t>data-prop-check marker passes through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Canvas passes data-prop-check="root" to Label.Root.</t>
        </is>
      </c>
      <c r="J18" s="13" t="inlineStr">
        <is>
          <t>Manual verification complete.</t>
        </is>
      </c>
      <c r="K18" s="14">
        <f>IF(AND(E18="yes",F18="yes",H18="covered"),1,IF(H18="partial",0.5,0))</f>
        <v/>
      </c>
    </row>
    <row r="19" ht="30" customHeight="1" s="24">
      <c r="A19" s="12" t="n">
        <v>11</v>
      </c>
      <c r="B19" s="13" t="inlineStr">
        <is>
          <t>Native prop</t>
        </is>
      </c>
      <c r="C19" s="13" t="inlineStr">
        <is>
          <t>Root</t>
        </is>
      </c>
      <c r="D19" s="13" t="inlineStr">
        <is>
          <t>htmlFor renders native for attribute when enabled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State menu toggles Use htmlFor; Anatomy/Inspector expose for.</t>
        </is>
      </c>
      <c r="J19" s="13" t="inlineStr">
        <is>
          <t>Manual verification complete.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Native prop</t>
        </is>
      </c>
      <c r="C20" s="13" t="inlineStr">
        <is>
          <t>Root</t>
        </is>
      </c>
      <c r="D20" s="13" t="inlineStr">
        <is>
          <t>htmlFor can be removed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Use htmlFor toggle removes the for attribute.</t>
        </is>
      </c>
      <c r="J20" s="13" t="inlineStr">
        <is>
          <t>Manual verification complete.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Behavior</t>
        </is>
      </c>
      <c r="C21" s="13" t="inlineStr">
        <is>
          <t>Root</t>
        </is>
      </c>
      <c r="D21" s="13" t="inlineStr">
        <is>
          <t>for attribute matches the helper input id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Root anatomy includes Matches input.</t>
        </is>
      </c>
      <c r="J21" s="13" t="inlineStr">
        <is>
          <t>Manual verification complete.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Behavior</t>
        </is>
      </c>
      <c r="C22" s="13" t="inlineStr">
        <is>
          <t>Root</t>
        </is>
      </c>
      <c r="D22" s="13" t="inlineStr">
        <is>
          <t>clicking the label focuses the associated input when htmlFor is enabled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Label click and input focus are logged.</t>
        </is>
      </c>
      <c r="J22" s="13" t="inlineStr">
        <is>
          <t>Manual verification complete.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State</t>
        </is>
      </c>
      <c r="C23" s="13" t="inlineStr">
        <is>
          <t>Root</t>
        </is>
      </c>
      <c r="D23" s="13" t="inlineStr">
        <is>
          <t>disabled prop exposes data-disabled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State menu toggles Disabled and live Data exposes data-disabled.</t>
        </is>
      </c>
      <c r="J23" s="13" t="inlineStr">
        <is>
          <t>Manual verification complete.</t>
        </is>
      </c>
      <c r="K23" s="14">
        <f>IF(AND(E23="yes",F23="yes",H23="covered"),1,IF(H23="partial",0.5,0))</f>
        <v/>
      </c>
    </row>
    <row r="24" ht="30" customHeight="1" s="24">
      <c r="A24" s="12" t="n">
        <v>16</v>
      </c>
      <c r="B24" s="13" t="inlineStr">
        <is>
          <t>State</t>
        </is>
      </c>
      <c r="C24" s="13" t="inlineStr">
        <is>
          <t>Root</t>
        </is>
      </c>
      <c r="D24" s="13" t="inlineStr">
        <is>
          <t>disabled does not create native disabled on label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Attributes group should not show disabled on the label.</t>
        </is>
      </c>
      <c r="J24" s="13" t="inlineStr">
        <is>
          <t>Manual verification complete.</t>
        </is>
      </c>
      <c r="K24" s="14">
        <f>IF(AND(E24="yes",F24="yes",H24="covered"),1,IF(H24="partial",0.5,0))</f>
        <v/>
      </c>
    </row>
    <row r="25" ht="30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required prop exposes data-required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State menu toggles Required and live Data exposes data-required.</t>
        </is>
      </c>
      <c r="J25" s="13" t="inlineStr">
        <is>
          <t>Manual verification complete.</t>
        </is>
      </c>
      <c r="K25" s="14">
        <f>IF(AND(E25="yes",F25="yes",H25="covered"),1,IF(H25="partial",0.5,0))</f>
        <v/>
      </c>
    </row>
    <row r="26" ht="30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required does not create native required on label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Attributes group should not show required on the label.</t>
        </is>
      </c>
      <c r="J26" s="13" t="inlineStr">
        <is>
          <t>Manual verification complete.</t>
        </is>
      </c>
      <c r="K26" s="14">
        <f>IF(AND(E26="yes",F26="yes",H26="covered"),1,IF(H26="partial",0.5,0))</f>
        <v/>
      </c>
    </row>
    <row r="27" ht="30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readOnly prop exposes data-readonly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State menu toggles Read only and live Data exposes data-readonly.</t>
        </is>
      </c>
      <c r="J27" s="13" t="inlineStr">
        <is>
          <t>Manual verification complete.</t>
        </is>
      </c>
      <c r="K27" s="14">
        <f>IF(AND(E27="yes",F27="yes",H27="covered"),1,IF(H27="partial",0.5,0))</f>
        <v/>
      </c>
    </row>
    <row r="28" ht="30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readOnly does not create native readonly on label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Attributes group should not show readonly on the label.</t>
        </is>
      </c>
      <c r="J28" s="13" t="inlineStr">
        <is>
          <t>Manual verification complete.</t>
        </is>
      </c>
      <c r="K28" s="14">
        <f>IF(AND(E28="yes",F28="yes",H28="covered"),1,IF(H28="partial",0.5,0))</f>
        <v/>
      </c>
    </row>
    <row r="29" ht="30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invalid prop exposes data-invalid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State menu toggles Invalid and live Data exposes data-invalid.</t>
        </is>
      </c>
      <c r="J29" s="13" t="inlineStr">
        <is>
          <t>Manual verification complete.</t>
        </is>
      </c>
      <c r="K29" s="14">
        <f>IF(AND(E29="yes",F29="yes",H29="covered"),1,IF(H29="partial",0.5,0))</f>
        <v/>
      </c>
    </row>
    <row r="30" ht="30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invalid does not create aria-invalid on label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ARIA group should stay empty unless a real ARIA prop exists.</t>
        </is>
      </c>
      <c r="J30" s="13" t="inlineStr">
        <is>
          <t>Manual verification complete.</t>
        </is>
      </c>
      <c r="K30" s="14">
        <f>IF(AND(E30="yes",F30="yes",H30="covered"),1,IF(H30="partial",0.5,0))</f>
        <v/>
      </c>
    </row>
    <row r="31" ht="30" customHeight="1" s="24">
      <c r="A31" s="12" t="n">
        <v>23</v>
      </c>
      <c r="B31" s="13" t="inlineStr">
        <is>
          <t>Composition</t>
        </is>
      </c>
      <c r="C31" s="13" t="inlineStr">
        <is>
          <t>Root</t>
        </is>
      </c>
      <c r="D31" s="13" t="inlineStr">
        <is>
          <t>default composition renders label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Composition menu Root default renders native label.</t>
        </is>
      </c>
      <c r="J31" s="13" t="inlineStr">
        <is>
          <t>Manual verification complete.</t>
        </is>
      </c>
      <c r="K31" s="14">
        <f>IF(AND(E31="yes",F31="yes",H31="covered"),1,IF(H31="partial",0.5,0))</f>
        <v/>
      </c>
    </row>
    <row r="32" ht="30" customHeight="1" s="24">
      <c r="A32" s="12" t="n">
        <v>24</v>
      </c>
      <c r="B32" s="13" t="inlineStr">
        <is>
          <t>Composition</t>
        </is>
      </c>
      <c r="C32" s="13" t="inlineStr">
        <is>
          <t>Root</t>
        </is>
      </c>
      <c r="D32" s="13" t="inlineStr">
        <is>
          <t>asChild renders the child span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Composition menu Root asChild renders span and keeps text.</t>
        </is>
      </c>
      <c r="J32" s="13" t="inlineStr">
        <is>
          <t>Manual verification complete.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Composition</t>
        </is>
      </c>
      <c r="C33" s="13" t="inlineStr">
        <is>
          <t>Root</t>
        </is>
      </c>
      <c r="D33" s="13" t="inlineStr">
        <is>
          <t>asChild merges state and data props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Live Data group should keep data-slot/data-prop-check/state markers.</t>
        </is>
      </c>
      <c r="J33" s="13" t="inlineStr">
        <is>
          <t>Manual verification complete.</t>
        </is>
      </c>
      <c r="K33" s="14">
        <f>IF(AND(E33="yes",F33="yes",H33="covered"),1,IF(H33="partial",0.5,0))</f>
        <v/>
      </c>
    </row>
    <row r="34" ht="30" customHeight="1" s="24">
      <c r="A34" s="12" t="n">
        <v>26</v>
      </c>
      <c r="B34" s="13" t="inlineStr">
        <is>
          <t>Composition</t>
        </is>
      </c>
      <c r="C34" s="13" t="inlineStr">
        <is>
          <t>Root</t>
        </is>
      </c>
      <c r="D34" s="13" t="inlineStr">
        <is>
          <t>render prop renders a span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</t>
        </is>
      </c>
      <c r="H34" s="22" t="inlineStr">
        <is>
          <t>covered</t>
        </is>
      </c>
      <c r="I34" s="13" t="inlineStr">
        <is>
          <t>Composition menu Root render uses render prop with a span.</t>
        </is>
      </c>
      <c r="J34" s="13" t="inlineStr">
        <is>
          <t>Manual verification complete.</t>
        </is>
      </c>
      <c r="K34" s="14">
        <f>IF(AND(E34="yes",F34="yes",H34="covered"),1,IF(H34="partial",0.5,0))</f>
        <v/>
      </c>
    </row>
    <row r="35" ht="30" customHeight="1" s="24">
      <c r="A35" s="12" t="n">
        <v>27</v>
      </c>
      <c r="B35" s="13" t="inlineStr">
        <is>
          <t>Composition</t>
        </is>
      </c>
      <c r="C35" s="13" t="inlineStr">
        <is>
          <t>Root</t>
        </is>
      </c>
      <c r="D35" s="13" t="inlineStr">
        <is>
          <t>render prop preserves ref and behavior props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passed</t>
        </is>
      </c>
      <c r="H35" s="22" t="inlineStr">
        <is>
          <t>covered</t>
        </is>
      </c>
      <c r="I35" s="13" t="inlineStr">
        <is>
          <t>Root ref and Data groups update under render mode.</t>
        </is>
      </c>
      <c r="J35" s="13" t="inlineStr">
        <is>
          <t>Manual verification complete.</t>
        </is>
      </c>
      <c r="K35" s="14">
        <f>IF(AND(E35="yes",F35="yes",H35="covered"),1,IF(H35="partial",0.5,0))</f>
        <v/>
      </c>
    </row>
  </sheetData>
  <autoFilter ref="A8:K35"/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4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List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IFERROR(SUM(K9:K48)/COUNT(K9:K48),0)</f>
        <v/>
      </c>
      <c r="C4" s="8" t="inlineStr">
        <is>
          <t>Covered</t>
        </is>
      </c>
      <c r="D4" s="10">
        <f>COUNTIFS(E9:E48,"yes",F9:F48,"yes",H9:H48,"covered")</f>
        <v/>
      </c>
      <c r="E4" s="8" t="inlineStr">
        <is>
          <t>Partial</t>
        </is>
      </c>
      <c r="F4" s="10">
        <f>COUNTIF(H9:H48,"partial")</f>
        <v/>
      </c>
      <c r="G4" s="8" t="inlineStr">
        <is>
          <t>Missing</t>
        </is>
      </c>
      <c r="H4" s="10">
        <f>COUNTIFS(E9:E48,"&lt;&gt;yes") + COUNTIFS(E9:E48,"yes",H9:H48,"missing")</f>
        <v/>
      </c>
      <c r="I4" s="8" t="inlineStr">
        <is>
          <t>Untested</t>
        </is>
      </c>
      <c r="J4" s="10">
        <f>COUNTIFS(E9:E48,"yes",F9:F48,"&lt;&gt;yes") + COUNTIFS(E9:E48,"yes",F9:F48,"yes",H9:H48,"untested")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List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List playground manual pass.</t>
        </is>
      </c>
      <c r="J9" s="13" t="inlineStr">
        <is>
          <t>Done.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List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List playground manual pass.</t>
        </is>
      </c>
      <c r="J10" s="13" t="inlineStr">
        <is>
          <t>Done.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List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List playground manual pass.</t>
        </is>
      </c>
      <c r="J11" s="13" t="inlineStr">
        <is>
          <t>Done.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List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List playground manual pass.</t>
        </is>
      </c>
      <c r="J12" s="13" t="inlineStr">
        <is>
          <t>Done.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List</t>
        </is>
      </c>
      <c r="D13" s="13" t="inlineStr">
        <is>
          <t>Renders native `ul`, `ol`, and `li` semantics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List playground manual pass.</t>
        </is>
      </c>
      <c r="J13" s="13" t="inlineStr">
        <is>
          <t>Done.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List</t>
        </is>
      </c>
      <c r="D14" s="13" t="inlineStr">
        <is>
          <t>Supports ordered and unordered list roots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List playground manual pass.</t>
        </is>
      </c>
      <c r="J14" s="13" t="inlineStr">
        <is>
          <t>Done.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List</t>
        </is>
      </c>
      <c r="D15" s="13" t="inlineStr">
        <is>
          <t>Supports disabled item metadata through `aria-disabled` and `data-disabled`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List playground manual pass.</t>
        </is>
      </c>
      <c r="J15" s="13" t="inlineStr">
        <is>
          <t>Done.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List</t>
        </is>
      </c>
      <c r="D16" s="13" t="inlineStr">
        <is>
          <t>Supports `asChild` and `render` composition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List playground manual pass.</t>
        </is>
      </c>
      <c r="J16" s="13" t="inlineStr">
        <is>
          <t>Done.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List</t>
        </is>
      </c>
      <c r="D17" s="13" t="inlineStr">
        <is>
          <t>Stays server-safe with no client boundary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List playground manual pass.</t>
        </is>
      </c>
      <c r="J17" s="13" t="inlineStr">
        <is>
          <t>Done.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List playground manual pass.</t>
        </is>
      </c>
      <c r="J18" s="13" t="inlineStr">
        <is>
          <t>Done.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List playground manual pass.</t>
        </is>
      </c>
      <c r="J19" s="13" t="inlineStr">
        <is>
          <t>Done.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List playground manual pass.</t>
        </is>
      </c>
      <c r="J20" s="13" t="inlineStr">
        <is>
          <t>Done.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List playground manual pass.</t>
        </is>
      </c>
      <c r="J21" s="13" t="inlineStr">
        <is>
          <t>Done.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List playground manual pass.</t>
        </is>
      </c>
      <c r="J22" s="13" t="inlineStr">
        <is>
          <t>Done.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List playground manual pass.</t>
        </is>
      </c>
      <c r="J23" s="13" t="inlineStr">
        <is>
          <t>Done.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Public API</t>
        </is>
      </c>
      <c r="C24" s="13" t="inlineStr">
        <is>
          <t>Root</t>
        </is>
      </c>
      <c r="D24" s="13" t="inlineStr">
        <is>
          <t>ordered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List playground manual pass.</t>
        </is>
      </c>
      <c r="J24" s="13" t="inlineStr">
        <is>
          <t>Done.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asChild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List playground manual pass.</t>
        </is>
      </c>
      <c r="J25" s="13" t="inlineStr">
        <is>
          <t>Done.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Composition</t>
        </is>
      </c>
      <c r="C26" s="13" t="inlineStr">
        <is>
          <t>Root</t>
        </is>
      </c>
      <c r="D26" s="13" t="inlineStr">
        <is>
          <t>render prop behavior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List playground manual pass.</t>
        </is>
      </c>
      <c r="J26" s="13" t="inlineStr">
        <is>
          <t>Done.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[data-slot] prop behavior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List playground manual pass.</t>
        </is>
      </c>
      <c r="J27" s="13" t="inlineStr">
        <is>
          <t>Done.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[data-ordered] prop behavior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List playground manual pass.</t>
        </is>
      </c>
      <c r="J28" s="13" t="inlineStr">
        <is>
          <t>Done.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Anatomy</t>
        </is>
      </c>
      <c r="C29" s="13" t="inlineStr">
        <is>
          <t>Item</t>
        </is>
      </c>
      <c r="D29" s="13" t="inlineStr">
        <is>
          <t>renders correct part when expected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List playground manual pass.</t>
        </is>
      </c>
      <c r="J29" s="13" t="inlineStr">
        <is>
          <t>Done.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Anatomy</t>
        </is>
      </c>
      <c r="C30" s="13" t="inlineStr">
        <is>
          <t>Item</t>
        </is>
      </c>
      <c r="D30" s="13" t="inlineStr">
        <is>
          <t>appears in documented order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List playground manual pass.</t>
        </is>
      </c>
      <c r="J30" s="13" t="inlineStr">
        <is>
          <t>Done.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Identity</t>
        </is>
      </c>
      <c r="C31" s="13" t="inlineStr">
        <is>
          <t>Item</t>
        </is>
      </c>
      <c r="D31" s="13" t="inlineStr">
        <is>
          <t>default tag is visible in Anatomy/Inspector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List playground manual pass.</t>
        </is>
      </c>
      <c r="J31" s="13" t="inlineStr">
        <is>
          <t>Done.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Identity</t>
        </is>
      </c>
      <c r="C32" s="13" t="inlineStr">
        <is>
          <t>Item</t>
        </is>
      </c>
      <c r="D32" s="13" t="inlineStr">
        <is>
          <t>data-slot is present and correct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List playground manual pass.</t>
        </is>
      </c>
      <c r="J32" s="13" t="inlineStr">
        <is>
          <t>Done.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Props</t>
        </is>
      </c>
      <c r="C33" s="13" t="inlineStr">
        <is>
          <t>Item</t>
        </is>
      </c>
      <c r="D33" s="13" t="inlineStr">
        <is>
          <t>non-Atom native props pass through with data-prop-check marker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List playground manual pass.</t>
        </is>
      </c>
      <c r="J33" s="13" t="inlineStr">
        <is>
          <t>Done.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Refs</t>
        </is>
      </c>
      <c r="C34" s="13" t="inlineStr">
        <is>
          <t>Item</t>
        </is>
      </c>
      <c r="D34" s="13" t="inlineStr">
        <is>
          <t>consumer ref receives the rendered element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</t>
        </is>
      </c>
      <c r="H34" s="22" t="inlineStr">
        <is>
          <t>covered</t>
        </is>
      </c>
      <c r="I34" s="13" t="inlineStr">
        <is>
          <t>List playground manual pass.</t>
        </is>
      </c>
      <c r="J34" s="13" t="inlineStr">
        <is>
          <t>Done.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Item</t>
        </is>
      </c>
      <c r="D35" s="13" t="inlineStr">
        <is>
          <t>disabled prop behavior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passed</t>
        </is>
      </c>
      <c r="H35" s="22" t="inlineStr">
        <is>
          <t>covered</t>
        </is>
      </c>
      <c r="I35" s="13" t="inlineStr">
        <is>
          <t>List playground manual pass.</t>
        </is>
      </c>
      <c r="J35" s="13" t="inlineStr">
        <is>
          <t>Done.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Item</t>
        </is>
      </c>
      <c r="D36" s="13" t="inlineStr">
        <is>
          <t>asChild prop behavior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passed</t>
        </is>
      </c>
      <c r="H36" s="22" t="inlineStr">
        <is>
          <t>covered</t>
        </is>
      </c>
      <c r="I36" s="13" t="inlineStr">
        <is>
          <t>List playground manual pass.</t>
        </is>
      </c>
      <c r="J36" s="13" t="inlineStr">
        <is>
          <t>Done.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Item</t>
        </is>
      </c>
      <c r="D37" s="13" t="inlineStr">
        <is>
          <t>render prop behavior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passed</t>
        </is>
      </c>
      <c r="H37" s="22" t="inlineStr">
        <is>
          <t>covered</t>
        </is>
      </c>
      <c r="I37" s="13" t="inlineStr">
        <is>
          <t>List playground manual pass.</t>
        </is>
      </c>
      <c r="J37" s="13" t="inlineStr">
        <is>
          <t>Done.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Item</t>
        </is>
      </c>
      <c r="D38" s="13" t="inlineStr">
        <is>
          <t>[data-slot] prop behavior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passed</t>
        </is>
      </c>
      <c r="H38" s="22" t="inlineStr">
        <is>
          <t>covered</t>
        </is>
      </c>
      <c r="I38" s="13" t="inlineStr">
        <is>
          <t>List playground manual pass.</t>
        </is>
      </c>
      <c r="J38" s="13" t="inlineStr">
        <is>
          <t>Done.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Item</t>
        </is>
      </c>
      <c r="D39" s="13" t="inlineStr">
        <is>
          <t>[data-disabled] prop behavior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passed</t>
        </is>
      </c>
      <c r="H39" s="22" t="inlineStr">
        <is>
          <t>covered</t>
        </is>
      </c>
      <c r="I39" s="13" t="inlineStr">
        <is>
          <t>List playground manual pass.</t>
        </is>
      </c>
      <c r="J39" s="13" t="inlineStr">
        <is>
          <t>Done.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ARIA</t>
        </is>
      </c>
      <c r="C40" s="13" t="inlineStr">
        <is>
          <t>Live DOM</t>
        </is>
      </c>
      <c r="D40" s="13" t="inlineStr">
        <is>
          <t>aria-disabled is present at the correct time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passed</t>
        </is>
      </c>
      <c r="H40" s="22" t="inlineStr">
        <is>
          <t>covered</t>
        </is>
      </c>
      <c r="I40" s="13" t="inlineStr">
        <is>
          <t>List playground manual pass.</t>
        </is>
      </c>
      <c r="J40" s="13" t="inlineStr">
        <is>
          <t>Done.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Data</t>
        </is>
      </c>
      <c r="C41" s="13" t="inlineStr">
        <is>
          <t>Live DOM</t>
        </is>
      </c>
      <c r="D41" s="13" t="inlineStr">
        <is>
          <t>data-disabled is present at the correct time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passed</t>
        </is>
      </c>
      <c r="H41" s="22" t="inlineStr">
        <is>
          <t>covered</t>
        </is>
      </c>
      <c r="I41" s="13" t="inlineStr">
        <is>
          <t>List playground manual pass.</t>
        </is>
      </c>
      <c r="J41" s="13" t="inlineStr">
        <is>
          <t>Done.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Data</t>
        </is>
      </c>
      <c r="C42" s="13" t="inlineStr">
        <is>
          <t>Live DOM</t>
        </is>
      </c>
      <c r="D42" s="13" t="inlineStr">
        <is>
          <t>data-ordered is present at the correct time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passed</t>
        </is>
      </c>
      <c r="H42" s="22" t="inlineStr">
        <is>
          <t>covered</t>
        </is>
      </c>
      <c r="I42" s="13" t="inlineStr">
        <is>
          <t>List playground manual pass.</t>
        </is>
      </c>
      <c r="J42" s="13" t="inlineStr">
        <is>
          <t>Done.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Data</t>
        </is>
      </c>
      <c r="C43" s="13" t="inlineStr">
        <is>
          <t>Live DOM</t>
        </is>
      </c>
      <c r="D43" s="13" t="inlineStr">
        <is>
          <t>data-slot is present at the correct time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passed</t>
        </is>
      </c>
      <c r="H43" s="22" t="inlineStr">
        <is>
          <t>covered</t>
        </is>
      </c>
      <c r="I43" s="13" t="inlineStr">
        <is>
          <t>List playground manual pass.</t>
        </is>
      </c>
      <c r="J43" s="13" t="inlineStr">
        <is>
          <t>Done.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Composition</t>
        </is>
      </c>
      <c r="C44" s="13" t="inlineStr">
        <is>
          <t>List</t>
        </is>
      </c>
      <c r="D44" s="13" t="inlineStr">
        <is>
          <t>asChild preserves child content without double nesting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passed</t>
        </is>
      </c>
      <c r="H44" s="22" t="inlineStr">
        <is>
          <t>covered</t>
        </is>
      </c>
      <c r="I44" s="13" t="inlineStr">
        <is>
          <t>List playground manual pass.</t>
        </is>
      </c>
      <c r="J44" s="13" t="inlineStr">
        <is>
          <t>Done.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Composition</t>
        </is>
      </c>
      <c r="C45" s="13" t="inlineStr">
        <is>
          <t>List</t>
        </is>
      </c>
      <c r="D45" s="13" t="inlineStr">
        <is>
          <t>asChild merges Atom props and consumer props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passed</t>
        </is>
      </c>
      <c r="H45" s="22" t="inlineStr">
        <is>
          <t>covered</t>
        </is>
      </c>
      <c r="I45" s="13" t="inlineStr">
        <is>
          <t>List playground manual pass.</t>
        </is>
      </c>
      <c r="J45" s="13" t="inlineStr">
        <is>
          <t>Done.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Composition</t>
        </is>
      </c>
      <c r="C46" s="13" t="inlineStr">
        <is>
          <t>List</t>
        </is>
      </c>
      <c r="D46" s="13" t="inlineStr">
        <is>
          <t>render prop renders custom element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passed</t>
        </is>
      </c>
      <c r="H46" s="22" t="inlineStr">
        <is>
          <t>covered</t>
        </is>
      </c>
      <c r="I46" s="13" t="inlineStr">
        <is>
          <t>List playground manual pass.</t>
        </is>
      </c>
      <c r="J46" s="13" t="inlineStr">
        <is>
          <t>Done.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Composition</t>
        </is>
      </c>
      <c r="C47" s="13" t="inlineStr">
        <is>
          <t>List</t>
        </is>
      </c>
      <c r="D47" s="13" t="inlineStr">
        <is>
          <t>render prop preserves refs and behavior props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passed</t>
        </is>
      </c>
      <c r="H47" s="22" t="inlineStr">
        <is>
          <t>covered</t>
        </is>
      </c>
      <c r="I47" s="13" t="inlineStr">
        <is>
          <t>List playground manual pass.</t>
        </is>
      </c>
      <c r="J47" s="13" t="inlineStr">
        <is>
          <t>Done.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Keyboard</t>
        </is>
      </c>
      <c r="C48" s="13" t="inlineStr">
        <is>
          <t>List</t>
        </is>
      </c>
      <c r="D48" s="13" t="inlineStr">
        <is>
          <t>disabled items are skipped or exposed according to pattern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passed</t>
        </is>
      </c>
      <c r="H48" s="22" t="inlineStr">
        <is>
          <t>covered</t>
        </is>
      </c>
      <c r="I48" s="13" t="inlineStr">
        <is>
          <t>List playground manual pass.</t>
        </is>
      </c>
      <c r="J48" s="13" t="inlineStr">
        <is>
          <t>Done.</t>
        </is>
      </c>
      <c r="K48" s="14">
        <f>IF(AND(E48="yes",F48="yes",H48="covered"),1,IF(H48="partial",0.5,0))</f>
        <v/>
      </c>
    </row>
  </sheetData>
  <autoFilter ref="A8:K48"/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Listbox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IFERROR(SUM(K9:K126)/COUNT(K9:K126),0)</f>
        <v/>
      </c>
      <c r="C4" s="8" t="inlineStr">
        <is>
          <t>Covered</t>
        </is>
      </c>
      <c r="D4" s="10">
        <f>COUNTIFS(E9:E126,"yes",F9:F126,"yes",H9:H126,"covered")</f>
        <v/>
      </c>
      <c r="E4" s="8" t="inlineStr">
        <is>
          <t>Partial</t>
        </is>
      </c>
      <c r="F4" s="10">
        <f>COUNTIF(H9:H126,"partial")</f>
        <v/>
      </c>
      <c r="G4" s="8" t="inlineStr">
        <is>
          <t>Missing</t>
        </is>
      </c>
      <c r="H4" s="10">
        <f>COUNTIFS(E9:E126,"&lt;&gt;yes") + COUNTIFS(E9:E126,"yes",H9:H126,"missing")</f>
        <v/>
      </c>
      <c r="I4" s="8" t="inlineStr">
        <is>
          <t>Untested</t>
        </is>
      </c>
      <c r="J4" s="10">
        <f>COUNTIFS(E9:E126,"yes",F9:F126,"&lt;&gt;yes") + COUNTIFS(E9:E126,"yes",F9:F126,"yes",H9:H126,"untested")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Listbox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Listbox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Listbox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Listbox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Listbox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Listbox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Listbox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Listbox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Listbox</t>
        </is>
      </c>
      <c r="D13" s="13" t="inlineStr">
        <is>
          <t>Implements WAI-ARIA listbox and option roles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Listbox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Listbox</t>
        </is>
      </c>
      <c r="D14" s="13" t="inlineStr">
        <is>
          <t>Supports single and multiple selection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Listbox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Listbox</t>
        </is>
      </c>
      <c r="D15" s="13" t="inlineStr">
        <is>
          <t>Supports controlled and uncontrolled values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Listbox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Listbox</t>
        </is>
      </c>
      <c r="D16" s="13" t="inlineStr">
        <is>
          <t>Supports option groups and labels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Listbox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Listbox</t>
        </is>
      </c>
      <c r="D17" s="13" t="inlineStr">
        <is>
          <t>Supports roving active option with `aria-activedescendant`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Listbox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Listbox</t>
        </is>
      </c>
      <c r="D18" s="13" t="inlineStr">
        <is>
          <t>Supports typeahead, Home/End, arrow navigation, disabled options, form submission, and Field context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Listbox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Listbox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Listbox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Listbox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Listbox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Listbox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Listbox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Listbox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Listbox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Listbox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multiple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Listbox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disabled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Listbox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readOnly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Listbox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required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Listbox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invalid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Listbox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orientation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Listbox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loop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Listbox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name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Listbox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form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Listbox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Root</t>
        </is>
      </c>
      <c r="D37" s="13" t="inlineStr">
        <is>
          <t>asChild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Listbox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Composition</t>
        </is>
      </c>
      <c r="C38" s="13" t="inlineStr">
        <is>
          <t>Root</t>
        </is>
      </c>
      <c r="D38" s="13" t="inlineStr">
        <is>
          <t>render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Listbox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Root</t>
        </is>
      </c>
      <c r="D39" s="13" t="inlineStr">
        <is>
          <t>[data-slot]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Listbox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Root</t>
        </is>
      </c>
      <c r="D40" s="13" t="inlineStr">
        <is>
          <t>[data-orientation]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Listbox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Root</t>
        </is>
      </c>
      <c r="D41" s="13" t="inlineStr">
        <is>
          <t>[data-multiple]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Listbox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Root</t>
        </is>
      </c>
      <c r="D42" s="13" t="inlineStr">
        <is>
          <t>[data-filled]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Listbox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State</t>
        </is>
      </c>
      <c r="C43" s="13" t="inlineStr">
        <is>
          <t>Root</t>
        </is>
      </c>
      <c r="D43" s="13" t="inlineStr">
        <is>
          <t>[data-disabled]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Listbox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State</t>
        </is>
      </c>
      <c r="C44" s="13" t="inlineStr">
        <is>
          <t>Root</t>
        </is>
      </c>
      <c r="D44" s="13" t="inlineStr">
        <is>
          <t>[data-readonly]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Listbox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State</t>
        </is>
      </c>
      <c r="C45" s="13" t="inlineStr">
        <is>
          <t>Root</t>
        </is>
      </c>
      <c r="D45" s="13" t="inlineStr">
        <is>
          <t>[data-invalid]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Listbox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Group</t>
        </is>
      </c>
      <c r="D46" s="13" t="inlineStr">
        <is>
          <t>renders correct part when expected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Listbox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Anatomy</t>
        </is>
      </c>
      <c r="C47" s="13" t="inlineStr">
        <is>
          <t>Group</t>
        </is>
      </c>
      <c r="D47" s="13" t="inlineStr">
        <is>
          <t>appears in documented order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Listbox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Group</t>
        </is>
      </c>
      <c r="D48" s="13" t="inlineStr">
        <is>
          <t>default tag is visible in Anatomy/Inspector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Listbox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Identity</t>
        </is>
      </c>
      <c r="C49" s="13" t="inlineStr">
        <is>
          <t>Group</t>
        </is>
      </c>
      <c r="D49" s="13" t="inlineStr">
        <is>
          <t>data-slot is present and correct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Listbox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30" customHeight="1" s="24">
      <c r="A50" s="12" t="n">
        <v>42</v>
      </c>
      <c r="B50" s="13" t="inlineStr">
        <is>
          <t>Props</t>
        </is>
      </c>
      <c r="C50" s="13" t="inlineStr">
        <is>
          <t>Group</t>
        </is>
      </c>
      <c r="D50" s="13" t="inlineStr">
        <is>
          <t>non-Atom native props pass through with data-prop-check marker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Listbox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Refs</t>
        </is>
      </c>
      <c r="C51" s="13" t="inlineStr">
        <is>
          <t>Group</t>
        </is>
      </c>
      <c r="D51" s="13" t="inlineStr">
        <is>
          <t>consumer ref receives the rendered element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Listbox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Group</t>
        </is>
      </c>
      <c r="D52" s="13" t="inlineStr">
        <is>
          <t>Group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Listbox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Group</t>
        </is>
      </c>
      <c r="D53" s="13" t="inlineStr">
        <is>
          <t>Label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Listbox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Anatomy</t>
        </is>
      </c>
      <c r="C54" s="13" t="inlineStr">
        <is>
          <t>Label</t>
        </is>
      </c>
      <c r="D54" s="13" t="inlineStr">
        <is>
          <t>renders correct part when expected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Listbox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Anatomy</t>
        </is>
      </c>
      <c r="C55" s="13" t="inlineStr">
        <is>
          <t>Label</t>
        </is>
      </c>
      <c r="D55" s="13" t="inlineStr">
        <is>
          <t>appears in documented order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Listbox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Identity</t>
        </is>
      </c>
      <c r="C56" s="13" t="inlineStr">
        <is>
          <t>Label</t>
        </is>
      </c>
      <c r="D56" s="13" t="inlineStr">
        <is>
          <t>default tag is visible in Anatomy/Inspector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Listbox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Identity</t>
        </is>
      </c>
      <c r="C57" s="13" t="inlineStr">
        <is>
          <t>Label</t>
        </is>
      </c>
      <c r="D57" s="13" t="inlineStr">
        <is>
          <t>data-slot is present and correct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Listbox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30" customHeight="1" s="24">
      <c r="A58" s="12" t="n">
        <v>50</v>
      </c>
      <c r="B58" s="13" t="inlineStr">
        <is>
          <t>Props</t>
        </is>
      </c>
      <c r="C58" s="13" t="inlineStr">
        <is>
          <t>Label</t>
        </is>
      </c>
      <c r="D58" s="13" t="inlineStr">
        <is>
          <t>non-Atom native props pass through with data-prop-check marker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Listbox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Refs</t>
        </is>
      </c>
      <c r="C59" s="13" t="inlineStr">
        <is>
          <t>Label</t>
        </is>
      </c>
      <c r="D59" s="13" t="inlineStr">
        <is>
          <t>consumer ref receives the rendered element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Listbox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Anatomy</t>
        </is>
      </c>
      <c r="C60" s="13" t="inlineStr">
        <is>
          <t>Option</t>
        </is>
      </c>
      <c r="D60" s="13" t="inlineStr">
        <is>
          <t>renders correct part when expected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Listbox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Anatomy</t>
        </is>
      </c>
      <c r="C61" s="13" t="inlineStr">
        <is>
          <t>Option</t>
        </is>
      </c>
      <c r="D61" s="13" t="inlineStr">
        <is>
          <t>appears in documented order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Listbox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Identity</t>
        </is>
      </c>
      <c r="C62" s="13" t="inlineStr">
        <is>
          <t>Option</t>
        </is>
      </c>
      <c r="D62" s="13" t="inlineStr">
        <is>
          <t>default tag is visible in Anatomy/Inspector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Listbox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Identity</t>
        </is>
      </c>
      <c r="C63" s="13" t="inlineStr">
        <is>
          <t>Option</t>
        </is>
      </c>
      <c r="D63" s="13" t="inlineStr">
        <is>
          <t>data-slot is present and correct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Listbox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30" customHeight="1" s="24">
      <c r="A64" s="12" t="n">
        <v>56</v>
      </c>
      <c r="B64" s="13" t="inlineStr">
        <is>
          <t>Props</t>
        </is>
      </c>
      <c r="C64" s="13" t="inlineStr">
        <is>
          <t>Option</t>
        </is>
      </c>
      <c r="D64" s="13" t="inlineStr">
        <is>
          <t>non-Atom native props pass through with data-prop-check marker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Listbox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Refs</t>
        </is>
      </c>
      <c r="C65" s="13" t="inlineStr">
        <is>
          <t>Option</t>
        </is>
      </c>
      <c r="D65" s="13" t="inlineStr">
        <is>
          <t>consumer ref receives the rendered element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Listbox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State</t>
        </is>
      </c>
      <c r="C66" s="13" t="inlineStr">
        <is>
          <t>Option</t>
        </is>
      </c>
      <c r="D66" s="13" t="inlineStr">
        <is>
          <t>value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Listbox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Public API</t>
        </is>
      </c>
      <c r="C67" s="13" t="inlineStr">
        <is>
          <t>Option</t>
        </is>
      </c>
      <c r="D67" s="13" t="inlineStr">
        <is>
          <t>label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Listbox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State</t>
        </is>
      </c>
      <c r="C68" s="13" t="inlineStr">
        <is>
          <t>Option</t>
        </is>
      </c>
      <c r="D68" s="13" t="inlineStr">
        <is>
          <t>disabled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Listbox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Composition</t>
        </is>
      </c>
      <c r="C69" s="13" t="inlineStr">
        <is>
          <t>Option</t>
        </is>
      </c>
      <c r="D69" s="13" t="inlineStr">
        <is>
          <t>asChild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Listbox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Composition</t>
        </is>
      </c>
      <c r="C70" s="13" t="inlineStr">
        <is>
          <t>Option</t>
        </is>
      </c>
      <c r="D70" s="13" t="inlineStr">
        <is>
          <t>render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Listbox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Public API</t>
        </is>
      </c>
      <c r="C71" s="13" t="inlineStr">
        <is>
          <t>Option</t>
        </is>
      </c>
      <c r="D71" s="13" t="inlineStr">
        <is>
          <t>[data-slot]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Listbox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State</t>
        </is>
      </c>
      <c r="C72" s="13" t="inlineStr">
        <is>
          <t>Option</t>
        </is>
      </c>
      <c r="D72" s="13" t="inlineStr">
        <is>
          <t>[data-value]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Listbox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Option</t>
        </is>
      </c>
      <c r="D73" s="13" t="inlineStr">
        <is>
          <t>[data-state]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Listbox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State</t>
        </is>
      </c>
      <c r="C74" s="13" t="inlineStr">
        <is>
          <t>Option</t>
        </is>
      </c>
      <c r="D74" s="13" t="inlineStr">
        <is>
          <t>[data-selected]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Listbox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Public API</t>
        </is>
      </c>
      <c r="C75" s="13" t="inlineStr">
        <is>
          <t>Option</t>
        </is>
      </c>
      <c r="D75" s="13" t="inlineStr">
        <is>
          <t>[data-highlighted]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Listbox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State</t>
        </is>
      </c>
      <c r="C76" s="13" t="inlineStr">
        <is>
          <t>Option</t>
        </is>
      </c>
      <c r="D76" s="13" t="inlineStr">
        <is>
          <t>[data-disabled]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Listbox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Anatomy</t>
        </is>
      </c>
      <c r="C77" s="13" t="inlineStr">
        <is>
          <t>OptionText</t>
        </is>
      </c>
      <c r="D77" s="13" t="inlineStr">
        <is>
          <t>renders correct part when expected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Listbox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Anatomy</t>
        </is>
      </c>
      <c r="C78" s="13" t="inlineStr">
        <is>
          <t>OptionText</t>
        </is>
      </c>
      <c r="D78" s="13" t="inlineStr">
        <is>
          <t>appears in documented order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Listbox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Identity</t>
        </is>
      </c>
      <c r="C79" s="13" t="inlineStr">
        <is>
          <t>OptionText</t>
        </is>
      </c>
      <c r="D79" s="13" t="inlineStr">
        <is>
          <t>default tag is visible in Anatomy/Inspector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Listbox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OptionText</t>
        </is>
      </c>
      <c r="D80" s="13" t="inlineStr">
        <is>
          <t>data-slot is present and correct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Listbox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Props</t>
        </is>
      </c>
      <c r="C81" s="13" t="inlineStr">
        <is>
          <t>OptionText</t>
        </is>
      </c>
      <c r="D81" s="13" t="inlineStr">
        <is>
          <t>non-Atom native props pass through with data-prop-check marker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Listbox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Refs</t>
        </is>
      </c>
      <c r="C82" s="13" t="inlineStr">
        <is>
          <t>OptionText</t>
        </is>
      </c>
      <c r="D82" s="13" t="inlineStr">
        <is>
          <t>consumer ref receives the rendered element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Listbox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Public API</t>
        </is>
      </c>
      <c r="C83" s="13" t="inlineStr">
        <is>
          <t>OptionText</t>
        </is>
      </c>
      <c r="D83" s="13" t="inlineStr">
        <is>
          <t>[data-slot] prop behavior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Listbox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ARIA</t>
        </is>
      </c>
      <c r="C84" s="13" t="inlineStr">
        <is>
          <t>Live DOM</t>
        </is>
      </c>
      <c r="D84" s="13" t="inlineStr">
        <is>
          <t>aria-activedescendant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Listbox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ARIA</t>
        </is>
      </c>
      <c r="C85" s="13" t="inlineStr">
        <is>
          <t>Live DOM</t>
        </is>
      </c>
      <c r="D85" s="13" t="inlineStr">
        <is>
          <t>aria-describedby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Listbox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ARIA</t>
        </is>
      </c>
      <c r="C86" s="13" t="inlineStr">
        <is>
          <t>Live DOM</t>
        </is>
      </c>
      <c r="D86" s="13" t="inlineStr">
        <is>
          <t>aria-disabled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Listbox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ARIA</t>
        </is>
      </c>
      <c r="C87" s="13" t="inlineStr">
        <is>
          <t>Live DOM</t>
        </is>
      </c>
      <c r="D87" s="13" t="inlineStr">
        <is>
          <t>aria-hidden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Listbox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ARIA</t>
        </is>
      </c>
      <c r="C88" s="13" t="inlineStr">
        <is>
          <t>Live DOM</t>
        </is>
      </c>
      <c r="D88" s="13" t="inlineStr">
        <is>
          <t>aria-invalid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Listbox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ARIA</t>
        </is>
      </c>
      <c r="C89" s="13" t="inlineStr">
        <is>
          <t>Live DOM</t>
        </is>
      </c>
      <c r="D89" s="13" t="inlineStr">
        <is>
          <t>aria-labelledby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Listbox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ARIA</t>
        </is>
      </c>
      <c r="C90" s="13" t="inlineStr">
        <is>
          <t>Live DOM</t>
        </is>
      </c>
      <c r="D90" s="13" t="inlineStr">
        <is>
          <t>aria-multiselectable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Listbox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ARIA</t>
        </is>
      </c>
      <c r="C91" s="13" t="inlineStr">
        <is>
          <t>Live DOM</t>
        </is>
      </c>
      <c r="D91" s="13" t="inlineStr">
        <is>
          <t>aria-orientation is present at the correct time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Listbox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ARIA</t>
        </is>
      </c>
      <c r="C92" s="13" t="inlineStr">
        <is>
          <t>Live DOM</t>
        </is>
      </c>
      <c r="D92" s="13" t="inlineStr">
        <is>
          <t>aria-readonly is present at the correct time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Listbox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ARIA</t>
        </is>
      </c>
      <c r="C93" s="13" t="inlineStr">
        <is>
          <t>Live DOM</t>
        </is>
      </c>
      <c r="D93" s="13" t="inlineStr">
        <is>
          <t>aria-required is present at the correct time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Listbox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ARIA</t>
        </is>
      </c>
      <c r="C94" s="13" t="inlineStr">
        <is>
          <t>Live DOM</t>
        </is>
      </c>
      <c r="D94" s="13" t="inlineStr">
        <is>
          <t>aria-selected is present at the correct time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Listbox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Data</t>
        </is>
      </c>
      <c r="C95" s="13" t="inlineStr">
        <is>
          <t>Live DOM</t>
        </is>
      </c>
      <c r="D95" s="13" t="inlineStr">
        <is>
          <t>data-disabled is present at the correct time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Listbox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Data</t>
        </is>
      </c>
      <c r="C96" s="13" t="inlineStr">
        <is>
          <t>Live DOM</t>
        </is>
      </c>
      <c r="D96" s="13" t="inlineStr">
        <is>
          <t>data-filled is present at the correct time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Listbox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Data</t>
        </is>
      </c>
      <c r="C97" s="13" t="inlineStr">
        <is>
          <t>Live DOM</t>
        </is>
      </c>
      <c r="D97" s="13" t="inlineStr">
        <is>
          <t>data-highlighted is present at the correct time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Listbox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Data</t>
        </is>
      </c>
      <c r="C98" s="13" t="inlineStr">
        <is>
          <t>Live DOM</t>
        </is>
      </c>
      <c r="D98" s="13" t="inlineStr">
        <is>
          <t>data-invalid is present at the correct time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Listbox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Data</t>
        </is>
      </c>
      <c r="C99" s="13" t="inlineStr">
        <is>
          <t>Live DOM</t>
        </is>
      </c>
      <c r="D99" s="13" t="inlineStr">
        <is>
          <t>data-multiple is present at the correct time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Listbox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Data</t>
        </is>
      </c>
      <c r="C100" s="13" t="inlineStr">
        <is>
          <t>Live DOM</t>
        </is>
      </c>
      <c r="D100" s="13" t="inlineStr">
        <is>
          <t>data-readonly is present at the correct time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Listbox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Data</t>
        </is>
      </c>
      <c r="C101" s="13" t="inlineStr">
        <is>
          <t>Live DOM</t>
        </is>
      </c>
      <c r="D101" s="13" t="inlineStr">
        <is>
          <t>data-selected is present at the correct time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Listbox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Data</t>
        </is>
      </c>
      <c r="C102" s="13" t="inlineStr">
        <is>
          <t>Live DOM</t>
        </is>
      </c>
      <c r="D102" s="13" t="inlineStr">
        <is>
          <t>data-slot is present at the correct time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Listbox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Data</t>
        </is>
      </c>
      <c r="C103" s="13" t="inlineStr">
        <is>
          <t>Live DOM</t>
        </is>
      </c>
      <c r="D103" s="13" t="inlineStr">
        <is>
          <t>data-state is present at the correct time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Listbox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Data</t>
        </is>
      </c>
      <c r="C104" s="13" t="inlineStr">
        <is>
          <t>Live DOM</t>
        </is>
      </c>
      <c r="D104" s="13" t="inlineStr">
        <is>
          <t>data-value is present at the correct time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Listbox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Composition</t>
        </is>
      </c>
      <c r="C105" s="13" t="inlineStr">
        <is>
          <t>Listbox</t>
        </is>
      </c>
      <c r="D105" s="13" t="inlineStr">
        <is>
          <t>asChild preserves child content without double nesting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Listbox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Composition</t>
        </is>
      </c>
      <c r="C106" s="13" t="inlineStr">
        <is>
          <t>Listbox</t>
        </is>
      </c>
      <c r="D106" s="13" t="inlineStr">
        <is>
          <t>asChild merges Atom props and consumer props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Listbox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30" customHeight="1" s="24">
      <c r="A107" s="12" t="n">
        <v>99</v>
      </c>
      <c r="B107" s="13" t="inlineStr">
        <is>
          <t>Composition</t>
        </is>
      </c>
      <c r="C107" s="13" t="inlineStr">
        <is>
          <t>Listbox</t>
        </is>
      </c>
      <c r="D107" s="13" t="inlineStr">
        <is>
          <t>asChild lets preventDefault block Atom behavior where supported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Listbox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Composition</t>
        </is>
      </c>
      <c r="C108" s="13" t="inlineStr">
        <is>
          <t>Listbox</t>
        </is>
      </c>
      <c r="D108" s="13" t="inlineStr">
        <is>
          <t>render prop renders custom element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Listbox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Composition</t>
        </is>
      </c>
      <c r="C109" s="13" t="inlineStr">
        <is>
          <t>Listbox</t>
        </is>
      </c>
      <c r="D109" s="13" t="inlineStr">
        <is>
          <t>render prop preserves refs and behavior props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Listbox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State</t>
        </is>
      </c>
      <c r="C110" s="13" t="inlineStr">
        <is>
          <t>Root</t>
        </is>
      </c>
      <c r="D110" s="13" t="inlineStr">
        <is>
          <t>controlled state path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Listbox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State</t>
        </is>
      </c>
      <c r="C111" s="13" t="inlineStr">
        <is>
          <t>Root</t>
        </is>
      </c>
      <c r="D111" s="13" t="inlineStr">
        <is>
          <t>uncontrolled default state path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Listbox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State</t>
        </is>
      </c>
      <c r="C112" s="13" t="inlineStr">
        <is>
          <t>Root</t>
        </is>
      </c>
      <c r="D112" s="13" t="inlineStr">
        <is>
          <t>state change callback fires once with correct value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Listbox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30" customHeight="1" s="24">
      <c r="A113" s="12" t="n">
        <v>105</v>
      </c>
      <c r="B113" s="13" t="inlineStr">
        <is>
          <t>State</t>
        </is>
      </c>
      <c r="C113" s="13" t="inlineStr">
        <is>
          <t>Listbox</t>
        </is>
      </c>
      <c r="D113" s="13" t="inlineStr">
        <is>
          <t>disabled state blocks or exposes behavior correctly where supported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Listbox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30" customHeight="1" s="24">
      <c r="A114" s="12" t="n">
        <v>106</v>
      </c>
      <c r="B114" s="13" t="inlineStr">
        <is>
          <t>State</t>
        </is>
      </c>
      <c r="C114" s="13" t="inlineStr">
        <is>
          <t>Listbox</t>
        </is>
      </c>
      <c r="D114" s="13" t="inlineStr">
        <is>
          <t>readonly/readOnly state blocks or exposes behavior correctly where supported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Listbox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30" customHeight="1" s="24">
      <c r="A115" s="12" t="n">
        <v>107</v>
      </c>
      <c r="B115" s="13" t="inlineStr">
        <is>
          <t>State</t>
        </is>
      </c>
      <c r="C115" s="13" t="inlineStr">
        <is>
          <t>Listbox</t>
        </is>
      </c>
      <c r="D115" s="13" t="inlineStr">
        <is>
          <t>required state blocks or exposes behavior correctly where supported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Listbox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30" customHeight="1" s="24">
      <c r="A116" s="12" t="n">
        <v>108</v>
      </c>
      <c r="B116" s="13" t="inlineStr">
        <is>
          <t>State</t>
        </is>
      </c>
      <c r="C116" s="13" t="inlineStr">
        <is>
          <t>Listbox</t>
        </is>
      </c>
      <c r="D116" s="13" t="inlineStr">
        <is>
          <t>invalid state blocks or exposes behavior correctly where supported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Listbox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Forms</t>
        </is>
      </c>
      <c r="C117" s="13" t="inlineStr">
        <is>
          <t>Listbox</t>
        </is>
      </c>
      <c r="D117" s="13" t="inlineStr">
        <is>
          <t>form value participates correctly where supported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Listbox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30" customHeight="1" s="24">
      <c r="A118" s="12" t="n">
        <v>110</v>
      </c>
      <c r="B118" s="13" t="inlineStr">
        <is>
          <t>Forms</t>
        </is>
      </c>
      <c r="C118" s="13" t="inlineStr">
        <is>
          <t>Listbox</t>
        </is>
      </c>
      <c r="D118" s="13" t="inlineStr">
        <is>
          <t>hidden input mirrors value/checked/disabled where supported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Listbox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Keyboard</t>
        </is>
      </c>
      <c r="C119" s="13" t="inlineStr">
        <is>
          <t>Listbox</t>
        </is>
      </c>
      <c r="D119" s="13" t="inlineStr">
        <is>
          <t>Arrow key navigation follows documented orientation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Listbox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Keyboard</t>
        </is>
      </c>
      <c r="C120" s="13" t="inlineStr">
        <is>
          <t>Listbox</t>
        </is>
      </c>
      <c r="D120" s="13" t="inlineStr">
        <is>
          <t>Home and End navigation where supported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Listbox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Keyboard</t>
        </is>
      </c>
      <c r="C121" s="13" t="inlineStr">
        <is>
          <t>Listbox</t>
        </is>
      </c>
      <c r="D121" s="13" t="inlineStr">
        <is>
          <t>disabled items are skipped or exposed according to pattern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Listbox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Keyboard</t>
        </is>
      </c>
      <c r="C122" s="13" t="inlineStr">
        <is>
          <t>Listbox</t>
        </is>
      </c>
      <c r="D122" s="13" t="inlineStr">
        <is>
          <t>typeahead/search behavior where supported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Listbox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Focus</t>
        </is>
      </c>
      <c r="C123" s="13" t="inlineStr">
        <is>
          <t>Listbox</t>
        </is>
      </c>
      <c r="D123" s="13" t="inlineStr">
        <is>
          <t>roving focus or active descendant state is visible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Listbox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30" customHeight="1" s="24">
      <c r="A124" s="12" t="n">
        <v>116</v>
      </c>
      <c r="B124" s="13" t="inlineStr">
        <is>
          <t>Direction</t>
        </is>
      </c>
      <c r="C124" s="13" t="inlineStr">
        <is>
          <t>Root</t>
        </is>
      </c>
      <c r="D124" s="13" t="inlineStr">
        <is>
          <t>reads Direction.Provider context for horizontal keyboard navigation</t>
        </is>
      </c>
      <c r="E124" s="21" t="inlineStr">
        <is>
          <t>no</t>
        </is>
      </c>
      <c r="F124" s="19" t="inlineStr">
        <is>
          <t>no</t>
        </is>
      </c>
      <c r="G124" s="12" t="inlineStr">
        <is>
          <t>missing</t>
        </is>
      </c>
      <c r="H124" s="21" t="inlineStr">
        <is>
          <t>missing</t>
        </is>
      </c>
      <c r="I124" s="13" t="n"/>
      <c r="J124" s="13" t="inlineStr">
        <is>
          <t>Add Direction.Provider fallback for horizontal listbox navigation.</t>
        </is>
      </c>
      <c r="K124" s="14">
        <f>IF(AND(E124="yes",F124="yes",H124="covered"),1,IF(H124="partial",0.5,0))</f>
        <v/>
      </c>
    </row>
    <row r="125" ht="30" customHeight="1" s="24">
      <c r="A125" s="12" t="n">
        <v>117</v>
      </c>
      <c r="B125" s="13" t="inlineStr">
        <is>
          <t>Direction</t>
        </is>
      </c>
      <c r="C125" s="13" t="inlineStr">
        <is>
          <t>Root</t>
        </is>
      </c>
      <c r="D125" s="13" t="inlineStr">
        <is>
          <t>RTL mirrors horizontal ArrowLeft and ArrowRight navigation</t>
        </is>
      </c>
      <c r="E125" s="21" t="inlineStr">
        <is>
          <t>no</t>
        </is>
      </c>
      <c r="F125" s="19" t="inlineStr">
        <is>
          <t>no</t>
        </is>
      </c>
      <c r="G125" s="12" t="inlineStr">
        <is>
          <t>missing</t>
        </is>
      </c>
      <c r="H125" s="21" t="inlineStr">
        <is>
          <t>missing</t>
        </is>
      </c>
      <c r="I125" s="13" t="n"/>
      <c r="J125" s="13" t="inlineStr">
        <is>
          <t>Implement and test horizontal RTL arrow mapping.</t>
        </is>
      </c>
      <c r="K125" s="14">
        <f>IF(AND(E125="yes",F125="yes",H125="covered"),1,IF(H125="partial",0.5,0))</f>
        <v/>
      </c>
    </row>
    <row r="126" ht="30" customHeight="1" s="24">
      <c r="A126" s="12" t="n">
        <v>118</v>
      </c>
      <c r="B126" s="13" t="inlineStr">
        <is>
          <t>Playground</t>
        </is>
      </c>
      <c r="C126" s="13" t="inlineStr">
        <is>
          <t>Direction controls</t>
        </is>
      </c>
      <c r="D126" s="13" t="inlineStr">
        <is>
          <t>scenario exposes provider direction controls</t>
        </is>
      </c>
      <c r="E126" s="21" t="inlineStr">
        <is>
          <t>no</t>
        </is>
      </c>
      <c r="F126" s="19" t="inlineStr">
        <is>
          <t>no</t>
        </is>
      </c>
      <c r="G126" s="12" t="inlineStr">
        <is>
          <t>missing</t>
        </is>
      </c>
      <c r="H126" s="21" t="inlineStr">
        <is>
          <t>missing</t>
        </is>
      </c>
      <c r="I126" s="13" t="n"/>
      <c r="J126" s="13" t="inlineStr">
        <is>
          <t>Add provider direction controls to the playground scenario.</t>
        </is>
      </c>
      <c r="K126" s="14">
        <f>IF(AND(E126="yes",F126="yes",H126="covered"),1,IF(H126="partial",0.5,0))</f>
        <v/>
      </c>
    </row>
  </sheetData>
  <autoFilter ref="A8:K126"/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7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Menu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IFERROR(SUM(K9:K179)/COUNT(K9:K179),0)</f>
        <v/>
      </c>
      <c r="C4" s="8" t="inlineStr">
        <is>
          <t>Covered</t>
        </is>
      </c>
      <c r="D4" s="10">
        <f>COUNTIFS(E9:E179,"yes",F9:F179,"yes",H9:H179,"covered")</f>
        <v/>
      </c>
      <c r="E4" s="8" t="inlineStr">
        <is>
          <t>Partial</t>
        </is>
      </c>
      <c r="F4" s="10">
        <f>COUNTIF(H9:H179,"partial")</f>
        <v/>
      </c>
      <c r="G4" s="8" t="inlineStr">
        <is>
          <t>Missing</t>
        </is>
      </c>
      <c r="H4" s="10">
        <f>COUNTIFS(E9:E179,"&lt;&gt;yes") + COUNTIFS(E9:E179,"yes",H9:H179,"missing")</f>
        <v/>
      </c>
      <c r="I4" s="8" t="inlineStr">
        <is>
          <t>Untested</t>
        </is>
      </c>
      <c r="J4" s="10">
        <f>COUNTIFS(E9:E179,"yes",F9:F179,"&lt;&gt;yes") + COUNTIFS(E9:E179,"yes",F9:F179,"yes",H9:H179,"untested")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30" customHeight="1" s="24">
      <c r="A9" s="12" t="n">
        <v>1</v>
      </c>
      <c r="B9" s="13" t="inlineStr">
        <is>
          <t>Public API</t>
        </is>
      </c>
      <c r="C9" s="13" t="inlineStr">
        <is>
          <t>Root</t>
        </is>
      </c>
      <c r="D9" s="13" t="inlineStr">
        <is>
          <t>open prop controls menu visibility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</t>
        </is>
      </c>
      <c r="H9" s="22" t="inlineStr">
        <is>
          <t>covered</t>
        </is>
      </c>
      <c r="I9" s="13" t="inlineStr">
        <is>
          <t>Menu playground scenario; manually verified in current batches.</t>
        </is>
      </c>
      <c r="J9" s="13" t="inlineStr">
        <is>
          <t>Complete.</t>
        </is>
      </c>
      <c r="K9" s="14">
        <f>IF(AND(E9="yes",F9="yes",H9="covered"),1,IF(H9="partial",0.5,0))</f>
        <v/>
      </c>
    </row>
    <row r="10" ht="30" customHeight="1" s="24">
      <c r="A10" s="12" t="n">
        <v>2</v>
      </c>
      <c r="B10" s="13" t="inlineStr">
        <is>
          <t>Public API</t>
        </is>
      </c>
      <c r="C10" s="13" t="inlineStr">
        <is>
          <t>Root</t>
        </is>
      </c>
      <c r="D10" s="13" t="inlineStr">
        <is>
          <t>defaultOpen initializes uncontrolled open state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Menu playground State -&gt; Default open verifies uncontrolled defaultOpen initialization.</t>
        </is>
      </c>
      <c r="J10" s="13" t="n"/>
      <c r="K10" s="14">
        <f>IF(AND(E10="yes",F10="yes",H10="covered"),1,IF(H10="partial",0.5,0))</f>
        <v/>
      </c>
    </row>
    <row r="11" ht="30" customHeight="1" s="24">
      <c r="A11" s="12" t="n">
        <v>3</v>
      </c>
      <c r="B11" s="13" t="inlineStr">
        <is>
          <t>Public API</t>
        </is>
      </c>
      <c r="C11" s="13" t="inlineStr">
        <is>
          <t>Root</t>
        </is>
      </c>
      <c r="D11" s="13" t="inlineStr">
        <is>
          <t>onOpenChange fires on open and close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</t>
        </is>
      </c>
      <c r="H11" s="22" t="inlineStr">
        <is>
          <t>covered</t>
        </is>
      </c>
      <c r="I11" s="13" t="inlineStr">
        <is>
          <t>Menu playground scenario; manually verified in current batches.</t>
        </is>
      </c>
      <c r="J11" s="13" t="inlineStr">
        <is>
          <t>Complete.</t>
        </is>
      </c>
      <c r="K11" s="14">
        <f>IF(AND(E11="yes",F11="yes",H11="covered"),1,IF(H11="partial",0.5,0))</f>
        <v/>
      </c>
    </row>
    <row r="12" ht="30" customHeight="1" s="24">
      <c r="A12" s="12" t="n">
        <v>4</v>
      </c>
      <c r="B12" s="13" t="inlineStr">
        <is>
          <t>Public API</t>
        </is>
      </c>
      <c r="C12" s="13" t="inlineStr">
        <is>
          <t>Root</t>
        </is>
      </c>
      <c r="D12" s="13" t="inlineStr">
        <is>
          <t>modal true locks scroll while open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Menu playground Modal on verifies open modal menu locks page/body scroll.</t>
        </is>
      </c>
      <c r="J12" s="13" t="n"/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Public API</t>
        </is>
      </c>
      <c r="C13" s="13" t="inlineStr">
        <is>
          <t>Root</t>
        </is>
      </c>
      <c r="D13" s="13" t="inlineStr">
        <is>
          <t>modal false skips scroll lock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Menu playground Modal off verifies non-modal menu does not lock page/body scroll.</t>
        </is>
      </c>
      <c r="J13" s="13" t="n"/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Public API</t>
        </is>
      </c>
      <c r="C14" s="13" t="inlineStr">
        <is>
          <t>Root</t>
        </is>
      </c>
      <c r="D14" s="13" t="inlineStr">
        <is>
          <t>closeOnSelect true closes action items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</t>
        </is>
      </c>
      <c r="H14" s="22" t="inlineStr">
        <is>
          <t>covered</t>
        </is>
      </c>
      <c r="I14" s="13" t="inlineStr">
        <is>
          <t>Menu playground scenario; manually verified in current batches.</t>
        </is>
      </c>
      <c r="J14" s="13" t="inlineStr">
        <is>
          <t>Complete.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Public API</t>
        </is>
      </c>
      <c r="C15" s="13" t="inlineStr">
        <is>
          <t>Root</t>
        </is>
      </c>
      <c r="D15" s="13" t="inlineStr">
        <is>
          <t>closeOnSelect false keeps selection menu open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</t>
        </is>
      </c>
      <c r="H15" s="22" t="inlineStr">
        <is>
          <t>covered</t>
        </is>
      </c>
      <c r="I15" s="13" t="inlineStr">
        <is>
          <t>Menu playground scenario; manually verified in current batches.</t>
        </is>
      </c>
      <c r="J15" s="13" t="inlineStr">
        <is>
          <t>Complete.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Public API</t>
        </is>
      </c>
      <c r="C16" s="13" t="inlineStr">
        <is>
          <t>Root</t>
        </is>
      </c>
      <c r="D16" s="13" t="inlineStr">
        <is>
          <t>loop true wraps keyboard highlight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</t>
        </is>
      </c>
      <c r="H16" s="22" t="inlineStr">
        <is>
          <t>covered</t>
        </is>
      </c>
      <c r="I16" s="13" t="inlineStr">
        <is>
          <t>Menu playground scenario; manually verified in current batches.</t>
        </is>
      </c>
      <c r="J16" s="13" t="inlineStr">
        <is>
          <t>Complete.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Public API</t>
        </is>
      </c>
      <c r="C17" s="13" t="inlineStr">
        <is>
          <t>Root</t>
        </is>
      </c>
      <c r="D17" s="13" t="inlineStr">
        <is>
          <t>loop false stops at first and last item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</t>
        </is>
      </c>
      <c r="H17" s="22" t="inlineStr">
        <is>
          <t>covered</t>
        </is>
      </c>
      <c r="I17" s="13" t="inlineStr">
        <is>
          <t>Menu playground scenario; manually verified in current batches.</t>
        </is>
      </c>
      <c r="J17" s="13" t="inlineStr">
        <is>
          <t>Complete.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Public API</t>
        </is>
      </c>
      <c r="C18" s="13" t="inlineStr">
        <is>
          <t>Root</t>
        </is>
      </c>
      <c r="D18" s="13" t="inlineStr">
        <is>
          <t>closeOnEscape true closes menu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</t>
        </is>
      </c>
      <c r="H18" s="22" t="inlineStr">
        <is>
          <t>covered</t>
        </is>
      </c>
      <c r="I18" s="13" t="inlineStr">
        <is>
          <t>Menu playground scenario; manually verified in current batches.</t>
        </is>
      </c>
      <c r="J18" s="13" t="inlineStr">
        <is>
          <t>Complete.</t>
        </is>
      </c>
      <c r="K18" s="14">
        <f>IF(AND(E18="yes",F18="yes",H18="covered"),1,IF(H18="partial",0.5,0))</f>
        <v/>
      </c>
    </row>
    <row r="19" ht="30" customHeight="1" s="24">
      <c r="A19" s="12" t="n">
        <v>11</v>
      </c>
      <c r="B19" s="13" t="inlineStr">
        <is>
          <t>Public API</t>
        </is>
      </c>
      <c r="C19" s="13" t="inlineStr">
        <is>
          <t>Root</t>
        </is>
      </c>
      <c r="D19" s="13" t="inlineStr">
        <is>
          <t>closeOnEscape false leaves menu open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</t>
        </is>
      </c>
      <c r="H19" s="22" t="inlineStr">
        <is>
          <t>covered</t>
        </is>
      </c>
      <c r="I19" s="13" t="inlineStr">
        <is>
          <t>Menu playground scenario; manually verified in current batches.</t>
        </is>
      </c>
      <c r="J19" s="13" t="inlineStr">
        <is>
          <t>Complete.</t>
        </is>
      </c>
      <c r="K19" s="14">
        <f>IF(AND(E19="yes",F19="yes",H19="covered"),1,IF(H19="partial",0.5,0))</f>
        <v/>
      </c>
    </row>
    <row r="20" ht="30" customHeight="1" s="24">
      <c r="A20" s="12" t="n">
        <v>12</v>
      </c>
      <c r="B20" s="13" t="inlineStr">
        <is>
          <t>Public API</t>
        </is>
      </c>
      <c r="C20" s="13" t="inlineStr">
        <is>
          <t>Root</t>
        </is>
      </c>
      <c r="D20" s="13" t="inlineStr">
        <is>
          <t>nested submenu disables parent Escape close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</t>
        </is>
      </c>
      <c r="H20" s="22" t="inlineStr">
        <is>
          <t>covered</t>
        </is>
      </c>
      <c r="I20" s="13" t="inlineStr">
        <is>
          <t>Menu playground scenario; manually verified in current batches.</t>
        </is>
      </c>
      <c r="J20" s="13" t="inlineStr">
        <is>
          <t>Complete.</t>
        </is>
      </c>
      <c r="K20" s="14">
        <f>IF(AND(E20="yes",F20="yes",H20="covered"),1,IF(H20="partial",0.5,0))</f>
        <v/>
      </c>
    </row>
    <row r="21" ht="30" customHeight="1" s="24">
      <c r="A21" s="12" t="n">
        <v>13</v>
      </c>
      <c r="B21" s="13" t="inlineStr">
        <is>
          <t>Public API</t>
        </is>
      </c>
      <c r="C21" s="13" t="inlineStr">
        <is>
          <t>Content</t>
        </is>
      </c>
      <c r="D21" s="13" t="inlineStr">
        <is>
          <t>renders only while open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</t>
        </is>
      </c>
      <c r="H21" s="22" t="inlineStr">
        <is>
          <t>covered</t>
        </is>
      </c>
      <c r="I21" s="13" t="inlineStr">
        <is>
          <t>Menu playground scenario; manually verified in current batches.</t>
        </is>
      </c>
      <c r="J21" s="13" t="inlineStr">
        <is>
          <t>Complete.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Public API</t>
        </is>
      </c>
      <c r="C22" s="13" t="inlineStr">
        <is>
          <t>Content</t>
        </is>
      </c>
      <c r="D22" s="13" t="inlineStr">
        <is>
          <t>role is menu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</t>
        </is>
      </c>
      <c r="H22" s="22" t="inlineStr">
        <is>
          <t>covered</t>
        </is>
      </c>
      <c r="I22" s="13" t="inlineStr">
        <is>
          <t>Menu playground scenario; manually verified in current batches.</t>
        </is>
      </c>
      <c r="J22" s="13" t="inlineStr">
        <is>
          <t>Complete.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Public API</t>
        </is>
      </c>
      <c r="C23" s="13" t="inlineStr">
        <is>
          <t>Content</t>
        </is>
      </c>
      <c r="D23" s="13" t="inlineStr">
        <is>
          <t>aria-orientation is vertical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</t>
        </is>
      </c>
      <c r="H23" s="22" t="inlineStr">
        <is>
          <t>covered</t>
        </is>
      </c>
      <c r="I23" s="13" t="inlineStr">
        <is>
          <t>Menu playground scenario; manually verified in current batches.</t>
        </is>
      </c>
      <c r="J23" s="13" t="inlineStr">
        <is>
          <t>Complete.</t>
        </is>
      </c>
      <c r="K23" s="14">
        <f>IF(AND(E23="yes",F23="yes",H23="covered"),1,IF(H23="partial",0.5,0))</f>
        <v/>
      </c>
    </row>
    <row r="24" ht="30" customHeight="1" s="24">
      <c r="A24" s="12" t="n">
        <v>16</v>
      </c>
      <c r="B24" s="13" t="inlineStr">
        <is>
          <t>Public API</t>
        </is>
      </c>
      <c r="C24" s="13" t="inlineStr">
        <is>
          <t>Content</t>
        </is>
      </c>
      <c r="D24" s="13" t="inlineStr">
        <is>
          <t>aria-label prop names menu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</t>
        </is>
      </c>
      <c r="H24" s="22" t="inlineStr">
        <is>
          <t>covered</t>
        </is>
      </c>
      <c r="I24" s="13" t="inlineStr">
        <is>
          <t>Menu playground scenario; manually verified in current batches.</t>
        </is>
      </c>
      <c r="J24" s="13" t="inlineStr">
        <is>
          <t>Complete.</t>
        </is>
      </c>
      <c r="K24" s="14">
        <f>IF(AND(E24="yes",F24="yes",H24="covered"),1,IF(H24="partial",0.5,0))</f>
        <v/>
      </c>
    </row>
    <row r="25" ht="45" customHeight="1" s="24">
      <c r="A25" s="12" t="n">
        <v>17</v>
      </c>
      <c r="B25" s="13" t="inlineStr">
        <is>
          <t>Public API</t>
        </is>
      </c>
      <c r="C25" s="13" t="inlineStr">
        <is>
          <t>Content</t>
        </is>
      </c>
      <c r="D25" s="13" t="inlineStr">
        <is>
          <t>aria-labelledby references trigger when ariaLabel is absent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Menu playground Content ariaLabel toggle and Anatomy Content rows verify aria-labelledby from trigger, then aria-label replaces it.</t>
        </is>
      </c>
      <c r="J25" s="13" t="n"/>
      <c r="K25" s="14">
        <f>IF(AND(E25="yes",F25="yes",H25="covered"),1,IF(H25="partial",0.5,0))</f>
        <v/>
      </c>
    </row>
    <row r="26" ht="30" customHeight="1" s="24">
      <c r="A26" s="12" t="n">
        <v>18</v>
      </c>
      <c r="B26" s="13" t="inlineStr">
        <is>
          <t>Public API</t>
        </is>
      </c>
      <c r="C26" s="13" t="inlineStr">
        <is>
          <t>Content</t>
        </is>
      </c>
      <c r="D26" s="13" t="inlineStr">
        <is>
          <t>tabindex attr is -1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</t>
        </is>
      </c>
      <c r="H26" s="22" t="inlineStr">
        <is>
          <t>covered</t>
        </is>
      </c>
      <c r="I26" s="13" t="inlineStr">
        <is>
          <t>Menu playground scenario; manually verified in current batches.</t>
        </is>
      </c>
      <c r="J26" s="13" t="inlineStr">
        <is>
          <t>Complete.</t>
        </is>
      </c>
      <c r="K26" s="14">
        <f>IF(AND(E26="yes",F26="yes",H26="covered"),1,IF(H26="partial",0.5,0))</f>
        <v/>
      </c>
    </row>
    <row r="27" ht="30" customHeight="1" s="24">
      <c r="A27" s="12" t="n">
        <v>19</v>
      </c>
      <c r="B27" s="13" t="inlineStr">
        <is>
          <t>Public API</t>
        </is>
      </c>
      <c r="C27" s="13" t="inlineStr">
        <is>
          <t>Content</t>
        </is>
      </c>
      <c r="D27" s="13" t="inlineStr">
        <is>
          <t>data-slot is menu-content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</t>
        </is>
      </c>
      <c r="H27" s="22" t="inlineStr">
        <is>
          <t>covered</t>
        </is>
      </c>
      <c r="I27" s="13" t="inlineStr">
        <is>
          <t>Menu playground scenario; manually verified in current batches.</t>
        </is>
      </c>
      <c r="J27" s="13" t="inlineStr">
        <is>
          <t>Complete.</t>
        </is>
      </c>
      <c r="K27" s="14">
        <f>IF(AND(E27="yes",F27="yes",H27="covered"),1,IF(H27="partial",0.5,0))</f>
        <v/>
      </c>
    </row>
    <row r="28" ht="30" customHeight="1" s="24">
      <c r="A28" s="12" t="n">
        <v>20</v>
      </c>
      <c r="B28" s="13" t="inlineStr">
        <is>
          <t>Public API</t>
        </is>
      </c>
      <c r="C28" s="13" t="inlineStr">
        <is>
          <t>Content</t>
        </is>
      </c>
      <c r="D28" s="13" t="inlineStr">
        <is>
          <t>data-state is open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</t>
        </is>
      </c>
      <c r="H28" s="22" t="inlineStr">
        <is>
          <t>covered</t>
        </is>
      </c>
      <c r="I28" s="13" t="inlineStr">
        <is>
          <t>Menu playground scenario; manually verified in current batches.</t>
        </is>
      </c>
      <c r="J28" s="13" t="inlineStr">
        <is>
          <t>Complete.</t>
        </is>
      </c>
      <c r="K28" s="14">
        <f>IF(AND(E28="yes",F28="yes",H28="covered"),1,IF(H28="partial",0.5,0))</f>
        <v/>
      </c>
    </row>
    <row r="29" ht="30" customHeight="1" s="24">
      <c r="A29" s="12" t="n">
        <v>21</v>
      </c>
      <c r="B29" s="13" t="inlineStr">
        <is>
          <t>Public API</t>
        </is>
      </c>
      <c r="C29" s="13" t="inlineStr">
        <is>
          <t>Content</t>
        </is>
      </c>
      <c r="D29" s="13" t="inlineStr">
        <is>
          <t>data-side reflects final placement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</t>
        </is>
      </c>
      <c r="H29" s="22" t="inlineStr">
        <is>
          <t>covered</t>
        </is>
      </c>
      <c r="I29" s="13" t="inlineStr">
        <is>
          <t>Menu playground scenario; manually verified in current batches.</t>
        </is>
      </c>
      <c r="J29" s="13" t="inlineStr">
        <is>
          <t>Complete.</t>
        </is>
      </c>
      <c r="K29" s="14">
        <f>IF(AND(E29="yes",F29="yes",H29="covered"),1,IF(H29="partial",0.5,0))</f>
        <v/>
      </c>
    </row>
    <row r="30" ht="30" customHeight="1" s="24">
      <c r="A30" s="12" t="n">
        <v>22</v>
      </c>
      <c r="B30" s="13" t="inlineStr">
        <is>
          <t>Public API</t>
        </is>
      </c>
      <c r="C30" s="13" t="inlineStr">
        <is>
          <t>Content</t>
        </is>
      </c>
      <c r="D30" s="13" t="inlineStr">
        <is>
          <t>data-align reflects final placement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</t>
        </is>
      </c>
      <c r="H30" s="22" t="inlineStr">
        <is>
          <t>covered</t>
        </is>
      </c>
      <c r="I30" s="13" t="inlineStr">
        <is>
          <t>Menu playground scenario; manually verified in current batches.</t>
        </is>
      </c>
      <c r="J30" s="13" t="inlineStr">
        <is>
          <t>Complete.</t>
        </is>
      </c>
      <c r="K30" s="14">
        <f>IF(AND(E30="yes",F30="yes",H30="covered"),1,IF(H30="partial",0.5,0))</f>
        <v/>
      </c>
    </row>
    <row r="31" ht="30" customHeight="1" s="24">
      <c r="A31" s="12" t="n">
        <v>23</v>
      </c>
      <c r="B31" s="13" t="inlineStr">
        <is>
          <t>Public API</t>
        </is>
      </c>
      <c r="C31" s="13" t="inlineStr">
        <is>
          <t>Content</t>
        </is>
      </c>
      <c r="D31" s="13" t="inlineStr">
        <is>
          <t>data-positioned appears after positioning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</t>
        </is>
      </c>
      <c r="H31" s="22" t="inlineStr">
        <is>
          <t>covered</t>
        </is>
      </c>
      <c r="I31" s="13" t="inlineStr">
        <is>
          <t>Menu playground scenario; manually verified in current batches.</t>
        </is>
      </c>
      <c r="J31" s="13" t="inlineStr">
        <is>
          <t>Complete.</t>
        </is>
      </c>
      <c r="K31" s="14">
        <f>IF(AND(E31="yes",F31="yes",H31="covered"),1,IF(H31="partial",0.5,0))</f>
        <v/>
      </c>
    </row>
    <row r="32" ht="30" customHeight="1" s="24">
      <c r="A32" s="12" t="n">
        <v>24</v>
      </c>
      <c r="B32" s="13" t="inlineStr">
        <is>
          <t>Public API</t>
        </is>
      </c>
      <c r="C32" s="13" t="inlineStr">
        <is>
          <t>Content</t>
        </is>
      </c>
      <c r="D32" s="13" t="inlineStr">
        <is>
          <t>side prop changes placement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</t>
        </is>
      </c>
      <c r="H32" s="22" t="inlineStr">
        <is>
          <t>covered</t>
        </is>
      </c>
      <c r="I32" s="13" t="inlineStr">
        <is>
          <t>Menu playground scenario; manually verified in current batches.</t>
        </is>
      </c>
      <c r="J32" s="13" t="inlineStr">
        <is>
          <t>Complete.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Public API</t>
        </is>
      </c>
      <c r="C33" s="13" t="inlineStr">
        <is>
          <t>Content</t>
        </is>
      </c>
      <c r="D33" s="13" t="inlineStr">
        <is>
          <t>align prop changes placement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</t>
        </is>
      </c>
      <c r="H33" s="22" t="inlineStr">
        <is>
          <t>covered</t>
        </is>
      </c>
      <c r="I33" s="13" t="inlineStr">
        <is>
          <t>Menu playground scenario; manually verified in current batches.</t>
        </is>
      </c>
      <c r="J33" s="13" t="inlineStr">
        <is>
          <t>Complete.</t>
        </is>
      </c>
      <c r="K33" s="14">
        <f>IF(AND(E33="yes",F33="yes",H33="covered"),1,IF(H33="partial",0.5,0))</f>
        <v/>
      </c>
    </row>
    <row r="34" ht="45" customHeight="1" s="24">
      <c r="A34" s="12" t="n">
        <v>26</v>
      </c>
      <c r="B34" s="13" t="inlineStr">
        <is>
          <t>Public API</t>
        </is>
      </c>
      <c r="C34" s="13" t="inlineStr">
        <is>
          <t>Content</t>
        </is>
      </c>
      <c r="D34" s="13" t="inlineStr">
        <is>
          <t>sideOffset changes menu distance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</t>
        </is>
      </c>
      <c r="H34" s="22" t="inlineStr">
        <is>
          <t>covered</t>
        </is>
      </c>
      <c r="I34" s="13" t="inlineStr">
        <is>
          <t>Menu playground Popup -&gt; Large offset and Anatomy Content -&gt; Side offset verify content sideOffset behavior.</t>
        </is>
      </c>
      <c r="J34" s="13" t="n"/>
      <c r="K34" s="14">
        <f>IF(AND(E34="yes",F34="yes",H34="covered"),1,IF(H34="partial",0.5,0))</f>
        <v/>
      </c>
    </row>
    <row r="35" ht="45" customHeight="1" s="24">
      <c r="A35" s="12" t="n">
        <v>27</v>
      </c>
      <c r="B35" s="13" t="inlineStr">
        <is>
          <t>Public API</t>
        </is>
      </c>
      <c r="C35" s="13" t="inlineStr">
        <is>
          <t>Content</t>
        </is>
      </c>
      <c r="D35" s="13" t="inlineStr">
        <is>
          <t>loop prop overrides root loop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passed</t>
        </is>
      </c>
      <c r="H35" s="22" t="inlineStr">
        <is>
          <t>covered</t>
        </is>
      </c>
      <c r="I35" s="13" t="inlineStr">
        <is>
          <t>Menu playground Popup -&gt; Content loop off verifies Menu.Content loop override against root loop behavior.</t>
        </is>
      </c>
      <c r="J35" s="13" t="n"/>
      <c r="K35" s="14">
        <f>IF(AND(E35="yes",F35="yes",H35="covered"),1,IF(H35="partial",0.5,0))</f>
        <v/>
      </c>
    </row>
    <row r="36" ht="30" customHeight="1" s="24">
      <c r="A36" s="12" t="n">
        <v>28</v>
      </c>
      <c r="B36" s="13" t="inlineStr">
        <is>
          <t>Public API</t>
        </is>
      </c>
      <c r="C36" s="13" t="inlineStr">
        <is>
          <t>Content</t>
        </is>
      </c>
      <c r="D36" s="13" t="inlineStr">
        <is>
          <t>anchorPoint positions from pointer coordinates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</t>
        </is>
      </c>
      <c r="H36" s="22" t="inlineStr">
        <is>
          <t>covered</t>
        </is>
      </c>
      <c r="I36" s="13" t="inlineStr">
        <is>
          <t>Menu playground scenario; manually verified in current batches.</t>
        </is>
      </c>
      <c r="J36" s="13" t="inlineStr">
        <is>
          <t>Complete.</t>
        </is>
      </c>
      <c r="K36" s="14">
        <f>IF(AND(E36="yes",F36="yes",H36="covered"),1,IF(H36="partial",0.5,0))</f>
        <v/>
      </c>
    </row>
    <row r="37" ht="45" customHeight="1" s="24">
      <c r="A37" s="12" t="n">
        <v>29</v>
      </c>
      <c r="B37" s="13" t="inlineStr">
        <is>
          <t>Public API</t>
        </is>
      </c>
      <c r="C37" s="13" t="inlineStr">
        <is>
          <t>Content</t>
        </is>
      </c>
      <c r="D37" s="13" t="inlineStr">
        <is>
          <t>native className and data props pass through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</t>
        </is>
      </c>
      <c r="H37" s="22" t="inlineStr">
        <is>
          <t>covered</t>
        </is>
      </c>
      <c r="I37" s="13" t="inlineStr">
        <is>
          <t>Verify the part forwards a non-Atom-owned data-prop-check marker in the live raw Data group or Inspector.</t>
        </is>
      </c>
      <c r="J37" s="13" t="inlineStr">
        <is>
          <t>Do not add a curated Native props row; the DOM data-prop-check marker is the evidence.</t>
        </is>
      </c>
      <c r="K37" s="14">
        <f>IF(AND(E37="yes",F37="yes",H37="covered"),1,IF(H37="partial",0.5,0))</f>
        <v/>
      </c>
    </row>
    <row r="38" ht="30" customHeight="1" s="24">
      <c r="A38" s="12" t="n">
        <v>30</v>
      </c>
      <c r="B38" s="13" t="inlineStr">
        <is>
          <t>Public API</t>
        </is>
      </c>
      <c r="C38" s="13" t="inlineStr">
        <is>
          <t>Content</t>
        </is>
      </c>
      <c r="D38" s="13" t="inlineStr">
        <is>
          <t>onKeyDownCapture can block Atom key behavior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</t>
        </is>
      </c>
      <c r="H38" s="22" t="inlineStr">
        <is>
          <t>covered</t>
        </is>
      </c>
      <c r="I38" s="13" t="inlineStr">
        <is>
          <t>Menu playground composition/native props batch; manually verified.</t>
        </is>
      </c>
      <c r="J38" s="13" t="inlineStr">
        <is>
          <t>Complete.</t>
        </is>
      </c>
      <c r="K38" s="14">
        <f>IF(AND(E38="yes",F38="yes",H38="covered"),1,IF(H38="partial",0.5,0))</f>
        <v/>
      </c>
    </row>
    <row r="39" ht="30" customHeight="1" s="24">
      <c r="A39" s="12" t="n">
        <v>31</v>
      </c>
      <c r="B39" s="13" t="inlineStr">
        <is>
          <t>Public API</t>
        </is>
      </c>
      <c r="C39" s="13" t="inlineStr">
        <is>
          <t>Item</t>
        </is>
      </c>
      <c r="D39" s="13" t="inlineStr">
        <is>
          <t>renders role menuitem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</t>
        </is>
      </c>
      <c r="H39" s="22" t="inlineStr">
        <is>
          <t>covered</t>
        </is>
      </c>
      <c r="I39" s="13" t="inlineStr">
        <is>
          <t>Menu playground scenario; manually verified in current batches.</t>
        </is>
      </c>
      <c r="J39" s="13" t="inlineStr">
        <is>
          <t>Complete.</t>
        </is>
      </c>
      <c r="K39" s="14">
        <f>IF(AND(E39="yes",F39="yes",H39="covered"),1,IF(H39="partial",0.5,0))</f>
        <v/>
      </c>
    </row>
    <row r="40" ht="30" customHeight="1" s="24">
      <c r="A40" s="12" t="n">
        <v>32</v>
      </c>
      <c r="B40" s="13" t="inlineStr">
        <is>
          <t>Public API</t>
        </is>
      </c>
      <c r="C40" s="13" t="inlineStr">
        <is>
          <t>Item</t>
        </is>
      </c>
      <c r="D40" s="13" t="inlineStr">
        <is>
          <t>value appears as data-value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</t>
        </is>
      </c>
      <c r="H40" s="22" t="inlineStr">
        <is>
          <t>covered</t>
        </is>
      </c>
      <c r="I40" s="13" t="inlineStr">
        <is>
          <t>Menu playground scenario; manually verified in current batches.</t>
        </is>
      </c>
      <c r="J40" s="13" t="inlineStr">
        <is>
          <t>Complete.</t>
        </is>
      </c>
      <c r="K40" s="14">
        <f>IF(AND(E40="yes",F40="yes",H40="covered"),1,IF(H40="partial",0.5,0))</f>
        <v/>
      </c>
    </row>
    <row r="41" ht="30" customHeight="1" s="24">
      <c r="A41" s="12" t="n">
        <v>33</v>
      </c>
      <c r="B41" s="13" t="inlineStr">
        <is>
          <t>Public API</t>
        </is>
      </c>
      <c r="C41" s="13" t="inlineStr">
        <is>
          <t>Item</t>
        </is>
      </c>
      <c r="D41" s="13" t="inlineStr">
        <is>
          <t>textValue is used for typeahead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</t>
        </is>
      </c>
      <c r="H41" s="22" t="inlineStr">
        <is>
          <t>covered</t>
        </is>
      </c>
      <c r="I41" s="13" t="inlineStr">
        <is>
          <t>Menu playground typeahead/disabled batch; manually verified.</t>
        </is>
      </c>
      <c r="J41" s="13" t="inlineStr">
        <is>
          <t>Complete.</t>
        </is>
      </c>
      <c r="K41" s="14">
        <f>IF(AND(E41="yes",F41="yes",H41="covered"),1,IF(H41="partial",0.5,0))</f>
        <v/>
      </c>
    </row>
    <row r="42" ht="30" customHeight="1" s="24">
      <c r="A42" s="12" t="n">
        <v>34</v>
      </c>
      <c r="B42" s="13" t="inlineStr">
        <is>
          <t>Public API</t>
        </is>
      </c>
      <c r="C42" s="13" t="inlineStr">
        <is>
          <t>Item</t>
        </is>
      </c>
      <c r="D42" s="13" t="inlineStr">
        <is>
          <t>onSelect fires on click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</t>
        </is>
      </c>
      <c r="H42" s="22" t="inlineStr">
        <is>
          <t>covered</t>
        </is>
      </c>
      <c r="I42" s="13" t="inlineStr">
        <is>
          <t>Menu playground scenario; manually verified in current batches.</t>
        </is>
      </c>
      <c r="J42" s="13" t="inlineStr">
        <is>
          <t>Complete.</t>
        </is>
      </c>
      <c r="K42" s="14">
        <f>IF(AND(E42="yes",F42="yes",H42="covered"),1,IF(H42="partial",0.5,0))</f>
        <v/>
      </c>
    </row>
    <row r="43" ht="30" customHeight="1" s="24">
      <c r="A43" s="12" t="n">
        <v>35</v>
      </c>
      <c r="B43" s="13" t="inlineStr">
        <is>
          <t>Public API</t>
        </is>
      </c>
      <c r="C43" s="13" t="inlineStr">
        <is>
          <t>Item</t>
        </is>
      </c>
      <c r="D43" s="13" t="inlineStr">
        <is>
          <t>onSelect fires from keyboard activation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</t>
        </is>
      </c>
      <c r="H43" s="22" t="inlineStr">
        <is>
          <t>covered</t>
        </is>
      </c>
      <c r="I43" s="13" t="inlineStr">
        <is>
          <t>Menu playground scenario; manually verified in current batches.</t>
        </is>
      </c>
      <c r="J43" s="13" t="inlineStr">
        <is>
          <t>Complete.</t>
        </is>
      </c>
      <c r="K43" s="14">
        <f>IF(AND(E43="yes",F43="yes",H43="covered"),1,IF(H43="partial",0.5,0))</f>
        <v/>
      </c>
    </row>
    <row r="44" ht="30" customHeight="1" s="24">
      <c r="A44" s="12" t="n">
        <v>36</v>
      </c>
      <c r="B44" s="13" t="inlineStr">
        <is>
          <t>Public API</t>
        </is>
      </c>
      <c r="C44" s="13" t="inlineStr">
        <is>
          <t>Item</t>
        </is>
      </c>
      <c r="D44" s="13" t="inlineStr">
        <is>
          <t>disabled item is skipped by keyboard navigation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</t>
        </is>
      </c>
      <c r="H44" s="22" t="inlineStr">
        <is>
          <t>covered</t>
        </is>
      </c>
      <c r="I44" s="13" t="inlineStr">
        <is>
          <t>Menu playground typeahead/disabled batch; manually verified.</t>
        </is>
      </c>
      <c r="J44" s="13" t="inlineStr">
        <is>
          <t>Complete.</t>
        </is>
      </c>
      <c r="K44" s="14">
        <f>IF(AND(E44="yes",F44="yes",H44="covered"),1,IF(H44="partial",0.5,0))</f>
        <v/>
      </c>
    </row>
    <row r="45" ht="30" customHeight="1" s="24">
      <c r="A45" s="12" t="n">
        <v>37</v>
      </c>
      <c r="B45" s="13" t="inlineStr">
        <is>
          <t>Public API</t>
        </is>
      </c>
      <c r="C45" s="13" t="inlineStr">
        <is>
          <t>Item</t>
        </is>
      </c>
      <c r="D45" s="13" t="inlineStr">
        <is>
          <t>disabled item exposes aria-disabled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</t>
        </is>
      </c>
      <c r="H45" s="22" t="inlineStr">
        <is>
          <t>covered</t>
        </is>
      </c>
      <c r="I45" s="13" t="inlineStr">
        <is>
          <t>Menu playground typeahead/disabled batch; manually verified.</t>
        </is>
      </c>
      <c r="J45" s="13" t="inlineStr">
        <is>
          <t>Complete.</t>
        </is>
      </c>
      <c r="K45" s="14">
        <f>IF(AND(E45="yes",F45="yes",H45="covered"),1,IF(H45="partial",0.5,0))</f>
        <v/>
      </c>
    </row>
    <row r="46" ht="30" customHeight="1" s="24">
      <c r="A46" s="12" t="n">
        <v>38</v>
      </c>
      <c r="B46" s="13" t="inlineStr">
        <is>
          <t>Public API</t>
        </is>
      </c>
      <c r="C46" s="13" t="inlineStr">
        <is>
          <t>Item</t>
        </is>
      </c>
      <c r="D46" s="13" t="inlineStr">
        <is>
          <t>disabled item exposes data-disabled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</t>
        </is>
      </c>
      <c r="H46" s="22" t="inlineStr">
        <is>
          <t>covered</t>
        </is>
      </c>
      <c r="I46" s="13" t="inlineStr">
        <is>
          <t>Menu playground typeahead/disabled batch; manually verified.</t>
        </is>
      </c>
      <c r="J46" s="13" t="inlineStr">
        <is>
          <t>Complete.</t>
        </is>
      </c>
      <c r="K46" s="14">
        <f>IF(AND(E46="yes",F46="yes",H46="covered"),1,IF(H46="partial",0.5,0))</f>
        <v/>
      </c>
    </row>
    <row r="47" ht="30" customHeight="1" s="24">
      <c r="A47" s="12" t="n">
        <v>39</v>
      </c>
      <c r="B47" s="13" t="inlineStr">
        <is>
          <t>Public API</t>
        </is>
      </c>
      <c r="C47" s="13" t="inlineStr">
        <is>
          <t>Item</t>
        </is>
      </c>
      <c r="D47" s="13" t="inlineStr">
        <is>
          <t>highlighted item exposes data-highlighted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</t>
        </is>
      </c>
      <c r="H47" s="22" t="inlineStr">
        <is>
          <t>covered</t>
        </is>
      </c>
      <c r="I47" s="13" t="inlineStr">
        <is>
          <t>Menu playground scenario; manually verified in current batches.</t>
        </is>
      </c>
      <c r="J47" s="13" t="inlineStr">
        <is>
          <t>Complete.</t>
        </is>
      </c>
      <c r="K47" s="14">
        <f>IF(AND(E47="yes",F47="yes",H47="covered"),1,IF(H47="partial",0.5,0))</f>
        <v/>
      </c>
    </row>
    <row r="48" ht="30" customHeight="1" s="24">
      <c r="A48" s="12" t="n">
        <v>40</v>
      </c>
      <c r="B48" s="13" t="inlineStr">
        <is>
          <t>Public API</t>
        </is>
      </c>
      <c r="C48" s="13" t="inlineStr">
        <is>
          <t>Item</t>
        </is>
      </c>
      <c r="D48" s="13" t="inlineStr">
        <is>
          <t>closeOnSelect overrides root close behavior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</t>
        </is>
      </c>
      <c r="H48" s="22" t="inlineStr">
        <is>
          <t>covered</t>
        </is>
      </c>
      <c r="I48" s="13" t="inlineStr">
        <is>
          <t>Menu playground scenario; manually verified in current batches.</t>
        </is>
      </c>
      <c r="J48" s="13" t="inlineStr">
        <is>
          <t>Complete.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Public API</t>
        </is>
      </c>
      <c r="C49" s="13" t="inlineStr">
        <is>
          <t>Item</t>
        </is>
      </c>
      <c r="D49" s="13" t="inlineStr">
        <is>
          <t>asChild composition works</t>
        </is>
      </c>
      <c r="E49" s="18" t="inlineStr">
        <is>
          <t>yes</t>
        </is>
      </c>
      <c r="F49" s="18" t="inlineStr">
        <is>
          <t>yes</t>
        </is>
      </c>
      <c r="G49" s="12" t="inlineStr">
        <is>
          <t>pass</t>
        </is>
      </c>
      <c r="H49" s="22" t="inlineStr">
        <is>
          <t>covered</t>
        </is>
      </c>
      <c r="I49" s="13" t="inlineStr">
        <is>
          <t>Menu playground scenario; manually verified in current batches.</t>
        </is>
      </c>
      <c r="J49" s="13" t="inlineStr">
        <is>
          <t>Complete.</t>
        </is>
      </c>
      <c r="K49" s="14">
        <f>IF(AND(E49="yes",F49="yes",H49="covered"),1,IF(H49="partial",0.5,0))</f>
        <v/>
      </c>
    </row>
    <row r="50" ht="30" customHeight="1" s="24">
      <c r="A50" s="12" t="n">
        <v>42</v>
      </c>
      <c r="B50" s="13" t="inlineStr">
        <is>
          <t>Public API</t>
        </is>
      </c>
      <c r="C50" s="13" t="inlineStr">
        <is>
          <t>Item</t>
        </is>
      </c>
      <c r="D50" s="13" t="inlineStr">
        <is>
          <t>render composition works</t>
        </is>
      </c>
      <c r="E50" s="18" t="inlineStr">
        <is>
          <t>yes</t>
        </is>
      </c>
      <c r="F50" s="18" t="inlineStr">
        <is>
          <t>yes</t>
        </is>
      </c>
      <c r="G50" s="12" t="inlineStr">
        <is>
          <t>pass</t>
        </is>
      </c>
      <c r="H50" s="22" t="inlineStr">
        <is>
          <t>covered</t>
        </is>
      </c>
      <c r="I50" s="13" t="inlineStr">
        <is>
          <t>Menu playground scenario; manually verified in current batches.</t>
        </is>
      </c>
      <c r="J50" s="13" t="inlineStr">
        <is>
          <t>Complete.</t>
        </is>
      </c>
      <c r="K50" s="14">
        <f>IF(AND(E50="yes",F50="yes",H50="covered"),1,IF(H50="partial",0.5,0))</f>
        <v/>
      </c>
    </row>
    <row r="51" ht="30" customHeight="1" s="24">
      <c r="A51" s="12" t="n">
        <v>43</v>
      </c>
      <c r="B51" s="13" t="inlineStr">
        <is>
          <t>Public API</t>
        </is>
      </c>
      <c r="C51" s="13" t="inlineStr">
        <is>
          <t>Item</t>
        </is>
      </c>
      <c r="D51" s="13" t="inlineStr">
        <is>
          <t>consumer onClick can prevent Atom behavior</t>
        </is>
      </c>
      <c r="E51" s="18" t="inlineStr">
        <is>
          <t>yes</t>
        </is>
      </c>
      <c r="F51" s="18" t="inlineStr">
        <is>
          <t>yes</t>
        </is>
      </c>
      <c r="G51" s="12" t="inlineStr">
        <is>
          <t>pass</t>
        </is>
      </c>
      <c r="H51" s="22" t="inlineStr">
        <is>
          <t>covered</t>
        </is>
      </c>
      <c r="I51" s="13" t="inlineStr">
        <is>
          <t>Menu playground scenario; manually verified in current batches.</t>
        </is>
      </c>
      <c r="J51" s="13" t="inlineStr">
        <is>
          <t>Complete.</t>
        </is>
      </c>
      <c r="K51" s="14">
        <f>IF(AND(E51="yes",F51="yes",H51="covered"),1,IF(H51="partial",0.5,0))</f>
        <v/>
      </c>
    </row>
    <row r="52" ht="45" customHeight="1" s="24">
      <c r="A52" s="12" t="n">
        <v>44</v>
      </c>
      <c r="B52" s="13" t="inlineStr">
        <is>
          <t>Public API</t>
        </is>
      </c>
      <c r="C52" s="13" t="inlineStr">
        <is>
          <t>Item</t>
        </is>
      </c>
      <c r="D52" s="13" t="inlineStr">
        <is>
          <t>native className and data props pass through</t>
        </is>
      </c>
      <c r="E52" s="18" t="inlineStr">
        <is>
          <t>yes</t>
        </is>
      </c>
      <c r="F52" s="18" t="inlineStr">
        <is>
          <t>yes</t>
        </is>
      </c>
      <c r="G52" s="12" t="inlineStr">
        <is>
          <t>pass</t>
        </is>
      </c>
      <c r="H52" s="22" t="inlineStr">
        <is>
          <t>covered</t>
        </is>
      </c>
      <c r="I52" s="13" t="inlineStr">
        <is>
          <t>Verify the part forwards a non-Atom-owned data-prop-check marker in the live raw Data group or Inspector.</t>
        </is>
      </c>
      <c r="J52" s="13" t="inlineStr">
        <is>
          <t>Do not add a curated Native props row; the DOM data-prop-check marker is the evidence.</t>
        </is>
      </c>
      <c r="K52" s="14">
        <f>IF(AND(E52="yes",F52="yes",H52="covered"),1,IF(H52="partial",0.5,0))</f>
        <v/>
      </c>
    </row>
    <row r="53" ht="30" customHeight="1" s="24">
      <c r="A53" s="12" t="n">
        <v>45</v>
      </c>
      <c r="B53" s="13" t="inlineStr">
        <is>
          <t>Public API</t>
        </is>
      </c>
      <c r="C53" s="13" t="inlineStr">
        <is>
          <t>Checkbox Item</t>
        </is>
      </c>
      <c r="D53" s="13" t="inlineStr">
        <is>
          <t>renders role menuitemcheckbox</t>
        </is>
      </c>
      <c r="E53" s="18" t="inlineStr">
        <is>
          <t>yes</t>
        </is>
      </c>
      <c r="F53" s="18" t="inlineStr">
        <is>
          <t>yes</t>
        </is>
      </c>
      <c r="G53" s="12" t="inlineStr">
        <is>
          <t>pass</t>
        </is>
      </c>
      <c r="H53" s="22" t="inlineStr">
        <is>
          <t>covered</t>
        </is>
      </c>
      <c r="I53" s="13" t="inlineStr">
        <is>
          <t>Menu playground scenario; manually verified in current batches.</t>
        </is>
      </c>
      <c r="J53" s="13" t="inlineStr">
        <is>
          <t>Complete.</t>
        </is>
      </c>
      <c r="K53" s="14">
        <f>IF(AND(E53="yes",F53="yes",H53="covered"),1,IF(H53="partial",0.5,0))</f>
        <v/>
      </c>
    </row>
    <row r="54" ht="30" customHeight="1" s="24">
      <c r="A54" s="12" t="n">
        <v>46</v>
      </c>
      <c r="B54" s="13" t="inlineStr">
        <is>
          <t>Public API</t>
        </is>
      </c>
      <c r="C54" s="13" t="inlineStr">
        <is>
          <t>Checkbox Item</t>
        </is>
      </c>
      <c r="D54" s="13" t="inlineStr">
        <is>
          <t>checked true exposes aria-checked true</t>
        </is>
      </c>
      <c r="E54" s="18" t="inlineStr">
        <is>
          <t>yes</t>
        </is>
      </c>
      <c r="F54" s="18" t="inlineStr">
        <is>
          <t>yes</t>
        </is>
      </c>
      <c r="G54" s="12" t="inlineStr">
        <is>
          <t>pass</t>
        </is>
      </c>
      <c r="H54" s="22" t="inlineStr">
        <is>
          <t>covered</t>
        </is>
      </c>
      <c r="I54" s="13" t="inlineStr">
        <is>
          <t>Menu playground scenario; manually verified in current batches.</t>
        </is>
      </c>
      <c r="J54" s="13" t="inlineStr">
        <is>
          <t>Complete.</t>
        </is>
      </c>
      <c r="K54" s="14">
        <f>IF(AND(E54="yes",F54="yes",H54="covered"),1,IF(H54="partial",0.5,0))</f>
        <v/>
      </c>
    </row>
    <row r="55" ht="30" customHeight="1" s="24">
      <c r="A55" s="12" t="n">
        <v>47</v>
      </c>
      <c r="B55" s="13" t="inlineStr">
        <is>
          <t>Public API</t>
        </is>
      </c>
      <c r="C55" s="13" t="inlineStr">
        <is>
          <t>Checkbox Item</t>
        </is>
      </c>
      <c r="D55" s="13" t="inlineStr">
        <is>
          <t>checked false exposes aria-checked false</t>
        </is>
      </c>
      <c r="E55" s="18" t="inlineStr">
        <is>
          <t>yes</t>
        </is>
      </c>
      <c r="F55" s="18" t="inlineStr">
        <is>
          <t>yes</t>
        </is>
      </c>
      <c r="G55" s="12" t="inlineStr">
        <is>
          <t>pass</t>
        </is>
      </c>
      <c r="H55" s="22" t="inlineStr">
        <is>
          <t>covered</t>
        </is>
      </c>
      <c r="I55" s="13" t="inlineStr">
        <is>
          <t>Menu playground scenario; manually verified in current batches.</t>
        </is>
      </c>
      <c r="J55" s="13" t="inlineStr">
        <is>
          <t>Complete.</t>
        </is>
      </c>
      <c r="K55" s="14">
        <f>IF(AND(E55="yes",F55="yes",H55="covered"),1,IF(H55="partial",0.5,0))</f>
        <v/>
      </c>
    </row>
    <row r="56" ht="30" customHeight="1" s="24">
      <c r="A56" s="12" t="n">
        <v>48</v>
      </c>
      <c r="B56" s="13" t="inlineStr">
        <is>
          <t>Public API</t>
        </is>
      </c>
      <c r="C56" s="13" t="inlineStr">
        <is>
          <t>Checkbox Item</t>
        </is>
      </c>
      <c r="D56" s="13" t="inlineStr">
        <is>
          <t>checked true exposes data-checked</t>
        </is>
      </c>
      <c r="E56" s="18" t="inlineStr">
        <is>
          <t>yes</t>
        </is>
      </c>
      <c r="F56" s="18" t="inlineStr">
        <is>
          <t>yes</t>
        </is>
      </c>
      <c r="G56" s="12" t="inlineStr">
        <is>
          <t>pass</t>
        </is>
      </c>
      <c r="H56" s="22" t="inlineStr">
        <is>
          <t>covered</t>
        </is>
      </c>
      <c r="I56" s="13" t="inlineStr">
        <is>
          <t>Menu playground scenario; manually verified in current batches.</t>
        </is>
      </c>
      <c r="J56" s="13" t="inlineStr">
        <is>
          <t>Complete.</t>
        </is>
      </c>
      <c r="K56" s="14">
        <f>IF(AND(E56="yes",F56="yes",H56="covered"),1,IF(H56="partial",0.5,0))</f>
        <v/>
      </c>
    </row>
    <row r="57" ht="30" customHeight="1" s="24">
      <c r="A57" s="12" t="n">
        <v>49</v>
      </c>
      <c r="B57" s="13" t="inlineStr">
        <is>
          <t>Public API</t>
        </is>
      </c>
      <c r="C57" s="13" t="inlineStr">
        <is>
          <t>Checkbox Item</t>
        </is>
      </c>
      <c r="D57" s="13" t="inlineStr">
        <is>
          <t>onCheckedChange toggles checked state</t>
        </is>
      </c>
      <c r="E57" s="18" t="inlineStr">
        <is>
          <t>yes</t>
        </is>
      </c>
      <c r="F57" s="18" t="inlineStr">
        <is>
          <t>yes</t>
        </is>
      </c>
      <c r="G57" s="12" t="inlineStr">
        <is>
          <t>pass</t>
        </is>
      </c>
      <c r="H57" s="22" t="inlineStr">
        <is>
          <t>covered</t>
        </is>
      </c>
      <c r="I57" s="13" t="inlineStr">
        <is>
          <t>Menu playground scenario; manually verified in current batches.</t>
        </is>
      </c>
      <c r="J57" s="13" t="inlineStr">
        <is>
          <t>Complete.</t>
        </is>
      </c>
      <c r="K57" s="14">
        <f>IF(AND(E57="yes",F57="yes",H57="covered"),1,IF(H57="partial",0.5,0))</f>
        <v/>
      </c>
    </row>
    <row r="58" ht="30" customHeight="1" s="24">
      <c r="A58" s="12" t="n">
        <v>50</v>
      </c>
      <c r="B58" s="13" t="inlineStr">
        <is>
          <t>Public API</t>
        </is>
      </c>
      <c r="C58" s="13" t="inlineStr">
        <is>
          <t>Checkbox Item</t>
        </is>
      </c>
      <c r="D58" s="13" t="inlineStr">
        <is>
          <t>default closeOnSelect false keeps menu open</t>
        </is>
      </c>
      <c r="E58" s="18" t="inlineStr">
        <is>
          <t>yes</t>
        </is>
      </c>
      <c r="F58" s="18" t="inlineStr">
        <is>
          <t>yes</t>
        </is>
      </c>
      <c r="G58" s="12" t="inlineStr">
        <is>
          <t>pass</t>
        </is>
      </c>
      <c r="H58" s="22" t="inlineStr">
        <is>
          <t>covered</t>
        </is>
      </c>
      <c r="I58" s="13" t="inlineStr">
        <is>
          <t>Menu playground scenario; manually verified in current batches.</t>
        </is>
      </c>
      <c r="J58" s="13" t="inlineStr">
        <is>
          <t>Complete.</t>
        </is>
      </c>
      <c r="K58" s="14">
        <f>IF(AND(E58="yes",F58="yes",H58="covered"),1,IF(H58="partial",0.5,0))</f>
        <v/>
      </c>
    </row>
    <row r="59" ht="30" customHeight="1" s="24">
      <c r="A59" s="12" t="n">
        <v>51</v>
      </c>
      <c r="B59" s="13" t="inlineStr">
        <is>
          <t>Public API</t>
        </is>
      </c>
      <c r="C59" s="13" t="inlineStr">
        <is>
          <t>Checkbox Item</t>
        </is>
      </c>
      <c r="D59" s="13" t="inlineStr">
        <is>
          <t>closeOnSelect true closes menu</t>
        </is>
      </c>
      <c r="E59" s="18" t="inlineStr">
        <is>
          <t>yes</t>
        </is>
      </c>
      <c r="F59" s="18" t="inlineStr">
        <is>
          <t>yes</t>
        </is>
      </c>
      <c r="G59" s="12" t="inlineStr">
        <is>
          <t>pass</t>
        </is>
      </c>
      <c r="H59" s="22" t="inlineStr">
        <is>
          <t>covered</t>
        </is>
      </c>
      <c r="I59" s="13" t="inlineStr">
        <is>
          <t>Menu playground scenario; manually verified in current batches.</t>
        </is>
      </c>
      <c r="J59" s="13" t="inlineStr">
        <is>
          <t>Complete.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Public API</t>
        </is>
      </c>
      <c r="C60" s="13" t="inlineStr">
        <is>
          <t>Checkbox Item</t>
        </is>
      </c>
      <c r="D60" s="13" t="inlineStr">
        <is>
          <t>disabled checkbox is skipped</t>
        </is>
      </c>
      <c r="E60" s="18" t="inlineStr">
        <is>
          <t>yes</t>
        </is>
      </c>
      <c r="F60" s="18" t="inlineStr">
        <is>
          <t>yes</t>
        </is>
      </c>
      <c r="G60" s="12" t="inlineStr">
        <is>
          <t>pass</t>
        </is>
      </c>
      <c r="H60" s="22" t="inlineStr">
        <is>
          <t>covered</t>
        </is>
      </c>
      <c r="I60" s="13" t="inlineStr">
        <is>
          <t>Menu playground typeahead/disabled batch; manually verified.</t>
        </is>
      </c>
      <c r="J60" s="13" t="inlineStr">
        <is>
          <t>Complete.</t>
        </is>
      </c>
      <c r="K60" s="14">
        <f>IF(AND(E60="yes",F60="yes",H60="covered"),1,IF(H60="partial",0.5,0))</f>
        <v/>
      </c>
    </row>
    <row r="61" ht="30" customHeight="1" s="24">
      <c r="A61" s="12" t="n">
        <v>53</v>
      </c>
      <c r="B61" s="13" t="inlineStr">
        <is>
          <t>Public API</t>
        </is>
      </c>
      <c r="C61" s="13" t="inlineStr">
        <is>
          <t>Checkbox Item</t>
        </is>
      </c>
      <c r="D61" s="13" t="inlineStr">
        <is>
          <t>textValue is used for typeahead</t>
        </is>
      </c>
      <c r="E61" s="18" t="inlineStr">
        <is>
          <t>yes</t>
        </is>
      </c>
      <c r="F61" s="18" t="inlineStr">
        <is>
          <t>yes</t>
        </is>
      </c>
      <c r="G61" s="12" t="inlineStr">
        <is>
          <t>pass</t>
        </is>
      </c>
      <c r="H61" s="22" t="inlineStr">
        <is>
          <t>covered</t>
        </is>
      </c>
      <c r="I61" s="13" t="inlineStr">
        <is>
          <t>Menu playground typeahead/disabled batch; manually verified.</t>
        </is>
      </c>
      <c r="J61" s="13" t="inlineStr">
        <is>
          <t>Complete.</t>
        </is>
      </c>
      <c r="K61" s="14">
        <f>IF(AND(E61="yes",F61="yes",H61="covered"),1,IF(H61="partial",0.5,0))</f>
        <v/>
      </c>
    </row>
    <row r="62" ht="30" customHeight="1" s="24">
      <c r="A62" s="12" t="n">
        <v>54</v>
      </c>
      <c r="B62" s="13" t="inlineStr">
        <is>
          <t>Public API</t>
        </is>
      </c>
      <c r="C62" s="13" t="inlineStr">
        <is>
          <t>Radio Group</t>
        </is>
      </c>
      <c r="D62" s="13" t="inlineStr">
        <is>
          <t>renders role group</t>
        </is>
      </c>
      <c r="E62" s="18" t="inlineStr">
        <is>
          <t>yes</t>
        </is>
      </c>
      <c r="F62" s="18" t="inlineStr">
        <is>
          <t>yes</t>
        </is>
      </c>
      <c r="G62" s="12" t="inlineStr">
        <is>
          <t>pass</t>
        </is>
      </c>
      <c r="H62" s="22" t="inlineStr">
        <is>
          <t>covered</t>
        </is>
      </c>
      <c r="I62" s="13" t="inlineStr">
        <is>
          <t>Menu playground scenario; manually verified in current batches.</t>
        </is>
      </c>
      <c r="J62" s="13" t="inlineStr">
        <is>
          <t>Complete.</t>
        </is>
      </c>
      <c r="K62" s="14">
        <f>IF(AND(E62="yes",F62="yes",H62="covered"),1,IF(H62="partial",0.5,0))</f>
        <v/>
      </c>
    </row>
    <row r="63" ht="30" customHeight="1" s="24">
      <c r="A63" s="12" t="n">
        <v>55</v>
      </c>
      <c r="B63" s="13" t="inlineStr">
        <is>
          <t>Public API</t>
        </is>
      </c>
      <c r="C63" s="13" t="inlineStr">
        <is>
          <t>Radio Group</t>
        </is>
      </c>
      <c r="D63" s="13" t="inlineStr">
        <is>
          <t>data-slot is menu-radio-group</t>
        </is>
      </c>
      <c r="E63" s="18" t="inlineStr">
        <is>
          <t>yes</t>
        </is>
      </c>
      <c r="F63" s="18" t="inlineStr">
        <is>
          <t>yes</t>
        </is>
      </c>
      <c r="G63" s="12" t="inlineStr">
        <is>
          <t>pass</t>
        </is>
      </c>
      <c r="H63" s="22" t="inlineStr">
        <is>
          <t>covered</t>
        </is>
      </c>
      <c r="I63" s="13" t="inlineStr">
        <is>
          <t>Menu playground scenario; manually verified in current batches.</t>
        </is>
      </c>
      <c r="J63" s="13" t="inlineStr">
        <is>
          <t>Complete.</t>
        </is>
      </c>
      <c r="K63" s="14">
        <f>IF(AND(E63="yes",F63="yes",H63="covered"),1,IF(H63="partial",0.5,0))</f>
        <v/>
      </c>
    </row>
    <row r="64" ht="30" customHeight="1" s="24">
      <c r="A64" s="12" t="n">
        <v>56</v>
      </c>
      <c r="B64" s="13" t="inlineStr">
        <is>
          <t>Public API</t>
        </is>
      </c>
      <c r="C64" s="13" t="inlineStr">
        <is>
          <t>Radio Group</t>
        </is>
      </c>
      <c r="D64" s="13" t="inlineStr">
        <is>
          <t>value controls checked item</t>
        </is>
      </c>
      <c r="E64" s="18" t="inlineStr">
        <is>
          <t>yes</t>
        </is>
      </c>
      <c r="F64" s="18" t="inlineStr">
        <is>
          <t>yes</t>
        </is>
      </c>
      <c r="G64" s="12" t="inlineStr">
        <is>
          <t>pass</t>
        </is>
      </c>
      <c r="H64" s="22" t="inlineStr">
        <is>
          <t>covered</t>
        </is>
      </c>
      <c r="I64" s="13" t="inlineStr">
        <is>
          <t>Menu playground radio/group/native props batch; manually verified.</t>
        </is>
      </c>
      <c r="J64" s="13" t="inlineStr">
        <is>
          <t>Complete.</t>
        </is>
      </c>
      <c r="K64" s="14">
        <f>IF(AND(E64="yes",F64="yes",H64="covered"),1,IF(H64="partial",0.5,0))</f>
        <v/>
      </c>
    </row>
    <row r="65" ht="30" customHeight="1" s="24">
      <c r="A65" s="12" t="n">
        <v>57</v>
      </c>
      <c r="B65" s="13" t="inlineStr">
        <is>
          <t>Public API</t>
        </is>
      </c>
      <c r="C65" s="13" t="inlineStr">
        <is>
          <t>Radio Group</t>
        </is>
      </c>
      <c r="D65" s="13" t="inlineStr">
        <is>
          <t>onValueChange fires when selecting radio item</t>
        </is>
      </c>
      <c r="E65" s="18" t="inlineStr">
        <is>
          <t>yes</t>
        </is>
      </c>
      <c r="F65" s="18" t="inlineStr">
        <is>
          <t>yes</t>
        </is>
      </c>
      <c r="G65" s="12" t="inlineStr">
        <is>
          <t>pass</t>
        </is>
      </c>
      <c r="H65" s="22" t="inlineStr">
        <is>
          <t>covered</t>
        </is>
      </c>
      <c r="I65" s="13" t="inlineStr">
        <is>
          <t>Menu playground radio/group/native props batch; manually verified.</t>
        </is>
      </c>
      <c r="J65" s="13" t="inlineStr">
        <is>
          <t>Complete.</t>
        </is>
      </c>
      <c r="K65" s="14">
        <f>IF(AND(E65="yes",F65="yes",H65="covered"),1,IF(H65="partial",0.5,0))</f>
        <v/>
      </c>
    </row>
    <row r="66" ht="45" customHeight="1" s="24">
      <c r="A66" s="12" t="n">
        <v>58</v>
      </c>
      <c r="B66" s="13" t="inlineStr">
        <is>
          <t>Public API</t>
        </is>
      </c>
      <c r="C66" s="13" t="inlineStr">
        <is>
          <t>Radio Group</t>
        </is>
      </c>
      <c r="D66" s="13" t="inlineStr">
        <is>
          <t>duplicate public radio values in different groups do not conflict</t>
        </is>
      </c>
      <c r="E66" s="18" t="inlineStr">
        <is>
          <t>yes</t>
        </is>
      </c>
      <c r="F66" s="18" t="inlineStr">
        <is>
          <t>yes</t>
        </is>
      </c>
      <c r="G66" s="12" t="inlineStr">
        <is>
          <t>passed</t>
        </is>
      </c>
      <c r="H66" s="22" t="inlineStr">
        <is>
          <t>covered</t>
        </is>
      </c>
      <c r="I66" s="13" t="inlineStr">
        <is>
          <t>Menu playground renders two radio groups with duplicate public values and verifies each group keeps independent selection.</t>
        </is>
      </c>
      <c r="J66" s="13" t="n"/>
      <c r="K66" s="14">
        <f>IF(AND(E66="yes",F66="yes",H66="covered"),1,IF(H66="partial",0.5,0))</f>
        <v/>
      </c>
    </row>
    <row r="67" ht="45" customHeight="1" s="24">
      <c r="A67" s="12" t="n">
        <v>59</v>
      </c>
      <c r="B67" s="13" t="inlineStr">
        <is>
          <t>Public API</t>
        </is>
      </c>
      <c r="C67" s="13" t="inlineStr">
        <is>
          <t>Radio Group</t>
        </is>
      </c>
      <c r="D67" s="13" t="inlineStr">
        <is>
          <t>native className and data props pass through</t>
        </is>
      </c>
      <c r="E67" s="18" t="inlineStr">
        <is>
          <t>yes</t>
        </is>
      </c>
      <c r="F67" s="18" t="inlineStr">
        <is>
          <t>yes</t>
        </is>
      </c>
      <c r="G67" s="12" t="inlineStr">
        <is>
          <t>pass</t>
        </is>
      </c>
      <c r="H67" s="22" t="inlineStr">
        <is>
          <t>covered</t>
        </is>
      </c>
      <c r="I67" s="13" t="inlineStr">
        <is>
          <t>Verify the part forwards a non-Atom-owned data-prop-check marker in the live raw Data group or Inspector.</t>
        </is>
      </c>
      <c r="J67" s="13" t="inlineStr">
        <is>
          <t>Do not add a curated Native props row; the DOM data-prop-check marker is the evidence.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Public API</t>
        </is>
      </c>
      <c r="C68" s="13" t="inlineStr">
        <is>
          <t>Radio Item</t>
        </is>
      </c>
      <c r="D68" s="13" t="inlineStr">
        <is>
          <t>renders role menuitemradio</t>
        </is>
      </c>
      <c r="E68" s="18" t="inlineStr">
        <is>
          <t>yes</t>
        </is>
      </c>
      <c r="F68" s="18" t="inlineStr">
        <is>
          <t>yes</t>
        </is>
      </c>
      <c r="G68" s="12" t="inlineStr">
        <is>
          <t>pass</t>
        </is>
      </c>
      <c r="H68" s="22" t="inlineStr">
        <is>
          <t>covered</t>
        </is>
      </c>
      <c r="I68" s="13" t="inlineStr">
        <is>
          <t>Menu playground scenario; manually verified in current batches.</t>
        </is>
      </c>
      <c r="J68" s="13" t="inlineStr">
        <is>
          <t>Complete.</t>
        </is>
      </c>
      <c r="K68" s="14">
        <f>IF(AND(E68="yes",F68="yes",H68="covered"),1,IF(H68="partial",0.5,0))</f>
        <v/>
      </c>
    </row>
    <row r="69" ht="30" customHeight="1" s="24">
      <c r="A69" s="12" t="n">
        <v>61</v>
      </c>
      <c r="B69" s="13" t="inlineStr">
        <is>
          <t>Public API</t>
        </is>
      </c>
      <c r="C69" s="13" t="inlineStr">
        <is>
          <t>Radio Item</t>
        </is>
      </c>
      <c r="D69" s="13" t="inlineStr">
        <is>
          <t>checked item exposes aria-checked true</t>
        </is>
      </c>
      <c r="E69" s="18" t="inlineStr">
        <is>
          <t>yes</t>
        </is>
      </c>
      <c r="F69" s="18" t="inlineStr">
        <is>
          <t>yes</t>
        </is>
      </c>
      <c r="G69" s="12" t="inlineStr">
        <is>
          <t>pass</t>
        </is>
      </c>
      <c r="H69" s="22" t="inlineStr">
        <is>
          <t>covered</t>
        </is>
      </c>
      <c r="I69" s="13" t="inlineStr">
        <is>
          <t>Menu playground scenario; manually verified in current batches.</t>
        </is>
      </c>
      <c r="J69" s="13" t="inlineStr">
        <is>
          <t>Complete.</t>
        </is>
      </c>
      <c r="K69" s="14">
        <f>IF(AND(E69="yes",F69="yes",H69="covered"),1,IF(H69="partial",0.5,0))</f>
        <v/>
      </c>
    </row>
    <row r="70" ht="30" customHeight="1" s="24">
      <c r="A70" s="12" t="n">
        <v>62</v>
      </c>
      <c r="B70" s="13" t="inlineStr">
        <is>
          <t>Public API</t>
        </is>
      </c>
      <c r="C70" s="13" t="inlineStr">
        <is>
          <t>Radio Item</t>
        </is>
      </c>
      <c r="D70" s="13" t="inlineStr">
        <is>
          <t>unchecked item exposes aria-checked false</t>
        </is>
      </c>
      <c r="E70" s="18" t="inlineStr">
        <is>
          <t>yes</t>
        </is>
      </c>
      <c r="F70" s="18" t="inlineStr">
        <is>
          <t>yes</t>
        </is>
      </c>
      <c r="G70" s="12" t="inlineStr">
        <is>
          <t>pass</t>
        </is>
      </c>
      <c r="H70" s="22" t="inlineStr">
        <is>
          <t>covered</t>
        </is>
      </c>
      <c r="I70" s="13" t="inlineStr">
        <is>
          <t>Menu playground scenario; manually verified in current batches.</t>
        </is>
      </c>
      <c r="J70" s="13" t="inlineStr">
        <is>
          <t>Complete.</t>
        </is>
      </c>
      <c r="K70" s="14">
        <f>IF(AND(E70="yes",F70="yes",H70="covered"),1,IF(H70="partial",0.5,0))</f>
        <v/>
      </c>
    </row>
    <row r="71" ht="30" customHeight="1" s="24">
      <c r="A71" s="12" t="n">
        <v>63</v>
      </c>
      <c r="B71" s="13" t="inlineStr">
        <is>
          <t>Public API</t>
        </is>
      </c>
      <c r="C71" s="13" t="inlineStr">
        <is>
          <t>Radio Item</t>
        </is>
      </c>
      <c r="D71" s="13" t="inlineStr">
        <is>
          <t>checked item exposes data-checked</t>
        </is>
      </c>
      <c r="E71" s="18" t="inlineStr">
        <is>
          <t>yes</t>
        </is>
      </c>
      <c r="F71" s="18" t="inlineStr">
        <is>
          <t>yes</t>
        </is>
      </c>
      <c r="G71" s="12" t="inlineStr">
        <is>
          <t>pass</t>
        </is>
      </c>
      <c r="H71" s="22" t="inlineStr">
        <is>
          <t>covered</t>
        </is>
      </c>
      <c r="I71" s="13" t="inlineStr">
        <is>
          <t>Menu playground scenario; manually verified in current batches.</t>
        </is>
      </c>
      <c r="J71" s="13" t="inlineStr">
        <is>
          <t>Complete.</t>
        </is>
      </c>
      <c r="K71" s="14">
        <f>IF(AND(E71="yes",F71="yes",H71="covered"),1,IF(H71="partial",0.5,0))</f>
        <v/>
      </c>
    </row>
    <row r="72" ht="30" customHeight="1" s="24">
      <c r="A72" s="12" t="n">
        <v>64</v>
      </c>
      <c r="B72" s="13" t="inlineStr">
        <is>
          <t>Public API</t>
        </is>
      </c>
      <c r="C72" s="13" t="inlineStr">
        <is>
          <t>Radio Item</t>
        </is>
      </c>
      <c r="D72" s="13" t="inlineStr">
        <is>
          <t>value appears as data-value without internal group id</t>
        </is>
      </c>
      <c r="E72" s="18" t="inlineStr">
        <is>
          <t>yes</t>
        </is>
      </c>
      <c r="F72" s="18" t="inlineStr">
        <is>
          <t>yes</t>
        </is>
      </c>
      <c r="G72" s="12" t="inlineStr">
        <is>
          <t>pass</t>
        </is>
      </c>
      <c r="H72" s="22" t="inlineStr">
        <is>
          <t>covered</t>
        </is>
      </c>
      <c r="I72" s="13" t="inlineStr">
        <is>
          <t>Menu playground scenario; manually verified in current batches.</t>
        </is>
      </c>
      <c r="J72" s="13" t="inlineStr">
        <is>
          <t>Complete.</t>
        </is>
      </c>
      <c r="K72" s="14">
        <f>IF(AND(E72="yes",F72="yes",H72="covered"),1,IF(H72="partial",0.5,0))</f>
        <v/>
      </c>
    </row>
    <row r="73" ht="30" customHeight="1" s="24">
      <c r="A73" s="12" t="n">
        <v>65</v>
      </c>
      <c r="B73" s="13" t="inlineStr">
        <is>
          <t>Public API</t>
        </is>
      </c>
      <c r="C73" s="13" t="inlineStr">
        <is>
          <t>Radio Item</t>
        </is>
      </c>
      <c r="D73" s="13" t="inlineStr">
        <is>
          <t>disabled radio item is skipped</t>
        </is>
      </c>
      <c r="E73" s="18" t="inlineStr">
        <is>
          <t>yes</t>
        </is>
      </c>
      <c r="F73" s="18" t="inlineStr">
        <is>
          <t>yes</t>
        </is>
      </c>
      <c r="G73" s="12" t="inlineStr">
        <is>
          <t>pass</t>
        </is>
      </c>
      <c r="H73" s="22" t="inlineStr">
        <is>
          <t>covered</t>
        </is>
      </c>
      <c r="I73" s="13" t="inlineStr">
        <is>
          <t>Menu playground typeahead/disabled batch; manually verified.</t>
        </is>
      </c>
      <c r="J73" s="13" t="inlineStr">
        <is>
          <t>Complete.</t>
        </is>
      </c>
      <c r="K73" s="14">
        <f>IF(AND(E73="yes",F73="yes",H73="covered"),1,IF(H73="partial",0.5,0))</f>
        <v/>
      </c>
    </row>
    <row r="74" ht="30" customHeight="1" s="24">
      <c r="A74" s="12" t="n">
        <v>66</v>
      </c>
      <c r="B74" s="13" t="inlineStr">
        <is>
          <t>Public API</t>
        </is>
      </c>
      <c r="C74" s="13" t="inlineStr">
        <is>
          <t>Radio Item</t>
        </is>
      </c>
      <c r="D74" s="13" t="inlineStr">
        <is>
          <t>default closeOnSelect false keeps menu open</t>
        </is>
      </c>
      <c r="E74" s="18" t="inlineStr">
        <is>
          <t>yes</t>
        </is>
      </c>
      <c r="F74" s="18" t="inlineStr">
        <is>
          <t>yes</t>
        </is>
      </c>
      <c r="G74" s="12" t="inlineStr">
        <is>
          <t>pass</t>
        </is>
      </c>
      <c r="H74" s="22" t="inlineStr">
        <is>
          <t>covered</t>
        </is>
      </c>
      <c r="I74" s="13" t="inlineStr">
        <is>
          <t>Menu playground scenario; manually verified in current batches.</t>
        </is>
      </c>
      <c r="J74" s="13" t="inlineStr">
        <is>
          <t>Complete.</t>
        </is>
      </c>
      <c r="K74" s="14">
        <f>IF(AND(E74="yes",F74="yes",H74="covered"),1,IF(H74="partial",0.5,0))</f>
        <v/>
      </c>
    </row>
    <row r="75" ht="30" customHeight="1" s="24">
      <c r="A75" s="12" t="n">
        <v>67</v>
      </c>
      <c r="B75" s="13" t="inlineStr">
        <is>
          <t>Public API</t>
        </is>
      </c>
      <c r="C75" s="13" t="inlineStr">
        <is>
          <t>Radio Item</t>
        </is>
      </c>
      <c r="D75" s="13" t="inlineStr">
        <is>
          <t>closeOnSelect true closes menu</t>
        </is>
      </c>
      <c r="E75" s="18" t="inlineStr">
        <is>
          <t>yes</t>
        </is>
      </c>
      <c r="F75" s="18" t="inlineStr">
        <is>
          <t>yes</t>
        </is>
      </c>
      <c r="G75" s="12" t="inlineStr">
        <is>
          <t>pass</t>
        </is>
      </c>
      <c r="H75" s="22" t="inlineStr">
        <is>
          <t>covered</t>
        </is>
      </c>
      <c r="I75" s="13" t="inlineStr">
        <is>
          <t>Menu playground scenario; manually verified in current batches.</t>
        </is>
      </c>
      <c r="J75" s="13" t="inlineStr">
        <is>
          <t>Complete.</t>
        </is>
      </c>
      <c r="K75" s="14">
        <f>IF(AND(E75="yes",F75="yes",H75="covered"),1,IF(H75="partial",0.5,0))</f>
        <v/>
      </c>
    </row>
    <row r="76" ht="30" customHeight="1" s="24">
      <c r="A76" s="12" t="n">
        <v>68</v>
      </c>
      <c r="B76" s="13" t="inlineStr">
        <is>
          <t>Public API</t>
        </is>
      </c>
      <c r="C76" s="13" t="inlineStr">
        <is>
          <t>Radio Item</t>
        </is>
      </c>
      <c r="D76" s="13" t="inlineStr">
        <is>
          <t>textValue is used for typeahead</t>
        </is>
      </c>
      <c r="E76" s="18" t="inlineStr">
        <is>
          <t>yes</t>
        </is>
      </c>
      <c r="F76" s="18" t="inlineStr">
        <is>
          <t>yes</t>
        </is>
      </c>
      <c r="G76" s="12" t="inlineStr">
        <is>
          <t>pass</t>
        </is>
      </c>
      <c r="H76" s="22" t="inlineStr">
        <is>
          <t>covered</t>
        </is>
      </c>
      <c r="I76" s="13" t="inlineStr">
        <is>
          <t>Menu playground typeahead/disabled batch; manually verified.</t>
        </is>
      </c>
      <c r="J76" s="13" t="inlineStr">
        <is>
          <t>Complete.</t>
        </is>
      </c>
      <c r="K76" s="14">
        <f>IF(AND(E76="yes",F76="yes",H76="covered"),1,IF(H76="partial",0.5,0))</f>
        <v/>
      </c>
    </row>
    <row r="77" ht="30" customHeight="1" s="24">
      <c r="A77" s="12" t="n">
        <v>69</v>
      </c>
      <c r="B77" s="13" t="inlineStr">
        <is>
          <t>Public API</t>
        </is>
      </c>
      <c r="C77" s="13" t="inlineStr">
        <is>
          <t>Group</t>
        </is>
      </c>
      <c r="D77" s="13" t="inlineStr">
        <is>
          <t>renders role group</t>
        </is>
      </c>
      <c r="E77" s="18" t="inlineStr">
        <is>
          <t>yes</t>
        </is>
      </c>
      <c r="F77" s="18" t="inlineStr">
        <is>
          <t>yes</t>
        </is>
      </c>
      <c r="G77" s="12" t="inlineStr">
        <is>
          <t>pass</t>
        </is>
      </c>
      <c r="H77" s="22" t="inlineStr">
        <is>
          <t>covered</t>
        </is>
      </c>
      <c r="I77" s="13" t="inlineStr">
        <is>
          <t>Menu playground scenario; manually verified in current batches.</t>
        </is>
      </c>
      <c r="J77" s="13" t="inlineStr">
        <is>
          <t>Complete.</t>
        </is>
      </c>
      <c r="K77" s="14">
        <f>IF(AND(E77="yes",F77="yes",H77="covered"),1,IF(H77="partial",0.5,0))</f>
        <v/>
      </c>
    </row>
    <row r="78" ht="30" customHeight="1" s="24">
      <c r="A78" s="12" t="n">
        <v>70</v>
      </c>
      <c r="B78" s="13" t="inlineStr">
        <is>
          <t>Public API</t>
        </is>
      </c>
      <c r="C78" s="13" t="inlineStr">
        <is>
          <t>Group</t>
        </is>
      </c>
      <c r="D78" s="13" t="inlineStr">
        <is>
          <t>data-slot is menu-group</t>
        </is>
      </c>
      <c r="E78" s="18" t="inlineStr">
        <is>
          <t>yes</t>
        </is>
      </c>
      <c r="F78" s="18" t="inlineStr">
        <is>
          <t>yes</t>
        </is>
      </c>
      <c r="G78" s="12" t="inlineStr">
        <is>
          <t>pass</t>
        </is>
      </c>
      <c r="H78" s="22" t="inlineStr">
        <is>
          <t>covered</t>
        </is>
      </c>
      <c r="I78" s="13" t="inlineStr">
        <is>
          <t>Menu playground scenario; manually verified in current batches.</t>
        </is>
      </c>
      <c r="J78" s="13" t="inlineStr">
        <is>
          <t>Complete.</t>
        </is>
      </c>
      <c r="K78" s="14">
        <f>IF(AND(E78="yes",F78="yes",H78="covered"),1,IF(H78="partial",0.5,0))</f>
        <v/>
      </c>
    </row>
    <row r="79" ht="45" customHeight="1" s="24">
      <c r="A79" s="12" t="n">
        <v>71</v>
      </c>
      <c r="B79" s="13" t="inlineStr">
        <is>
          <t>Public API</t>
        </is>
      </c>
      <c r="C79" s="13" t="inlineStr">
        <is>
          <t>Group</t>
        </is>
      </c>
      <c r="D79" s="13" t="inlineStr">
        <is>
          <t>native className and data props pass through</t>
        </is>
      </c>
      <c r="E79" s="18" t="inlineStr">
        <is>
          <t>yes</t>
        </is>
      </c>
      <c r="F79" s="18" t="inlineStr">
        <is>
          <t>yes</t>
        </is>
      </c>
      <c r="G79" s="12" t="inlineStr">
        <is>
          <t>pass</t>
        </is>
      </c>
      <c r="H79" s="22" t="inlineStr">
        <is>
          <t>covered</t>
        </is>
      </c>
      <c r="I79" s="13" t="inlineStr">
        <is>
          <t>Verify the part forwards a non-Atom-owned data-prop-check marker in the live raw Data group or Inspector.</t>
        </is>
      </c>
      <c r="J79" s="13" t="inlineStr">
        <is>
          <t>Do not add a curated Native props row; the DOM data-prop-check marker is the evidence.</t>
        </is>
      </c>
      <c r="K79" s="14">
        <f>IF(AND(E79="yes",F79="yes",H79="covered"),1,IF(H79="partial",0.5,0))</f>
        <v/>
      </c>
    </row>
    <row r="80" ht="30" customHeight="1" s="24">
      <c r="A80" s="12" t="n">
        <v>72</v>
      </c>
      <c r="B80" s="13" t="inlineStr">
        <is>
          <t>Public API</t>
        </is>
      </c>
      <c r="C80" s="13" t="inlineStr">
        <is>
          <t>Separator</t>
        </is>
      </c>
      <c r="D80" s="13" t="inlineStr">
        <is>
          <t>renders role separator</t>
        </is>
      </c>
      <c r="E80" s="18" t="inlineStr">
        <is>
          <t>yes</t>
        </is>
      </c>
      <c r="F80" s="18" t="inlineStr">
        <is>
          <t>yes</t>
        </is>
      </c>
      <c r="G80" s="12" t="inlineStr">
        <is>
          <t>pass</t>
        </is>
      </c>
      <c r="H80" s="22" t="inlineStr">
        <is>
          <t>covered</t>
        </is>
      </c>
      <c r="I80" s="13" t="inlineStr">
        <is>
          <t>Menu playground scenario; manually verified in current batches.</t>
        </is>
      </c>
      <c r="J80" s="13" t="inlineStr">
        <is>
          <t>Complete.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Public API</t>
        </is>
      </c>
      <c r="C81" s="13" t="inlineStr">
        <is>
          <t>Separator</t>
        </is>
      </c>
      <c r="D81" s="13" t="inlineStr">
        <is>
          <t>aria-orientation is horizontal</t>
        </is>
      </c>
      <c r="E81" s="18" t="inlineStr">
        <is>
          <t>yes</t>
        </is>
      </c>
      <c r="F81" s="18" t="inlineStr">
        <is>
          <t>yes</t>
        </is>
      </c>
      <c r="G81" s="12" t="inlineStr">
        <is>
          <t>pass</t>
        </is>
      </c>
      <c r="H81" s="22" t="inlineStr">
        <is>
          <t>covered</t>
        </is>
      </c>
      <c r="I81" s="13" t="inlineStr">
        <is>
          <t>Menu playground scenario; manually verified in current batches.</t>
        </is>
      </c>
      <c r="J81" s="13" t="inlineStr">
        <is>
          <t>Complete.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Public API</t>
        </is>
      </c>
      <c r="C82" s="13" t="inlineStr">
        <is>
          <t>Separator</t>
        </is>
      </c>
      <c r="D82" s="13" t="inlineStr">
        <is>
          <t>data-slot is menu-separator</t>
        </is>
      </c>
      <c r="E82" s="18" t="inlineStr">
        <is>
          <t>yes</t>
        </is>
      </c>
      <c r="F82" s="18" t="inlineStr">
        <is>
          <t>yes</t>
        </is>
      </c>
      <c r="G82" s="12" t="inlineStr">
        <is>
          <t>pass</t>
        </is>
      </c>
      <c r="H82" s="22" t="inlineStr">
        <is>
          <t>covered</t>
        </is>
      </c>
      <c r="I82" s="13" t="inlineStr">
        <is>
          <t>Menu playground scenario; manually verified in current batches.</t>
        </is>
      </c>
      <c r="J82" s="13" t="inlineStr">
        <is>
          <t>Complete.</t>
        </is>
      </c>
      <c r="K82" s="14">
        <f>IF(AND(E82="yes",F82="yes",H82="covered"),1,IF(H82="partial",0.5,0))</f>
        <v/>
      </c>
    </row>
    <row r="83" ht="30" customHeight="1" s="24">
      <c r="A83" s="12" t="n">
        <v>75</v>
      </c>
      <c r="B83" s="13" t="inlineStr">
        <is>
          <t>Public API</t>
        </is>
      </c>
      <c r="C83" s="13" t="inlineStr">
        <is>
          <t>Separator</t>
        </is>
      </c>
      <c r="D83" s="13" t="inlineStr">
        <is>
          <t>is not keyboard highlightable</t>
        </is>
      </c>
      <c r="E83" s="18" t="inlineStr">
        <is>
          <t>yes</t>
        </is>
      </c>
      <c r="F83" s="18" t="inlineStr">
        <is>
          <t>yes</t>
        </is>
      </c>
      <c r="G83" s="12" t="inlineStr">
        <is>
          <t>pass</t>
        </is>
      </c>
      <c r="H83" s="22" t="inlineStr">
        <is>
          <t>covered</t>
        </is>
      </c>
      <c r="I83" s="13" t="inlineStr">
        <is>
          <t>Menu playground typeahead/disabled batch; manually verified.</t>
        </is>
      </c>
      <c r="J83" s="13" t="inlineStr">
        <is>
          <t>Complete.</t>
        </is>
      </c>
      <c r="K83" s="14">
        <f>IF(AND(E83="yes",F83="yes",H83="covered"),1,IF(H83="partial",0.5,0))</f>
        <v/>
      </c>
    </row>
    <row r="84" ht="30" customHeight="1" s="24">
      <c r="A84" s="12" t="n">
        <v>76</v>
      </c>
      <c r="B84" s="13" t="inlineStr">
        <is>
          <t>Public API</t>
        </is>
      </c>
      <c r="C84" s="13" t="inlineStr">
        <is>
          <t>Sub</t>
        </is>
      </c>
      <c r="D84" s="13" t="inlineStr">
        <is>
          <t>defaultOpen initializes uncontrolled submenu</t>
        </is>
      </c>
      <c r="E84" s="18" t="inlineStr">
        <is>
          <t>yes</t>
        </is>
      </c>
      <c r="F84" s="18" t="inlineStr">
        <is>
          <t>yes</t>
        </is>
      </c>
      <c r="G84" s="12" t="inlineStr">
        <is>
          <t>pass</t>
        </is>
      </c>
      <c r="H84" s="22" t="inlineStr">
        <is>
          <t>covered</t>
        </is>
      </c>
      <c r="I84" s="13" t="inlineStr">
        <is>
          <t>Menu playground scenario; manually verified in current batches.</t>
        </is>
      </c>
      <c r="J84" s="13" t="inlineStr">
        <is>
          <t>Complete.</t>
        </is>
      </c>
      <c r="K84" s="14">
        <f>IF(AND(E84="yes",F84="yes",H84="covered"),1,IF(H84="partial",0.5,0))</f>
        <v/>
      </c>
    </row>
    <row r="85" ht="30" customHeight="1" s="24">
      <c r="A85" s="12" t="n">
        <v>77</v>
      </c>
      <c r="B85" s="13" t="inlineStr">
        <is>
          <t>Public API</t>
        </is>
      </c>
      <c r="C85" s="13" t="inlineStr">
        <is>
          <t>Sub</t>
        </is>
      </c>
      <c r="D85" s="13" t="inlineStr">
        <is>
          <t>open prop controls submenu</t>
        </is>
      </c>
      <c r="E85" s="18" t="inlineStr">
        <is>
          <t>yes</t>
        </is>
      </c>
      <c r="F85" s="18" t="inlineStr">
        <is>
          <t>yes</t>
        </is>
      </c>
      <c r="G85" s="12" t="inlineStr">
        <is>
          <t>pass</t>
        </is>
      </c>
      <c r="H85" s="22" t="inlineStr">
        <is>
          <t>covered</t>
        </is>
      </c>
      <c r="I85" s="13" t="inlineStr">
        <is>
          <t>Menu playground scenario; manually verified in current batches.</t>
        </is>
      </c>
      <c r="J85" s="13" t="inlineStr">
        <is>
          <t>Complete.</t>
        </is>
      </c>
      <c r="K85" s="14">
        <f>IF(AND(E85="yes",F85="yes",H85="covered"),1,IF(H85="partial",0.5,0))</f>
        <v/>
      </c>
    </row>
    <row r="86" ht="30" customHeight="1" s="24">
      <c r="A86" s="12" t="n">
        <v>78</v>
      </c>
      <c r="B86" s="13" t="inlineStr">
        <is>
          <t>Public API</t>
        </is>
      </c>
      <c r="C86" s="13" t="inlineStr">
        <is>
          <t>Sub</t>
        </is>
      </c>
      <c r="D86" s="13" t="inlineStr">
        <is>
          <t>onOpenChange fires for controlled submenu</t>
        </is>
      </c>
      <c r="E86" s="18" t="inlineStr">
        <is>
          <t>yes</t>
        </is>
      </c>
      <c r="F86" s="18" t="inlineStr">
        <is>
          <t>yes</t>
        </is>
      </c>
      <c r="G86" s="12" t="inlineStr">
        <is>
          <t>pass</t>
        </is>
      </c>
      <c r="H86" s="22" t="inlineStr">
        <is>
          <t>covered</t>
        </is>
      </c>
      <c r="I86" s="13" t="inlineStr">
        <is>
          <t>Menu playground scenario; manually verified in current batches.</t>
        </is>
      </c>
      <c r="J86" s="13" t="inlineStr">
        <is>
          <t>Complete.</t>
        </is>
      </c>
      <c r="K86" s="14">
        <f>IF(AND(E86="yes",F86="yes",H86="covered"),1,IF(H86="partial",0.5,0))</f>
        <v/>
      </c>
    </row>
    <row r="87" ht="30" customHeight="1" s="24">
      <c r="A87" s="12" t="n">
        <v>79</v>
      </c>
      <c r="B87" s="13" t="inlineStr">
        <is>
          <t>Public API</t>
        </is>
      </c>
      <c r="C87" s="13" t="inlineStr">
        <is>
          <t>Sub</t>
        </is>
      </c>
      <c r="D87" s="13" t="inlineStr">
        <is>
          <t>only one uncontrolled submenu is open at a time</t>
        </is>
      </c>
      <c r="E87" s="18" t="inlineStr">
        <is>
          <t>yes</t>
        </is>
      </c>
      <c r="F87" s="18" t="inlineStr">
        <is>
          <t>yes</t>
        </is>
      </c>
      <c r="G87" s="12" t="inlineStr">
        <is>
          <t>passed</t>
        </is>
      </c>
      <c r="H87" s="22" t="inlineStr">
        <is>
          <t>covered</t>
        </is>
      </c>
      <c r="I87" s="13" t="inlineStr">
        <is>
          <t>Menu playground renders two sibling submenus and verifies opening one closes the other.</t>
        </is>
      </c>
      <c r="J87" s="13" t="n"/>
      <c r="K87" s="14">
        <f>IF(AND(E87="yes",F87="yes",H87="covered"),1,IF(H87="partial",0.5,0))</f>
        <v/>
      </c>
    </row>
    <row r="88" ht="30" customHeight="1" s="24">
      <c r="A88" s="12" t="n">
        <v>80</v>
      </c>
      <c r="B88" s="13" t="inlineStr">
        <is>
          <t>Public API</t>
        </is>
      </c>
      <c r="C88" s="13" t="inlineStr">
        <is>
          <t>Sub Trigger</t>
        </is>
      </c>
      <c r="D88" s="13" t="inlineStr">
        <is>
          <t>renders role menuitem</t>
        </is>
      </c>
      <c r="E88" s="18" t="inlineStr">
        <is>
          <t>yes</t>
        </is>
      </c>
      <c r="F88" s="18" t="inlineStr">
        <is>
          <t>yes</t>
        </is>
      </c>
      <c r="G88" s="12" t="inlineStr">
        <is>
          <t>pass</t>
        </is>
      </c>
      <c r="H88" s="22" t="inlineStr">
        <is>
          <t>covered</t>
        </is>
      </c>
      <c r="I88" s="13" t="inlineStr">
        <is>
          <t>Menu playground scenario; manually verified in current batches.</t>
        </is>
      </c>
      <c r="J88" s="13" t="inlineStr">
        <is>
          <t>Complete.</t>
        </is>
      </c>
      <c r="K88" s="14">
        <f>IF(AND(E88="yes",F88="yes",H88="covered"),1,IF(H88="partial",0.5,0))</f>
        <v/>
      </c>
    </row>
    <row r="89" ht="30" customHeight="1" s="24">
      <c r="A89" s="12" t="n">
        <v>81</v>
      </c>
      <c r="B89" s="13" t="inlineStr">
        <is>
          <t>Public API</t>
        </is>
      </c>
      <c r="C89" s="13" t="inlineStr">
        <is>
          <t>Sub Trigger</t>
        </is>
      </c>
      <c r="D89" s="13" t="inlineStr">
        <is>
          <t>aria-haspopup is menu</t>
        </is>
      </c>
      <c r="E89" s="18" t="inlineStr">
        <is>
          <t>yes</t>
        </is>
      </c>
      <c r="F89" s="18" t="inlineStr">
        <is>
          <t>yes</t>
        </is>
      </c>
      <c r="G89" s="12" t="inlineStr">
        <is>
          <t>pass</t>
        </is>
      </c>
      <c r="H89" s="22" t="inlineStr">
        <is>
          <t>covered</t>
        </is>
      </c>
      <c r="I89" s="13" t="inlineStr">
        <is>
          <t>Menu playground scenario; manually verified in current batches.</t>
        </is>
      </c>
      <c r="J89" s="13" t="inlineStr">
        <is>
          <t>Complete.</t>
        </is>
      </c>
      <c r="K89" s="14">
        <f>IF(AND(E89="yes",F89="yes",H89="covered"),1,IF(H89="partial",0.5,0))</f>
        <v/>
      </c>
    </row>
    <row r="90" ht="30" customHeight="1" s="24">
      <c r="A90" s="12" t="n">
        <v>82</v>
      </c>
      <c r="B90" s="13" t="inlineStr">
        <is>
          <t>Public API</t>
        </is>
      </c>
      <c r="C90" s="13" t="inlineStr">
        <is>
          <t>Sub Trigger</t>
        </is>
      </c>
      <c r="D90" s="13" t="inlineStr">
        <is>
          <t>aria-expanded reflects submenu open state</t>
        </is>
      </c>
      <c r="E90" s="18" t="inlineStr">
        <is>
          <t>yes</t>
        </is>
      </c>
      <c r="F90" s="18" t="inlineStr">
        <is>
          <t>yes</t>
        </is>
      </c>
      <c r="G90" s="12" t="inlineStr">
        <is>
          <t>pass</t>
        </is>
      </c>
      <c r="H90" s="22" t="inlineStr">
        <is>
          <t>covered</t>
        </is>
      </c>
      <c r="I90" s="13" t="inlineStr">
        <is>
          <t>Menu playground scenario; manually verified in current batches.</t>
        </is>
      </c>
      <c r="J90" s="13" t="inlineStr">
        <is>
          <t>Complete.</t>
        </is>
      </c>
      <c r="K90" s="14">
        <f>IF(AND(E90="yes",F90="yes",H90="covered"),1,IF(H90="partial",0.5,0))</f>
        <v/>
      </c>
    </row>
    <row r="91" ht="30" customHeight="1" s="24">
      <c r="A91" s="12" t="n">
        <v>83</v>
      </c>
      <c r="B91" s="13" t="inlineStr">
        <is>
          <t>Public API</t>
        </is>
      </c>
      <c r="C91" s="13" t="inlineStr">
        <is>
          <t>Sub Trigger</t>
        </is>
      </c>
      <c r="D91" s="13" t="inlineStr">
        <is>
          <t>data-state reflects submenu state</t>
        </is>
      </c>
      <c r="E91" s="18" t="inlineStr">
        <is>
          <t>yes</t>
        </is>
      </c>
      <c r="F91" s="18" t="inlineStr">
        <is>
          <t>yes</t>
        </is>
      </c>
      <c r="G91" s="12" t="inlineStr">
        <is>
          <t>pass</t>
        </is>
      </c>
      <c r="H91" s="22" t="inlineStr">
        <is>
          <t>covered</t>
        </is>
      </c>
      <c r="I91" s="13" t="inlineStr">
        <is>
          <t>Menu playground scenario; manually verified in current batches.</t>
        </is>
      </c>
      <c r="J91" s="13" t="inlineStr">
        <is>
          <t>Complete.</t>
        </is>
      </c>
      <c r="K91" s="14">
        <f>IF(AND(E91="yes",F91="yes",H91="covered"),1,IF(H91="partial",0.5,0))</f>
        <v/>
      </c>
    </row>
    <row r="92" ht="30" customHeight="1" s="24">
      <c r="A92" s="12" t="n">
        <v>84</v>
      </c>
      <c r="B92" s="13" t="inlineStr">
        <is>
          <t>Public API</t>
        </is>
      </c>
      <c r="C92" s="13" t="inlineStr">
        <is>
          <t>Sub Trigger</t>
        </is>
      </c>
      <c r="D92" s="13" t="inlineStr">
        <is>
          <t>data-slot is menu-sub-trigger</t>
        </is>
      </c>
      <c r="E92" s="18" t="inlineStr">
        <is>
          <t>yes</t>
        </is>
      </c>
      <c r="F92" s="18" t="inlineStr">
        <is>
          <t>yes</t>
        </is>
      </c>
      <c r="G92" s="12" t="inlineStr">
        <is>
          <t>pass</t>
        </is>
      </c>
      <c r="H92" s="22" t="inlineStr">
        <is>
          <t>covered</t>
        </is>
      </c>
      <c r="I92" s="13" t="inlineStr">
        <is>
          <t>Menu playground scenario; manually verified in current batches.</t>
        </is>
      </c>
      <c r="J92" s="13" t="inlineStr">
        <is>
          <t>Complete.</t>
        </is>
      </c>
      <c r="K92" s="14">
        <f>IF(AND(E92="yes",F92="yes",H92="covered"),1,IF(H92="partial",0.5,0))</f>
        <v/>
      </c>
    </row>
    <row r="93" ht="30" customHeight="1" s="24">
      <c r="A93" s="12" t="n">
        <v>85</v>
      </c>
      <c r="B93" s="13" t="inlineStr">
        <is>
          <t>Public API</t>
        </is>
      </c>
      <c r="C93" s="13" t="inlineStr">
        <is>
          <t>Sub Trigger</t>
        </is>
      </c>
      <c r="D93" s="13" t="inlineStr">
        <is>
          <t>hover opens submenu after delay</t>
        </is>
      </c>
      <c r="E93" s="18" t="inlineStr">
        <is>
          <t>yes</t>
        </is>
      </c>
      <c r="F93" s="18" t="inlineStr">
        <is>
          <t>yes</t>
        </is>
      </c>
      <c r="G93" s="12" t="inlineStr">
        <is>
          <t>pass</t>
        </is>
      </c>
      <c r="H93" s="22" t="inlineStr">
        <is>
          <t>covered</t>
        </is>
      </c>
      <c r="I93" s="13" t="inlineStr">
        <is>
          <t>Menu playground scenario; manually verified in current batches.</t>
        </is>
      </c>
      <c r="J93" s="13" t="inlineStr">
        <is>
          <t>Complete.</t>
        </is>
      </c>
      <c r="K93" s="14">
        <f>IF(AND(E93="yes",F93="yes",H93="covered"),1,IF(H93="partial",0.5,0))</f>
        <v/>
      </c>
    </row>
    <row r="94" ht="30" customHeight="1" s="24">
      <c r="A94" s="12" t="n">
        <v>86</v>
      </c>
      <c r="B94" s="13" t="inlineStr">
        <is>
          <t>Public API</t>
        </is>
      </c>
      <c r="C94" s="13" t="inlineStr">
        <is>
          <t>Sub Trigger</t>
        </is>
      </c>
      <c r="D94" s="13" t="inlineStr">
        <is>
          <t>click toggles submenu</t>
        </is>
      </c>
      <c r="E94" s="18" t="inlineStr">
        <is>
          <t>yes</t>
        </is>
      </c>
      <c r="F94" s="18" t="inlineStr">
        <is>
          <t>yes</t>
        </is>
      </c>
      <c r="G94" s="12" t="inlineStr">
        <is>
          <t>pass</t>
        </is>
      </c>
      <c r="H94" s="22" t="inlineStr">
        <is>
          <t>covered</t>
        </is>
      </c>
      <c r="I94" s="13" t="inlineStr">
        <is>
          <t>Menu playground scenario; manually verified in current batches.</t>
        </is>
      </c>
      <c r="J94" s="13" t="inlineStr">
        <is>
          <t>Complete.</t>
        </is>
      </c>
      <c r="K94" s="14">
        <f>IF(AND(E94="yes",F94="yes",H94="covered"),1,IF(H94="partial",0.5,0))</f>
        <v/>
      </c>
    </row>
    <row r="95" ht="30" customHeight="1" s="24">
      <c r="A95" s="12" t="n">
        <v>87</v>
      </c>
      <c r="B95" s="13" t="inlineStr">
        <is>
          <t>Public API</t>
        </is>
      </c>
      <c r="C95" s="13" t="inlineStr">
        <is>
          <t>Sub Trigger</t>
        </is>
      </c>
      <c r="D95" s="13" t="inlineStr">
        <is>
          <t>ArrowRight opens submenu</t>
        </is>
      </c>
      <c r="E95" s="18" t="inlineStr">
        <is>
          <t>yes</t>
        </is>
      </c>
      <c r="F95" s="18" t="inlineStr">
        <is>
          <t>yes</t>
        </is>
      </c>
      <c r="G95" s="12" t="inlineStr">
        <is>
          <t>pass</t>
        </is>
      </c>
      <c r="H95" s="22" t="inlineStr">
        <is>
          <t>covered</t>
        </is>
      </c>
      <c r="I95" s="13" t="inlineStr">
        <is>
          <t>Menu playground scenario; manually verified in current batches.</t>
        </is>
      </c>
      <c r="J95" s="13" t="inlineStr">
        <is>
          <t>Complete.</t>
        </is>
      </c>
      <c r="K95" s="14">
        <f>IF(AND(E95="yes",F95="yes",H95="covered"),1,IF(H95="partial",0.5,0))</f>
        <v/>
      </c>
    </row>
    <row r="96" ht="45" customHeight="1" s="24">
      <c r="A96" s="12" t="n">
        <v>88</v>
      </c>
      <c r="B96" s="13" t="inlineStr">
        <is>
          <t>Public API</t>
        </is>
      </c>
      <c r="C96" s="13" t="inlineStr">
        <is>
          <t>Sub Trigger</t>
        </is>
      </c>
      <c r="D96" s="13" t="inlineStr">
        <is>
          <t>disabled sub trigger is skipped</t>
        </is>
      </c>
      <c r="E96" s="18" t="inlineStr">
        <is>
          <t>yes</t>
        </is>
      </c>
      <c r="F96" s="18" t="inlineStr">
        <is>
          <t>yes</t>
        </is>
      </c>
      <c r="G96" s="12" t="inlineStr">
        <is>
          <t>passed</t>
        </is>
      </c>
      <c r="H96" s="22" t="inlineStr">
        <is>
          <t>covered</t>
        </is>
      </c>
      <c r="I96" s="13" t="inlineStr">
        <is>
          <t>Menu playground Submenu -&gt; Disable share submenu verifies disabled SubTrigger is skipped and does not open.</t>
        </is>
      </c>
      <c r="J96" s="13" t="n"/>
      <c r="K96" s="14">
        <f>IF(AND(E96="yes",F96="yes",H96="covered"),1,IF(H96="partial",0.5,0))</f>
        <v/>
      </c>
    </row>
    <row r="97" ht="30" customHeight="1" s="24">
      <c r="A97" s="12" t="n">
        <v>89</v>
      </c>
      <c r="B97" s="13" t="inlineStr">
        <is>
          <t>Public API</t>
        </is>
      </c>
      <c r="C97" s="13" t="inlineStr">
        <is>
          <t>Sub Trigger</t>
        </is>
      </c>
      <c r="D97" s="13" t="inlineStr">
        <is>
          <t>textValue is used for typeahead</t>
        </is>
      </c>
      <c r="E97" s="18" t="inlineStr">
        <is>
          <t>yes</t>
        </is>
      </c>
      <c r="F97" s="18" t="inlineStr">
        <is>
          <t>yes</t>
        </is>
      </c>
      <c r="G97" s="12" t="inlineStr">
        <is>
          <t>pass</t>
        </is>
      </c>
      <c r="H97" s="22" t="inlineStr">
        <is>
          <t>covered</t>
        </is>
      </c>
      <c r="I97" s="13" t="inlineStr">
        <is>
          <t>Menu playground typeahead/disabled batch; manually verified.</t>
        </is>
      </c>
      <c r="J97" s="13" t="inlineStr">
        <is>
          <t>Complete.</t>
        </is>
      </c>
      <c r="K97" s="14">
        <f>IF(AND(E97="yes",F97="yes",H97="covered"),1,IF(H97="partial",0.5,0))</f>
        <v/>
      </c>
    </row>
    <row r="98" ht="30" customHeight="1" s="24">
      <c r="A98" s="12" t="n">
        <v>90</v>
      </c>
      <c r="B98" s="13" t="inlineStr">
        <is>
          <t>Public API</t>
        </is>
      </c>
      <c r="C98" s="13" t="inlineStr">
        <is>
          <t>Sub Content</t>
        </is>
      </c>
      <c r="D98" s="13" t="inlineStr">
        <is>
          <t>renders role menu</t>
        </is>
      </c>
      <c r="E98" s="18" t="inlineStr">
        <is>
          <t>yes</t>
        </is>
      </c>
      <c r="F98" s="18" t="inlineStr">
        <is>
          <t>yes</t>
        </is>
      </c>
      <c r="G98" s="12" t="inlineStr">
        <is>
          <t>pass</t>
        </is>
      </c>
      <c r="H98" s="22" t="inlineStr">
        <is>
          <t>covered</t>
        </is>
      </c>
      <c r="I98" s="13" t="inlineStr">
        <is>
          <t>Menu playground scenario; manually verified in current batches.</t>
        </is>
      </c>
      <c r="J98" s="13" t="inlineStr">
        <is>
          <t>Complete.</t>
        </is>
      </c>
      <c r="K98" s="14">
        <f>IF(AND(E98="yes",F98="yes",H98="covered"),1,IF(H98="partial",0.5,0))</f>
        <v/>
      </c>
    </row>
    <row r="99" ht="30" customHeight="1" s="24">
      <c r="A99" s="12" t="n">
        <v>91</v>
      </c>
      <c r="B99" s="13" t="inlineStr">
        <is>
          <t>Public API</t>
        </is>
      </c>
      <c r="C99" s="13" t="inlineStr">
        <is>
          <t>Sub Content</t>
        </is>
      </c>
      <c r="D99" s="13" t="inlineStr">
        <is>
          <t>aria-label prop names submenu</t>
        </is>
      </c>
      <c r="E99" s="18" t="inlineStr">
        <is>
          <t>yes</t>
        </is>
      </c>
      <c r="F99" s="18" t="inlineStr">
        <is>
          <t>yes</t>
        </is>
      </c>
      <c r="G99" s="12" t="inlineStr">
        <is>
          <t>pass</t>
        </is>
      </c>
      <c r="H99" s="22" t="inlineStr">
        <is>
          <t>covered</t>
        </is>
      </c>
      <c r="I99" s="13" t="inlineStr">
        <is>
          <t>Menu playground nested submenu batch; manually verified.</t>
        </is>
      </c>
      <c r="J99" s="13" t="inlineStr">
        <is>
          <t>Complete.</t>
        </is>
      </c>
      <c r="K99" s="14">
        <f>IF(AND(E99="yes",F99="yes",H99="covered"),1,IF(H99="partial",0.5,0))</f>
        <v/>
      </c>
    </row>
    <row r="100" ht="30" customHeight="1" s="24">
      <c r="A100" s="12" t="n">
        <v>92</v>
      </c>
      <c r="B100" s="13" t="inlineStr">
        <is>
          <t>Public API</t>
        </is>
      </c>
      <c r="C100" s="13" t="inlineStr">
        <is>
          <t>Sub Content</t>
        </is>
      </c>
      <c r="D100" s="13" t="inlineStr">
        <is>
          <t>aria-labelledby references sub trigger when ariaLabel is absent</t>
        </is>
      </c>
      <c r="E100" s="18" t="inlineStr">
        <is>
          <t>yes</t>
        </is>
      </c>
      <c r="F100" s="18" t="inlineStr">
        <is>
          <t>yes</t>
        </is>
      </c>
      <c r="G100" s="12" t="inlineStr">
        <is>
          <t>pass</t>
        </is>
      </c>
      <c r="H100" s="22" t="inlineStr">
        <is>
          <t>covered</t>
        </is>
      </c>
      <c r="I100" s="13" t="inlineStr">
        <is>
          <t>Menu playground scenario; manually verified in current batches.</t>
        </is>
      </c>
      <c r="J100" s="13" t="inlineStr">
        <is>
          <t>Complete.</t>
        </is>
      </c>
      <c r="K100" s="14">
        <f>IF(AND(E100="yes",F100="yes",H100="covered"),1,IF(H100="partial",0.5,0))</f>
        <v/>
      </c>
    </row>
    <row r="101" ht="30" customHeight="1" s="24">
      <c r="A101" s="12" t="n">
        <v>93</v>
      </c>
      <c r="B101" s="13" t="inlineStr">
        <is>
          <t>Public API</t>
        </is>
      </c>
      <c r="C101" s="13" t="inlineStr">
        <is>
          <t>Sub Content</t>
        </is>
      </c>
      <c r="D101" s="13" t="inlineStr">
        <is>
          <t>data-slot is menu-sub-content</t>
        </is>
      </c>
      <c r="E101" s="18" t="inlineStr">
        <is>
          <t>yes</t>
        </is>
      </c>
      <c r="F101" s="18" t="inlineStr">
        <is>
          <t>yes</t>
        </is>
      </c>
      <c r="G101" s="12" t="inlineStr">
        <is>
          <t>pass</t>
        </is>
      </c>
      <c r="H101" s="22" t="inlineStr">
        <is>
          <t>covered</t>
        </is>
      </c>
      <c r="I101" s="13" t="inlineStr">
        <is>
          <t>Menu playground scenario; manually verified in current batches.</t>
        </is>
      </c>
      <c r="J101" s="13" t="inlineStr">
        <is>
          <t>Complete.</t>
        </is>
      </c>
      <c r="K101" s="14">
        <f>IF(AND(E101="yes",F101="yes",H101="covered"),1,IF(H101="partial",0.5,0))</f>
        <v/>
      </c>
    </row>
    <row r="102" ht="30" customHeight="1" s="24">
      <c r="A102" s="12" t="n">
        <v>94</v>
      </c>
      <c r="B102" s="13" t="inlineStr">
        <is>
          <t>Public API</t>
        </is>
      </c>
      <c r="C102" s="13" t="inlineStr">
        <is>
          <t>Sub Content</t>
        </is>
      </c>
      <c r="D102" s="13" t="inlineStr">
        <is>
          <t>data-state is open</t>
        </is>
      </c>
      <c r="E102" s="18" t="inlineStr">
        <is>
          <t>yes</t>
        </is>
      </c>
      <c r="F102" s="18" t="inlineStr">
        <is>
          <t>yes</t>
        </is>
      </c>
      <c r="G102" s="12" t="inlineStr">
        <is>
          <t>pass</t>
        </is>
      </c>
      <c r="H102" s="22" t="inlineStr">
        <is>
          <t>covered</t>
        </is>
      </c>
      <c r="I102" s="13" t="inlineStr">
        <is>
          <t>Menu playground scenario; manually verified in current batches.</t>
        </is>
      </c>
      <c r="J102" s="13" t="inlineStr">
        <is>
          <t>Complete.</t>
        </is>
      </c>
      <c r="K102" s="14">
        <f>IF(AND(E102="yes",F102="yes",H102="covered"),1,IF(H102="partial",0.5,0))</f>
        <v/>
      </c>
    </row>
    <row r="103" ht="30" customHeight="1" s="24">
      <c r="A103" s="12" t="n">
        <v>95</v>
      </c>
      <c r="B103" s="13" t="inlineStr">
        <is>
          <t>Public API</t>
        </is>
      </c>
      <c r="C103" s="13" t="inlineStr">
        <is>
          <t>Sub Content</t>
        </is>
      </c>
      <c r="D103" s="13" t="inlineStr">
        <is>
          <t>data-side reflects final placement</t>
        </is>
      </c>
      <c r="E103" s="18" t="inlineStr">
        <is>
          <t>yes</t>
        </is>
      </c>
      <c r="F103" s="18" t="inlineStr">
        <is>
          <t>yes</t>
        </is>
      </c>
      <c r="G103" s="12" t="inlineStr">
        <is>
          <t>pass</t>
        </is>
      </c>
      <c r="H103" s="22" t="inlineStr">
        <is>
          <t>covered</t>
        </is>
      </c>
      <c r="I103" s="13" t="inlineStr">
        <is>
          <t>Menu playground scenario; manually verified in current batches.</t>
        </is>
      </c>
      <c r="J103" s="13" t="inlineStr">
        <is>
          <t>Complete.</t>
        </is>
      </c>
      <c r="K103" s="14">
        <f>IF(AND(E103="yes",F103="yes",H103="covered"),1,IF(H103="partial",0.5,0))</f>
        <v/>
      </c>
    </row>
    <row r="104" ht="30" customHeight="1" s="24">
      <c r="A104" s="12" t="n">
        <v>96</v>
      </c>
      <c r="B104" s="13" t="inlineStr">
        <is>
          <t>Public API</t>
        </is>
      </c>
      <c r="C104" s="13" t="inlineStr">
        <is>
          <t>Sub Content</t>
        </is>
      </c>
      <c r="D104" s="13" t="inlineStr">
        <is>
          <t>data-positioned appears after positioning</t>
        </is>
      </c>
      <c r="E104" s="18" t="inlineStr">
        <is>
          <t>yes</t>
        </is>
      </c>
      <c r="F104" s="18" t="inlineStr">
        <is>
          <t>yes</t>
        </is>
      </c>
      <c r="G104" s="12" t="inlineStr">
        <is>
          <t>pass</t>
        </is>
      </c>
      <c r="H104" s="22" t="inlineStr">
        <is>
          <t>covered</t>
        </is>
      </c>
      <c r="I104" s="13" t="inlineStr">
        <is>
          <t>Menu playground scenario; manually verified in current batches.</t>
        </is>
      </c>
      <c r="J104" s="13" t="inlineStr">
        <is>
          <t>Complete.</t>
        </is>
      </c>
      <c r="K104" s="14">
        <f>IF(AND(E104="yes",F104="yes",H104="covered"),1,IF(H104="partial",0.5,0))</f>
        <v/>
      </c>
    </row>
    <row r="105" ht="30" customHeight="1" s="24">
      <c r="A105" s="12" t="n">
        <v>97</v>
      </c>
      <c r="B105" s="13" t="inlineStr">
        <is>
          <t>Public API</t>
        </is>
      </c>
      <c r="C105" s="13" t="inlineStr">
        <is>
          <t>Sub Content</t>
        </is>
      </c>
      <c r="D105" s="13" t="inlineStr">
        <is>
          <t>sideOffset changes submenu distance</t>
        </is>
      </c>
      <c r="E105" s="18" t="inlineStr">
        <is>
          <t>yes</t>
        </is>
      </c>
      <c r="F105" s="18" t="inlineStr">
        <is>
          <t>yes</t>
        </is>
      </c>
      <c r="G105" s="12" t="inlineStr">
        <is>
          <t>pass</t>
        </is>
      </c>
      <c r="H105" s="22" t="inlineStr">
        <is>
          <t>covered</t>
        </is>
      </c>
      <c r="I105" s="13" t="inlineStr">
        <is>
          <t>Menu playground nested submenu batch; manually verified.</t>
        </is>
      </c>
      <c r="J105" s="13" t="inlineStr">
        <is>
          <t>Complete.</t>
        </is>
      </c>
      <c r="K105" s="14">
        <f>IF(AND(E105="yes",F105="yes",H105="covered"),1,IF(H105="partial",0.5,0))</f>
        <v/>
      </c>
    </row>
    <row r="106" ht="30" customHeight="1" s="24">
      <c r="A106" s="12" t="n">
        <v>98</v>
      </c>
      <c r="B106" s="13" t="inlineStr">
        <is>
          <t>Public API</t>
        </is>
      </c>
      <c r="C106" s="13" t="inlineStr">
        <is>
          <t>Sub Content</t>
        </is>
      </c>
      <c r="D106" s="13" t="inlineStr">
        <is>
          <t>loop prop controls submenu wrapping</t>
        </is>
      </c>
      <c r="E106" s="18" t="inlineStr">
        <is>
          <t>yes</t>
        </is>
      </c>
      <c r="F106" s="18" t="inlineStr">
        <is>
          <t>yes</t>
        </is>
      </c>
      <c r="G106" s="12" t="inlineStr">
        <is>
          <t>passed</t>
        </is>
      </c>
      <c r="H106" s="22" t="inlineStr">
        <is>
          <t>covered</t>
        </is>
      </c>
      <c r="I106" s="13" t="inlineStr">
        <is>
          <t>Menu playground submenu keyboard navigation verifies SubContent looping behavior.</t>
        </is>
      </c>
      <c r="J106" s="13" t="n"/>
      <c r="K106" s="14">
        <f>IF(AND(E106="yes",F106="yes",H106="covered"),1,IF(H106="partial",0.5,0))</f>
        <v/>
      </c>
    </row>
    <row r="107" ht="30" customHeight="1" s="24">
      <c r="A107" s="12" t="n">
        <v>99</v>
      </c>
      <c r="B107" s="13" t="inlineStr">
        <is>
          <t>Interaction</t>
        </is>
      </c>
      <c r="C107" s="13" t="inlineStr">
        <is>
          <t>Open And Close</t>
        </is>
      </c>
      <c r="D107" s="13" t="inlineStr">
        <is>
          <t>open button opens menu</t>
        </is>
      </c>
      <c r="E107" s="18" t="inlineStr">
        <is>
          <t>yes</t>
        </is>
      </c>
      <c r="F107" s="18" t="inlineStr">
        <is>
          <t>yes</t>
        </is>
      </c>
      <c r="G107" s="12" t="inlineStr">
        <is>
          <t>pass</t>
        </is>
      </c>
      <c r="H107" s="22" t="inlineStr">
        <is>
          <t>covered</t>
        </is>
      </c>
      <c r="I107" s="13" t="inlineStr">
        <is>
          <t>Menu playground scenario; manually verified in current batches.</t>
        </is>
      </c>
      <c r="J107" s="13" t="inlineStr">
        <is>
          <t>Complete.</t>
        </is>
      </c>
      <c r="K107" s="14">
        <f>IF(AND(E107="yes",F107="yes",H107="covered"),1,IF(H107="partial",0.5,0))</f>
        <v/>
      </c>
    </row>
    <row r="108" ht="30" customHeight="1" s="24">
      <c r="A108" s="12" t="n">
        <v>100</v>
      </c>
      <c r="B108" s="13" t="inlineStr">
        <is>
          <t>Interaction</t>
        </is>
      </c>
      <c r="C108" s="13" t="inlineStr">
        <is>
          <t>Open And Close</t>
        </is>
      </c>
      <c r="D108" s="13" t="inlineStr">
        <is>
          <t>controlled open button opens menu</t>
        </is>
      </c>
      <c r="E108" s="18" t="inlineStr">
        <is>
          <t>yes</t>
        </is>
      </c>
      <c r="F108" s="18" t="inlineStr">
        <is>
          <t>yes</t>
        </is>
      </c>
      <c r="G108" s="12" t="inlineStr">
        <is>
          <t>pass</t>
        </is>
      </c>
      <c r="H108" s="22" t="inlineStr">
        <is>
          <t>covered</t>
        </is>
      </c>
      <c r="I108" s="13" t="inlineStr">
        <is>
          <t>Menu playground scenario; manually verified in current batches.</t>
        </is>
      </c>
      <c r="J108" s="13" t="inlineStr">
        <is>
          <t>Complete.</t>
        </is>
      </c>
      <c r="K108" s="14">
        <f>IF(AND(E108="yes",F108="yes",H108="covered"),1,IF(H108="partial",0.5,0))</f>
        <v/>
      </c>
    </row>
    <row r="109" ht="30" customHeight="1" s="24">
      <c r="A109" s="12" t="n">
        <v>101</v>
      </c>
      <c r="B109" s="13" t="inlineStr">
        <is>
          <t>Interaction</t>
        </is>
      </c>
      <c r="C109" s="13" t="inlineStr">
        <is>
          <t>Open And Close</t>
        </is>
      </c>
      <c r="D109" s="13" t="inlineStr">
        <is>
          <t>controlled close button closes menu</t>
        </is>
      </c>
      <c r="E109" s="18" t="inlineStr">
        <is>
          <t>yes</t>
        </is>
      </c>
      <c r="F109" s="18" t="inlineStr">
        <is>
          <t>yes</t>
        </is>
      </c>
      <c r="G109" s="12" t="inlineStr">
        <is>
          <t>pass</t>
        </is>
      </c>
      <c r="H109" s="22" t="inlineStr">
        <is>
          <t>covered</t>
        </is>
      </c>
      <c r="I109" s="13" t="inlineStr">
        <is>
          <t>Menu playground scenario; manually verified in current batches.</t>
        </is>
      </c>
      <c r="J109" s="13" t="inlineStr">
        <is>
          <t>Complete.</t>
        </is>
      </c>
      <c r="K109" s="14">
        <f>IF(AND(E109="yes",F109="yes",H109="covered"),1,IF(H109="partial",0.5,0))</f>
        <v/>
      </c>
    </row>
    <row r="110" ht="30" customHeight="1" s="24">
      <c r="A110" s="12" t="n">
        <v>102</v>
      </c>
      <c r="B110" s="13" t="inlineStr">
        <is>
          <t>Interaction</t>
        </is>
      </c>
      <c r="C110" s="13" t="inlineStr">
        <is>
          <t>Open And Close</t>
        </is>
      </c>
      <c r="D110" s="13" t="inlineStr">
        <is>
          <t>outside click closes root menu</t>
        </is>
      </c>
      <c r="E110" s="18" t="inlineStr">
        <is>
          <t>yes</t>
        </is>
      </c>
      <c r="F110" s="18" t="inlineStr">
        <is>
          <t>yes</t>
        </is>
      </c>
      <c r="G110" s="12" t="inlineStr">
        <is>
          <t>pass</t>
        </is>
      </c>
      <c r="H110" s="22" t="inlineStr">
        <is>
          <t>covered</t>
        </is>
      </c>
      <c r="I110" s="13" t="inlineStr">
        <is>
          <t>Menu playground scenario; manually verified in current batches.</t>
        </is>
      </c>
      <c r="J110" s="13" t="inlineStr">
        <is>
          <t>Complete.</t>
        </is>
      </c>
      <c r="K110" s="14">
        <f>IF(AND(E110="yes",F110="yes",H110="covered"),1,IF(H110="partial",0.5,0))</f>
        <v/>
      </c>
    </row>
    <row r="111" ht="30" customHeight="1" s="24">
      <c r="A111" s="12" t="n">
        <v>103</v>
      </c>
      <c r="B111" s="13" t="inlineStr">
        <is>
          <t>Interaction</t>
        </is>
      </c>
      <c r="C111" s="13" t="inlineStr">
        <is>
          <t>Open And Close</t>
        </is>
      </c>
      <c r="D111" s="13" t="inlineStr">
        <is>
          <t>outside click closes submenu</t>
        </is>
      </c>
      <c r="E111" s="18" t="inlineStr">
        <is>
          <t>yes</t>
        </is>
      </c>
      <c r="F111" s="18" t="inlineStr">
        <is>
          <t>yes</t>
        </is>
      </c>
      <c r="G111" s="12" t="inlineStr">
        <is>
          <t>pass</t>
        </is>
      </c>
      <c r="H111" s="22" t="inlineStr">
        <is>
          <t>covered</t>
        </is>
      </c>
      <c r="I111" s="13" t="inlineStr">
        <is>
          <t>Menu playground scenario; manually verified in current batches.</t>
        </is>
      </c>
      <c r="J111" s="13" t="inlineStr">
        <is>
          <t>Complete.</t>
        </is>
      </c>
      <c r="K111" s="14">
        <f>IF(AND(E111="yes",F111="yes",H111="covered"),1,IF(H111="partial",0.5,0))</f>
        <v/>
      </c>
    </row>
    <row r="112" ht="30" customHeight="1" s="24">
      <c r="A112" s="12" t="n">
        <v>104</v>
      </c>
      <c r="B112" s="13" t="inlineStr">
        <is>
          <t>Interaction</t>
        </is>
      </c>
      <c r="C112" s="13" t="inlineStr">
        <is>
          <t>Open And Close</t>
        </is>
      </c>
      <c r="D112" s="13" t="inlineStr">
        <is>
          <t>Tab closes menu and returns focus to trigger</t>
        </is>
      </c>
      <c r="E112" s="18" t="inlineStr">
        <is>
          <t>yes</t>
        </is>
      </c>
      <c r="F112" s="18" t="inlineStr">
        <is>
          <t>yes</t>
        </is>
      </c>
      <c r="G112" s="12" t="inlineStr">
        <is>
          <t>pass</t>
        </is>
      </c>
      <c r="H112" s="22" t="inlineStr">
        <is>
          <t>covered</t>
        </is>
      </c>
      <c r="I112" s="13" t="inlineStr">
        <is>
          <t>Menu playground scenario; manually verified in current batches.</t>
        </is>
      </c>
      <c r="J112" s="13" t="inlineStr">
        <is>
          <t>Complete.</t>
        </is>
      </c>
      <c r="K112" s="14">
        <f>IF(AND(E112="yes",F112="yes",H112="covered"),1,IF(H112="partial",0.5,0))</f>
        <v/>
      </c>
    </row>
    <row r="113" ht="30" customHeight="1" s="24">
      <c r="A113" s="12" t="n">
        <v>105</v>
      </c>
      <c r="B113" s="13" t="inlineStr">
        <is>
          <t>Interaction</t>
        </is>
      </c>
      <c r="C113" s="13" t="inlineStr">
        <is>
          <t>Open And Close</t>
        </is>
      </c>
      <c r="D113" s="13" t="inlineStr">
        <is>
          <t>Escape closes root menu and returns focus</t>
        </is>
      </c>
      <c r="E113" s="18" t="inlineStr">
        <is>
          <t>yes</t>
        </is>
      </c>
      <c r="F113" s="18" t="inlineStr">
        <is>
          <t>yes</t>
        </is>
      </c>
      <c r="G113" s="12" t="inlineStr">
        <is>
          <t>pass</t>
        </is>
      </c>
      <c r="H113" s="22" t="inlineStr">
        <is>
          <t>covered</t>
        </is>
      </c>
      <c r="I113" s="13" t="inlineStr">
        <is>
          <t>Menu playground scenario; manually verified in current batches.</t>
        </is>
      </c>
      <c r="J113" s="13" t="inlineStr">
        <is>
          <t>Complete.</t>
        </is>
      </c>
      <c r="K113" s="14">
        <f>IF(AND(E113="yes",F113="yes",H113="covered"),1,IF(H113="partial",0.5,0))</f>
        <v/>
      </c>
    </row>
    <row r="114" ht="30" customHeight="1" s="24">
      <c r="A114" s="12" t="n">
        <v>106</v>
      </c>
      <c r="B114" s="13" t="inlineStr">
        <is>
          <t>Interaction</t>
        </is>
      </c>
      <c r="C114" s="13" t="inlineStr">
        <is>
          <t>Open And Close</t>
        </is>
      </c>
      <c r="D114" s="13" t="inlineStr">
        <is>
          <t>Escape closes submenu first and returns focus to parent content</t>
        </is>
      </c>
      <c r="E114" s="18" t="inlineStr">
        <is>
          <t>yes</t>
        </is>
      </c>
      <c r="F114" s="18" t="inlineStr">
        <is>
          <t>yes</t>
        </is>
      </c>
      <c r="G114" s="12" t="inlineStr">
        <is>
          <t>pass</t>
        </is>
      </c>
      <c r="H114" s="22" t="inlineStr">
        <is>
          <t>covered</t>
        </is>
      </c>
      <c r="I114" s="13" t="inlineStr">
        <is>
          <t>Menu playground scenario; manually verified in current batches.</t>
        </is>
      </c>
      <c r="J114" s="13" t="inlineStr">
        <is>
          <t>Complete.</t>
        </is>
      </c>
      <c r="K114" s="14">
        <f>IF(AND(E114="yes",F114="yes",H114="covered"),1,IF(H114="partial",0.5,0))</f>
        <v/>
      </c>
    </row>
    <row r="115" ht="30" customHeight="1" s="24">
      <c r="A115" s="12" t="n">
        <v>107</v>
      </c>
      <c r="B115" s="13" t="inlineStr">
        <is>
          <t>Interaction</t>
        </is>
      </c>
      <c r="C115" s="13" t="inlineStr">
        <is>
          <t>Open And Close</t>
        </is>
      </c>
      <c r="D115" s="13" t="inlineStr">
        <is>
          <t>selecting action item closes menu when enabled</t>
        </is>
      </c>
      <c r="E115" s="18" t="inlineStr">
        <is>
          <t>yes</t>
        </is>
      </c>
      <c r="F115" s="18" t="inlineStr">
        <is>
          <t>yes</t>
        </is>
      </c>
      <c r="G115" s="12" t="inlineStr">
        <is>
          <t>pass</t>
        </is>
      </c>
      <c r="H115" s="22" t="inlineStr">
        <is>
          <t>covered</t>
        </is>
      </c>
      <c r="I115" s="13" t="inlineStr">
        <is>
          <t>Menu playground scenario; manually verified in current batches.</t>
        </is>
      </c>
      <c r="J115" s="13" t="inlineStr">
        <is>
          <t>Complete.</t>
        </is>
      </c>
      <c r="K115" s="14">
        <f>IF(AND(E115="yes",F115="yes",H115="covered"),1,IF(H115="partial",0.5,0))</f>
        <v/>
      </c>
    </row>
    <row r="116" ht="30" customHeight="1" s="24">
      <c r="A116" s="12" t="n">
        <v>108</v>
      </c>
      <c r="B116" s="13" t="inlineStr">
        <is>
          <t>Interaction</t>
        </is>
      </c>
      <c r="C116" s="13" t="inlineStr">
        <is>
          <t>Open And Close</t>
        </is>
      </c>
      <c r="D116" s="13" t="inlineStr">
        <is>
          <t>selecting checkbox/radio stays open by default</t>
        </is>
      </c>
      <c r="E116" s="18" t="inlineStr">
        <is>
          <t>yes</t>
        </is>
      </c>
      <c r="F116" s="18" t="inlineStr">
        <is>
          <t>yes</t>
        </is>
      </c>
      <c r="G116" s="12" t="inlineStr">
        <is>
          <t>pass</t>
        </is>
      </c>
      <c r="H116" s="22" t="inlineStr">
        <is>
          <t>covered</t>
        </is>
      </c>
      <c r="I116" s="13" t="inlineStr">
        <is>
          <t>Menu playground scenario; manually verified in current batches.</t>
        </is>
      </c>
      <c r="J116" s="13" t="inlineStr">
        <is>
          <t>Complete.</t>
        </is>
      </c>
      <c r="K116" s="14">
        <f>IF(AND(E116="yes",F116="yes",H116="covered"),1,IF(H116="partial",0.5,0))</f>
        <v/>
      </c>
    </row>
    <row r="117" ht="30" customHeight="1" s="24">
      <c r="A117" s="12" t="n">
        <v>109</v>
      </c>
      <c r="B117" s="13" t="inlineStr">
        <is>
          <t>Keyboard</t>
        </is>
      </c>
      <c r="C117" s="13" t="inlineStr">
        <is>
          <t>Navigation</t>
        </is>
      </c>
      <c r="D117" s="13" t="inlineStr">
        <is>
          <t>ArrowDown moves to next enabled item</t>
        </is>
      </c>
      <c r="E117" s="18" t="inlineStr">
        <is>
          <t>yes</t>
        </is>
      </c>
      <c r="F117" s="18" t="inlineStr">
        <is>
          <t>yes</t>
        </is>
      </c>
      <c r="G117" s="12" t="inlineStr">
        <is>
          <t>pass</t>
        </is>
      </c>
      <c r="H117" s="22" t="inlineStr">
        <is>
          <t>covered</t>
        </is>
      </c>
      <c r="I117" s="13" t="inlineStr">
        <is>
          <t>Menu playground scenario; manually verified in current batches.</t>
        </is>
      </c>
      <c r="J117" s="13" t="inlineStr">
        <is>
          <t>Complete.</t>
        </is>
      </c>
      <c r="K117" s="14">
        <f>IF(AND(E117="yes",F117="yes",H117="covered"),1,IF(H117="partial",0.5,0))</f>
        <v/>
      </c>
    </row>
    <row r="118" ht="30" customHeight="1" s="24">
      <c r="A118" s="12" t="n">
        <v>110</v>
      </c>
      <c r="B118" s="13" t="inlineStr">
        <is>
          <t>Keyboard</t>
        </is>
      </c>
      <c r="C118" s="13" t="inlineStr">
        <is>
          <t>Navigation</t>
        </is>
      </c>
      <c r="D118" s="13" t="inlineStr">
        <is>
          <t>ArrowUp moves to previous enabled item</t>
        </is>
      </c>
      <c r="E118" s="18" t="inlineStr">
        <is>
          <t>yes</t>
        </is>
      </c>
      <c r="F118" s="18" t="inlineStr">
        <is>
          <t>yes</t>
        </is>
      </c>
      <c r="G118" s="12" t="inlineStr">
        <is>
          <t>pass</t>
        </is>
      </c>
      <c r="H118" s="22" t="inlineStr">
        <is>
          <t>covered</t>
        </is>
      </c>
      <c r="I118" s="13" t="inlineStr">
        <is>
          <t>Menu playground scenario; manually verified in current batches.</t>
        </is>
      </c>
      <c r="J118" s="13" t="inlineStr">
        <is>
          <t>Complete.</t>
        </is>
      </c>
      <c r="K118" s="14">
        <f>IF(AND(E118="yes",F118="yes",H118="covered"),1,IF(H118="partial",0.5,0))</f>
        <v/>
      </c>
    </row>
    <row r="119" ht="30" customHeight="1" s="24">
      <c r="A119" s="12" t="n">
        <v>111</v>
      </c>
      <c r="B119" s="13" t="inlineStr">
        <is>
          <t>Keyboard</t>
        </is>
      </c>
      <c r="C119" s="13" t="inlineStr">
        <is>
          <t>Navigation</t>
        </is>
      </c>
      <c r="D119" s="13" t="inlineStr">
        <is>
          <t>Home highlights first enabled item</t>
        </is>
      </c>
      <c r="E119" s="18" t="inlineStr">
        <is>
          <t>yes</t>
        </is>
      </c>
      <c r="F119" s="18" t="inlineStr">
        <is>
          <t>yes</t>
        </is>
      </c>
      <c r="G119" s="12" t="inlineStr">
        <is>
          <t>pass</t>
        </is>
      </c>
      <c r="H119" s="22" t="inlineStr">
        <is>
          <t>covered</t>
        </is>
      </c>
      <c r="I119" s="13" t="inlineStr">
        <is>
          <t>Menu playground keyboard batch; manually verified.</t>
        </is>
      </c>
      <c r="J119" s="13" t="inlineStr">
        <is>
          <t>Complete.</t>
        </is>
      </c>
      <c r="K119" s="14">
        <f>IF(AND(E119="yes",F119="yes",H119="covered"),1,IF(H119="partial",0.5,0))</f>
        <v/>
      </c>
    </row>
    <row r="120" ht="30" customHeight="1" s="24">
      <c r="A120" s="12" t="n">
        <v>112</v>
      </c>
      <c r="B120" s="13" t="inlineStr">
        <is>
          <t>Keyboard</t>
        </is>
      </c>
      <c r="C120" s="13" t="inlineStr">
        <is>
          <t>Navigation</t>
        </is>
      </c>
      <c r="D120" s="13" t="inlineStr">
        <is>
          <t>End highlights last enabled item</t>
        </is>
      </c>
      <c r="E120" s="18" t="inlineStr">
        <is>
          <t>yes</t>
        </is>
      </c>
      <c r="F120" s="18" t="inlineStr">
        <is>
          <t>yes</t>
        </is>
      </c>
      <c r="G120" s="12" t="inlineStr">
        <is>
          <t>pass</t>
        </is>
      </c>
      <c r="H120" s="22" t="inlineStr">
        <is>
          <t>covered</t>
        </is>
      </c>
      <c r="I120" s="13" t="inlineStr">
        <is>
          <t>Menu playground keyboard batch; manually verified.</t>
        </is>
      </c>
      <c r="J120" s="13" t="inlineStr">
        <is>
          <t>Complete.</t>
        </is>
      </c>
      <c r="K120" s="14">
        <f>IF(AND(E120="yes",F120="yes",H120="covered"),1,IF(H120="partial",0.5,0))</f>
        <v/>
      </c>
    </row>
    <row r="121" ht="30" customHeight="1" s="24">
      <c r="A121" s="12" t="n">
        <v>113</v>
      </c>
      <c r="B121" s="13" t="inlineStr">
        <is>
          <t>Keyboard</t>
        </is>
      </c>
      <c r="C121" s="13" t="inlineStr">
        <is>
          <t>Navigation</t>
        </is>
      </c>
      <c r="D121" s="13" t="inlineStr">
        <is>
          <t>loop forward wraps to first</t>
        </is>
      </c>
      <c r="E121" s="18" t="inlineStr">
        <is>
          <t>yes</t>
        </is>
      </c>
      <c r="F121" s="18" t="inlineStr">
        <is>
          <t>yes</t>
        </is>
      </c>
      <c r="G121" s="12" t="inlineStr">
        <is>
          <t>pass</t>
        </is>
      </c>
      <c r="H121" s="22" t="inlineStr">
        <is>
          <t>covered</t>
        </is>
      </c>
      <c r="I121" s="13" t="inlineStr">
        <is>
          <t>Menu playground scenario; manually verified in current batches.</t>
        </is>
      </c>
      <c r="J121" s="13" t="inlineStr">
        <is>
          <t>Complete.</t>
        </is>
      </c>
      <c r="K121" s="14">
        <f>IF(AND(E121="yes",F121="yes",H121="covered"),1,IF(H121="partial",0.5,0))</f>
        <v/>
      </c>
    </row>
    <row r="122" ht="30" customHeight="1" s="24">
      <c r="A122" s="12" t="n">
        <v>114</v>
      </c>
      <c r="B122" s="13" t="inlineStr">
        <is>
          <t>Keyboard</t>
        </is>
      </c>
      <c r="C122" s="13" t="inlineStr">
        <is>
          <t>Navigation</t>
        </is>
      </c>
      <c r="D122" s="13" t="inlineStr">
        <is>
          <t>loop backward wraps to last</t>
        </is>
      </c>
      <c r="E122" s="18" t="inlineStr">
        <is>
          <t>yes</t>
        </is>
      </c>
      <c r="F122" s="18" t="inlineStr">
        <is>
          <t>yes</t>
        </is>
      </c>
      <c r="G122" s="12" t="inlineStr">
        <is>
          <t>pass</t>
        </is>
      </c>
      <c r="H122" s="22" t="inlineStr">
        <is>
          <t>covered</t>
        </is>
      </c>
      <c r="I122" s="13" t="inlineStr">
        <is>
          <t>Menu playground keyboard batch; manually verified.</t>
        </is>
      </c>
      <c r="J122" s="13" t="inlineStr">
        <is>
          <t>Complete.</t>
        </is>
      </c>
      <c r="K122" s="14">
        <f>IF(AND(E122="yes",F122="yes",H122="covered"),1,IF(H122="partial",0.5,0))</f>
        <v/>
      </c>
    </row>
    <row r="123" ht="30" customHeight="1" s="24">
      <c r="A123" s="12" t="n">
        <v>115</v>
      </c>
      <c r="B123" s="13" t="inlineStr">
        <is>
          <t>Keyboard</t>
        </is>
      </c>
      <c r="C123" s="13" t="inlineStr">
        <is>
          <t>Navigation</t>
        </is>
      </c>
      <c r="D123" s="13" t="inlineStr">
        <is>
          <t>disabled items are skipped by Arrow keys</t>
        </is>
      </c>
      <c r="E123" s="18" t="inlineStr">
        <is>
          <t>yes</t>
        </is>
      </c>
      <c r="F123" s="18" t="inlineStr">
        <is>
          <t>yes</t>
        </is>
      </c>
      <c r="G123" s="12" t="inlineStr">
        <is>
          <t>pass</t>
        </is>
      </c>
      <c r="H123" s="22" t="inlineStr">
        <is>
          <t>covered</t>
        </is>
      </c>
      <c r="I123" s="13" t="inlineStr">
        <is>
          <t>Menu playground typeahead/disabled batch; manually verified.</t>
        </is>
      </c>
      <c r="J123" s="13" t="inlineStr">
        <is>
          <t>Complete.</t>
        </is>
      </c>
      <c r="K123" s="14">
        <f>IF(AND(E123="yes",F123="yes",H123="covered"),1,IF(H123="partial",0.5,0))</f>
        <v/>
      </c>
    </row>
    <row r="124" ht="30" customHeight="1" s="24">
      <c r="A124" s="12" t="n">
        <v>116</v>
      </c>
      <c r="B124" s="13" t="inlineStr">
        <is>
          <t>Keyboard</t>
        </is>
      </c>
      <c r="C124" s="13" t="inlineStr">
        <is>
          <t>Navigation</t>
        </is>
      </c>
      <c r="D124" s="13" t="inlineStr">
        <is>
          <t>separator is skipped by Arrow keys</t>
        </is>
      </c>
      <c r="E124" s="18" t="inlineStr">
        <is>
          <t>yes</t>
        </is>
      </c>
      <c r="F124" s="18" t="inlineStr">
        <is>
          <t>yes</t>
        </is>
      </c>
      <c r="G124" s="12" t="inlineStr">
        <is>
          <t>pass</t>
        </is>
      </c>
      <c r="H124" s="22" t="inlineStr">
        <is>
          <t>covered</t>
        </is>
      </c>
      <c r="I124" s="13" t="inlineStr">
        <is>
          <t>Menu playground typeahead/disabled batch; manually verified.</t>
        </is>
      </c>
      <c r="J124" s="13" t="inlineStr">
        <is>
          <t>Complete.</t>
        </is>
      </c>
      <c r="K124" s="14">
        <f>IF(AND(E124="yes",F124="yes",H124="covered"),1,IF(H124="partial",0.5,0))</f>
        <v/>
      </c>
    </row>
    <row r="125" ht="30" customHeight="1" s="24">
      <c r="A125" s="12" t="n">
        <v>117</v>
      </c>
      <c r="B125" s="13" t="inlineStr">
        <is>
          <t>Keyboard</t>
        </is>
      </c>
      <c r="C125" s="13" t="inlineStr">
        <is>
          <t>Navigation</t>
        </is>
      </c>
      <c r="D125" s="13" t="inlineStr">
        <is>
          <t>Enter activates highlighted item</t>
        </is>
      </c>
      <c r="E125" s="18" t="inlineStr">
        <is>
          <t>yes</t>
        </is>
      </c>
      <c r="F125" s="18" t="inlineStr">
        <is>
          <t>yes</t>
        </is>
      </c>
      <c r="G125" s="12" t="inlineStr">
        <is>
          <t>pass</t>
        </is>
      </c>
      <c r="H125" s="22" t="inlineStr">
        <is>
          <t>covered</t>
        </is>
      </c>
      <c r="I125" s="13" t="inlineStr">
        <is>
          <t>Menu playground scenario; manually verified in current batches.</t>
        </is>
      </c>
      <c r="J125" s="13" t="inlineStr">
        <is>
          <t>Complete.</t>
        </is>
      </c>
      <c r="K125" s="14">
        <f>IF(AND(E125="yes",F125="yes",H125="covered"),1,IF(H125="partial",0.5,0))</f>
        <v/>
      </c>
    </row>
    <row r="126" ht="30" customHeight="1" s="24">
      <c r="A126" s="12" t="n">
        <v>118</v>
      </c>
      <c r="B126" s="13" t="inlineStr">
        <is>
          <t>Keyboard</t>
        </is>
      </c>
      <c r="C126" s="13" t="inlineStr">
        <is>
          <t>Navigation</t>
        </is>
      </c>
      <c r="D126" s="13" t="inlineStr">
        <is>
          <t>Space activates highlighted item</t>
        </is>
      </c>
      <c r="E126" s="18" t="inlineStr">
        <is>
          <t>yes</t>
        </is>
      </c>
      <c r="F126" s="18" t="inlineStr">
        <is>
          <t>yes</t>
        </is>
      </c>
      <c r="G126" s="12" t="inlineStr">
        <is>
          <t>pass</t>
        </is>
      </c>
      <c r="H126" s="22" t="inlineStr">
        <is>
          <t>covered</t>
        </is>
      </c>
      <c r="I126" s="13" t="inlineStr">
        <is>
          <t>Menu playground scenario; manually verified in current batches.</t>
        </is>
      </c>
      <c r="J126" s="13" t="inlineStr">
        <is>
          <t>Complete.</t>
        </is>
      </c>
      <c r="K126" s="14">
        <f>IF(AND(E126="yes",F126="yes",H126="covered"),1,IF(H126="partial",0.5,0))</f>
        <v/>
      </c>
    </row>
    <row r="127" ht="30" customHeight="1" s="24">
      <c r="A127" s="12" t="n">
        <v>119</v>
      </c>
      <c r="B127" s="13" t="inlineStr">
        <is>
          <t>Keyboard</t>
        </is>
      </c>
      <c r="C127" s="13" t="inlineStr">
        <is>
          <t>Navigation</t>
        </is>
      </c>
      <c r="D127" s="13" t="inlineStr">
        <is>
          <t>typeahead highlights matching item</t>
        </is>
      </c>
      <c r="E127" s="18" t="inlineStr">
        <is>
          <t>yes</t>
        </is>
      </c>
      <c r="F127" s="18" t="inlineStr">
        <is>
          <t>yes</t>
        </is>
      </c>
      <c r="G127" s="12" t="inlineStr">
        <is>
          <t>pass</t>
        </is>
      </c>
      <c r="H127" s="22" t="inlineStr">
        <is>
          <t>covered</t>
        </is>
      </c>
      <c r="I127" s="13" t="inlineStr">
        <is>
          <t>Menu playground keyboard batch; manually verified.</t>
        </is>
      </c>
      <c r="J127" s="13" t="inlineStr">
        <is>
          <t>Complete.</t>
        </is>
      </c>
      <c r="K127" s="14">
        <f>IF(AND(E127="yes",F127="yes",H127="covered"),1,IF(H127="partial",0.5,0))</f>
        <v/>
      </c>
    </row>
    <row r="128" ht="30" customHeight="1" s="24">
      <c r="A128" s="12" t="n">
        <v>120</v>
      </c>
      <c r="B128" s="13" t="inlineStr">
        <is>
          <t>Keyboard</t>
        </is>
      </c>
      <c r="C128" s="13" t="inlineStr">
        <is>
          <t>Navigation</t>
        </is>
      </c>
      <c r="D128" s="13" t="inlineStr">
        <is>
          <t>typeahead uses explicit textValue</t>
        </is>
      </c>
      <c r="E128" s="18" t="inlineStr">
        <is>
          <t>yes</t>
        </is>
      </c>
      <c r="F128" s="18" t="inlineStr">
        <is>
          <t>yes</t>
        </is>
      </c>
      <c r="G128" s="12" t="inlineStr">
        <is>
          <t>pass</t>
        </is>
      </c>
      <c r="H128" s="22" t="inlineStr">
        <is>
          <t>covered</t>
        </is>
      </c>
      <c r="I128" s="13" t="inlineStr">
        <is>
          <t>Menu playground typeahead/disabled batch; manually verified.</t>
        </is>
      </c>
      <c r="J128" s="13" t="inlineStr">
        <is>
          <t>Complete.</t>
        </is>
      </c>
      <c r="K128" s="14">
        <f>IF(AND(E128="yes",F128="yes",H128="covered"),1,IF(H128="partial",0.5,0))</f>
        <v/>
      </c>
    </row>
    <row r="129" ht="30" customHeight="1" s="24">
      <c r="A129" s="12" t="n">
        <v>121</v>
      </c>
      <c r="B129" s="13" t="inlineStr">
        <is>
          <t>Keyboard</t>
        </is>
      </c>
      <c r="C129" s="13" t="inlineStr">
        <is>
          <t>Navigation</t>
        </is>
      </c>
      <c r="D129" s="13" t="inlineStr">
        <is>
          <t>typeahead buffer resets after delay</t>
        </is>
      </c>
      <c r="E129" s="18" t="inlineStr">
        <is>
          <t>yes</t>
        </is>
      </c>
      <c r="F129" s="18" t="inlineStr">
        <is>
          <t>yes</t>
        </is>
      </c>
      <c r="G129" s="12" t="inlineStr">
        <is>
          <t>pass</t>
        </is>
      </c>
      <c r="H129" s="22" t="inlineStr">
        <is>
          <t>covered</t>
        </is>
      </c>
      <c r="I129" s="13" t="inlineStr">
        <is>
          <t>Menu playground keyboard batch; manually verified.</t>
        </is>
      </c>
      <c r="J129" s="13" t="inlineStr">
        <is>
          <t>Complete.</t>
        </is>
      </c>
      <c r="K129" s="14">
        <f>IF(AND(E129="yes",F129="yes",H129="covered"),1,IF(H129="partial",0.5,0))</f>
        <v/>
      </c>
    </row>
    <row r="130" ht="30" customHeight="1" s="24">
      <c r="A130" s="12" t="n">
        <v>122</v>
      </c>
      <c r="B130" s="13" t="inlineStr">
        <is>
          <t>Keyboard</t>
        </is>
      </c>
      <c r="C130" s="13" t="inlineStr">
        <is>
          <t>Navigation</t>
        </is>
      </c>
      <c r="D130" s="13" t="inlineStr">
        <is>
          <t>submenu has independent highlight state</t>
        </is>
      </c>
      <c r="E130" s="18" t="inlineStr">
        <is>
          <t>yes</t>
        </is>
      </c>
      <c r="F130" s="18" t="inlineStr">
        <is>
          <t>yes</t>
        </is>
      </c>
      <c r="G130" s="12" t="inlineStr">
        <is>
          <t>pass</t>
        </is>
      </c>
      <c r="H130" s="22" t="inlineStr">
        <is>
          <t>covered</t>
        </is>
      </c>
      <c r="I130" s="13" t="inlineStr">
        <is>
          <t>Menu playground nested submenu batch; manually verified.</t>
        </is>
      </c>
      <c r="J130" s="13" t="inlineStr">
        <is>
          <t>Complete.</t>
        </is>
      </c>
      <c r="K130" s="14">
        <f>IF(AND(E130="yes",F130="yes",H130="covered"),1,IF(H130="partial",0.5,0))</f>
        <v/>
      </c>
    </row>
    <row r="131" ht="30" customHeight="1" s="24">
      <c r="A131" s="12" t="n">
        <v>123</v>
      </c>
      <c r="B131" s="13" t="inlineStr">
        <is>
          <t>Keyboard</t>
        </is>
      </c>
      <c r="C131" s="13" t="inlineStr">
        <is>
          <t>Navigation</t>
        </is>
      </c>
      <c r="D131" s="13" t="inlineStr">
        <is>
          <t>ArrowLeft closes submenu</t>
        </is>
      </c>
      <c r="E131" s="18" t="inlineStr">
        <is>
          <t>yes</t>
        </is>
      </c>
      <c r="F131" s="18" t="inlineStr">
        <is>
          <t>yes</t>
        </is>
      </c>
      <c r="G131" s="12" t="inlineStr">
        <is>
          <t>pass</t>
        </is>
      </c>
      <c r="H131" s="22" t="inlineStr">
        <is>
          <t>covered</t>
        </is>
      </c>
      <c r="I131" s="13" t="inlineStr">
        <is>
          <t>Menu playground scenario; manually verified in current batches.</t>
        </is>
      </c>
      <c r="J131" s="13" t="inlineStr">
        <is>
          <t>Complete.</t>
        </is>
      </c>
      <c r="K131" s="14">
        <f>IF(AND(E131="yes",F131="yes",H131="covered"),1,IF(H131="partial",0.5,0))</f>
        <v/>
      </c>
    </row>
    <row r="132" ht="30" customHeight="1" s="24">
      <c r="A132" s="12" t="n">
        <v>124</v>
      </c>
      <c r="B132" s="13" t="inlineStr">
        <is>
          <t>Keyboard</t>
        </is>
      </c>
      <c r="C132" s="13" t="inlineStr">
        <is>
          <t>Navigation</t>
        </is>
      </c>
      <c r="D132" s="13" t="inlineStr">
        <is>
          <t>ArrowRight opens nested submenu from submenu</t>
        </is>
      </c>
      <c r="E132" s="18" t="inlineStr">
        <is>
          <t>yes</t>
        </is>
      </c>
      <c r="F132" s="18" t="inlineStr">
        <is>
          <t>yes</t>
        </is>
      </c>
      <c r="G132" s="12" t="inlineStr">
        <is>
          <t>pass</t>
        </is>
      </c>
      <c r="H132" s="22" t="inlineStr">
        <is>
          <t>covered</t>
        </is>
      </c>
      <c r="I132" s="13" t="inlineStr">
        <is>
          <t>Menu playground nested submenu batch; manually verified.</t>
        </is>
      </c>
      <c r="J132" s="13" t="inlineStr">
        <is>
          <t>Complete.</t>
        </is>
      </c>
      <c r="K132" s="14">
        <f>IF(AND(E132="yes",F132="yes",H132="covered"),1,IF(H132="partial",0.5,0))</f>
        <v/>
      </c>
    </row>
    <row r="133" ht="30" customHeight="1" s="24">
      <c r="A133" s="12" t="n">
        <v>125</v>
      </c>
      <c r="B133" s="13" t="inlineStr">
        <is>
          <t>Pointer</t>
        </is>
      </c>
      <c r="C133" s="13" t="inlineStr">
        <is>
          <t>Highlight</t>
        </is>
      </c>
      <c r="D133" s="13" t="inlineStr">
        <is>
          <t>pointer enter highlights item</t>
        </is>
      </c>
      <c r="E133" s="18" t="inlineStr">
        <is>
          <t>yes</t>
        </is>
      </c>
      <c r="F133" s="18" t="inlineStr">
        <is>
          <t>yes</t>
        </is>
      </c>
      <c r="G133" s="12" t="inlineStr">
        <is>
          <t>pass</t>
        </is>
      </c>
      <c r="H133" s="22" t="inlineStr">
        <is>
          <t>covered</t>
        </is>
      </c>
      <c r="I133" s="13" t="inlineStr">
        <is>
          <t>Menu playground scenario; manually verified in current batches.</t>
        </is>
      </c>
      <c r="J133" s="13" t="inlineStr">
        <is>
          <t>Complete.</t>
        </is>
      </c>
      <c r="K133" s="14">
        <f>IF(AND(E133="yes",F133="yes",H133="covered"),1,IF(H133="partial",0.5,0))</f>
        <v/>
      </c>
    </row>
    <row r="134" ht="30" customHeight="1" s="24">
      <c r="A134" s="12" t="n">
        <v>126</v>
      </c>
      <c r="B134" s="13" t="inlineStr">
        <is>
          <t>Pointer</t>
        </is>
      </c>
      <c r="C134" s="13" t="inlineStr">
        <is>
          <t>Highlight</t>
        </is>
      </c>
      <c r="D134" s="13" t="inlineStr">
        <is>
          <t>pointer leave clears highlight</t>
        </is>
      </c>
      <c r="E134" s="18" t="inlineStr">
        <is>
          <t>yes</t>
        </is>
      </c>
      <c r="F134" s="18" t="inlineStr">
        <is>
          <t>yes</t>
        </is>
      </c>
      <c r="G134" s="12" t="inlineStr">
        <is>
          <t>pass</t>
        </is>
      </c>
      <c r="H134" s="22" t="inlineStr">
        <is>
          <t>covered</t>
        </is>
      </c>
      <c r="I134" s="13" t="inlineStr">
        <is>
          <t>Menu playground scenario; manually verified in current batches.</t>
        </is>
      </c>
      <c r="J134" s="13" t="inlineStr">
        <is>
          <t>Complete.</t>
        </is>
      </c>
      <c r="K134" s="14">
        <f>IF(AND(E134="yes",F134="yes",H134="covered"),1,IF(H134="partial",0.5,0))</f>
        <v/>
      </c>
    </row>
    <row r="135" ht="30" customHeight="1" s="24">
      <c r="A135" s="12" t="n">
        <v>127</v>
      </c>
      <c r="B135" s="13" t="inlineStr">
        <is>
          <t>Pointer</t>
        </is>
      </c>
      <c r="C135" s="13" t="inlineStr">
        <is>
          <t>Highlight</t>
        </is>
      </c>
      <c r="D135" s="13" t="inlineStr">
        <is>
          <t>hovering group labels or gaps does not reset initial highlight</t>
        </is>
      </c>
      <c r="E135" s="18" t="inlineStr">
        <is>
          <t>yes</t>
        </is>
      </c>
      <c r="F135" s="18" t="inlineStr">
        <is>
          <t>yes</t>
        </is>
      </c>
      <c r="G135" s="12" t="inlineStr">
        <is>
          <t>pass</t>
        </is>
      </c>
      <c r="H135" s="22" t="inlineStr">
        <is>
          <t>covered</t>
        </is>
      </c>
      <c r="I135" s="13" t="inlineStr">
        <is>
          <t>Menu playground scenario; manually verified in current batches.</t>
        </is>
      </c>
      <c r="J135" s="13" t="inlineStr">
        <is>
          <t>Complete.</t>
        </is>
      </c>
      <c r="K135" s="14">
        <f>IF(AND(E135="yes",F135="yes",H135="covered"),1,IF(H135="partial",0.5,0))</f>
        <v/>
      </c>
    </row>
    <row r="136" ht="30" customHeight="1" s="24">
      <c r="A136" s="12" t="n">
        <v>128</v>
      </c>
      <c r="B136" s="13" t="inlineStr">
        <is>
          <t>Pointer</t>
        </is>
      </c>
      <c r="C136" s="13" t="inlineStr">
        <is>
          <t>Highlight</t>
        </is>
      </c>
      <c r="D136" s="13" t="inlineStr">
        <is>
          <t>hovering item closes previously open submenu</t>
        </is>
      </c>
      <c r="E136" s="18" t="inlineStr">
        <is>
          <t>yes</t>
        </is>
      </c>
      <c r="F136" s="18" t="inlineStr">
        <is>
          <t>yes</t>
        </is>
      </c>
      <c r="G136" s="12" t="inlineStr">
        <is>
          <t>passed</t>
        </is>
      </c>
      <c r="H136" s="22" t="inlineStr">
        <is>
          <t>covered</t>
        </is>
      </c>
      <c r="I136" s="13" t="inlineStr">
        <is>
          <t>Menu playground verifies hovering a regular top-level item closes the previously open submenu.</t>
        </is>
      </c>
      <c r="J136" s="13" t="n"/>
      <c r="K136" s="14">
        <f>IF(AND(E136="yes",F136="yes",H136="covered"),1,IF(H136="partial",0.5,0))</f>
        <v/>
      </c>
    </row>
    <row r="137" ht="30" customHeight="1" s="24">
      <c r="A137" s="12" t="n">
        <v>129</v>
      </c>
      <c r="B137" s="13" t="inlineStr">
        <is>
          <t>Pointer</t>
        </is>
      </c>
      <c r="C137" s="13" t="inlineStr">
        <is>
          <t>Highlight</t>
        </is>
      </c>
      <c r="D137" s="13" t="inlineStr">
        <is>
          <t>disabled item hover does not highlight</t>
        </is>
      </c>
      <c r="E137" s="18" t="inlineStr">
        <is>
          <t>yes</t>
        </is>
      </c>
      <c r="F137" s="18" t="inlineStr">
        <is>
          <t>yes</t>
        </is>
      </c>
      <c r="G137" s="12" t="inlineStr">
        <is>
          <t>pass</t>
        </is>
      </c>
      <c r="H137" s="22" t="inlineStr">
        <is>
          <t>covered</t>
        </is>
      </c>
      <c r="I137" s="13" t="inlineStr">
        <is>
          <t>Menu playground typeahead/disabled batch; manually verified.</t>
        </is>
      </c>
      <c r="J137" s="13" t="inlineStr">
        <is>
          <t>Complete.</t>
        </is>
      </c>
      <c r="K137" s="14">
        <f>IF(AND(E137="yes",F137="yes",H137="covered"),1,IF(H137="partial",0.5,0))</f>
        <v/>
      </c>
    </row>
    <row r="138" ht="30" customHeight="1" s="24">
      <c r="A138" s="12" t="n">
        <v>130</v>
      </c>
      <c r="B138" s="13" t="inlineStr">
        <is>
          <t>Accessibility</t>
        </is>
      </c>
      <c r="C138" s="13" t="inlineStr">
        <is>
          <t>Relationships</t>
        </is>
      </c>
      <c r="D138" s="13" t="inlineStr">
        <is>
          <t>content has accessible name</t>
        </is>
      </c>
      <c r="E138" s="18" t="inlineStr">
        <is>
          <t>yes</t>
        </is>
      </c>
      <c r="F138" s="18" t="inlineStr">
        <is>
          <t>yes</t>
        </is>
      </c>
      <c r="G138" s="12" t="inlineStr">
        <is>
          <t>pass</t>
        </is>
      </c>
      <c r="H138" s="22" t="inlineStr">
        <is>
          <t>covered</t>
        </is>
      </c>
      <c r="I138" s="13" t="inlineStr">
        <is>
          <t>Menu playground scenario; manually verified in current batches.</t>
        </is>
      </c>
      <c r="J138" s="13" t="inlineStr">
        <is>
          <t>Complete.</t>
        </is>
      </c>
      <c r="K138" s="14">
        <f>IF(AND(E138="yes",F138="yes",H138="covered"),1,IF(H138="partial",0.5,0))</f>
        <v/>
      </c>
    </row>
    <row r="139" ht="45" customHeight="1" s="24">
      <c r="A139" s="12" t="n">
        <v>131</v>
      </c>
      <c r="B139" s="13" t="inlineStr">
        <is>
          <t>Accessibility</t>
        </is>
      </c>
      <c r="C139" s="13" t="inlineStr">
        <is>
          <t>Relationships</t>
        </is>
      </c>
      <c r="D139" s="13" t="inlineStr">
        <is>
          <t>content references trigger when unnamed</t>
        </is>
      </c>
      <c r="E139" s="18" t="inlineStr">
        <is>
          <t>yes</t>
        </is>
      </c>
      <c r="F139" s="18" t="inlineStr">
        <is>
          <t>yes</t>
        </is>
      </c>
      <c r="G139" s="12" t="inlineStr">
        <is>
          <t>passed</t>
        </is>
      </c>
      <c r="H139" s="22" t="inlineStr">
        <is>
          <t>covered</t>
        </is>
      </c>
      <c r="I139" s="13" t="inlineStr">
        <is>
          <t>Menu playground Content ariaLabel toggle and Anatomy Content rows verify the trigger relationship when unnamed.</t>
        </is>
      </c>
      <c r="J139" s="13" t="n"/>
      <c r="K139" s="14">
        <f>IF(AND(E139="yes",F139="yes",H139="covered"),1,IF(H139="partial",0.5,0))</f>
        <v/>
      </c>
    </row>
    <row r="140" ht="30" customHeight="1" s="24">
      <c r="A140" s="12" t="n">
        <v>132</v>
      </c>
      <c r="B140" s="13" t="inlineStr">
        <is>
          <t>Accessibility</t>
        </is>
      </c>
      <c r="C140" s="13" t="inlineStr">
        <is>
          <t>Relationships</t>
        </is>
      </c>
      <c r="D140" s="13" t="inlineStr">
        <is>
          <t>sub content references sub trigger when unnamed</t>
        </is>
      </c>
      <c r="E140" s="18" t="inlineStr">
        <is>
          <t>yes</t>
        </is>
      </c>
      <c r="F140" s="18" t="inlineStr">
        <is>
          <t>yes</t>
        </is>
      </c>
      <c r="G140" s="12" t="inlineStr">
        <is>
          <t>pass</t>
        </is>
      </c>
      <c r="H140" s="22" t="inlineStr">
        <is>
          <t>covered</t>
        </is>
      </c>
      <c r="I140" s="13" t="inlineStr">
        <is>
          <t>Menu playground nested submenu batch; manually verified.</t>
        </is>
      </c>
      <c r="J140" s="13" t="inlineStr">
        <is>
          <t>Complete.</t>
        </is>
      </c>
      <c r="K140" s="14">
        <f>IF(AND(E140="yes",F140="yes",H140="covered"),1,IF(H140="partial",0.5,0))</f>
        <v/>
      </c>
    </row>
    <row r="141" ht="30" customHeight="1" s="24">
      <c r="A141" s="12" t="n">
        <v>133</v>
      </c>
      <c r="B141" s="13" t="inlineStr">
        <is>
          <t>Accessibility</t>
        </is>
      </c>
      <c r="C141" s="13" t="inlineStr">
        <is>
          <t>Relationships</t>
        </is>
      </c>
      <c r="D141" s="13" t="inlineStr">
        <is>
          <t>checked states are exposed through aria-checked</t>
        </is>
      </c>
      <c r="E141" s="18" t="inlineStr">
        <is>
          <t>yes</t>
        </is>
      </c>
      <c r="F141" s="18" t="inlineStr">
        <is>
          <t>yes</t>
        </is>
      </c>
      <c r="G141" s="12" t="inlineStr">
        <is>
          <t>pass</t>
        </is>
      </c>
      <c r="H141" s="22" t="inlineStr">
        <is>
          <t>covered</t>
        </is>
      </c>
      <c r="I141" s="13" t="inlineStr">
        <is>
          <t>Menu playground scenario; manually verified in current batches.</t>
        </is>
      </c>
      <c r="J141" s="13" t="inlineStr">
        <is>
          <t>Complete.</t>
        </is>
      </c>
      <c r="K141" s="14">
        <f>IF(AND(E141="yes",F141="yes",H141="covered"),1,IF(H141="partial",0.5,0))</f>
        <v/>
      </c>
    </row>
    <row r="142" ht="30" customHeight="1" s="24">
      <c r="A142" s="12" t="n">
        <v>134</v>
      </c>
      <c r="B142" s="13" t="inlineStr">
        <is>
          <t>Accessibility</t>
        </is>
      </c>
      <c r="C142" s="13" t="inlineStr">
        <is>
          <t>Relationships</t>
        </is>
      </c>
      <c r="D142" s="13" t="inlineStr">
        <is>
          <t>disabled states are exposed through aria-disabled</t>
        </is>
      </c>
      <c r="E142" s="18" t="inlineStr">
        <is>
          <t>yes</t>
        </is>
      </c>
      <c r="F142" s="18" t="inlineStr">
        <is>
          <t>yes</t>
        </is>
      </c>
      <c r="G142" s="12" t="inlineStr">
        <is>
          <t>pass</t>
        </is>
      </c>
      <c r="H142" s="22" t="inlineStr">
        <is>
          <t>covered</t>
        </is>
      </c>
      <c r="I142" s="13" t="inlineStr">
        <is>
          <t>Menu playground scenario; manually verified in current batches.</t>
        </is>
      </c>
      <c r="J142" s="13" t="inlineStr">
        <is>
          <t>Complete.</t>
        </is>
      </c>
      <c r="K142" s="14">
        <f>IF(AND(E142="yes",F142="yes",H142="covered"),1,IF(H142="partial",0.5,0))</f>
        <v/>
      </c>
    </row>
    <row r="143" ht="30" customHeight="1" s="24">
      <c r="A143" s="12" t="n">
        <v>135</v>
      </c>
      <c r="B143" s="13" t="inlineStr">
        <is>
          <t>Accessibility</t>
        </is>
      </c>
      <c r="C143" s="13" t="inlineStr">
        <is>
          <t>Relationships</t>
        </is>
      </c>
      <c r="D143" s="13" t="inlineStr">
        <is>
          <t>focus stays inside modal menu while open</t>
        </is>
      </c>
      <c r="E143" s="18" t="inlineStr">
        <is>
          <t>yes</t>
        </is>
      </c>
      <c r="F143" s="18" t="inlineStr">
        <is>
          <t>yes</t>
        </is>
      </c>
      <c r="G143" s="12" t="inlineStr">
        <is>
          <t>passed</t>
        </is>
      </c>
      <c r="H143" s="22" t="inlineStr">
        <is>
          <t>covered</t>
        </is>
      </c>
      <c r="I143" s="13" t="inlineStr">
        <is>
          <t>Menu playground Inside Dialog verifies focus can move into and stay within portalled Menu content.</t>
        </is>
      </c>
      <c r="J143" s="13" t="n"/>
      <c r="K143" s="14">
        <f>IF(AND(E143="yes",F143="yes",H143="covered"),1,IF(H143="partial",0.5,0))</f>
        <v/>
      </c>
    </row>
    <row r="144" ht="45" customHeight="1" s="24">
      <c r="A144" s="12" t="n">
        <v>136</v>
      </c>
      <c r="B144" s="13" t="inlineStr">
        <is>
          <t>Accessibility</t>
        </is>
      </c>
      <c r="C144" s="13" t="inlineStr">
        <is>
          <t>Relationships</t>
        </is>
      </c>
      <c r="D144" s="13" t="inlineStr">
        <is>
          <t>portalled menu registers with parent modal focus scope</t>
        </is>
      </c>
      <c r="E144" s="18" t="inlineStr">
        <is>
          <t>yes</t>
        </is>
      </c>
      <c r="F144" s="18" t="inlineStr">
        <is>
          <t>yes</t>
        </is>
      </c>
      <c r="G144" s="12" t="inlineStr">
        <is>
          <t>passed</t>
        </is>
      </c>
      <c r="H144" s="22" t="inlineStr">
        <is>
          <t>covered</t>
        </is>
      </c>
      <c r="I144" s="13" t="inlineStr">
        <is>
          <t>Menu playground Inside Dialog verifies portalled Menu content is registered with the parent modal focus scope.</t>
        </is>
      </c>
      <c r="J144" s="13" t="n"/>
      <c r="K144" s="14">
        <f>IF(AND(E144="yes",F144="yes",H144="covered"),1,IF(H144="partial",0.5,0))</f>
        <v/>
      </c>
    </row>
    <row r="145" ht="30" customHeight="1" s="24">
      <c r="A145" s="12" t="n">
        <v>137</v>
      </c>
      <c r="B145" s="13" t="inlineStr">
        <is>
          <t>Accessibility</t>
        </is>
      </c>
      <c r="C145" s="13" t="inlineStr">
        <is>
          <t>Relationships</t>
        </is>
      </c>
      <c r="D145" s="13" t="inlineStr">
        <is>
          <t>nested menu Escape does not close parent overlay</t>
        </is>
      </c>
      <c r="E145" s="18" t="inlineStr">
        <is>
          <t>yes</t>
        </is>
      </c>
      <c r="F145" s="18" t="inlineStr">
        <is>
          <t>yes</t>
        </is>
      </c>
      <c r="G145" s="12" t="inlineStr">
        <is>
          <t>passed</t>
        </is>
      </c>
      <c r="H145" s="22" t="inlineStr">
        <is>
          <t>covered</t>
        </is>
      </c>
      <c r="I145" s="13" t="inlineStr">
        <is>
          <t>Menu playground Inside Dialog verifies Escape closes nested Menu before parent Dialog.</t>
        </is>
      </c>
      <c r="J145" s="13" t="n"/>
      <c r="K145" s="14">
        <f>IF(AND(E145="yes",F145="yes",H145="covered"),1,IF(H145="partial",0.5,0))</f>
        <v/>
      </c>
    </row>
    <row r="146" ht="30" customHeight="1" s="24">
      <c r="A146" s="12" t="n">
        <v>138</v>
      </c>
      <c r="B146" s="13" t="inlineStr">
        <is>
          <t>Composition</t>
        </is>
      </c>
      <c r="C146" s="13" t="inlineStr">
        <is>
          <t>Rendering</t>
        </is>
      </c>
      <c r="D146" s="13" t="inlineStr">
        <is>
          <t>Item asChild preserves child content</t>
        </is>
      </c>
      <c r="E146" s="18" t="inlineStr">
        <is>
          <t>yes</t>
        </is>
      </c>
      <c r="F146" s="18" t="inlineStr">
        <is>
          <t>yes</t>
        </is>
      </c>
      <c r="G146" s="12" t="inlineStr">
        <is>
          <t>pass</t>
        </is>
      </c>
      <c r="H146" s="22" t="inlineStr">
        <is>
          <t>covered</t>
        </is>
      </c>
      <c r="I146" s="13" t="inlineStr">
        <is>
          <t>Menu playground composition/native props batch; manually verified.</t>
        </is>
      </c>
      <c r="J146" s="13" t="inlineStr">
        <is>
          <t>Complete.</t>
        </is>
      </c>
      <c r="K146" s="14">
        <f>IF(AND(E146="yes",F146="yes",H146="covered"),1,IF(H146="partial",0.5,0))</f>
        <v/>
      </c>
    </row>
    <row r="147" ht="30" customHeight="1" s="24">
      <c r="A147" s="12" t="n">
        <v>139</v>
      </c>
      <c r="B147" s="13" t="inlineStr">
        <is>
          <t>Composition</t>
        </is>
      </c>
      <c r="C147" s="13" t="inlineStr">
        <is>
          <t>Rendering</t>
        </is>
      </c>
      <c r="D147" s="13" t="inlineStr">
        <is>
          <t>Item render preserves child content</t>
        </is>
      </c>
      <c r="E147" s="18" t="inlineStr">
        <is>
          <t>yes</t>
        </is>
      </c>
      <c r="F147" s="18" t="inlineStr">
        <is>
          <t>yes</t>
        </is>
      </c>
      <c r="G147" s="12" t="inlineStr">
        <is>
          <t>pass</t>
        </is>
      </c>
      <c r="H147" s="22" t="inlineStr">
        <is>
          <t>covered</t>
        </is>
      </c>
      <c r="I147" s="13" t="inlineStr">
        <is>
          <t>Menu playground composition/native props batch; manually verified.</t>
        </is>
      </c>
      <c r="J147" s="13" t="inlineStr">
        <is>
          <t>Complete.</t>
        </is>
      </c>
      <c r="K147" s="14">
        <f>IF(AND(E147="yes",F147="yes",H147="covered"),1,IF(H147="partial",0.5,0))</f>
        <v/>
      </c>
    </row>
    <row r="148" ht="30" customHeight="1" s="24">
      <c r="A148" s="12" t="n">
        <v>140</v>
      </c>
      <c r="B148" s="13" t="inlineStr">
        <is>
          <t>Composition</t>
        </is>
      </c>
      <c r="C148" s="13" t="inlineStr">
        <is>
          <t>Rendering</t>
        </is>
      </c>
      <c r="D148" s="13" t="inlineStr">
        <is>
          <t>Item consumer event can block selection</t>
        </is>
      </c>
      <c r="E148" s="18" t="inlineStr">
        <is>
          <t>yes</t>
        </is>
      </c>
      <c r="F148" s="18" t="inlineStr">
        <is>
          <t>yes</t>
        </is>
      </c>
      <c r="G148" s="12" t="inlineStr">
        <is>
          <t>pass</t>
        </is>
      </c>
      <c r="H148" s="22" t="inlineStr">
        <is>
          <t>covered</t>
        </is>
      </c>
      <c r="I148" s="13" t="inlineStr">
        <is>
          <t>Menu playground composition/native props batch; manually verified.</t>
        </is>
      </c>
      <c r="J148" s="13" t="inlineStr">
        <is>
          <t>Complete.</t>
        </is>
      </c>
      <c r="K148" s="14">
        <f>IF(AND(E148="yes",F148="yes",H148="covered"),1,IF(H148="partial",0.5,0))</f>
        <v/>
      </c>
    </row>
    <row r="149" ht="45" customHeight="1" s="24">
      <c r="A149" s="12" t="n">
        <v>141</v>
      </c>
      <c r="B149" s="13" t="inlineStr">
        <is>
          <t>Composition</t>
        </is>
      </c>
      <c r="C149" s="13" t="inlineStr">
        <is>
          <t>Rendering</t>
        </is>
      </c>
      <c r="D149" s="13" t="inlineStr">
        <is>
          <t>CheckboxItem native props pass through</t>
        </is>
      </c>
      <c r="E149" s="18" t="inlineStr">
        <is>
          <t>yes</t>
        </is>
      </c>
      <c r="F149" s="18" t="inlineStr">
        <is>
          <t>yes</t>
        </is>
      </c>
      <c r="G149" s="12" t="inlineStr">
        <is>
          <t>pass</t>
        </is>
      </c>
      <c r="H149" s="22" t="inlineStr">
        <is>
          <t>covered</t>
        </is>
      </c>
      <c r="I149" s="13" t="inlineStr">
        <is>
          <t>Verify the part forwards a non-Atom-owned data-prop-check marker in the live raw Data group or Inspector.</t>
        </is>
      </c>
      <c r="J149" s="13" t="inlineStr">
        <is>
          <t>Do not add a curated Native props row; the DOM data-prop-check marker is the evidence.</t>
        </is>
      </c>
      <c r="K149" s="14">
        <f>IF(AND(E149="yes",F149="yes",H149="covered"),1,IF(H149="partial",0.5,0))</f>
        <v/>
      </c>
    </row>
    <row r="150" ht="45" customHeight="1" s="24">
      <c r="A150" s="12" t="n">
        <v>142</v>
      </c>
      <c r="B150" s="13" t="inlineStr">
        <is>
          <t>Composition</t>
        </is>
      </c>
      <c r="C150" s="13" t="inlineStr">
        <is>
          <t>Rendering</t>
        </is>
      </c>
      <c r="D150" s="13" t="inlineStr">
        <is>
          <t>RadioItem native props pass through</t>
        </is>
      </c>
      <c r="E150" s="18" t="inlineStr">
        <is>
          <t>yes</t>
        </is>
      </c>
      <c r="F150" s="18" t="inlineStr">
        <is>
          <t>yes</t>
        </is>
      </c>
      <c r="G150" s="12" t="inlineStr">
        <is>
          <t>pass</t>
        </is>
      </c>
      <c r="H150" s="22" t="inlineStr">
        <is>
          <t>covered</t>
        </is>
      </c>
      <c r="I150" s="13" t="inlineStr">
        <is>
          <t>Verify the part forwards a non-Atom-owned data-prop-check marker in the live raw Data group or Inspector.</t>
        </is>
      </c>
      <c r="J150" s="13" t="inlineStr">
        <is>
          <t>Do not add a curated Native props row; the DOM data-prop-check marker is the evidence.</t>
        </is>
      </c>
      <c r="K150" s="14">
        <f>IF(AND(E150="yes",F150="yes",H150="covered"),1,IF(H150="partial",0.5,0))</f>
        <v/>
      </c>
    </row>
    <row r="151" ht="45" customHeight="1" s="24">
      <c r="A151" s="12" t="n">
        <v>143</v>
      </c>
      <c r="B151" s="13" t="inlineStr">
        <is>
          <t>Composition</t>
        </is>
      </c>
      <c r="C151" s="13" t="inlineStr">
        <is>
          <t>Rendering</t>
        </is>
      </c>
      <c r="D151" s="13" t="inlineStr">
        <is>
          <t>Content native props pass through</t>
        </is>
      </c>
      <c r="E151" s="18" t="inlineStr">
        <is>
          <t>yes</t>
        </is>
      </c>
      <c r="F151" s="18" t="inlineStr">
        <is>
          <t>yes</t>
        </is>
      </c>
      <c r="G151" s="12" t="inlineStr">
        <is>
          <t>pass</t>
        </is>
      </c>
      <c r="H151" s="22" t="inlineStr">
        <is>
          <t>covered</t>
        </is>
      </c>
      <c r="I151" s="13" t="inlineStr">
        <is>
          <t>Verify the part forwards a non-Atom-owned data-prop-check marker in the live raw Data group or Inspector.</t>
        </is>
      </c>
      <c r="J151" s="13" t="inlineStr">
        <is>
          <t>Do not add a curated Native props row; the DOM data-prop-check marker is the evidence.</t>
        </is>
      </c>
      <c r="K151" s="14">
        <f>IF(AND(E151="yes",F151="yes",H151="covered"),1,IF(H151="partial",0.5,0))</f>
        <v/>
      </c>
    </row>
    <row r="152" ht="45" customHeight="1" s="24">
      <c r="A152" s="12" t="n">
        <v>144</v>
      </c>
      <c r="B152" s="13" t="inlineStr">
        <is>
          <t>Composition</t>
        </is>
      </c>
      <c r="C152" s="13" t="inlineStr">
        <is>
          <t>Rendering</t>
        </is>
      </c>
      <c r="D152" s="13" t="inlineStr">
        <is>
          <t>SubContent native props pass through</t>
        </is>
      </c>
      <c r="E152" s="18" t="inlineStr">
        <is>
          <t>yes</t>
        </is>
      </c>
      <c r="F152" s="18" t="inlineStr">
        <is>
          <t>yes</t>
        </is>
      </c>
      <c r="G152" s="12" t="inlineStr">
        <is>
          <t>pass</t>
        </is>
      </c>
      <c r="H152" s="22" t="inlineStr">
        <is>
          <t>covered</t>
        </is>
      </c>
      <c r="I152" s="13" t="inlineStr">
        <is>
          <t>Verify the part forwards a non-Atom-owned data-prop-check marker in the live raw Data group or Inspector.</t>
        </is>
      </c>
      <c r="J152" s="13" t="inlineStr">
        <is>
          <t>Do not add a curated Native props row; the DOM data-prop-check marker is the evidence.</t>
        </is>
      </c>
      <c r="K152" s="14">
        <f>IF(AND(E152="yes",F152="yes",H152="covered"),1,IF(H152="partial",0.5,0))</f>
        <v/>
      </c>
    </row>
    <row r="153" ht="30" customHeight="1" s="24">
      <c r="A153" s="12" t="n">
        <v>145</v>
      </c>
      <c r="B153" s="13" t="inlineStr">
        <is>
          <t>Styling Hooks</t>
        </is>
      </c>
      <c r="C153" s="13" t="inlineStr">
        <is>
          <t>Data Attributes</t>
        </is>
      </c>
      <c r="D153" s="13" t="inlineStr">
        <is>
          <t>root open state visible through content data-state</t>
        </is>
      </c>
      <c r="E153" s="18" t="inlineStr">
        <is>
          <t>yes</t>
        </is>
      </c>
      <c r="F153" s="18" t="inlineStr">
        <is>
          <t>yes</t>
        </is>
      </c>
      <c r="G153" s="12" t="inlineStr">
        <is>
          <t>pass</t>
        </is>
      </c>
      <c r="H153" s="22" t="inlineStr">
        <is>
          <t>covered</t>
        </is>
      </c>
      <c r="I153" s="13" t="inlineStr">
        <is>
          <t>Menu playground scenario; manually verified in current batches.</t>
        </is>
      </c>
      <c r="J153" s="13" t="inlineStr">
        <is>
          <t>Complete.</t>
        </is>
      </c>
      <c r="K153" s="14">
        <f>IF(AND(E153="yes",F153="yes",H153="covered"),1,IF(H153="partial",0.5,0))</f>
        <v/>
      </c>
    </row>
    <row r="154" ht="30" customHeight="1" s="24">
      <c r="A154" s="12" t="n">
        <v>146</v>
      </c>
      <c r="B154" s="13" t="inlineStr">
        <is>
          <t>Styling Hooks</t>
        </is>
      </c>
      <c r="C154" s="13" t="inlineStr">
        <is>
          <t>Data Attributes</t>
        </is>
      </c>
      <c r="D154" s="13" t="inlineStr">
        <is>
          <t>highlighted item visible through data-highlighted</t>
        </is>
      </c>
      <c r="E154" s="18" t="inlineStr">
        <is>
          <t>yes</t>
        </is>
      </c>
      <c r="F154" s="18" t="inlineStr">
        <is>
          <t>yes</t>
        </is>
      </c>
      <c r="G154" s="12" t="inlineStr">
        <is>
          <t>pass</t>
        </is>
      </c>
      <c r="H154" s="22" t="inlineStr">
        <is>
          <t>covered</t>
        </is>
      </c>
      <c r="I154" s="13" t="inlineStr">
        <is>
          <t>Menu playground scenario; manually verified in current batches.</t>
        </is>
      </c>
      <c r="J154" s="13" t="inlineStr">
        <is>
          <t>Complete.</t>
        </is>
      </c>
      <c r="K154" s="14">
        <f>IF(AND(E154="yes",F154="yes",H154="covered"),1,IF(H154="partial",0.5,0))</f>
        <v/>
      </c>
    </row>
    <row r="155" ht="30" customHeight="1" s="24">
      <c r="A155" s="12" t="n">
        <v>147</v>
      </c>
      <c r="B155" s="13" t="inlineStr">
        <is>
          <t>Styling Hooks</t>
        </is>
      </c>
      <c r="C155" s="13" t="inlineStr">
        <is>
          <t>Data Attributes</t>
        </is>
      </c>
      <c r="D155" s="13" t="inlineStr">
        <is>
          <t>disabled item visible through data-disabled</t>
        </is>
      </c>
      <c r="E155" s="18" t="inlineStr">
        <is>
          <t>yes</t>
        </is>
      </c>
      <c r="F155" s="18" t="inlineStr">
        <is>
          <t>yes</t>
        </is>
      </c>
      <c r="G155" s="12" t="inlineStr">
        <is>
          <t>pass</t>
        </is>
      </c>
      <c r="H155" s="22" t="inlineStr">
        <is>
          <t>covered</t>
        </is>
      </c>
      <c r="I155" s="13" t="inlineStr">
        <is>
          <t>Menu playground scenario; manually verified in current batches.</t>
        </is>
      </c>
      <c r="J155" s="13" t="inlineStr">
        <is>
          <t>Complete.</t>
        </is>
      </c>
      <c r="K155" s="14">
        <f>IF(AND(E155="yes",F155="yes",H155="covered"),1,IF(H155="partial",0.5,0))</f>
        <v/>
      </c>
    </row>
    <row r="156" ht="30" customHeight="1" s="24">
      <c r="A156" s="12" t="n">
        <v>148</v>
      </c>
      <c r="B156" s="13" t="inlineStr">
        <is>
          <t>Styling Hooks</t>
        </is>
      </c>
      <c r="C156" s="13" t="inlineStr">
        <is>
          <t>Data Attributes</t>
        </is>
      </c>
      <c r="D156" s="13" t="inlineStr">
        <is>
          <t>checked item visible through data-checked</t>
        </is>
      </c>
      <c r="E156" s="18" t="inlineStr">
        <is>
          <t>yes</t>
        </is>
      </c>
      <c r="F156" s="18" t="inlineStr">
        <is>
          <t>yes</t>
        </is>
      </c>
      <c r="G156" s="12" t="inlineStr">
        <is>
          <t>pass</t>
        </is>
      </c>
      <c r="H156" s="22" t="inlineStr">
        <is>
          <t>covered</t>
        </is>
      </c>
      <c r="I156" s="13" t="inlineStr">
        <is>
          <t>Menu playground scenario; manually verified in current batches.</t>
        </is>
      </c>
      <c r="J156" s="13" t="inlineStr">
        <is>
          <t>Complete.</t>
        </is>
      </c>
      <c r="K156" s="14">
        <f>IF(AND(E156="yes",F156="yes",H156="covered"),1,IF(H156="partial",0.5,0))</f>
        <v/>
      </c>
    </row>
    <row r="157" ht="30" customHeight="1" s="24">
      <c r="A157" s="12" t="n">
        <v>149</v>
      </c>
      <c r="B157" s="13" t="inlineStr">
        <is>
          <t>Styling Hooks</t>
        </is>
      </c>
      <c r="C157" s="13" t="inlineStr">
        <is>
          <t>Data Attributes</t>
        </is>
      </c>
      <c r="D157" s="13" t="inlineStr">
        <is>
          <t>placement visible through data-side and data-align</t>
        </is>
      </c>
      <c r="E157" s="18" t="inlineStr">
        <is>
          <t>yes</t>
        </is>
      </c>
      <c r="F157" s="18" t="inlineStr">
        <is>
          <t>yes</t>
        </is>
      </c>
      <c r="G157" s="12" t="inlineStr">
        <is>
          <t>pass</t>
        </is>
      </c>
      <c r="H157" s="22" t="inlineStr">
        <is>
          <t>covered</t>
        </is>
      </c>
      <c r="I157" s="13" t="inlineStr">
        <is>
          <t>Menu playground scenario; manually verified in current batches.</t>
        </is>
      </c>
      <c r="J157" s="13" t="inlineStr">
        <is>
          <t>Complete.</t>
        </is>
      </c>
      <c r="K157" s="14">
        <f>IF(AND(E157="yes",F157="yes",H157="covered"),1,IF(H157="partial",0.5,0))</f>
        <v/>
      </c>
    </row>
    <row r="158" ht="30" customHeight="1" s="24">
      <c r="A158" s="12" t="n">
        <v>150</v>
      </c>
      <c r="B158" s="13" t="inlineStr">
        <is>
          <t>Styling Hooks</t>
        </is>
      </c>
      <c r="C158" s="13" t="inlineStr">
        <is>
          <t>Data Attributes</t>
        </is>
      </c>
      <c r="D158" s="13" t="inlineStr">
        <is>
          <t>positioned state visible through data-positioned</t>
        </is>
      </c>
      <c r="E158" s="18" t="inlineStr">
        <is>
          <t>yes</t>
        </is>
      </c>
      <c r="F158" s="18" t="inlineStr">
        <is>
          <t>yes</t>
        </is>
      </c>
      <c r="G158" s="12" t="inlineStr">
        <is>
          <t>pass</t>
        </is>
      </c>
      <c r="H158" s="22" t="inlineStr">
        <is>
          <t>covered</t>
        </is>
      </c>
      <c r="I158" s="13" t="inlineStr">
        <is>
          <t>Menu playground scenario; manually verified in current batches.</t>
        </is>
      </c>
      <c r="J158" s="13" t="inlineStr">
        <is>
          <t>Complete.</t>
        </is>
      </c>
      <c r="K158" s="14">
        <f>IF(AND(E158="yes",F158="yes",H158="covered"),1,IF(H158="partial",0.5,0))</f>
        <v/>
      </c>
    </row>
    <row r="159" ht="30" customHeight="1" s="24">
      <c r="A159" s="12" t="n">
        <v>151</v>
      </c>
      <c r="B159" s="13" t="inlineStr">
        <is>
          <t>Portal And Positioning</t>
        </is>
      </c>
      <c r="C159" s="13" t="inlineStr">
        <is>
          <t>Portal</t>
        </is>
      </c>
      <c r="D159" s="13" t="inlineStr">
        <is>
          <t>root content portals to body</t>
        </is>
      </c>
      <c r="E159" s="18" t="inlineStr">
        <is>
          <t>yes</t>
        </is>
      </c>
      <c r="F159" s="18" t="inlineStr">
        <is>
          <t>yes</t>
        </is>
      </c>
      <c r="G159" s="12" t="inlineStr">
        <is>
          <t>pass</t>
        </is>
      </c>
      <c r="H159" s="22" t="inlineStr">
        <is>
          <t>covered</t>
        </is>
      </c>
      <c r="I159" s="13" t="inlineStr">
        <is>
          <t>Menu playground scenario; manually verified in current batches.</t>
        </is>
      </c>
      <c r="J159" s="13" t="inlineStr">
        <is>
          <t>Complete.</t>
        </is>
      </c>
      <c r="K159" s="14">
        <f>IF(AND(E159="yes",F159="yes",H159="covered"),1,IF(H159="partial",0.5,0))</f>
        <v/>
      </c>
    </row>
    <row r="160" ht="30" customHeight="1" s="24">
      <c r="A160" s="12" t="n">
        <v>152</v>
      </c>
      <c r="B160" s="13" t="inlineStr">
        <is>
          <t>Portal And Positioning</t>
        </is>
      </c>
      <c r="C160" s="13" t="inlineStr">
        <is>
          <t>Portal</t>
        </is>
      </c>
      <c r="D160" s="13" t="inlineStr">
        <is>
          <t>sub content portals to body</t>
        </is>
      </c>
      <c r="E160" s="18" t="inlineStr">
        <is>
          <t>yes</t>
        </is>
      </c>
      <c r="F160" s="18" t="inlineStr">
        <is>
          <t>yes</t>
        </is>
      </c>
      <c r="G160" s="12" t="inlineStr">
        <is>
          <t>pass</t>
        </is>
      </c>
      <c r="H160" s="22" t="inlineStr">
        <is>
          <t>covered</t>
        </is>
      </c>
      <c r="I160" s="13" t="inlineStr">
        <is>
          <t>Menu playground scenario; manually verified in current batches.</t>
        </is>
      </c>
      <c r="J160" s="13" t="inlineStr">
        <is>
          <t>Complete.</t>
        </is>
      </c>
      <c r="K160" s="14">
        <f>IF(AND(E160="yes",F160="yes",H160="covered"),1,IF(H160="partial",0.5,0))</f>
        <v/>
      </c>
    </row>
    <row r="161" ht="30" customHeight="1" s="24">
      <c r="A161" s="12" t="n">
        <v>153</v>
      </c>
      <c r="B161" s="13" t="inlineStr">
        <is>
          <t>Portal And Positioning</t>
        </is>
      </c>
      <c r="C161" s="13" t="inlineStr">
        <is>
          <t>Portal</t>
        </is>
      </c>
      <c r="D161" s="13" t="inlineStr">
        <is>
          <t>anchorPoint opens at pointer location</t>
        </is>
      </c>
      <c r="E161" s="18" t="inlineStr">
        <is>
          <t>yes</t>
        </is>
      </c>
      <c r="F161" s="18" t="inlineStr">
        <is>
          <t>yes</t>
        </is>
      </c>
      <c r="G161" s="12" t="inlineStr">
        <is>
          <t>pass</t>
        </is>
      </c>
      <c r="H161" s="22" t="inlineStr">
        <is>
          <t>covered</t>
        </is>
      </c>
      <c r="I161" s="13" t="inlineStr">
        <is>
          <t>Menu playground scenario; manually verified in current batches.</t>
        </is>
      </c>
      <c r="J161" s="13" t="inlineStr">
        <is>
          <t>Complete.</t>
        </is>
      </c>
      <c r="K161" s="14">
        <f>IF(AND(E161="yes",F161="yes",H161="covered"),1,IF(H161="partial",0.5,0))</f>
        <v/>
      </c>
    </row>
    <row r="162" ht="30" customHeight="1" s="24">
      <c r="A162" s="12" t="n">
        <v>154</v>
      </c>
      <c r="B162" s="13" t="inlineStr">
        <is>
          <t>Portal And Positioning</t>
        </is>
      </c>
      <c r="C162" s="13" t="inlineStr">
        <is>
          <t>Portal</t>
        </is>
      </c>
      <c r="D162" s="13" t="inlineStr">
        <is>
          <t>placement flips or shifts near viewport edge</t>
        </is>
      </c>
      <c r="E162" s="18" t="inlineStr">
        <is>
          <t>yes</t>
        </is>
      </c>
      <c r="F162" s="18" t="inlineStr">
        <is>
          <t>yes</t>
        </is>
      </c>
      <c r="G162" s="12" t="inlineStr">
        <is>
          <t>passed</t>
        </is>
      </c>
      <c r="H162" s="22" t="inlineStr">
        <is>
          <t>covered</t>
        </is>
      </c>
      <c r="I162" s="13" t="inlineStr">
        <is>
          <t>Menu playground edge anchor placement verifies menu flips/shifts near viewport edge.</t>
        </is>
      </c>
      <c r="J162" s="13" t="n"/>
      <c r="K162" s="14">
        <f>IF(AND(E162="yes",F162="yes",H162="covered"),1,IF(H162="partial",0.5,0))</f>
        <v/>
      </c>
    </row>
    <row r="163" ht="30" customHeight="1" s="24">
      <c r="A163" s="12" t="n">
        <v>155</v>
      </c>
      <c r="B163" s="13" t="inlineStr">
        <is>
          <t>Portal And Positioning</t>
        </is>
      </c>
      <c r="C163" s="13" t="inlineStr">
        <is>
          <t>Portal</t>
        </is>
      </c>
      <c r="D163" s="13" t="inlineStr">
        <is>
          <t>scroll lock applies only when modal</t>
        </is>
      </c>
      <c r="E163" s="18" t="inlineStr">
        <is>
          <t>yes</t>
        </is>
      </c>
      <c r="F163" s="18" t="inlineStr">
        <is>
          <t>yes</t>
        </is>
      </c>
      <c r="G163" s="12" t="inlineStr">
        <is>
          <t>passed</t>
        </is>
      </c>
      <c r="H163" s="22" t="inlineStr">
        <is>
          <t>covered</t>
        </is>
      </c>
      <c r="I163" s="13" t="inlineStr">
        <is>
          <t>Menu playground Modal on/off verifies portal scroll lock applies only when modal.</t>
        </is>
      </c>
      <c r="J163" s="13" t="n"/>
      <c r="K163" s="14">
        <f>IF(AND(E163="yes",F163="yes",H163="covered"),1,IF(H163="partial",0.5,0))</f>
        <v/>
      </c>
    </row>
    <row r="164" ht="45" customHeight="1" s="24">
      <c r="A164" s="12" t="n">
        <v>156</v>
      </c>
      <c r="B164" s="13" t="inlineStr">
        <is>
          <t>Portal And Positioning</t>
        </is>
      </c>
      <c r="C164" s="13" t="inlineStr">
        <is>
          <t>Portal</t>
        </is>
      </c>
      <c r="D164" s="13" t="inlineStr">
        <is>
          <t>menu works inside Dialog without focus escape</t>
        </is>
      </c>
      <c r="E164" s="18" t="inlineStr">
        <is>
          <t>yes</t>
        </is>
      </c>
      <c r="F164" s="18" t="inlineStr">
        <is>
          <t>yes</t>
        </is>
      </c>
      <c r="G164" s="12" t="inlineStr">
        <is>
          <t>passed</t>
        </is>
      </c>
      <c r="H164" s="22" t="inlineStr">
        <is>
          <t>covered</t>
        </is>
      </c>
      <c r="I164" s="13" t="inlineStr">
        <is>
          <t>Menu playground Inside Dialog verifies Menu works inside Dialog without focus escaping behind the modal.</t>
        </is>
      </c>
      <c r="J164" s="13" t="n"/>
      <c r="K164" s="14">
        <f>IF(AND(E164="yes",F164="yes",H164="covered"),1,IF(H164="partial",0.5,0))</f>
        <v/>
      </c>
    </row>
    <row r="165" ht="30" customHeight="1" s="24">
      <c r="A165" s="12" t="n">
        <v>157</v>
      </c>
      <c r="B165" s="13" t="inlineStr">
        <is>
          <t>Regression</t>
        </is>
      </c>
      <c r="C165" s="13" t="inlineStr">
        <is>
          <t>Recent Fixes</t>
        </is>
      </c>
      <c r="D165" s="13" t="inlineStr">
        <is>
          <t>radio groups with duplicate values highlight independently</t>
        </is>
      </c>
      <c r="E165" s="18" t="inlineStr">
        <is>
          <t>yes</t>
        </is>
      </c>
      <c r="F165" s="18" t="inlineStr">
        <is>
          <t>yes</t>
        </is>
      </c>
      <c r="G165" s="12" t="inlineStr">
        <is>
          <t>passed</t>
        </is>
      </c>
      <c r="H165" s="22" t="inlineStr">
        <is>
          <t>covered</t>
        </is>
      </c>
      <c r="I165" s="13" t="inlineStr">
        <is>
          <t>Menu playground verifies duplicate radio values in separate groups highlight independently.</t>
        </is>
      </c>
      <c r="J165" s="13" t="n"/>
      <c r="K165" s="14">
        <f>IF(AND(E165="yes",F165="yes",H165="covered"),1,IF(H165="partial",0.5,0))</f>
        <v/>
      </c>
    </row>
    <row r="166" ht="30" customHeight="1" s="24">
      <c r="A166" s="12" t="n">
        <v>158</v>
      </c>
      <c r="B166" s="13" t="inlineStr">
        <is>
          <t>Regression</t>
        </is>
      </c>
      <c r="C166" s="13" t="inlineStr">
        <is>
          <t>Recent Fixes</t>
        </is>
      </c>
      <c r="D166" s="13" t="inlineStr">
        <is>
          <t>hovering non-item content does not reset highlight to first item</t>
        </is>
      </c>
      <c r="E166" s="18" t="inlineStr">
        <is>
          <t>yes</t>
        </is>
      </c>
      <c r="F166" s="18" t="inlineStr">
        <is>
          <t>yes</t>
        </is>
      </c>
      <c r="G166" s="12" t="inlineStr">
        <is>
          <t>passed</t>
        </is>
      </c>
      <c r="H166" s="22" t="inlineStr">
        <is>
          <t>covered</t>
        </is>
      </c>
      <c r="I166" s="13" t="inlineStr">
        <is>
          <t>Menu playground verifies hovering labels/gaps does not reset highlight to the first item.</t>
        </is>
      </c>
      <c r="J166" s="13" t="n"/>
      <c r="K166" s="14">
        <f>IF(AND(E166="yes",F166="yes",H166="covered"),1,IF(H166="partial",0.5,0))</f>
        <v/>
      </c>
    </row>
    <row r="167" ht="30" customHeight="1" s="24">
      <c r="A167" s="12" t="n">
        <v>159</v>
      </c>
      <c r="B167" s="13" t="inlineStr">
        <is>
          <t>Regression</t>
        </is>
      </c>
      <c r="C167" s="13" t="inlineStr">
        <is>
          <t>Recent Fixes</t>
        </is>
      </c>
      <c r="D167" s="13" t="inlineStr">
        <is>
          <t>outside click closes portalled menu</t>
        </is>
      </c>
      <c r="E167" s="18" t="inlineStr">
        <is>
          <t>yes</t>
        </is>
      </c>
      <c r="F167" s="18" t="inlineStr">
        <is>
          <t>yes</t>
        </is>
      </c>
      <c r="G167" s="12" t="inlineStr">
        <is>
          <t>pass</t>
        </is>
      </c>
      <c r="H167" s="22" t="inlineStr">
        <is>
          <t>covered</t>
        </is>
      </c>
      <c r="I167" s="13" t="inlineStr">
        <is>
          <t>Menu playground scenario; manually verified in current batches.</t>
        </is>
      </c>
      <c r="J167" s="13" t="inlineStr">
        <is>
          <t>Complete.</t>
        </is>
      </c>
      <c r="K167" s="14">
        <f>IF(AND(E167="yes",F167="yes",H167="covered"),1,IF(H167="partial",0.5,0))</f>
        <v/>
      </c>
    </row>
    <row r="168" ht="30" customHeight="1" s="24">
      <c r="A168" s="12" t="n">
        <v>160</v>
      </c>
      <c r="B168" s="13" t="inlineStr">
        <is>
          <t>Regression</t>
        </is>
      </c>
      <c r="C168" s="13" t="inlineStr">
        <is>
          <t>Recent Fixes</t>
        </is>
      </c>
      <c r="D168" s="13" t="inlineStr">
        <is>
          <t>Escape closes topmost overlay only</t>
        </is>
      </c>
      <c r="E168" s="18" t="inlineStr">
        <is>
          <t>yes</t>
        </is>
      </c>
      <c r="F168" s="18" t="inlineStr">
        <is>
          <t>yes</t>
        </is>
      </c>
      <c r="G168" s="12" t="inlineStr">
        <is>
          <t>pass</t>
        </is>
      </c>
      <c r="H168" s="22" t="inlineStr">
        <is>
          <t>covered</t>
        </is>
      </c>
      <c r="I168" s="13" t="inlineStr">
        <is>
          <t>Menu playground scenario; manually verified in current batches.</t>
        </is>
      </c>
      <c r="J168" s="13" t="inlineStr">
        <is>
          <t>Complete.</t>
        </is>
      </c>
      <c r="K168" s="14">
        <f>IF(AND(E168="yes",F168="yes",H168="covered"),1,IF(H168="partial",0.5,0))</f>
        <v/>
      </c>
    </row>
    <row r="169" ht="30" customHeight="1" s="24">
      <c r="A169" s="12" t="n">
        <v>161</v>
      </c>
      <c r="B169" s="13" t="inlineStr">
        <is>
          <t>Regression</t>
        </is>
      </c>
      <c r="C169" s="13" t="inlineStr">
        <is>
          <t>Recent Fixes</t>
        </is>
      </c>
      <c r="D169" s="13" t="inlineStr">
        <is>
          <t>submenu focus returns to parent content on close</t>
        </is>
      </c>
      <c r="E169" s="18" t="inlineStr">
        <is>
          <t>yes</t>
        </is>
      </c>
      <c r="F169" s="18" t="inlineStr">
        <is>
          <t>yes</t>
        </is>
      </c>
      <c r="G169" s="12" t="inlineStr">
        <is>
          <t>pass</t>
        </is>
      </c>
      <c r="H169" s="22" t="inlineStr">
        <is>
          <t>covered</t>
        </is>
      </c>
      <c r="I169" s="13" t="inlineStr">
        <is>
          <t>Menu playground scenario; manually verified in current batches.</t>
        </is>
      </c>
      <c r="J169" s="13" t="inlineStr">
        <is>
          <t>Complete.</t>
        </is>
      </c>
      <c r="K169" s="14">
        <f>IF(AND(E169="yes",F169="yes",H169="covered"),1,IF(H169="partial",0.5,0))</f>
        <v/>
      </c>
    </row>
    <row r="170" ht="15" customHeight="1" s="24">
      <c r="A170" s="12" t="n">
        <v>162</v>
      </c>
      <c r="B170" s="13" t="inlineStr">
        <is>
          <t>Mobile</t>
        </is>
      </c>
      <c r="C170" s="13" t="inlineStr">
        <is>
          <t>Touch</t>
        </is>
      </c>
      <c r="D170" s="13" t="inlineStr">
        <is>
          <t>touch opens menu</t>
        </is>
      </c>
      <c r="E170" s="18" t="inlineStr">
        <is>
          <t>yes</t>
        </is>
      </c>
      <c r="F170" s="18" t="inlineStr">
        <is>
          <t>yes</t>
        </is>
      </c>
      <c r="G170" s="12" t="inlineStr">
        <is>
          <t>passed</t>
        </is>
      </c>
      <c r="H170" s="22" t="inlineStr">
        <is>
          <t>covered</t>
        </is>
      </c>
      <c r="I170" s="13" t="inlineStr">
        <is>
          <t>Mobile phone test verifies touch opens Menu.</t>
        </is>
      </c>
      <c r="J170" s="13" t="n"/>
      <c r="K170" s="14">
        <f>IF(AND(E170="yes",F170="yes",H170="covered"),1,IF(H170="partial",0.5,0))</f>
        <v/>
      </c>
    </row>
    <row r="171" ht="15" customHeight="1" s="24">
      <c r="A171" s="12" t="n">
        <v>163</v>
      </c>
      <c r="B171" s="13" t="inlineStr">
        <is>
          <t>Mobile</t>
        </is>
      </c>
      <c r="C171" s="13" t="inlineStr">
        <is>
          <t>Touch</t>
        </is>
      </c>
      <c r="D171" s="13" t="inlineStr">
        <is>
          <t>touch selects action item</t>
        </is>
      </c>
      <c r="E171" s="18" t="inlineStr">
        <is>
          <t>yes</t>
        </is>
      </c>
      <c r="F171" s="18" t="inlineStr">
        <is>
          <t>yes</t>
        </is>
      </c>
      <c r="G171" s="12" t="inlineStr">
        <is>
          <t>passed</t>
        </is>
      </c>
      <c r="H171" s="22" t="inlineStr">
        <is>
          <t>covered</t>
        </is>
      </c>
      <c r="I171" s="13" t="inlineStr">
        <is>
          <t>Mobile phone test verifies touch selects action item.</t>
        </is>
      </c>
      <c r="J171" s="13" t="n"/>
      <c r="K171" s="14">
        <f>IF(AND(E171="yes",F171="yes",H171="covered"),1,IF(H171="partial",0.5,0))</f>
        <v/>
      </c>
    </row>
    <row r="172" ht="30" customHeight="1" s="24">
      <c r="A172" s="12" t="n">
        <v>164</v>
      </c>
      <c r="B172" s="13" t="inlineStr">
        <is>
          <t>Mobile</t>
        </is>
      </c>
      <c r="C172" s="13" t="inlineStr">
        <is>
          <t>Touch</t>
        </is>
      </c>
      <c r="D172" s="13" t="inlineStr">
        <is>
          <t>touch toggles checkbox item</t>
        </is>
      </c>
      <c r="E172" s="18" t="inlineStr">
        <is>
          <t>yes</t>
        </is>
      </c>
      <c r="F172" s="18" t="inlineStr">
        <is>
          <t>yes</t>
        </is>
      </c>
      <c r="G172" s="12" t="inlineStr">
        <is>
          <t>passed</t>
        </is>
      </c>
      <c r="H172" s="22" t="inlineStr">
        <is>
          <t>covered</t>
        </is>
      </c>
      <c r="I172" s="13" t="inlineStr">
        <is>
          <t>Mobile phone test verifies touch toggles checkbox item.</t>
        </is>
      </c>
      <c r="J172" s="13" t="n"/>
      <c r="K172" s="14">
        <f>IF(AND(E172="yes",F172="yes",H172="covered"),1,IF(H172="partial",0.5,0))</f>
        <v/>
      </c>
    </row>
    <row r="173" ht="15" customHeight="1" s="24">
      <c r="A173" s="12" t="n">
        <v>165</v>
      </c>
      <c r="B173" s="13" t="inlineStr">
        <is>
          <t>Mobile</t>
        </is>
      </c>
      <c r="C173" s="13" t="inlineStr">
        <is>
          <t>Touch</t>
        </is>
      </c>
      <c r="D173" s="13" t="inlineStr">
        <is>
          <t>touch selects radio item</t>
        </is>
      </c>
      <c r="E173" s="18" t="inlineStr">
        <is>
          <t>yes</t>
        </is>
      </c>
      <c r="F173" s="18" t="inlineStr">
        <is>
          <t>yes</t>
        </is>
      </c>
      <c r="G173" s="12" t="inlineStr">
        <is>
          <t>passed</t>
        </is>
      </c>
      <c r="H173" s="22" t="inlineStr">
        <is>
          <t>covered</t>
        </is>
      </c>
      <c r="I173" s="13" t="inlineStr">
        <is>
          <t>Mobile phone test verifies touch selects radio item.</t>
        </is>
      </c>
      <c r="J173" s="13" t="n"/>
      <c r="K173" s="14">
        <f>IF(AND(E173="yes",F173="yes",H173="covered"),1,IF(H173="partial",0.5,0))</f>
        <v/>
      </c>
    </row>
    <row r="174" ht="15" customHeight="1" s="24">
      <c r="A174" s="12" t="n">
        <v>166</v>
      </c>
      <c r="B174" s="13" t="inlineStr">
        <is>
          <t>Mobile</t>
        </is>
      </c>
      <c r="C174" s="13" t="inlineStr">
        <is>
          <t>Touch</t>
        </is>
      </c>
      <c r="D174" s="13" t="inlineStr">
        <is>
          <t>touch opens submenu</t>
        </is>
      </c>
      <c r="E174" s="18" t="inlineStr">
        <is>
          <t>yes</t>
        </is>
      </c>
      <c r="F174" s="18" t="inlineStr">
        <is>
          <t>yes</t>
        </is>
      </c>
      <c r="G174" s="12" t="inlineStr">
        <is>
          <t>passed</t>
        </is>
      </c>
      <c r="H174" s="22" t="inlineStr">
        <is>
          <t>covered</t>
        </is>
      </c>
      <c r="I174" s="13" t="inlineStr">
        <is>
          <t>Mobile phone test verifies touch opens submenu.</t>
        </is>
      </c>
      <c r="J174" s="13" t="n"/>
      <c r="K174" s="14">
        <f>IF(AND(E174="yes",F174="yes",H174="covered"),1,IF(H174="partial",0.5,0))</f>
        <v/>
      </c>
    </row>
    <row r="175" ht="30" customHeight="1" s="24">
      <c r="A175" s="12" t="n">
        <v>167</v>
      </c>
      <c r="B175" s="13" t="inlineStr">
        <is>
          <t>Mobile</t>
        </is>
      </c>
      <c r="C175" s="13" t="inlineStr">
        <is>
          <t>Touch</t>
        </is>
      </c>
      <c r="D175" s="13" t="inlineStr">
        <is>
          <t>outside touch closes menu</t>
        </is>
      </c>
      <c r="E175" s="18" t="inlineStr">
        <is>
          <t>yes</t>
        </is>
      </c>
      <c r="F175" s="18" t="inlineStr">
        <is>
          <t>yes</t>
        </is>
      </c>
      <c r="G175" s="12" t="inlineStr">
        <is>
          <t>passed</t>
        </is>
      </c>
      <c r="H175" s="22" t="inlineStr">
        <is>
          <t>covered</t>
        </is>
      </c>
      <c r="I175" s="13" t="inlineStr">
        <is>
          <t>Mobile phone test verifies outside touch closes Menu.</t>
        </is>
      </c>
      <c r="J175" s="13" t="n"/>
      <c r="K175" s="14">
        <f>IF(AND(E175="yes",F175="yes",H175="covered"),1,IF(H175="partial",0.5,0))</f>
        <v/>
      </c>
    </row>
    <row r="176" ht="30" customHeight="1" s="24">
      <c r="A176" s="12" t="n">
        <v>168</v>
      </c>
      <c r="B176" s="13" t="inlineStr">
        <is>
          <t>Keyboard</t>
        </is>
      </c>
      <c r="C176" s="13" t="inlineStr">
        <is>
          <t>Typeahead</t>
        </is>
      </c>
      <c r="D176" s="13" t="inlineStr">
        <is>
          <t>single-character typeahead cycles from current matching item after buffer reset</t>
        </is>
      </c>
      <c r="E176" s="18" t="inlineStr">
        <is>
          <t>yes</t>
        </is>
      </c>
      <c r="F176" s="18" t="inlineStr">
        <is>
          <t>yes</t>
        </is>
      </c>
      <c r="G176" s="12" t="inlineStr">
        <is>
          <t>pass</t>
        </is>
      </c>
      <c r="H176" s="22" t="inlineStr">
        <is>
          <t>covered</t>
        </is>
      </c>
      <c r="I176" s="13" t="inlineStr">
        <is>
          <t>Menu typeahead cycle batch; manually verified.</t>
        </is>
      </c>
      <c r="J176" s="13" t="inlineStr">
        <is>
          <t>Complete.</t>
        </is>
      </c>
      <c r="K176" s="14">
        <f>IF(AND(E176="yes",F176="yes",H176="covered"),1,IF(H176="partial",0.5,0))</f>
        <v/>
      </c>
    </row>
    <row r="177" ht="30" customHeight="1" s="24">
      <c r="A177" s="12" t="n">
        <v>169</v>
      </c>
      <c r="B177" s="13" t="inlineStr">
        <is>
          <t>Direction</t>
        </is>
      </c>
      <c r="C177" s="13" t="inlineStr">
        <is>
          <t>Submenu</t>
        </is>
      </c>
      <c r="D177" s="13" t="inlineStr">
        <is>
          <t>reads Direction.Provider context for submenu keyboard behavior</t>
        </is>
      </c>
      <c r="E177" s="21" t="inlineStr">
        <is>
          <t>yes</t>
        </is>
      </c>
      <c r="F177" s="19" t="inlineStr">
        <is>
          <t>yes</t>
        </is>
      </c>
      <c r="G177" s="12" t="inlineStr">
        <is>
          <t>pass</t>
        </is>
      </c>
      <c r="H177" s="21" t="inlineStr">
        <is>
          <t>covered</t>
        </is>
      </c>
      <c r="I177" s="13" t="inlineStr">
        <is>
          <t>Menu playground direction scenario; manually verified.</t>
        </is>
      </c>
      <c r="J177" s="13" t="inlineStr">
        <is>
          <t>Complete.</t>
        </is>
      </c>
      <c r="K177" s="14">
        <f>IF(AND(E177="yes",F177="yes",H177="covered"),1,IF(H177="partial",0.5,0))</f>
        <v/>
      </c>
    </row>
    <row r="178" ht="30" customHeight="1" s="24">
      <c r="A178" s="12" t="n">
        <v>170</v>
      </c>
      <c r="B178" s="13" t="inlineStr">
        <is>
          <t>Direction</t>
        </is>
      </c>
      <c r="C178" s="13" t="inlineStr">
        <is>
          <t>Submenu</t>
        </is>
      </c>
      <c r="D178" s="13" t="inlineStr">
        <is>
          <t>RTL mirrors submenu ArrowLeft and ArrowRight open/close behavior</t>
        </is>
      </c>
      <c r="E178" s="21" t="inlineStr">
        <is>
          <t>yes</t>
        </is>
      </c>
      <c r="F178" s="19" t="inlineStr">
        <is>
          <t>yes</t>
        </is>
      </c>
      <c r="G178" s="12" t="inlineStr">
        <is>
          <t>pass</t>
        </is>
      </c>
      <c r="H178" s="21" t="inlineStr">
        <is>
          <t>covered</t>
        </is>
      </c>
      <c r="I178" s="13" t="inlineStr">
        <is>
          <t>Menu playground direction scenario; manually verified.</t>
        </is>
      </c>
      <c r="J178" s="13" t="inlineStr">
        <is>
          <t>Complete.</t>
        </is>
      </c>
      <c r="K178" s="14">
        <f>IF(AND(E178="yes",F178="yes",H178="covered"),1,IF(H178="partial",0.5,0))</f>
        <v/>
      </c>
    </row>
    <row r="179" ht="30" customHeight="1" s="24">
      <c r="A179" s="12" t="n">
        <v>171</v>
      </c>
      <c r="B179" s="13" t="inlineStr">
        <is>
          <t>Playground</t>
        </is>
      </c>
      <c r="C179" s="13" t="inlineStr">
        <is>
          <t>Direction controls</t>
        </is>
      </c>
      <c r="D179" s="13" t="inlineStr">
        <is>
          <t>scenario exposes provider direction controls</t>
        </is>
      </c>
      <c r="E179" s="21" t="inlineStr">
        <is>
          <t>yes</t>
        </is>
      </c>
      <c r="F179" s="19" t="inlineStr">
        <is>
          <t>yes</t>
        </is>
      </c>
      <c r="G179" s="12" t="inlineStr">
        <is>
          <t>pass</t>
        </is>
      </c>
      <c r="H179" s="21" t="inlineStr">
        <is>
          <t>covered</t>
        </is>
      </c>
      <c r="I179" s="13" t="inlineStr">
        <is>
          <t>Menu playground direction scenario; manually verified.</t>
        </is>
      </c>
      <c r="J179" s="13" t="inlineStr">
        <is>
          <t>Complete.</t>
        </is>
      </c>
      <c r="K179" s="14">
        <f>IF(AND(E179="yes",F179="yes",H179="covered"),1,IF(H179="partial",0.5,0))</f>
        <v/>
      </c>
    </row>
  </sheetData>
  <autoFilter ref="A8:K179"/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Menubar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IFERROR(SUM(K9:K144)/COUNT(K9:K144),0)</f>
        <v/>
      </c>
      <c r="C4" s="8" t="inlineStr">
        <is>
          <t>Covered</t>
        </is>
      </c>
      <c r="D4" s="10">
        <f>COUNTIFS(E9:E144,"yes",F9:F144,"yes",H9:H144,"covered")</f>
        <v/>
      </c>
      <c r="E4" s="8" t="inlineStr">
        <is>
          <t>Partial</t>
        </is>
      </c>
      <c r="F4" s="10">
        <f>COUNTIF(H9:H144,"partial")</f>
        <v/>
      </c>
      <c r="G4" s="8" t="inlineStr">
        <is>
          <t>Missing</t>
        </is>
      </c>
      <c r="H4" s="10">
        <f>COUNTIFS(E9:E144,"&lt;&gt;yes") + COUNTIFS(E9:E144,"yes",H9:H144,"missing")</f>
        <v/>
      </c>
      <c r="I4" s="8" t="inlineStr">
        <is>
          <t>Untested</t>
        </is>
      </c>
      <c r="J4" s="10">
        <f>COUNTIFS(E9:E144,"yes",F9:F144,"&lt;&gt;yes") + COUNTIFS(E9:E144,"yes",F9:F144,"yes",H9:H144,"untested")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Menubar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Menubar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Menubar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Menubar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Menubar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Menubar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Menubar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Menubar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Feature</t>
        </is>
      </c>
      <c r="C13" s="13" t="inlineStr">
        <is>
          <t>Menubar</t>
        </is>
      </c>
      <c r="D13" s="13" t="inlineStr">
        <is>
          <t>Renders `role="menubar"` with menu trigger and content behavior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Menubar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Menubar</t>
        </is>
      </c>
      <c r="D14" s="13" t="inlineStr">
        <is>
          <t>Opens adjacent top-level menus with arrow keys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Menubar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Menubar</t>
        </is>
      </c>
      <c r="D15" s="13" t="inlineStr">
        <is>
          <t>Uses the shared `Menu` item, checkbox, radio, group, separator, and submenu behavior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Menubar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Menubar</t>
        </is>
      </c>
      <c r="D16" s="13" t="inlineStr">
        <is>
          <t>Supports controlled and uncontrolled active menu state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Menubar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Menubar</t>
        </is>
      </c>
      <c r="D17" s="13" t="inlineStr">
        <is>
          <t>Supports configurable `closeOnSelect`, looping, and escape close per menu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Menubar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Menubar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Menubar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Menubar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Menubar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Menubar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Menubar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State</t>
        </is>
      </c>
      <c r="C24" s="13" t="inlineStr">
        <is>
          <t>Root</t>
        </is>
      </c>
      <c r="D24" s="13" t="inlineStr">
        <is>
          <t>value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Menubar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defaultValue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Menubar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onValueChange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Menubar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loop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Menubar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[data-slot]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Menubar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Anatomy</t>
        </is>
      </c>
      <c r="C29" s="13" t="inlineStr">
        <is>
          <t>Trigger</t>
        </is>
      </c>
      <c r="D29" s="13" t="inlineStr">
        <is>
          <t>renders correct part when expected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Menubar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Anatomy</t>
        </is>
      </c>
      <c r="C30" s="13" t="inlineStr">
        <is>
          <t>Trigger</t>
        </is>
      </c>
      <c r="D30" s="13" t="inlineStr">
        <is>
          <t>appears in documented order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Menubar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Identity</t>
        </is>
      </c>
      <c r="C31" s="13" t="inlineStr">
        <is>
          <t>Trigger</t>
        </is>
      </c>
      <c r="D31" s="13" t="inlineStr">
        <is>
          <t>default tag is visible in Anatomy/Inspector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Menubar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Identity</t>
        </is>
      </c>
      <c r="C32" s="13" t="inlineStr">
        <is>
          <t>Trigger</t>
        </is>
      </c>
      <c r="D32" s="13" t="inlineStr">
        <is>
          <t>data-slot is present and correct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Menubar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Props</t>
        </is>
      </c>
      <c r="C33" s="13" t="inlineStr">
        <is>
          <t>Trigger</t>
        </is>
      </c>
      <c r="D33" s="13" t="inlineStr">
        <is>
          <t>non-Atom native props pass through with data-prop-check marker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Menubar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Refs</t>
        </is>
      </c>
      <c r="C34" s="13" t="inlineStr">
        <is>
          <t>Trigger</t>
        </is>
      </c>
      <c r="D34" s="13" t="inlineStr">
        <is>
          <t>consumer ref receives the rendered element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Menubar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Trigger</t>
        </is>
      </c>
      <c r="D35" s="13" t="inlineStr">
        <is>
          <t>[data-slot]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Menubar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Trigger</t>
        </is>
      </c>
      <c r="D36" s="13" t="inlineStr">
        <is>
          <t>[data-state]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Menubar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State</t>
        </is>
      </c>
      <c r="C37" s="13" t="inlineStr">
        <is>
          <t>Trigger</t>
        </is>
      </c>
      <c r="D37" s="13" t="inlineStr">
        <is>
          <t>[data-disabled]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Menubar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Anatomy</t>
        </is>
      </c>
      <c r="C38" s="13" t="inlineStr">
        <is>
          <t>Content</t>
        </is>
      </c>
      <c r="D38" s="13" t="inlineStr">
        <is>
          <t>renders correct part when expected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Menubar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Anatomy</t>
        </is>
      </c>
      <c r="C39" s="13" t="inlineStr">
        <is>
          <t>Content</t>
        </is>
      </c>
      <c r="D39" s="13" t="inlineStr">
        <is>
          <t>appears in documented order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Menubar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Identity</t>
        </is>
      </c>
      <c r="C40" s="13" t="inlineStr">
        <is>
          <t>Content</t>
        </is>
      </c>
      <c r="D40" s="13" t="inlineStr">
        <is>
          <t>default tag is visible in Anatomy/Inspector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Menubar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Identity</t>
        </is>
      </c>
      <c r="C41" s="13" t="inlineStr">
        <is>
          <t>Content</t>
        </is>
      </c>
      <c r="D41" s="13" t="inlineStr">
        <is>
          <t>data-slot is present and correct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Menubar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30" customHeight="1" s="24">
      <c r="A42" s="12" t="n">
        <v>34</v>
      </c>
      <c r="B42" s="13" t="inlineStr">
        <is>
          <t>Props</t>
        </is>
      </c>
      <c r="C42" s="13" t="inlineStr">
        <is>
          <t>Content</t>
        </is>
      </c>
      <c r="D42" s="13" t="inlineStr">
        <is>
          <t>non-Atom native props pass through with data-prop-check marker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Menubar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Refs</t>
        </is>
      </c>
      <c r="C43" s="13" t="inlineStr">
        <is>
          <t>Content</t>
        </is>
      </c>
      <c r="D43" s="13" t="inlineStr">
        <is>
          <t>consumer ref receives the rendered element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Menubar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Anatomy</t>
        </is>
      </c>
      <c r="C44" s="13" t="inlineStr">
        <is>
          <t>Item</t>
        </is>
      </c>
      <c r="D44" s="13" t="inlineStr">
        <is>
          <t>renders correct part when expected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Menubar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Item</t>
        </is>
      </c>
      <c r="D45" s="13" t="inlineStr">
        <is>
          <t>appears in documented order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Menubar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Identity</t>
        </is>
      </c>
      <c r="C46" s="13" t="inlineStr">
        <is>
          <t>Item</t>
        </is>
      </c>
      <c r="D46" s="13" t="inlineStr">
        <is>
          <t>default tag is visible in Anatomy/Inspector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Menubar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Item</t>
        </is>
      </c>
      <c r="D47" s="13" t="inlineStr">
        <is>
          <t>data-slot is present and correct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Menubar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30" customHeight="1" s="24">
      <c r="A48" s="12" t="n">
        <v>40</v>
      </c>
      <c r="B48" s="13" t="inlineStr">
        <is>
          <t>Props</t>
        </is>
      </c>
      <c r="C48" s="13" t="inlineStr">
        <is>
          <t>Item</t>
        </is>
      </c>
      <c r="D48" s="13" t="inlineStr">
        <is>
          <t>non-Atom native props pass through with data-prop-check marker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Menubar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Refs</t>
        </is>
      </c>
      <c r="C49" s="13" t="inlineStr">
        <is>
          <t>Item</t>
        </is>
      </c>
      <c r="D49" s="13" t="inlineStr">
        <is>
          <t>consumer ref receives the rendered element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Menubar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Anatomy</t>
        </is>
      </c>
      <c r="C50" s="13" t="inlineStr">
        <is>
          <t>CheckboxItem</t>
        </is>
      </c>
      <c r="D50" s="13" t="inlineStr">
        <is>
          <t>renders correct part when expected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Menubar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Anatomy</t>
        </is>
      </c>
      <c r="C51" s="13" t="inlineStr">
        <is>
          <t>CheckboxItem</t>
        </is>
      </c>
      <c r="D51" s="13" t="inlineStr">
        <is>
          <t>appears in documented order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Menubar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Identity</t>
        </is>
      </c>
      <c r="C52" s="13" t="inlineStr">
        <is>
          <t>CheckboxItem</t>
        </is>
      </c>
      <c r="D52" s="13" t="inlineStr">
        <is>
          <t>default tag is visible in Anatomy/Inspector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Menubar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Identity</t>
        </is>
      </c>
      <c r="C53" s="13" t="inlineStr">
        <is>
          <t>CheckboxItem</t>
        </is>
      </c>
      <c r="D53" s="13" t="inlineStr">
        <is>
          <t>data-slot is present and correct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Menubar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30" customHeight="1" s="24">
      <c r="A54" s="12" t="n">
        <v>46</v>
      </c>
      <c r="B54" s="13" t="inlineStr">
        <is>
          <t>Props</t>
        </is>
      </c>
      <c r="C54" s="13" t="inlineStr">
        <is>
          <t>CheckboxItem</t>
        </is>
      </c>
      <c r="D54" s="13" t="inlineStr">
        <is>
          <t>non-Atom native props pass through with data-prop-check marker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Menubar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Refs</t>
        </is>
      </c>
      <c r="C55" s="13" t="inlineStr">
        <is>
          <t>CheckboxItem</t>
        </is>
      </c>
      <c r="D55" s="13" t="inlineStr">
        <is>
          <t>consumer ref receives the rendered element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Menubar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Menu</t>
        </is>
      </c>
      <c r="D56" s="13" t="inlineStr">
        <is>
          <t>renders correct part when expected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Menubar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Menu</t>
        </is>
      </c>
      <c r="D57" s="13" t="inlineStr">
        <is>
          <t>appears in documented order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Menubar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Menu</t>
        </is>
      </c>
      <c r="D58" s="13" t="inlineStr">
        <is>
          <t>default tag is visible in Anatomy/Inspector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Menubar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Menu</t>
        </is>
      </c>
      <c r="D59" s="13" t="inlineStr">
        <is>
          <t>data-slot is present and correct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Menubar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Props</t>
        </is>
      </c>
      <c r="C60" s="13" t="inlineStr">
        <is>
          <t>Menu</t>
        </is>
      </c>
      <c r="D60" s="13" t="inlineStr">
        <is>
          <t>non-Atom native props pass through with data-prop-check marker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Menubar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Refs</t>
        </is>
      </c>
      <c r="C61" s="13" t="inlineStr">
        <is>
          <t>Menu</t>
        </is>
      </c>
      <c r="D61" s="13" t="inlineStr">
        <is>
          <t>consumer ref receives the rendered element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Menubar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State</t>
        </is>
      </c>
      <c r="C62" s="13" t="inlineStr">
        <is>
          <t>Menu</t>
        </is>
      </c>
      <c r="D62" s="13" t="inlineStr">
        <is>
          <t>value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Menubar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Public API</t>
        </is>
      </c>
      <c r="C63" s="13" t="inlineStr">
        <is>
          <t>Menu</t>
        </is>
      </c>
      <c r="D63" s="13" t="inlineStr">
        <is>
          <t>closeOnSelect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Menubar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Menu</t>
        </is>
      </c>
      <c r="D64" s="13" t="inlineStr">
        <is>
          <t>loop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Menubar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Public API</t>
        </is>
      </c>
      <c r="C65" s="13" t="inlineStr">
        <is>
          <t>Menu</t>
        </is>
      </c>
      <c r="D65" s="13" t="inlineStr">
        <is>
          <t>closeOnEscape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Menubar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Anatomy</t>
        </is>
      </c>
      <c r="C66" s="13" t="inlineStr">
        <is>
          <t>RadioGroup</t>
        </is>
      </c>
      <c r="D66" s="13" t="inlineStr">
        <is>
          <t>renders correct part when expected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Menubar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Anatomy</t>
        </is>
      </c>
      <c r="C67" s="13" t="inlineStr">
        <is>
          <t>RadioGroup</t>
        </is>
      </c>
      <c r="D67" s="13" t="inlineStr">
        <is>
          <t>appears in documented order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Menubar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Identity</t>
        </is>
      </c>
      <c r="C68" s="13" t="inlineStr">
        <is>
          <t>RadioGroup</t>
        </is>
      </c>
      <c r="D68" s="13" t="inlineStr">
        <is>
          <t>default tag is visible in Anatomy/Inspector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Menubar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Identity</t>
        </is>
      </c>
      <c r="C69" s="13" t="inlineStr">
        <is>
          <t>RadioGroup</t>
        </is>
      </c>
      <c r="D69" s="13" t="inlineStr">
        <is>
          <t>data-slot is present and correct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Menubar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30" customHeight="1" s="24">
      <c r="A70" s="12" t="n">
        <v>62</v>
      </c>
      <c r="B70" s="13" t="inlineStr">
        <is>
          <t>Props</t>
        </is>
      </c>
      <c r="C70" s="13" t="inlineStr">
        <is>
          <t>RadioGroup</t>
        </is>
      </c>
      <c r="D70" s="13" t="inlineStr">
        <is>
          <t>non-Atom native props pass through with data-prop-check marker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Menubar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Refs</t>
        </is>
      </c>
      <c r="C71" s="13" t="inlineStr">
        <is>
          <t>RadioGroup</t>
        </is>
      </c>
      <c r="D71" s="13" t="inlineStr">
        <is>
          <t>consumer ref receives the rendered element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Menubar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Anatomy</t>
        </is>
      </c>
      <c r="C72" s="13" t="inlineStr">
        <is>
          <t>RadioItem</t>
        </is>
      </c>
      <c r="D72" s="13" t="inlineStr">
        <is>
          <t>renders correct part when expected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Menubar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Anatomy</t>
        </is>
      </c>
      <c r="C73" s="13" t="inlineStr">
        <is>
          <t>RadioItem</t>
        </is>
      </c>
      <c r="D73" s="13" t="inlineStr">
        <is>
          <t>appears in documented order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Menubar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Identity</t>
        </is>
      </c>
      <c r="C74" s="13" t="inlineStr">
        <is>
          <t>RadioItem</t>
        </is>
      </c>
      <c r="D74" s="13" t="inlineStr">
        <is>
          <t>default tag is visible in Anatomy/Inspector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Menubar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Identity</t>
        </is>
      </c>
      <c r="C75" s="13" t="inlineStr">
        <is>
          <t>RadioItem</t>
        </is>
      </c>
      <c r="D75" s="13" t="inlineStr">
        <is>
          <t>data-slot is present and correct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Menubar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30" customHeight="1" s="24">
      <c r="A76" s="12" t="n">
        <v>68</v>
      </c>
      <c r="B76" s="13" t="inlineStr">
        <is>
          <t>Props</t>
        </is>
      </c>
      <c r="C76" s="13" t="inlineStr">
        <is>
          <t>RadioItem</t>
        </is>
      </c>
      <c r="D76" s="13" t="inlineStr">
        <is>
          <t>non-Atom native props pass through with data-prop-check marker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Menubar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Refs</t>
        </is>
      </c>
      <c r="C77" s="13" t="inlineStr">
        <is>
          <t>RadioItem</t>
        </is>
      </c>
      <c r="D77" s="13" t="inlineStr">
        <is>
          <t>consumer ref receives the rendered element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Menubar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Anatomy</t>
        </is>
      </c>
      <c r="C78" s="13" t="inlineStr">
        <is>
          <t>Separator</t>
        </is>
      </c>
      <c r="D78" s="13" t="inlineStr">
        <is>
          <t>renders correct part when expected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Menubar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Anatomy</t>
        </is>
      </c>
      <c r="C79" s="13" t="inlineStr">
        <is>
          <t>Separator</t>
        </is>
      </c>
      <c r="D79" s="13" t="inlineStr">
        <is>
          <t>appears in documented order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Menubar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Separator</t>
        </is>
      </c>
      <c r="D80" s="13" t="inlineStr">
        <is>
          <t>default tag is visible in Anatomy/Inspector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Menubar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Identity</t>
        </is>
      </c>
      <c r="C81" s="13" t="inlineStr">
        <is>
          <t>Separator</t>
        </is>
      </c>
      <c r="D81" s="13" t="inlineStr">
        <is>
          <t>data-slot is present and correct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Menubar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Props</t>
        </is>
      </c>
      <c r="C82" s="13" t="inlineStr">
        <is>
          <t>Separator</t>
        </is>
      </c>
      <c r="D82" s="13" t="inlineStr">
        <is>
          <t>non-Atom native props pass through with data-prop-check marker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Menubar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Refs</t>
        </is>
      </c>
      <c r="C83" s="13" t="inlineStr">
        <is>
          <t>Separator</t>
        </is>
      </c>
      <c r="D83" s="13" t="inlineStr">
        <is>
          <t>consumer ref receives the rendered element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Menubar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Anatomy</t>
        </is>
      </c>
      <c r="C84" s="13" t="inlineStr">
        <is>
          <t>Sub</t>
        </is>
      </c>
      <c r="D84" s="13" t="inlineStr">
        <is>
          <t>renders correct part when expected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Menubar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Anatomy</t>
        </is>
      </c>
      <c r="C85" s="13" t="inlineStr">
        <is>
          <t>Sub</t>
        </is>
      </c>
      <c r="D85" s="13" t="inlineStr">
        <is>
          <t>appears in documented order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Menubar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Identity</t>
        </is>
      </c>
      <c r="C86" s="13" t="inlineStr">
        <is>
          <t>Sub</t>
        </is>
      </c>
      <c r="D86" s="13" t="inlineStr">
        <is>
          <t>default tag is visible in Anatomy/Inspector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Menubar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Identity</t>
        </is>
      </c>
      <c r="C87" s="13" t="inlineStr">
        <is>
          <t>Sub</t>
        </is>
      </c>
      <c r="D87" s="13" t="inlineStr">
        <is>
          <t>data-slot is present and correct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Menubar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30" customHeight="1" s="24">
      <c r="A88" s="12" t="n">
        <v>80</v>
      </c>
      <c r="B88" s="13" t="inlineStr">
        <is>
          <t>Props</t>
        </is>
      </c>
      <c r="C88" s="13" t="inlineStr">
        <is>
          <t>Sub</t>
        </is>
      </c>
      <c r="D88" s="13" t="inlineStr">
        <is>
          <t>non-Atom native props pass through with data-prop-check marker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Menubar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Refs</t>
        </is>
      </c>
      <c r="C89" s="13" t="inlineStr">
        <is>
          <t>Sub</t>
        </is>
      </c>
      <c r="D89" s="13" t="inlineStr">
        <is>
          <t>consumer ref receives the rendered element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Menubar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Anatomy</t>
        </is>
      </c>
      <c r="C90" s="13" t="inlineStr">
        <is>
          <t>SubContent</t>
        </is>
      </c>
      <c r="D90" s="13" t="inlineStr">
        <is>
          <t>renders correct part when expected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Menubar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Anatomy</t>
        </is>
      </c>
      <c r="C91" s="13" t="inlineStr">
        <is>
          <t>SubContent</t>
        </is>
      </c>
      <c r="D91" s="13" t="inlineStr">
        <is>
          <t>appears in documented order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Menubar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Identity</t>
        </is>
      </c>
      <c r="C92" s="13" t="inlineStr">
        <is>
          <t>SubContent</t>
        </is>
      </c>
      <c r="D92" s="13" t="inlineStr">
        <is>
          <t>default tag is visible in Anatomy/Inspector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Menubar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Identity</t>
        </is>
      </c>
      <c r="C93" s="13" t="inlineStr">
        <is>
          <t>SubContent</t>
        </is>
      </c>
      <c r="D93" s="13" t="inlineStr">
        <is>
          <t>data-slot is present and correct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Menubar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30" customHeight="1" s="24">
      <c r="A94" s="12" t="n">
        <v>86</v>
      </c>
      <c r="B94" s="13" t="inlineStr">
        <is>
          <t>Props</t>
        </is>
      </c>
      <c r="C94" s="13" t="inlineStr">
        <is>
          <t>SubContent</t>
        </is>
      </c>
      <c r="D94" s="13" t="inlineStr">
        <is>
          <t>non-Atom native props pass through with data-prop-check marker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Menubar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Refs</t>
        </is>
      </c>
      <c r="C95" s="13" t="inlineStr">
        <is>
          <t>SubContent</t>
        </is>
      </c>
      <c r="D95" s="13" t="inlineStr">
        <is>
          <t>consumer ref receives the rendered element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Menubar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Anatomy</t>
        </is>
      </c>
      <c r="C96" s="13" t="inlineStr">
        <is>
          <t>SubTrigger</t>
        </is>
      </c>
      <c r="D96" s="13" t="inlineStr">
        <is>
          <t>renders correct part when expected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Menubar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Anatomy</t>
        </is>
      </c>
      <c r="C97" s="13" t="inlineStr">
        <is>
          <t>SubTrigger</t>
        </is>
      </c>
      <c r="D97" s="13" t="inlineStr">
        <is>
          <t>appears in documented order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Menubar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Identity</t>
        </is>
      </c>
      <c r="C98" s="13" t="inlineStr">
        <is>
          <t>SubTrigger</t>
        </is>
      </c>
      <c r="D98" s="13" t="inlineStr">
        <is>
          <t>default tag is visible in Anatomy/Inspector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Menubar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Identity</t>
        </is>
      </c>
      <c r="C99" s="13" t="inlineStr">
        <is>
          <t>SubTrigger</t>
        </is>
      </c>
      <c r="D99" s="13" t="inlineStr">
        <is>
          <t>data-slot is present and correct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Menubar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30" customHeight="1" s="24">
      <c r="A100" s="12" t="n">
        <v>92</v>
      </c>
      <c r="B100" s="13" t="inlineStr">
        <is>
          <t>Props</t>
        </is>
      </c>
      <c r="C100" s="13" t="inlineStr">
        <is>
          <t>SubTrigger</t>
        </is>
      </c>
      <c r="D100" s="13" t="inlineStr">
        <is>
          <t>non-Atom native props pass through with data-prop-check marker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Menubar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Refs</t>
        </is>
      </c>
      <c r="C101" s="13" t="inlineStr">
        <is>
          <t>SubTrigger</t>
        </is>
      </c>
      <c r="D101" s="13" t="inlineStr">
        <is>
          <t>consumer ref receives the rendered element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Menubar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ARIA</t>
        </is>
      </c>
      <c r="C102" s="13" t="inlineStr">
        <is>
          <t>Live DOM</t>
        </is>
      </c>
      <c r="D102" s="13" t="inlineStr">
        <is>
          <t>aria-controls is present at the correct time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Menubar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ARIA</t>
        </is>
      </c>
      <c r="C103" s="13" t="inlineStr">
        <is>
          <t>Live DOM</t>
        </is>
      </c>
      <c r="D103" s="13" t="inlineStr">
        <is>
          <t>aria-expanded is present at the correct time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Menubar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ARIA</t>
        </is>
      </c>
      <c r="C104" s="13" t="inlineStr">
        <is>
          <t>Live DOM</t>
        </is>
      </c>
      <c r="D104" s="13" t="inlineStr">
        <is>
          <t>aria-haspopup is present at the correct time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Menubar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ARIA</t>
        </is>
      </c>
      <c r="C105" s="13" t="inlineStr">
        <is>
          <t>Live DOM</t>
        </is>
      </c>
      <c r="D105" s="13" t="inlineStr">
        <is>
          <t>aria-orientation is present at the correct time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Menubar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Data</t>
        </is>
      </c>
      <c r="C106" s="13" t="inlineStr">
        <is>
          <t>Live DOM</t>
        </is>
      </c>
      <c r="D106" s="13" t="inlineStr">
        <is>
          <t>data-disabled is present at the correct time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Menubar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Data</t>
        </is>
      </c>
      <c r="C107" s="13" t="inlineStr">
        <is>
          <t>Live DOM</t>
        </is>
      </c>
      <c r="D107" s="13" t="inlineStr">
        <is>
          <t>data-slot is present at the correct time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Menubar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Data</t>
        </is>
      </c>
      <c r="C108" s="13" t="inlineStr">
        <is>
          <t>Live DOM</t>
        </is>
      </c>
      <c r="D108" s="13" t="inlineStr">
        <is>
          <t>data-state is present at the correct time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Menubar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State</t>
        </is>
      </c>
      <c r="C109" s="13" t="inlineStr">
        <is>
          <t>Root</t>
        </is>
      </c>
      <c r="D109" s="13" t="inlineStr">
        <is>
          <t>controlled state path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Menubar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State</t>
        </is>
      </c>
      <c r="C110" s="13" t="inlineStr">
        <is>
          <t>Root</t>
        </is>
      </c>
      <c r="D110" s="13" t="inlineStr">
        <is>
          <t>uncontrolled default state path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Menubar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State</t>
        </is>
      </c>
      <c r="C111" s="13" t="inlineStr">
        <is>
          <t>Root</t>
        </is>
      </c>
      <c r="D111" s="13" t="inlineStr">
        <is>
          <t>state change callback fires once with correct value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Menubar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Interaction</t>
        </is>
      </c>
      <c r="C112" s="13" t="inlineStr">
        <is>
          <t>Trigger</t>
        </is>
      </c>
      <c r="D112" s="13" t="inlineStr">
        <is>
          <t>mouse click or pointer activation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Menubar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Interaction</t>
        </is>
      </c>
      <c r="C113" s="13" t="inlineStr">
        <is>
          <t>Trigger</t>
        </is>
      </c>
      <c r="D113" s="13" t="inlineStr">
        <is>
          <t>Enter key activation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Menubar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Interaction</t>
        </is>
      </c>
      <c r="C114" s="13" t="inlineStr">
        <is>
          <t>Trigger</t>
        </is>
      </c>
      <c r="D114" s="13" t="inlineStr">
        <is>
          <t>Space key activation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Menubar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Interaction</t>
        </is>
      </c>
      <c r="C115" s="13" t="inlineStr">
        <is>
          <t>Trigger</t>
        </is>
      </c>
      <c r="D115" s="13" t="inlineStr">
        <is>
          <t>disabled trigger blocks pointer and keyboard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Menubar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Focus</t>
        </is>
      </c>
      <c r="C116" s="13" t="inlineStr">
        <is>
          <t>Trigger</t>
        </is>
      </c>
      <c r="D116" s="13" t="inlineStr">
        <is>
          <t>focus ring and focus restoration are correct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Menubar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Keyboard</t>
        </is>
      </c>
      <c r="C117" s="13" t="inlineStr">
        <is>
          <t>Menubar</t>
        </is>
      </c>
      <c r="D117" s="13" t="inlineStr">
        <is>
          <t>ArrowLeft behavior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Menubar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Keyboard</t>
        </is>
      </c>
      <c r="C118" s="13" t="inlineStr">
        <is>
          <t>Menubar</t>
        </is>
      </c>
      <c r="D118" s="13" t="inlineStr">
        <is>
          <t>ArrowRight behavior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Menubar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Keyboard</t>
        </is>
      </c>
      <c r="C119" s="13" t="inlineStr">
        <is>
          <t>Menubar</t>
        </is>
      </c>
      <c r="D119" s="13" t="inlineStr">
        <is>
          <t>Arrow key navigation follows documented orientation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Menubar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Keyboard</t>
        </is>
      </c>
      <c r="C120" s="13" t="inlineStr">
        <is>
          <t>Menubar</t>
        </is>
      </c>
      <c r="D120" s="13" t="inlineStr">
        <is>
          <t>Home and End navigation where supported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Menubar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Keyboard</t>
        </is>
      </c>
      <c r="C121" s="13" t="inlineStr">
        <is>
          <t>Menubar</t>
        </is>
      </c>
      <c r="D121" s="13" t="inlineStr">
        <is>
          <t>disabled items are skipped or exposed according to pattern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Menubar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Keyboard</t>
        </is>
      </c>
      <c r="C122" s="13" t="inlineStr">
        <is>
          <t>Menubar</t>
        </is>
      </c>
      <c r="D122" s="13" t="inlineStr">
        <is>
          <t>typeahead/search behavior where supported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Menubar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Focus</t>
        </is>
      </c>
      <c r="C123" s="13" t="inlineStr">
        <is>
          <t>Menubar</t>
        </is>
      </c>
      <c r="D123" s="13" t="inlineStr">
        <is>
          <t>roving focus or active descendant state is visible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Menubar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Dismiss</t>
        </is>
      </c>
      <c r="C124" s="13" t="inlineStr">
        <is>
          <t>Menubar</t>
        </is>
      </c>
      <c r="D124" s="13" t="inlineStr">
        <is>
          <t>Escape closes only the topmost active layer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Menubar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Dismiss</t>
        </is>
      </c>
      <c r="C125" s="13" t="inlineStr">
        <is>
          <t>Menubar</t>
        </is>
      </c>
      <c r="D125" s="13" t="inlineStr">
        <is>
          <t>outside click/interact closes when enabled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Menubar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Dismiss</t>
        </is>
      </c>
      <c r="C126" s="13" t="inlineStr">
        <is>
          <t>Menubar</t>
        </is>
      </c>
      <c r="D126" s="13" t="inlineStr">
        <is>
          <t>outside click/interact is blocked when disabled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Menubar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Focus</t>
        </is>
      </c>
      <c r="C127" s="13" t="inlineStr">
        <is>
          <t>Menubar</t>
        </is>
      </c>
      <c r="D127" s="13" t="inlineStr">
        <is>
          <t>focus returns to the correct trigger/anchor after close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Menubar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Focus</t>
        </is>
      </c>
      <c r="C128" s="13" t="inlineStr">
        <is>
          <t>Menubar</t>
        </is>
      </c>
      <c r="D128" s="13" t="inlineStr">
        <is>
          <t>nested overlays keep focus and Escape order correct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Menubar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Mobile</t>
        </is>
      </c>
      <c r="C129" s="13" t="inlineStr">
        <is>
          <t>Menubar</t>
        </is>
      </c>
      <c r="D129" s="13" t="inlineStr">
        <is>
          <t>mobile viewport/touch behavior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Menubar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Menu</t>
        </is>
      </c>
      <c r="C130" s="13" t="inlineStr">
        <is>
          <t>Menubar</t>
        </is>
      </c>
      <c r="D130" s="13" t="inlineStr">
        <is>
          <t>checkbox item checked/unchecked state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Menubar playground scenario.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Menu</t>
        </is>
      </c>
      <c r="C131" s="13" t="inlineStr">
        <is>
          <t>Menubar</t>
        </is>
      </c>
      <c r="D131" s="13" t="inlineStr">
        <is>
          <t>radio group item exclusivity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Menubar playground scenario.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Menu</t>
        </is>
      </c>
      <c r="C132" s="13" t="inlineStr">
        <is>
          <t>Menubar</t>
        </is>
      </c>
      <c r="D132" s="13" t="inlineStr">
        <is>
          <t>submenu open, close, keyboard, and nested dismissal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Menubar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Menu</t>
        </is>
      </c>
      <c r="C133" s="13" t="inlineStr">
        <is>
          <t>Menubar</t>
        </is>
      </c>
      <c r="D133" s="13" t="inlineStr">
        <is>
          <t>selection closes parent menu when expected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Menubar playground scenario.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Menu</t>
        </is>
      </c>
      <c r="C134" s="13" t="inlineStr">
        <is>
          <t>Menubar</t>
        </is>
      </c>
      <c r="D134" s="13" t="inlineStr">
        <is>
          <t>mouse hover does not reset highlight unexpectedly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Menubar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Portal</t>
        </is>
      </c>
      <c r="C135" s="13" t="inlineStr">
        <is>
          <t>Menubar</t>
        </is>
      </c>
      <c r="D135" s="13" t="inlineStr">
        <is>
          <t>portal renders in body by default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Menubar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Portal</t>
        </is>
      </c>
      <c r="C136" s="13" t="inlineStr">
        <is>
          <t>Menubar</t>
        </is>
      </c>
      <c r="D136" s="13" t="inlineStr">
        <is>
          <t>custom/disabled portal path works where supported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Menubar playground scenario.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Positioning</t>
        </is>
      </c>
      <c r="C137" s="13" t="inlineStr">
        <is>
          <t>Menubar</t>
        </is>
      </c>
      <c r="D137" s="13" t="inlineStr">
        <is>
          <t>side options position content correctly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Menubar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Positioning</t>
        </is>
      </c>
      <c r="C138" s="13" t="inlineStr">
        <is>
          <t>Menubar</t>
        </is>
      </c>
      <c r="D138" s="13" t="inlineStr">
        <is>
          <t>align options position content correctly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Menubar playground scenario.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Positioning</t>
        </is>
      </c>
      <c r="C139" s="13" t="inlineStr">
        <is>
          <t>Menubar</t>
        </is>
      </c>
      <c r="D139" s="13" t="inlineStr">
        <is>
          <t>collision/flip/shift behavior stays in viewport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Menubar playground scenario.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30" customHeight="1" s="24">
      <c r="A140" s="12" t="n">
        <v>132</v>
      </c>
      <c r="B140" s="13" t="inlineStr">
        <is>
          <t>Positioning</t>
        </is>
      </c>
      <c r="C140" s="13" t="inlineStr">
        <is>
          <t>Menubar</t>
        </is>
      </c>
      <c r="D140" s="13" t="inlineStr">
        <is>
          <t>arrow or anchor geometry matches content where supported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Menubar playground scenario.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30" customHeight="1" s="24">
      <c r="A141" s="12" t="n">
        <v>133</v>
      </c>
      <c r="B141" s="13" t="inlineStr">
        <is>
          <t>Direction</t>
        </is>
      </c>
      <c r="C141" s="13" t="inlineStr">
        <is>
          <t>Root</t>
        </is>
      </c>
      <c r="D141" s="13" t="inlineStr">
        <is>
          <t>reads Direction.Provider context for horizontal menubar navigation</t>
        </is>
      </c>
      <c r="E141" s="21" t="inlineStr">
        <is>
          <t>no</t>
        </is>
      </c>
      <c r="F141" s="19" t="inlineStr">
        <is>
          <t>no</t>
        </is>
      </c>
      <c r="G141" s="12" t="inlineStr">
        <is>
          <t>missing</t>
        </is>
      </c>
      <c r="H141" s="21" t="inlineStr">
        <is>
          <t>missing</t>
        </is>
      </c>
      <c r="I141" s="13" t="n"/>
      <c r="J141" s="13" t="inlineStr">
        <is>
          <t>Add Direction.Provider support to menubar navigation.</t>
        </is>
      </c>
      <c r="K141" s="14">
        <f>IF(AND(E141="yes",F141="yes",H141="covered"),1,IF(H141="partial",0.5,0))</f>
        <v/>
      </c>
    </row>
    <row r="142" ht="30" customHeight="1" s="24">
      <c r="A142" s="12" t="n">
        <v>134</v>
      </c>
      <c r="B142" s="13" t="inlineStr">
        <is>
          <t>Direction</t>
        </is>
      </c>
      <c r="C142" s="13" t="inlineStr">
        <is>
          <t>Root</t>
        </is>
      </c>
      <c r="D142" s="13" t="inlineStr">
        <is>
          <t>RTL mirrors top-level ArrowLeft and ArrowRight navigation</t>
        </is>
      </c>
      <c r="E142" s="21" t="inlineStr">
        <is>
          <t>no</t>
        </is>
      </c>
      <c r="F142" s="19" t="inlineStr">
        <is>
          <t>no</t>
        </is>
      </c>
      <c r="G142" s="12" t="inlineStr">
        <is>
          <t>missing</t>
        </is>
      </c>
      <c r="H142" s="21" t="inlineStr">
        <is>
          <t>missing</t>
        </is>
      </c>
      <c r="I142" s="13" t="n"/>
      <c r="J142" s="13" t="inlineStr">
        <is>
          <t>Implement and test RTL top-level arrow mapping.</t>
        </is>
      </c>
      <c r="K142" s="14">
        <f>IF(AND(E142="yes",F142="yes",H142="covered"),1,IF(H142="partial",0.5,0))</f>
        <v/>
      </c>
    </row>
    <row r="143" ht="30" customHeight="1" s="24">
      <c r="A143" s="12" t="n">
        <v>135</v>
      </c>
      <c r="B143" s="13" t="inlineStr">
        <is>
          <t>Direction</t>
        </is>
      </c>
      <c r="C143" s="13" t="inlineStr">
        <is>
          <t>Submenu</t>
        </is>
      </c>
      <c r="D143" s="13" t="inlineStr">
        <is>
          <t>RTL mirrors submenu ArrowLeft and ArrowRight open/close behavior</t>
        </is>
      </c>
      <c r="E143" s="21" t="inlineStr">
        <is>
          <t>no</t>
        </is>
      </c>
      <c r="F143" s="19" t="inlineStr">
        <is>
          <t>no</t>
        </is>
      </c>
      <c r="G143" s="12" t="inlineStr">
        <is>
          <t>missing</t>
        </is>
      </c>
      <c r="H143" s="21" t="inlineStr">
        <is>
          <t>missing</t>
        </is>
      </c>
      <c r="I143" s="13" t="n"/>
      <c r="J143" s="13" t="inlineStr">
        <is>
          <t>Implement and test RTL submenu key mapping.</t>
        </is>
      </c>
      <c r="K143" s="14">
        <f>IF(AND(E143="yes",F143="yes",H143="covered"),1,IF(H143="partial",0.5,0))</f>
        <v/>
      </c>
    </row>
    <row r="144" ht="30" customHeight="1" s="24">
      <c r="A144" s="12" t="n">
        <v>136</v>
      </c>
      <c r="B144" s="13" t="inlineStr">
        <is>
          <t>Playground</t>
        </is>
      </c>
      <c r="C144" s="13" t="inlineStr">
        <is>
          <t>Direction controls</t>
        </is>
      </c>
      <c r="D144" s="13" t="inlineStr">
        <is>
          <t>scenario exposes provider direction controls</t>
        </is>
      </c>
      <c r="E144" s="21" t="inlineStr">
        <is>
          <t>no</t>
        </is>
      </c>
      <c r="F144" s="19" t="inlineStr">
        <is>
          <t>no</t>
        </is>
      </c>
      <c r="G144" s="12" t="inlineStr">
        <is>
          <t>missing</t>
        </is>
      </c>
      <c r="H144" s="21" t="inlineStr">
        <is>
          <t>missing</t>
        </is>
      </c>
      <c r="I144" s="13" t="n"/>
      <c r="J144" s="13" t="inlineStr">
        <is>
          <t>Add provider direction controls to the playground scenario.</t>
        </is>
      </c>
      <c r="K144" s="14">
        <f>IF(AND(E144="yes",F144="yes",H144="covered"),1,IF(H144="partial",0.5,0))</f>
        <v/>
      </c>
    </row>
  </sheetData>
  <autoFilter ref="A8:K144"/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Modal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IFERROR(SUM(K9:K110)/COUNT(K9:K110),0)</f>
        <v/>
      </c>
      <c r="C4" s="8" t="inlineStr">
        <is>
          <t>Covered</t>
        </is>
      </c>
      <c r="D4" s="10">
        <f>COUNTIFS(E9:E110,"yes",F9:F110,"yes",H9:H110,"covered")</f>
        <v/>
      </c>
      <c r="E4" s="8" t="inlineStr">
        <is>
          <t>Partial</t>
        </is>
      </c>
      <c r="F4" s="10">
        <f>COUNTIF(H9:H110,"partial")</f>
        <v/>
      </c>
      <c r="G4" s="8" t="inlineStr">
        <is>
          <t>Missing</t>
        </is>
      </c>
      <c r="H4" s="10">
        <f>COUNTIFS(E9:E110,"&lt;&gt;yes") + COUNTIFS(E9:E110,"yes",H9:H110,"missing")</f>
        <v/>
      </c>
      <c r="I4" s="8" t="inlineStr">
        <is>
          <t>Untested</t>
        </is>
      </c>
      <c r="J4" s="10">
        <f>COUNTIFS(E9:E110,"yes",F9:F110,"&lt;&gt;yes") + COUNTIFS(E9:E110,"yes",F9:F110,"yes",H9:H110,"untested")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Modal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Modal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Modal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Modal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Modal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Modal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Modal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Modal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Modal</t>
        </is>
      </c>
      <c r="D13" s="13" t="inlineStr">
        <is>
          <t>Controlled and uncontrolled open state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Modal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Modal</t>
        </is>
      </c>
      <c r="D14" s="13" t="inlineStr">
        <is>
          <t>Escape-key and backdrop dismissal controls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Modal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Modal</t>
        </is>
      </c>
      <c r="D15" s="13" t="inlineStr">
        <is>
          <t>Stack-aware Escape dismissal so nested overlays close before the parent modal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Modal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Modal</t>
        </is>
      </c>
      <c r="D16" s="13" t="inlineStr">
        <is>
          <t>Focus trap, focus restore, scroll lock, and initial focus management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Modal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Modal</t>
        </is>
      </c>
      <c r="D17" s="13" t="inlineStr">
        <is>
          <t>Optional keep-mounted content support through `useModalContent`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Modal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Modal</t>
        </is>
      </c>
      <c r="D18" s="13" t="inlineStr">
        <is>
          <t>Close reasons for action, cancel, backdrop, Escape, and close-button flows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Modal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30" customHeight="1" s="24">
      <c r="A19" s="12" t="n">
        <v>11</v>
      </c>
      <c r="B19" s="13" t="inlineStr">
        <is>
          <t>Feature</t>
        </is>
      </c>
      <c r="C19" s="13" t="inlineStr">
        <is>
          <t>Modal</t>
        </is>
      </c>
      <c r="D19" s="13" t="inlineStr">
        <is>
          <t>Headless only: no styles, classes, icons, or animation opinions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Modal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renders correct part when expected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Modal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Anatomy</t>
        </is>
      </c>
      <c r="C21" s="13" t="inlineStr">
        <is>
          <t>Root</t>
        </is>
      </c>
      <c r="D21" s="13" t="inlineStr">
        <is>
          <t>appears in documented order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Modal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default tag is visible in Anatomy/Inspector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Modal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data-slot is present and correct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Modal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30" customHeight="1" s="24">
      <c r="A24" s="12" t="n">
        <v>16</v>
      </c>
      <c r="B24" s="13" t="inlineStr">
        <is>
          <t>Props</t>
        </is>
      </c>
      <c r="C24" s="13" t="inlineStr">
        <is>
          <t>Root</t>
        </is>
      </c>
      <c r="D24" s="13" t="inlineStr">
        <is>
          <t>non-Atom native props pass through with data-prop-check marker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Modal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Refs</t>
        </is>
      </c>
      <c r="C25" s="13" t="inlineStr">
        <is>
          <t>Root</t>
        </is>
      </c>
      <c r="D25" s="13" t="inlineStr">
        <is>
          <t>consumer ref receives the rendered element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Modal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open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Modal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defaultOpen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Modal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onOpenChange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Modal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closeOnEscape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Modal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closeOnBackdropClick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Modal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disabled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Modal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keepMounted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Modal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Anatomy</t>
        </is>
      </c>
      <c r="C33" s="13" t="inlineStr">
        <is>
          <t>Portal</t>
        </is>
      </c>
      <c r="D33" s="13" t="inlineStr">
        <is>
          <t>renders correct part when expected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Modal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Anatomy</t>
        </is>
      </c>
      <c r="C34" s="13" t="inlineStr">
        <is>
          <t>Portal</t>
        </is>
      </c>
      <c r="D34" s="13" t="inlineStr">
        <is>
          <t>appears in documented order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Modal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Identity</t>
        </is>
      </c>
      <c r="C35" s="13" t="inlineStr">
        <is>
          <t>Portal</t>
        </is>
      </c>
      <c r="D35" s="13" t="inlineStr">
        <is>
          <t>default tag is visible in Anatomy/Inspector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Modal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Identity</t>
        </is>
      </c>
      <c r="C36" s="13" t="inlineStr">
        <is>
          <t>Portal</t>
        </is>
      </c>
      <c r="D36" s="13" t="inlineStr">
        <is>
          <t>data-slot is present and correct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Modal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30" customHeight="1" s="24">
      <c r="A37" s="12" t="n">
        <v>29</v>
      </c>
      <c r="B37" s="13" t="inlineStr">
        <is>
          <t>Props</t>
        </is>
      </c>
      <c r="C37" s="13" t="inlineStr">
        <is>
          <t>Portal</t>
        </is>
      </c>
      <c r="D37" s="13" t="inlineStr">
        <is>
          <t>non-Atom native props pass through with data-prop-check marker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Modal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Refs</t>
        </is>
      </c>
      <c r="C38" s="13" t="inlineStr">
        <is>
          <t>Portal</t>
        </is>
      </c>
      <c r="D38" s="13" t="inlineStr">
        <is>
          <t>consumer ref receives the rendered element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Modal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Positioning</t>
        </is>
      </c>
      <c r="C39" s="13" t="inlineStr">
        <is>
          <t>Portal</t>
        </is>
      </c>
      <c r="D39" s="13" t="inlineStr">
        <is>
          <t>container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Modal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Portal</t>
        </is>
      </c>
      <c r="D40" s="13" t="inlineStr">
        <is>
          <t>disabled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Modal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Anatomy</t>
        </is>
      </c>
      <c r="C41" s="13" t="inlineStr">
        <is>
          <t>Trigger</t>
        </is>
      </c>
      <c r="D41" s="13" t="inlineStr">
        <is>
          <t>renders correct part when expected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Modal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Trigger</t>
        </is>
      </c>
      <c r="D42" s="13" t="inlineStr">
        <is>
          <t>appears in documented order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Modal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Identity</t>
        </is>
      </c>
      <c r="C43" s="13" t="inlineStr">
        <is>
          <t>Trigger</t>
        </is>
      </c>
      <c r="D43" s="13" t="inlineStr">
        <is>
          <t>default tag is visible in Anatomy/Inspector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Modal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Trigger</t>
        </is>
      </c>
      <c r="D44" s="13" t="inlineStr">
        <is>
          <t>data-slot is present and correct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Modal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30" customHeight="1" s="24">
      <c r="A45" s="12" t="n">
        <v>37</v>
      </c>
      <c r="B45" s="13" t="inlineStr">
        <is>
          <t>Props</t>
        </is>
      </c>
      <c r="C45" s="13" t="inlineStr">
        <is>
          <t>Trigger</t>
        </is>
      </c>
      <c r="D45" s="13" t="inlineStr">
        <is>
          <t>non-Atom native props pass through with data-prop-check marker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Modal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Refs</t>
        </is>
      </c>
      <c r="C46" s="13" t="inlineStr">
        <is>
          <t>Trigger</t>
        </is>
      </c>
      <c r="D46" s="13" t="inlineStr">
        <is>
          <t>consumer ref receives the rendered element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Modal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Composition</t>
        </is>
      </c>
      <c r="C47" s="13" t="inlineStr">
        <is>
          <t>Trigger</t>
        </is>
      </c>
      <c r="D47" s="13" t="inlineStr">
        <is>
          <t>asChild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Modal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Composition</t>
        </is>
      </c>
      <c r="C48" s="13" t="inlineStr">
        <is>
          <t>Trigger</t>
        </is>
      </c>
      <c r="D48" s="13" t="inlineStr">
        <is>
          <t>render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Modal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Trigger</t>
        </is>
      </c>
      <c r="D49" s="13" t="inlineStr">
        <is>
          <t>data-slot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Modal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Trigger</t>
        </is>
      </c>
      <c r="D50" s="13" t="inlineStr">
        <is>
          <t>[data-slot]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Modal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Trigger</t>
        </is>
      </c>
      <c r="D51" s="13" t="inlineStr">
        <is>
          <t>[data-state]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Modal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State</t>
        </is>
      </c>
      <c r="C52" s="13" t="inlineStr">
        <is>
          <t>Trigger</t>
        </is>
      </c>
      <c r="D52" s="13" t="inlineStr">
        <is>
          <t>[data-disabled]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Modal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Anatomy</t>
        </is>
      </c>
      <c r="C53" s="13" t="inlineStr">
        <is>
          <t>Title</t>
        </is>
      </c>
      <c r="D53" s="13" t="inlineStr">
        <is>
          <t>renders correct part when expected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Modal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Anatomy</t>
        </is>
      </c>
      <c r="C54" s="13" t="inlineStr">
        <is>
          <t>Title</t>
        </is>
      </c>
      <c r="D54" s="13" t="inlineStr">
        <is>
          <t>appears in documented order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Modal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Identity</t>
        </is>
      </c>
      <c r="C55" s="13" t="inlineStr">
        <is>
          <t>Title</t>
        </is>
      </c>
      <c r="D55" s="13" t="inlineStr">
        <is>
          <t>default tag is visible in Anatomy/Inspector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Modal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Identity</t>
        </is>
      </c>
      <c r="C56" s="13" t="inlineStr">
        <is>
          <t>Title</t>
        </is>
      </c>
      <c r="D56" s="13" t="inlineStr">
        <is>
          <t>data-slot is present and correct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Modal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30" customHeight="1" s="24">
      <c r="A57" s="12" t="n">
        <v>49</v>
      </c>
      <c r="B57" s="13" t="inlineStr">
        <is>
          <t>Props</t>
        </is>
      </c>
      <c r="C57" s="13" t="inlineStr">
        <is>
          <t>Title</t>
        </is>
      </c>
      <c r="D57" s="13" t="inlineStr">
        <is>
          <t>non-Atom native props pass through with data-prop-check marker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Modal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Refs</t>
        </is>
      </c>
      <c r="C58" s="13" t="inlineStr">
        <is>
          <t>Title</t>
        </is>
      </c>
      <c r="D58" s="13" t="inlineStr">
        <is>
          <t>consumer ref receives the rendered element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Modal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Public API</t>
        </is>
      </c>
      <c r="C59" s="13" t="inlineStr">
        <is>
          <t>Title</t>
        </is>
      </c>
      <c r="D59" s="13" t="inlineStr">
        <is>
          <t>as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Modal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Title</t>
        </is>
      </c>
      <c r="D60" s="13" t="inlineStr">
        <is>
          <t>data-slot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Modal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Title</t>
        </is>
      </c>
      <c r="D61" s="13" t="inlineStr">
        <is>
          <t>[data-slot]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Modal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Anatomy</t>
        </is>
      </c>
      <c r="C62" s="13" t="inlineStr">
        <is>
          <t>Description</t>
        </is>
      </c>
      <c r="D62" s="13" t="inlineStr">
        <is>
          <t>renders correct part when expected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Modal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Anatomy</t>
        </is>
      </c>
      <c r="C63" s="13" t="inlineStr">
        <is>
          <t>Description</t>
        </is>
      </c>
      <c r="D63" s="13" t="inlineStr">
        <is>
          <t>appears in documented order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Modal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Identity</t>
        </is>
      </c>
      <c r="C64" s="13" t="inlineStr">
        <is>
          <t>Description</t>
        </is>
      </c>
      <c r="D64" s="13" t="inlineStr">
        <is>
          <t>default tag is visible in Anatomy/Inspector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Modal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Identity</t>
        </is>
      </c>
      <c r="C65" s="13" t="inlineStr">
        <is>
          <t>Description</t>
        </is>
      </c>
      <c r="D65" s="13" t="inlineStr">
        <is>
          <t>data-slot is present and correct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Modal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30" customHeight="1" s="24">
      <c r="A66" s="12" t="n">
        <v>58</v>
      </c>
      <c r="B66" s="13" t="inlineStr">
        <is>
          <t>Props</t>
        </is>
      </c>
      <c r="C66" s="13" t="inlineStr">
        <is>
          <t>Description</t>
        </is>
      </c>
      <c r="D66" s="13" t="inlineStr">
        <is>
          <t>non-Atom native props pass through with data-prop-check marker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Modal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Refs</t>
        </is>
      </c>
      <c r="C67" s="13" t="inlineStr">
        <is>
          <t>Description</t>
        </is>
      </c>
      <c r="D67" s="13" t="inlineStr">
        <is>
          <t>consumer ref receives the rendered element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Modal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Public API</t>
        </is>
      </c>
      <c r="C68" s="13" t="inlineStr">
        <is>
          <t>Description</t>
        </is>
      </c>
      <c r="D68" s="13" t="inlineStr">
        <is>
          <t>data-slot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Modal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Public API</t>
        </is>
      </c>
      <c r="C69" s="13" t="inlineStr">
        <is>
          <t>Description</t>
        </is>
      </c>
      <c r="D69" s="13" t="inlineStr">
        <is>
          <t>[data-slot]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Modal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Anatomy</t>
        </is>
      </c>
      <c r="C70" s="13" t="inlineStr">
        <is>
          <t>Close</t>
        </is>
      </c>
      <c r="D70" s="13" t="inlineStr">
        <is>
          <t>renders correct part when expected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Modal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Anatomy</t>
        </is>
      </c>
      <c r="C71" s="13" t="inlineStr">
        <is>
          <t>Close</t>
        </is>
      </c>
      <c r="D71" s="13" t="inlineStr">
        <is>
          <t>appears in documented order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Modal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Identity</t>
        </is>
      </c>
      <c r="C72" s="13" t="inlineStr">
        <is>
          <t>Close</t>
        </is>
      </c>
      <c r="D72" s="13" t="inlineStr">
        <is>
          <t>default tag is visible in Anatomy/Inspector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Modal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Identity</t>
        </is>
      </c>
      <c r="C73" s="13" t="inlineStr">
        <is>
          <t>Close</t>
        </is>
      </c>
      <c r="D73" s="13" t="inlineStr">
        <is>
          <t>data-slot is present and correct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Modal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30" customHeight="1" s="24">
      <c r="A74" s="12" t="n">
        <v>66</v>
      </c>
      <c r="B74" s="13" t="inlineStr">
        <is>
          <t>Props</t>
        </is>
      </c>
      <c r="C74" s="13" t="inlineStr">
        <is>
          <t>Close</t>
        </is>
      </c>
      <c r="D74" s="13" t="inlineStr">
        <is>
          <t>non-Atom native props pass through with data-prop-check marker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Modal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Refs</t>
        </is>
      </c>
      <c r="C75" s="13" t="inlineStr">
        <is>
          <t>Close</t>
        </is>
      </c>
      <c r="D75" s="13" t="inlineStr">
        <is>
          <t>consumer ref receives the rendered element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Modal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Public API</t>
        </is>
      </c>
      <c r="C76" s="13" t="inlineStr">
        <is>
          <t>Close</t>
        </is>
      </c>
      <c r="D76" s="13" t="inlineStr">
        <is>
          <t>Escape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Modal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Public API</t>
        </is>
      </c>
      <c r="C77" s="13" t="inlineStr">
        <is>
          <t>Close</t>
        </is>
      </c>
      <c r="D77" s="13" t="inlineStr">
        <is>
          <t>Tab prop behavior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Modal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Public API</t>
        </is>
      </c>
      <c r="C78" s="13" t="inlineStr">
        <is>
          <t>Close</t>
        </is>
      </c>
      <c r="D78" s="13" t="inlineStr">
        <is>
          <t>Shift+Tab prop behavior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Modal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ARIA</t>
        </is>
      </c>
      <c r="C79" s="13" t="inlineStr">
        <is>
          <t>Live DOM</t>
        </is>
      </c>
      <c r="D79" s="13" t="inlineStr">
        <is>
          <t>aria-controls is present at the correct time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Modal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ARIA</t>
        </is>
      </c>
      <c r="C80" s="13" t="inlineStr">
        <is>
          <t>Live DOM</t>
        </is>
      </c>
      <c r="D80" s="13" t="inlineStr">
        <is>
          <t>aria-describedby is present at the correct time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Modal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ARIA</t>
        </is>
      </c>
      <c r="C81" s="13" t="inlineStr">
        <is>
          <t>Live DOM</t>
        </is>
      </c>
      <c r="D81" s="13" t="inlineStr">
        <is>
          <t>aria-disabled is present at the correct time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Modal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ARIA</t>
        </is>
      </c>
      <c r="C82" s="13" t="inlineStr">
        <is>
          <t>Live DOM</t>
        </is>
      </c>
      <c r="D82" s="13" t="inlineStr">
        <is>
          <t>aria-expanded is present at the correct time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Modal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ARIA</t>
        </is>
      </c>
      <c r="C83" s="13" t="inlineStr">
        <is>
          <t>Live DOM</t>
        </is>
      </c>
      <c r="D83" s="13" t="inlineStr">
        <is>
          <t>aria-haspopup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Modal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ARIA</t>
        </is>
      </c>
      <c r="C84" s="13" t="inlineStr">
        <is>
          <t>Live DOM</t>
        </is>
      </c>
      <c r="D84" s="13" t="inlineStr">
        <is>
          <t>aria-label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Modal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ARIA</t>
        </is>
      </c>
      <c r="C85" s="13" t="inlineStr">
        <is>
          <t>Live DOM</t>
        </is>
      </c>
      <c r="D85" s="13" t="inlineStr">
        <is>
          <t>aria-labelledby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Modal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ARIA</t>
        </is>
      </c>
      <c r="C86" s="13" t="inlineStr">
        <is>
          <t>Live DOM</t>
        </is>
      </c>
      <c r="D86" s="13" t="inlineStr">
        <is>
          <t>aria-modal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Modal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Data</t>
        </is>
      </c>
      <c r="C87" s="13" t="inlineStr">
        <is>
          <t>Live DOM</t>
        </is>
      </c>
      <c r="D87" s="13" t="inlineStr">
        <is>
          <t>data-disabled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Modal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data-slot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Modal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Data</t>
        </is>
      </c>
      <c r="C89" s="13" t="inlineStr">
        <is>
          <t>Live DOM</t>
        </is>
      </c>
      <c r="D89" s="13" t="inlineStr">
        <is>
          <t>data-state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Modal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Composition</t>
        </is>
      </c>
      <c r="C90" s="13" t="inlineStr">
        <is>
          <t>Modal</t>
        </is>
      </c>
      <c r="D90" s="13" t="inlineStr">
        <is>
          <t>asChild preserves child content without double nesting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Modal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Composition</t>
        </is>
      </c>
      <c r="C91" s="13" t="inlineStr">
        <is>
          <t>Modal</t>
        </is>
      </c>
      <c r="D91" s="13" t="inlineStr">
        <is>
          <t>asChild merges Atom props and consumer props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Modal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30" customHeight="1" s="24">
      <c r="A92" s="12" t="n">
        <v>84</v>
      </c>
      <c r="B92" s="13" t="inlineStr">
        <is>
          <t>Composition</t>
        </is>
      </c>
      <c r="C92" s="13" t="inlineStr">
        <is>
          <t>Modal</t>
        </is>
      </c>
      <c r="D92" s="13" t="inlineStr">
        <is>
          <t>asChild lets preventDefault block Atom behavior where supported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Modal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Composition</t>
        </is>
      </c>
      <c r="C93" s="13" t="inlineStr">
        <is>
          <t>Modal</t>
        </is>
      </c>
      <c r="D93" s="13" t="inlineStr">
        <is>
          <t>render prop renders custom element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Modal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Composition</t>
        </is>
      </c>
      <c r="C94" s="13" t="inlineStr">
        <is>
          <t>Modal</t>
        </is>
      </c>
      <c r="D94" s="13" t="inlineStr">
        <is>
          <t>render prop preserves refs and behavior props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Modal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State</t>
        </is>
      </c>
      <c r="C95" s="13" t="inlineStr">
        <is>
          <t>Root</t>
        </is>
      </c>
      <c r="D95" s="13" t="inlineStr">
        <is>
          <t>controlled state path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Modal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State</t>
        </is>
      </c>
      <c r="C96" s="13" t="inlineStr">
        <is>
          <t>Root</t>
        </is>
      </c>
      <c r="D96" s="13" t="inlineStr">
        <is>
          <t>uncontrolled default state path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Modal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State</t>
        </is>
      </c>
      <c r="C97" s="13" t="inlineStr">
        <is>
          <t>Root</t>
        </is>
      </c>
      <c r="D97" s="13" t="inlineStr">
        <is>
          <t>state change callback fires once with correct value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Modal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Interaction</t>
        </is>
      </c>
      <c r="C98" s="13" t="inlineStr">
        <is>
          <t>Trigger</t>
        </is>
      </c>
      <c r="D98" s="13" t="inlineStr">
        <is>
          <t>mouse click or pointer activation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Modal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Interaction</t>
        </is>
      </c>
      <c r="C99" s="13" t="inlineStr">
        <is>
          <t>Trigger</t>
        </is>
      </c>
      <c r="D99" s="13" t="inlineStr">
        <is>
          <t>Enter key activation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Modal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Interaction</t>
        </is>
      </c>
      <c r="C100" s="13" t="inlineStr">
        <is>
          <t>Trigger</t>
        </is>
      </c>
      <c r="D100" s="13" t="inlineStr">
        <is>
          <t>Space key activation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Modal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Interaction</t>
        </is>
      </c>
      <c r="C101" s="13" t="inlineStr">
        <is>
          <t>Trigger</t>
        </is>
      </c>
      <c r="D101" s="13" t="inlineStr">
        <is>
          <t>disabled trigger blocks pointer and keyboard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Modal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Focus</t>
        </is>
      </c>
      <c r="C102" s="13" t="inlineStr">
        <is>
          <t>Trigger</t>
        </is>
      </c>
      <c r="D102" s="13" t="inlineStr">
        <is>
          <t>focus ring and focus restoration are correct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Modal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Dismiss</t>
        </is>
      </c>
      <c r="C103" s="13" t="inlineStr">
        <is>
          <t>Modal</t>
        </is>
      </c>
      <c r="D103" s="13" t="inlineStr">
        <is>
          <t>Escape closes only the topmost active layer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Modal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Dismiss</t>
        </is>
      </c>
      <c r="C104" s="13" t="inlineStr">
        <is>
          <t>Modal</t>
        </is>
      </c>
      <c r="D104" s="13" t="inlineStr">
        <is>
          <t>outside click/interact closes when enabled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Modal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Dismiss</t>
        </is>
      </c>
      <c r="C105" s="13" t="inlineStr">
        <is>
          <t>Modal</t>
        </is>
      </c>
      <c r="D105" s="13" t="inlineStr">
        <is>
          <t>outside click/interact is blocked when disabled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Modal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Focus</t>
        </is>
      </c>
      <c r="C106" s="13" t="inlineStr">
        <is>
          <t>Modal</t>
        </is>
      </c>
      <c r="D106" s="13" t="inlineStr">
        <is>
          <t>focus returns to the correct trigger/anchor after close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Modal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Focus</t>
        </is>
      </c>
      <c r="C107" s="13" t="inlineStr">
        <is>
          <t>Modal</t>
        </is>
      </c>
      <c r="D107" s="13" t="inlineStr">
        <is>
          <t>nested overlays keep focus and Escape order correct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Modal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Mobile</t>
        </is>
      </c>
      <c r="C108" s="13" t="inlineStr">
        <is>
          <t>Modal</t>
        </is>
      </c>
      <c r="D108" s="13" t="inlineStr">
        <is>
          <t>mobile viewport/touch behavior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Modal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Portal</t>
        </is>
      </c>
      <c r="C109" s="13" t="inlineStr">
        <is>
          <t>Modal</t>
        </is>
      </c>
      <c r="D109" s="13" t="inlineStr">
        <is>
          <t>portal renders in body by default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Modal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Portal</t>
        </is>
      </c>
      <c r="C110" s="13" t="inlineStr">
        <is>
          <t>Modal</t>
        </is>
      </c>
      <c r="D110" s="13" t="inlineStr">
        <is>
          <t>custom/disabled portal path works where supported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Modal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</sheetData>
  <autoFilter ref="A8:K110"/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NavList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IFERROR(SUM(K9:K153)/COUNT(K9:K153),0)</f>
        <v/>
      </c>
      <c r="C4" s="8" t="inlineStr">
        <is>
          <t>Covered</t>
        </is>
      </c>
      <c r="D4" s="10">
        <f>COUNTIFS(E9:E153,"yes",F9:F153,"yes",H9:H153,"covered")</f>
        <v/>
      </c>
      <c r="E4" s="8" t="inlineStr">
        <is>
          <t>Partial</t>
        </is>
      </c>
      <c r="F4" s="10">
        <f>COUNTIF(H9:H153,"partial")</f>
        <v/>
      </c>
      <c r="G4" s="8" t="inlineStr">
        <is>
          <t>Missing</t>
        </is>
      </c>
      <c r="H4" s="10">
        <f>COUNTIFS(E9:E153,"&lt;&gt;yes") + COUNTIFS(E9:E153,"yes",H9:H153,"missing")</f>
        <v/>
      </c>
      <c r="I4" s="8" t="inlineStr">
        <is>
          <t>Untested</t>
        </is>
      </c>
      <c r="J4" s="10">
        <f>COUNTIFS(E9:E153,"yes",F9:F153,"&lt;&gt;yes") + COUNTIFS(E9:E153,"yes",F9:F153,"yes",H9:H153,"untested")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NavList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NavList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NavList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NavList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NavList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NavList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NavList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NavList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NavList</t>
        </is>
      </c>
      <c r="D13" s="13" t="inlineStr">
        <is>
          <t>Renders native navigation and list semantics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NavList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NavList</t>
        </is>
      </c>
      <c r="D14" s="13" t="inlineStr">
        <is>
          <t>Supports active/current link state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NavList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NavList</t>
        </is>
      </c>
      <c r="D15" s="13" t="inlineStr">
        <is>
          <t>Supports collapsible sections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NavList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NavList</t>
        </is>
      </c>
      <c r="D16" s="13" t="inlineStr">
        <is>
          <t>Supports vertical and horizontal orientation metadata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NavList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NavList</t>
        </is>
      </c>
      <c r="D17" s="13" t="inlineStr">
        <is>
          <t>Keeps route behavior in consumer links while Atom owns ARIA and data attributes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NavList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NavList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NavList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NavList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NavList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NavList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NavList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Public API</t>
        </is>
      </c>
      <c r="C24" s="13" t="inlineStr">
        <is>
          <t>Root</t>
        </is>
      </c>
      <c r="D24" s="13" t="inlineStr">
        <is>
          <t>currentValue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NavList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orientation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NavList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[data-slot]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NavList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[data-orientation]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NavList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Anatomy</t>
        </is>
      </c>
      <c r="C28" s="13" t="inlineStr">
        <is>
          <t>List</t>
        </is>
      </c>
      <c r="D28" s="13" t="inlineStr">
        <is>
          <t>renders correct part when expected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NavList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Anatomy</t>
        </is>
      </c>
      <c r="C29" s="13" t="inlineStr">
        <is>
          <t>List</t>
        </is>
      </c>
      <c r="D29" s="13" t="inlineStr">
        <is>
          <t>appears in documented order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NavList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Identity</t>
        </is>
      </c>
      <c r="C30" s="13" t="inlineStr">
        <is>
          <t>List</t>
        </is>
      </c>
      <c r="D30" s="13" t="inlineStr">
        <is>
          <t>default tag is visible in Anatomy/Inspector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NavList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Identity</t>
        </is>
      </c>
      <c r="C31" s="13" t="inlineStr">
        <is>
          <t>List</t>
        </is>
      </c>
      <c r="D31" s="13" t="inlineStr">
        <is>
          <t>data-slot is present and correct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NavList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30" customHeight="1" s="24">
      <c r="A32" s="12" t="n">
        <v>24</v>
      </c>
      <c r="B32" s="13" t="inlineStr">
        <is>
          <t>Props</t>
        </is>
      </c>
      <c r="C32" s="13" t="inlineStr">
        <is>
          <t>List</t>
        </is>
      </c>
      <c r="D32" s="13" t="inlineStr">
        <is>
          <t>non-Atom native props pass through with data-prop-check marker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NavList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Refs</t>
        </is>
      </c>
      <c r="C33" s="13" t="inlineStr">
        <is>
          <t>List</t>
        </is>
      </c>
      <c r="D33" s="13" t="inlineStr">
        <is>
          <t>consumer ref receives the rendered element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NavList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List</t>
        </is>
      </c>
      <c r="D34" s="13" t="inlineStr">
        <is>
          <t>[data-slot]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NavList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Anatomy</t>
        </is>
      </c>
      <c r="C35" s="13" t="inlineStr">
        <is>
          <t>Item</t>
        </is>
      </c>
      <c r="D35" s="13" t="inlineStr">
        <is>
          <t>renders correct part when expected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NavList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Anatomy</t>
        </is>
      </c>
      <c r="C36" s="13" t="inlineStr">
        <is>
          <t>Item</t>
        </is>
      </c>
      <c r="D36" s="13" t="inlineStr">
        <is>
          <t>appears in documented order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NavList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Identity</t>
        </is>
      </c>
      <c r="C37" s="13" t="inlineStr">
        <is>
          <t>Item</t>
        </is>
      </c>
      <c r="D37" s="13" t="inlineStr">
        <is>
          <t>default tag is visible in Anatomy/Inspector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NavList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Identity</t>
        </is>
      </c>
      <c r="C38" s="13" t="inlineStr">
        <is>
          <t>Item</t>
        </is>
      </c>
      <c r="D38" s="13" t="inlineStr">
        <is>
          <t>data-slot is present and correct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NavList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30" customHeight="1" s="24">
      <c r="A39" s="12" t="n">
        <v>31</v>
      </c>
      <c r="B39" s="13" t="inlineStr">
        <is>
          <t>Props</t>
        </is>
      </c>
      <c r="C39" s="13" t="inlineStr">
        <is>
          <t>Item</t>
        </is>
      </c>
      <c r="D39" s="13" t="inlineStr">
        <is>
          <t>non-Atom native props pass through with data-prop-check marker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NavList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Refs</t>
        </is>
      </c>
      <c r="C40" s="13" t="inlineStr">
        <is>
          <t>Item</t>
        </is>
      </c>
      <c r="D40" s="13" t="inlineStr">
        <is>
          <t>consumer ref receives the rendered element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NavList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Item</t>
        </is>
      </c>
      <c r="D41" s="13" t="inlineStr">
        <is>
          <t>[data-slot]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NavList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Link</t>
        </is>
      </c>
      <c r="D42" s="13" t="inlineStr">
        <is>
          <t>renders correct part when expected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NavList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Anatomy</t>
        </is>
      </c>
      <c r="C43" s="13" t="inlineStr">
        <is>
          <t>Link</t>
        </is>
      </c>
      <c r="D43" s="13" t="inlineStr">
        <is>
          <t>appears in documented order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NavList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Link</t>
        </is>
      </c>
      <c r="D44" s="13" t="inlineStr">
        <is>
          <t>default tag is visible in Anatomy/Inspector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NavList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Identity</t>
        </is>
      </c>
      <c r="C45" s="13" t="inlineStr">
        <is>
          <t>Link</t>
        </is>
      </c>
      <c r="D45" s="13" t="inlineStr">
        <is>
          <t>data-slot is present and correct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NavList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30" customHeight="1" s="24">
      <c r="A46" s="12" t="n">
        <v>38</v>
      </c>
      <c r="B46" s="13" t="inlineStr">
        <is>
          <t>Props</t>
        </is>
      </c>
      <c r="C46" s="13" t="inlineStr">
        <is>
          <t>Link</t>
        </is>
      </c>
      <c r="D46" s="13" t="inlineStr">
        <is>
          <t>non-Atom native props pass through with data-prop-check marker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NavList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Refs</t>
        </is>
      </c>
      <c r="C47" s="13" t="inlineStr">
        <is>
          <t>Link</t>
        </is>
      </c>
      <c r="D47" s="13" t="inlineStr">
        <is>
          <t>consumer ref receives the rendered element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NavList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State</t>
        </is>
      </c>
      <c r="C48" s="13" t="inlineStr">
        <is>
          <t>Link</t>
        </is>
      </c>
      <c r="D48" s="13" t="inlineStr">
        <is>
          <t>value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NavList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Link</t>
        </is>
      </c>
      <c r="D49" s="13" t="inlineStr">
        <is>
          <t>active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NavList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Composition</t>
        </is>
      </c>
      <c r="C50" s="13" t="inlineStr">
        <is>
          <t>Link</t>
        </is>
      </c>
      <c r="D50" s="13" t="inlineStr">
        <is>
          <t>asChild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NavList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Composition</t>
        </is>
      </c>
      <c r="C51" s="13" t="inlineStr">
        <is>
          <t>Link</t>
        </is>
      </c>
      <c r="D51" s="13" t="inlineStr">
        <is>
          <t>render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NavList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Link</t>
        </is>
      </c>
      <c r="D52" s="13" t="inlineStr">
        <is>
          <t>[data-slot]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NavList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Link</t>
        </is>
      </c>
      <c r="D53" s="13" t="inlineStr">
        <is>
          <t>[data-current]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NavList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Anatomy</t>
        </is>
      </c>
      <c r="C54" s="13" t="inlineStr">
        <is>
          <t>ListItem</t>
        </is>
      </c>
      <c r="D54" s="13" t="inlineStr">
        <is>
          <t>renders correct part when expected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NavList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Anatomy</t>
        </is>
      </c>
      <c r="C55" s="13" t="inlineStr">
        <is>
          <t>ListItem</t>
        </is>
      </c>
      <c r="D55" s="13" t="inlineStr">
        <is>
          <t>appears in documented order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NavList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Identity</t>
        </is>
      </c>
      <c r="C56" s="13" t="inlineStr">
        <is>
          <t>ListItem</t>
        </is>
      </c>
      <c r="D56" s="13" t="inlineStr">
        <is>
          <t>default tag is visible in Anatomy/Inspector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NavList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Identity</t>
        </is>
      </c>
      <c r="C57" s="13" t="inlineStr">
        <is>
          <t>ListItem</t>
        </is>
      </c>
      <c r="D57" s="13" t="inlineStr">
        <is>
          <t>data-slot is present and correct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NavList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30" customHeight="1" s="24">
      <c r="A58" s="12" t="n">
        <v>50</v>
      </c>
      <c r="B58" s="13" t="inlineStr">
        <is>
          <t>Props</t>
        </is>
      </c>
      <c r="C58" s="13" t="inlineStr">
        <is>
          <t>ListItem</t>
        </is>
      </c>
      <c r="D58" s="13" t="inlineStr">
        <is>
          <t>non-Atom native props pass through with data-prop-check marker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NavList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Refs</t>
        </is>
      </c>
      <c r="C59" s="13" t="inlineStr">
        <is>
          <t>ListItem</t>
        </is>
      </c>
      <c r="D59" s="13" t="inlineStr">
        <is>
          <t>consumer ref receives the rendered element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NavList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Anatomy</t>
        </is>
      </c>
      <c r="C60" s="13" t="inlineStr">
        <is>
          <t>ListLink</t>
        </is>
      </c>
      <c r="D60" s="13" t="inlineStr">
        <is>
          <t>renders correct part when expected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NavList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Anatomy</t>
        </is>
      </c>
      <c r="C61" s="13" t="inlineStr">
        <is>
          <t>ListLink</t>
        </is>
      </c>
      <c r="D61" s="13" t="inlineStr">
        <is>
          <t>appears in documented order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NavList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Identity</t>
        </is>
      </c>
      <c r="C62" s="13" t="inlineStr">
        <is>
          <t>ListLink</t>
        </is>
      </c>
      <c r="D62" s="13" t="inlineStr">
        <is>
          <t>default tag is visible in Anatomy/Inspector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NavList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Identity</t>
        </is>
      </c>
      <c r="C63" s="13" t="inlineStr">
        <is>
          <t>ListLink</t>
        </is>
      </c>
      <c r="D63" s="13" t="inlineStr">
        <is>
          <t>data-slot is present and correct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NavList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30" customHeight="1" s="24">
      <c r="A64" s="12" t="n">
        <v>56</v>
      </c>
      <c r="B64" s="13" t="inlineStr">
        <is>
          <t>Props</t>
        </is>
      </c>
      <c r="C64" s="13" t="inlineStr">
        <is>
          <t>ListLink</t>
        </is>
      </c>
      <c r="D64" s="13" t="inlineStr">
        <is>
          <t>non-Atom native props pass through with data-prop-check marker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NavList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Refs</t>
        </is>
      </c>
      <c r="C65" s="13" t="inlineStr">
        <is>
          <t>ListLink</t>
        </is>
      </c>
      <c r="D65" s="13" t="inlineStr">
        <is>
          <t>consumer ref receives the rendered element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NavList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Anatomy</t>
        </is>
      </c>
      <c r="C66" s="13" t="inlineStr">
        <is>
          <t>ListList</t>
        </is>
      </c>
      <c r="D66" s="13" t="inlineStr">
        <is>
          <t>renders correct part when expected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NavList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Anatomy</t>
        </is>
      </c>
      <c r="C67" s="13" t="inlineStr">
        <is>
          <t>ListList</t>
        </is>
      </c>
      <c r="D67" s="13" t="inlineStr">
        <is>
          <t>appears in documented order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NavList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Identity</t>
        </is>
      </c>
      <c r="C68" s="13" t="inlineStr">
        <is>
          <t>ListList</t>
        </is>
      </c>
      <c r="D68" s="13" t="inlineStr">
        <is>
          <t>default tag is visible in Anatomy/Inspector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NavList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Identity</t>
        </is>
      </c>
      <c r="C69" s="13" t="inlineStr">
        <is>
          <t>ListList</t>
        </is>
      </c>
      <c r="D69" s="13" t="inlineStr">
        <is>
          <t>data-slot is present and correct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NavList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30" customHeight="1" s="24">
      <c r="A70" s="12" t="n">
        <v>62</v>
      </c>
      <c r="B70" s="13" t="inlineStr">
        <is>
          <t>Props</t>
        </is>
      </c>
      <c r="C70" s="13" t="inlineStr">
        <is>
          <t>ListList</t>
        </is>
      </c>
      <c r="D70" s="13" t="inlineStr">
        <is>
          <t>non-Atom native props pass through with data-prop-check marker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NavList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Refs</t>
        </is>
      </c>
      <c r="C71" s="13" t="inlineStr">
        <is>
          <t>ListList</t>
        </is>
      </c>
      <c r="D71" s="13" t="inlineStr">
        <is>
          <t>consumer ref receives the rendered element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NavList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Anatomy</t>
        </is>
      </c>
      <c r="C72" s="13" t="inlineStr">
        <is>
          <t>ListSection</t>
        </is>
      </c>
      <c r="D72" s="13" t="inlineStr">
        <is>
          <t>renders correct part when expected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NavList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Anatomy</t>
        </is>
      </c>
      <c r="C73" s="13" t="inlineStr">
        <is>
          <t>ListSection</t>
        </is>
      </c>
      <c r="D73" s="13" t="inlineStr">
        <is>
          <t>appears in documented order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NavList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Identity</t>
        </is>
      </c>
      <c r="C74" s="13" t="inlineStr">
        <is>
          <t>ListSection</t>
        </is>
      </c>
      <c r="D74" s="13" t="inlineStr">
        <is>
          <t>default tag is visible in Anatomy/Inspector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NavList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Identity</t>
        </is>
      </c>
      <c r="C75" s="13" t="inlineStr">
        <is>
          <t>ListSection</t>
        </is>
      </c>
      <c r="D75" s="13" t="inlineStr">
        <is>
          <t>data-slot is present and correct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NavList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30" customHeight="1" s="24">
      <c r="A76" s="12" t="n">
        <v>68</v>
      </c>
      <c r="B76" s="13" t="inlineStr">
        <is>
          <t>Props</t>
        </is>
      </c>
      <c r="C76" s="13" t="inlineStr">
        <is>
          <t>ListSection</t>
        </is>
      </c>
      <c r="D76" s="13" t="inlineStr">
        <is>
          <t>non-Atom native props pass through with data-prop-check marker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NavList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Refs</t>
        </is>
      </c>
      <c r="C77" s="13" t="inlineStr">
        <is>
          <t>ListSection</t>
        </is>
      </c>
      <c r="D77" s="13" t="inlineStr">
        <is>
          <t>consumer ref receives the rendered element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NavList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Anatomy</t>
        </is>
      </c>
      <c r="C78" s="13" t="inlineStr">
        <is>
          <t>ListSectionContent</t>
        </is>
      </c>
      <c r="D78" s="13" t="inlineStr">
        <is>
          <t>renders correct part when expected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NavList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Anatomy</t>
        </is>
      </c>
      <c r="C79" s="13" t="inlineStr">
        <is>
          <t>ListSectionContent</t>
        </is>
      </c>
      <c r="D79" s="13" t="inlineStr">
        <is>
          <t>appears in documented order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NavList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ListSectionContent</t>
        </is>
      </c>
      <c r="D80" s="13" t="inlineStr">
        <is>
          <t>default tag is visible in Anatomy/Inspector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NavList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Identity</t>
        </is>
      </c>
      <c r="C81" s="13" t="inlineStr">
        <is>
          <t>ListSectionContent</t>
        </is>
      </c>
      <c r="D81" s="13" t="inlineStr">
        <is>
          <t>data-slot is present and correct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NavList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Props</t>
        </is>
      </c>
      <c r="C82" s="13" t="inlineStr">
        <is>
          <t>ListSectionContent</t>
        </is>
      </c>
      <c r="D82" s="13" t="inlineStr">
        <is>
          <t>non-Atom native props pass through with data-prop-check marker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NavList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Refs</t>
        </is>
      </c>
      <c r="C83" s="13" t="inlineStr">
        <is>
          <t>ListSectionContent</t>
        </is>
      </c>
      <c r="D83" s="13" t="inlineStr">
        <is>
          <t>consumer ref receives the rendered element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NavList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Anatomy</t>
        </is>
      </c>
      <c r="C84" s="13" t="inlineStr">
        <is>
          <t>ListSectionLabel</t>
        </is>
      </c>
      <c r="D84" s="13" t="inlineStr">
        <is>
          <t>renders correct part when expected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NavList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Anatomy</t>
        </is>
      </c>
      <c r="C85" s="13" t="inlineStr">
        <is>
          <t>ListSectionLabel</t>
        </is>
      </c>
      <c r="D85" s="13" t="inlineStr">
        <is>
          <t>appears in documented order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NavList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Identity</t>
        </is>
      </c>
      <c r="C86" s="13" t="inlineStr">
        <is>
          <t>ListSectionLabel</t>
        </is>
      </c>
      <c r="D86" s="13" t="inlineStr">
        <is>
          <t>default tag is visible in Anatomy/Inspector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NavList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Identity</t>
        </is>
      </c>
      <c r="C87" s="13" t="inlineStr">
        <is>
          <t>ListSectionLabel</t>
        </is>
      </c>
      <c r="D87" s="13" t="inlineStr">
        <is>
          <t>data-slot is present and correct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NavList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30" customHeight="1" s="24">
      <c r="A88" s="12" t="n">
        <v>80</v>
      </c>
      <c r="B88" s="13" t="inlineStr">
        <is>
          <t>Props</t>
        </is>
      </c>
      <c r="C88" s="13" t="inlineStr">
        <is>
          <t>ListSectionLabel</t>
        </is>
      </c>
      <c r="D88" s="13" t="inlineStr">
        <is>
          <t>non-Atom native props pass through with data-prop-check marker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NavList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Refs</t>
        </is>
      </c>
      <c r="C89" s="13" t="inlineStr">
        <is>
          <t>ListSectionLabel</t>
        </is>
      </c>
      <c r="D89" s="13" t="inlineStr">
        <is>
          <t>consumer ref receives the rendered element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NavList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Anatomy</t>
        </is>
      </c>
      <c r="C90" s="13" t="inlineStr">
        <is>
          <t>ListSectionTrigger</t>
        </is>
      </c>
      <c r="D90" s="13" t="inlineStr">
        <is>
          <t>renders correct part when expected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NavList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Anatomy</t>
        </is>
      </c>
      <c r="C91" s="13" t="inlineStr">
        <is>
          <t>ListSectionTrigger</t>
        </is>
      </c>
      <c r="D91" s="13" t="inlineStr">
        <is>
          <t>appears in documented order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NavList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Identity</t>
        </is>
      </c>
      <c r="C92" s="13" t="inlineStr">
        <is>
          <t>ListSectionTrigger</t>
        </is>
      </c>
      <c r="D92" s="13" t="inlineStr">
        <is>
          <t>default tag is visible in Anatomy/Inspector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NavList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Identity</t>
        </is>
      </c>
      <c r="C93" s="13" t="inlineStr">
        <is>
          <t>ListSectionTrigger</t>
        </is>
      </c>
      <c r="D93" s="13" t="inlineStr">
        <is>
          <t>data-slot is present and correct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NavList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30" customHeight="1" s="24">
      <c r="A94" s="12" t="n">
        <v>86</v>
      </c>
      <c r="B94" s="13" t="inlineStr">
        <is>
          <t>Props</t>
        </is>
      </c>
      <c r="C94" s="13" t="inlineStr">
        <is>
          <t>ListSectionTrigger</t>
        </is>
      </c>
      <c r="D94" s="13" t="inlineStr">
        <is>
          <t>non-Atom native props pass through with data-prop-check marker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NavList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Refs</t>
        </is>
      </c>
      <c r="C95" s="13" t="inlineStr">
        <is>
          <t>ListSectionTrigger</t>
        </is>
      </c>
      <c r="D95" s="13" t="inlineStr">
        <is>
          <t>consumer ref receives the rendered element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NavList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Anatomy</t>
        </is>
      </c>
      <c r="C96" s="13" t="inlineStr">
        <is>
          <t>Section</t>
        </is>
      </c>
      <c r="D96" s="13" t="inlineStr">
        <is>
          <t>renders correct part when expected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NavList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Anatomy</t>
        </is>
      </c>
      <c r="C97" s="13" t="inlineStr">
        <is>
          <t>Section</t>
        </is>
      </c>
      <c r="D97" s="13" t="inlineStr">
        <is>
          <t>appears in documented order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NavList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Identity</t>
        </is>
      </c>
      <c r="C98" s="13" t="inlineStr">
        <is>
          <t>Section</t>
        </is>
      </c>
      <c r="D98" s="13" t="inlineStr">
        <is>
          <t>default tag is visible in Anatomy/Inspector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NavList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Identity</t>
        </is>
      </c>
      <c r="C99" s="13" t="inlineStr">
        <is>
          <t>Section</t>
        </is>
      </c>
      <c r="D99" s="13" t="inlineStr">
        <is>
          <t>data-slot is present and correct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NavList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30" customHeight="1" s="24">
      <c r="A100" s="12" t="n">
        <v>92</v>
      </c>
      <c r="B100" s="13" t="inlineStr">
        <is>
          <t>Props</t>
        </is>
      </c>
      <c r="C100" s="13" t="inlineStr">
        <is>
          <t>Section</t>
        </is>
      </c>
      <c r="D100" s="13" t="inlineStr">
        <is>
          <t>non-Atom native props pass through with data-prop-check marker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NavList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Refs</t>
        </is>
      </c>
      <c r="C101" s="13" t="inlineStr">
        <is>
          <t>Section</t>
        </is>
      </c>
      <c r="D101" s="13" t="inlineStr">
        <is>
          <t>consumer ref receives the rendered element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NavList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State</t>
        </is>
      </c>
      <c r="C102" s="13" t="inlineStr">
        <is>
          <t>Section</t>
        </is>
      </c>
      <c r="D102" s="13" t="inlineStr">
        <is>
          <t>value prop behavior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NavList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State</t>
        </is>
      </c>
      <c r="C103" s="13" t="inlineStr">
        <is>
          <t>Section</t>
        </is>
      </c>
      <c r="D103" s="13" t="inlineStr">
        <is>
          <t>open prop behavior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NavList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State</t>
        </is>
      </c>
      <c r="C104" s="13" t="inlineStr">
        <is>
          <t>Section</t>
        </is>
      </c>
      <c r="D104" s="13" t="inlineStr">
        <is>
          <t>defaultOpen prop behavior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NavList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State</t>
        </is>
      </c>
      <c r="C105" s="13" t="inlineStr">
        <is>
          <t>Section</t>
        </is>
      </c>
      <c r="D105" s="13" t="inlineStr">
        <is>
          <t>onOpenChange prop behavior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NavList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Anatomy</t>
        </is>
      </c>
      <c r="C106" s="13" t="inlineStr">
        <is>
          <t>SectionContent</t>
        </is>
      </c>
      <c r="D106" s="13" t="inlineStr">
        <is>
          <t>renders correct part when expected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NavList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Anatomy</t>
        </is>
      </c>
      <c r="C107" s="13" t="inlineStr">
        <is>
          <t>SectionContent</t>
        </is>
      </c>
      <c r="D107" s="13" t="inlineStr">
        <is>
          <t>appears in documented order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NavList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Identity</t>
        </is>
      </c>
      <c r="C108" s="13" t="inlineStr">
        <is>
          <t>SectionContent</t>
        </is>
      </c>
      <c r="D108" s="13" t="inlineStr">
        <is>
          <t>default tag is visible in Anatomy/Inspector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NavList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Identity</t>
        </is>
      </c>
      <c r="C109" s="13" t="inlineStr">
        <is>
          <t>SectionContent</t>
        </is>
      </c>
      <c r="D109" s="13" t="inlineStr">
        <is>
          <t>data-slot is present and correct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NavList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30" customHeight="1" s="24">
      <c r="A110" s="12" t="n">
        <v>102</v>
      </c>
      <c r="B110" s="13" t="inlineStr">
        <is>
          <t>Props</t>
        </is>
      </c>
      <c r="C110" s="13" t="inlineStr">
        <is>
          <t>SectionContent</t>
        </is>
      </c>
      <c r="D110" s="13" t="inlineStr">
        <is>
          <t>non-Atom native props pass through with data-prop-check marker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NavList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Refs</t>
        </is>
      </c>
      <c r="C111" s="13" t="inlineStr">
        <is>
          <t>SectionContent</t>
        </is>
      </c>
      <c r="D111" s="13" t="inlineStr">
        <is>
          <t>consumer ref receives the rendered element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NavList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Public API</t>
        </is>
      </c>
      <c r="C112" s="13" t="inlineStr">
        <is>
          <t>SectionContent</t>
        </is>
      </c>
      <c r="D112" s="13" t="inlineStr">
        <is>
          <t>forceMount prop behavior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NavList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Anatomy</t>
        </is>
      </c>
      <c r="C113" s="13" t="inlineStr">
        <is>
          <t>SectionLabel</t>
        </is>
      </c>
      <c r="D113" s="13" t="inlineStr">
        <is>
          <t>renders correct part when expected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NavList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Anatomy</t>
        </is>
      </c>
      <c r="C114" s="13" t="inlineStr">
        <is>
          <t>SectionLabel</t>
        </is>
      </c>
      <c r="D114" s="13" t="inlineStr">
        <is>
          <t>appears in documented order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NavList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Identity</t>
        </is>
      </c>
      <c r="C115" s="13" t="inlineStr">
        <is>
          <t>SectionLabel</t>
        </is>
      </c>
      <c r="D115" s="13" t="inlineStr">
        <is>
          <t>default tag is visible in Anatomy/Inspector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NavList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Identity</t>
        </is>
      </c>
      <c r="C116" s="13" t="inlineStr">
        <is>
          <t>SectionLabel</t>
        </is>
      </c>
      <c r="D116" s="13" t="inlineStr">
        <is>
          <t>data-slot is present and correct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NavList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30" customHeight="1" s="24">
      <c r="A117" s="12" t="n">
        <v>109</v>
      </c>
      <c r="B117" s="13" t="inlineStr">
        <is>
          <t>Props</t>
        </is>
      </c>
      <c r="C117" s="13" t="inlineStr">
        <is>
          <t>SectionLabel</t>
        </is>
      </c>
      <c r="D117" s="13" t="inlineStr">
        <is>
          <t>non-Atom native props pass through with data-prop-check marker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NavList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Refs</t>
        </is>
      </c>
      <c r="C118" s="13" t="inlineStr">
        <is>
          <t>SectionLabel</t>
        </is>
      </c>
      <c r="D118" s="13" t="inlineStr">
        <is>
          <t>consumer ref receives the rendered element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NavList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Public API</t>
        </is>
      </c>
      <c r="C119" s="13" t="inlineStr">
        <is>
          <t>SectionLabel</t>
        </is>
      </c>
      <c r="D119" s="13" t="inlineStr">
        <is>
          <t>[data-slot] prop behavior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NavList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Anatomy</t>
        </is>
      </c>
      <c r="C120" s="13" t="inlineStr">
        <is>
          <t>SectionTrigger</t>
        </is>
      </c>
      <c r="D120" s="13" t="inlineStr">
        <is>
          <t>renders correct part when expected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NavList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Anatomy</t>
        </is>
      </c>
      <c r="C121" s="13" t="inlineStr">
        <is>
          <t>SectionTrigger</t>
        </is>
      </c>
      <c r="D121" s="13" t="inlineStr">
        <is>
          <t>appears in documented order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NavList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Identity</t>
        </is>
      </c>
      <c r="C122" s="13" t="inlineStr">
        <is>
          <t>SectionTrigger</t>
        </is>
      </c>
      <c r="D122" s="13" t="inlineStr">
        <is>
          <t>default tag is visible in Anatomy/Inspector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NavList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Identity</t>
        </is>
      </c>
      <c r="C123" s="13" t="inlineStr">
        <is>
          <t>SectionTrigger</t>
        </is>
      </c>
      <c r="D123" s="13" t="inlineStr">
        <is>
          <t>data-slot is present and correct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NavList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30" customHeight="1" s="24">
      <c r="A124" s="12" t="n">
        <v>116</v>
      </c>
      <c r="B124" s="13" t="inlineStr">
        <is>
          <t>Props</t>
        </is>
      </c>
      <c r="C124" s="13" t="inlineStr">
        <is>
          <t>SectionTrigger</t>
        </is>
      </c>
      <c r="D124" s="13" t="inlineStr">
        <is>
          <t>non-Atom native props pass through with data-prop-check marker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NavList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Refs</t>
        </is>
      </c>
      <c r="C125" s="13" t="inlineStr">
        <is>
          <t>SectionTrigger</t>
        </is>
      </c>
      <c r="D125" s="13" t="inlineStr">
        <is>
          <t>consumer ref receives the rendered element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NavList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Public API</t>
        </is>
      </c>
      <c r="C126" s="13" t="inlineStr">
        <is>
          <t>SectionTrigger</t>
        </is>
      </c>
      <c r="D126" s="13" t="inlineStr">
        <is>
          <t>[data-slot] prop behavior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NavList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Public API</t>
        </is>
      </c>
      <c r="C127" s="13" t="inlineStr">
        <is>
          <t>SectionTrigger</t>
        </is>
      </c>
      <c r="D127" s="13" t="inlineStr">
        <is>
          <t>[data-state] prop behavior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NavList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ARIA</t>
        </is>
      </c>
      <c r="C128" s="13" t="inlineStr">
        <is>
          <t>Live DOM</t>
        </is>
      </c>
      <c r="D128" s="13" t="inlineStr">
        <is>
          <t>aria-controls is present at the correct time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NavList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ARIA</t>
        </is>
      </c>
      <c r="C129" s="13" t="inlineStr">
        <is>
          <t>Live DOM</t>
        </is>
      </c>
      <c r="D129" s="13" t="inlineStr">
        <is>
          <t>aria-current is present at the correct time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NavList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ARIA</t>
        </is>
      </c>
      <c r="C130" s="13" t="inlineStr">
        <is>
          <t>Live DOM</t>
        </is>
      </c>
      <c r="D130" s="13" t="inlineStr">
        <is>
          <t>aria-disabled is present at the correct time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NavList playground scenario.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ARIA</t>
        </is>
      </c>
      <c r="C131" s="13" t="inlineStr">
        <is>
          <t>Live DOM</t>
        </is>
      </c>
      <c r="D131" s="13" t="inlineStr">
        <is>
          <t>aria-expanded is present at the correct time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NavList playground scenario.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ARIA</t>
        </is>
      </c>
      <c r="C132" s="13" t="inlineStr">
        <is>
          <t>Live DOM</t>
        </is>
      </c>
      <c r="D132" s="13" t="inlineStr">
        <is>
          <t>aria-labelledby is present at the correct time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NavList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Data</t>
        </is>
      </c>
      <c r="C133" s="13" t="inlineStr">
        <is>
          <t>Live DOM</t>
        </is>
      </c>
      <c r="D133" s="13" t="inlineStr">
        <is>
          <t>data-active is present at the correct time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NavList playground scenario.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Data</t>
        </is>
      </c>
      <c r="C134" s="13" t="inlineStr">
        <is>
          <t>Live DOM</t>
        </is>
      </c>
      <c r="D134" s="13" t="inlineStr">
        <is>
          <t>data-collapsible is present at the correct time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NavList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Data</t>
        </is>
      </c>
      <c r="C135" s="13" t="inlineStr">
        <is>
          <t>Live DOM</t>
        </is>
      </c>
      <c r="D135" s="13" t="inlineStr">
        <is>
          <t>data-current is present at the correct time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NavList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Data</t>
        </is>
      </c>
      <c r="C136" s="13" t="inlineStr">
        <is>
          <t>Live DOM</t>
        </is>
      </c>
      <c r="D136" s="13" t="inlineStr">
        <is>
          <t>data-disabled is present at the correct time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NavList playground scenario.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Data</t>
        </is>
      </c>
      <c r="C137" s="13" t="inlineStr">
        <is>
          <t>Live DOM</t>
        </is>
      </c>
      <c r="D137" s="13" t="inlineStr">
        <is>
          <t>data-ordered is present at the correct time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NavList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Data</t>
        </is>
      </c>
      <c r="C138" s="13" t="inlineStr">
        <is>
          <t>Live DOM</t>
        </is>
      </c>
      <c r="D138" s="13" t="inlineStr">
        <is>
          <t>data-orientation is present at the correct time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NavList playground scenario.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Data</t>
        </is>
      </c>
      <c r="C139" s="13" t="inlineStr">
        <is>
          <t>Live DOM</t>
        </is>
      </c>
      <c r="D139" s="13" t="inlineStr">
        <is>
          <t>data-slot is present at the correct time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NavList playground scenario.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Data</t>
        </is>
      </c>
      <c r="C140" s="13" t="inlineStr">
        <is>
          <t>Live DOM</t>
        </is>
      </c>
      <c r="D140" s="13" t="inlineStr">
        <is>
          <t>data-state is present at the correct time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NavList playground scenario.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15" customHeight="1" s="24">
      <c r="A141" s="12" t="n">
        <v>133</v>
      </c>
      <c r="B141" s="13" t="inlineStr">
        <is>
          <t>Composition</t>
        </is>
      </c>
      <c r="C141" s="13" t="inlineStr">
        <is>
          <t>NavList</t>
        </is>
      </c>
      <c r="D141" s="13" t="inlineStr">
        <is>
          <t>asChild preserves child content without double nesting</t>
        </is>
      </c>
      <c r="E141" s="18" t="inlineStr">
        <is>
          <t>yes</t>
        </is>
      </c>
      <c r="F141" s="19" t="inlineStr">
        <is>
          <t>no</t>
        </is>
      </c>
      <c r="G141" s="12" t="inlineStr">
        <is>
          <t>ready for manual test</t>
        </is>
      </c>
      <c r="H141" s="20" t="inlineStr">
        <is>
          <t>untested</t>
        </is>
      </c>
      <c r="I141" s="13" t="inlineStr">
        <is>
          <t>NavList playground scenario.</t>
        </is>
      </c>
      <c r="J141" s="13" t="inlineStr">
        <is>
          <t>Manual verification needed.</t>
        </is>
      </c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Composition</t>
        </is>
      </c>
      <c r="C142" s="13" t="inlineStr">
        <is>
          <t>NavList</t>
        </is>
      </c>
      <c r="D142" s="13" t="inlineStr">
        <is>
          <t>asChild merges Atom props and consumer props</t>
        </is>
      </c>
      <c r="E142" s="18" t="inlineStr">
        <is>
          <t>yes</t>
        </is>
      </c>
      <c r="F142" s="19" t="inlineStr">
        <is>
          <t>no</t>
        </is>
      </c>
      <c r="G142" s="12" t="inlineStr">
        <is>
          <t>ready for manual test</t>
        </is>
      </c>
      <c r="H142" s="20" t="inlineStr">
        <is>
          <t>untested</t>
        </is>
      </c>
      <c r="I142" s="13" t="inlineStr">
        <is>
          <t>NavList playground scenario.</t>
        </is>
      </c>
      <c r="J142" s="13" t="inlineStr">
        <is>
          <t>Manual verification needed.</t>
        </is>
      </c>
      <c r="K142" s="14">
        <f>IF(AND(E142="yes",F142="yes",H142="covered"),1,IF(H142="partial",0.5,0))</f>
        <v/>
      </c>
    </row>
    <row r="143" ht="30" customHeight="1" s="24">
      <c r="A143" s="12" t="n">
        <v>135</v>
      </c>
      <c r="B143" s="13" t="inlineStr">
        <is>
          <t>Composition</t>
        </is>
      </c>
      <c r="C143" s="13" t="inlineStr">
        <is>
          <t>NavList</t>
        </is>
      </c>
      <c r="D143" s="13" t="inlineStr">
        <is>
          <t>asChild lets preventDefault block Atom behavior where supported</t>
        </is>
      </c>
      <c r="E143" s="18" t="inlineStr">
        <is>
          <t>yes</t>
        </is>
      </c>
      <c r="F143" s="19" t="inlineStr">
        <is>
          <t>no</t>
        </is>
      </c>
      <c r="G143" s="12" t="inlineStr">
        <is>
          <t>ready for manual test</t>
        </is>
      </c>
      <c r="H143" s="20" t="inlineStr">
        <is>
          <t>untested</t>
        </is>
      </c>
      <c r="I143" s="13" t="inlineStr">
        <is>
          <t>NavList playground scenario.</t>
        </is>
      </c>
      <c r="J143" s="13" t="inlineStr">
        <is>
          <t>Manual verification needed.</t>
        </is>
      </c>
      <c r="K143" s="14">
        <f>IF(AND(E143="yes",F143="yes",H143="covered"),1,IF(H143="partial",0.5,0))</f>
        <v/>
      </c>
    </row>
    <row r="144" ht="15" customHeight="1" s="24">
      <c r="A144" s="12" t="n">
        <v>136</v>
      </c>
      <c r="B144" s="13" t="inlineStr">
        <is>
          <t>Composition</t>
        </is>
      </c>
      <c r="C144" s="13" t="inlineStr">
        <is>
          <t>NavList</t>
        </is>
      </c>
      <c r="D144" s="13" t="inlineStr">
        <is>
          <t>render prop renders custom element</t>
        </is>
      </c>
      <c r="E144" s="18" t="inlineStr">
        <is>
          <t>yes</t>
        </is>
      </c>
      <c r="F144" s="19" t="inlineStr">
        <is>
          <t>no</t>
        </is>
      </c>
      <c r="G144" s="12" t="inlineStr">
        <is>
          <t>ready for manual test</t>
        </is>
      </c>
      <c r="H144" s="20" t="inlineStr">
        <is>
          <t>untested</t>
        </is>
      </c>
      <c r="I144" s="13" t="inlineStr">
        <is>
          <t>NavList playground scenario.</t>
        </is>
      </c>
      <c r="J144" s="13" t="inlineStr">
        <is>
          <t>Manual verification needed.</t>
        </is>
      </c>
      <c r="K144" s="14">
        <f>IF(AND(E144="yes",F144="yes",H144="covered"),1,IF(H144="partial",0.5,0))</f>
        <v/>
      </c>
    </row>
    <row r="145" ht="15" customHeight="1" s="24">
      <c r="A145" s="12" t="n">
        <v>137</v>
      </c>
      <c r="B145" s="13" t="inlineStr">
        <is>
          <t>Composition</t>
        </is>
      </c>
      <c r="C145" s="13" t="inlineStr">
        <is>
          <t>NavList</t>
        </is>
      </c>
      <c r="D145" s="13" t="inlineStr">
        <is>
          <t>render prop preserves refs and behavior props</t>
        </is>
      </c>
      <c r="E145" s="18" t="inlineStr">
        <is>
          <t>yes</t>
        </is>
      </c>
      <c r="F145" s="19" t="inlineStr">
        <is>
          <t>no</t>
        </is>
      </c>
      <c r="G145" s="12" t="inlineStr">
        <is>
          <t>ready for manual test</t>
        </is>
      </c>
      <c r="H145" s="20" t="inlineStr">
        <is>
          <t>untested</t>
        </is>
      </c>
      <c r="I145" s="13" t="inlineStr">
        <is>
          <t>NavList playground scenario.</t>
        </is>
      </c>
      <c r="J145" s="13" t="inlineStr">
        <is>
          <t>Manual verification needed.</t>
        </is>
      </c>
      <c r="K145" s="14">
        <f>IF(AND(E145="yes",F145="yes",H145="covered"),1,IF(H145="partial",0.5,0))</f>
        <v/>
      </c>
    </row>
    <row r="146" ht="15" customHeight="1" s="24">
      <c r="A146" s="12" t="n">
        <v>138</v>
      </c>
      <c r="B146" s="13" t="inlineStr">
        <is>
          <t>State</t>
        </is>
      </c>
      <c r="C146" s="13" t="inlineStr">
        <is>
          <t>Root</t>
        </is>
      </c>
      <c r="D146" s="13" t="inlineStr">
        <is>
          <t>controlled state path</t>
        </is>
      </c>
      <c r="E146" s="18" t="inlineStr">
        <is>
          <t>yes</t>
        </is>
      </c>
      <c r="F146" s="19" t="inlineStr">
        <is>
          <t>no</t>
        </is>
      </c>
      <c r="G146" s="12" t="inlineStr">
        <is>
          <t>ready for manual test</t>
        </is>
      </c>
      <c r="H146" s="20" t="inlineStr">
        <is>
          <t>untested</t>
        </is>
      </c>
      <c r="I146" s="13" t="inlineStr">
        <is>
          <t>NavList playground scenario.</t>
        </is>
      </c>
      <c r="J146" s="13" t="inlineStr">
        <is>
          <t>Manual verification needed.</t>
        </is>
      </c>
      <c r="K146" s="14">
        <f>IF(AND(E146="yes",F146="yes",H146="covered"),1,IF(H146="partial",0.5,0))</f>
        <v/>
      </c>
    </row>
    <row r="147" ht="15" customHeight="1" s="24">
      <c r="A147" s="12" t="n">
        <v>139</v>
      </c>
      <c r="B147" s="13" t="inlineStr">
        <is>
          <t>State</t>
        </is>
      </c>
      <c r="C147" s="13" t="inlineStr">
        <is>
          <t>Root</t>
        </is>
      </c>
      <c r="D147" s="13" t="inlineStr">
        <is>
          <t>uncontrolled default state path</t>
        </is>
      </c>
      <c r="E147" s="18" t="inlineStr">
        <is>
          <t>yes</t>
        </is>
      </c>
      <c r="F147" s="19" t="inlineStr">
        <is>
          <t>no</t>
        </is>
      </c>
      <c r="G147" s="12" t="inlineStr">
        <is>
          <t>ready for manual test</t>
        </is>
      </c>
      <c r="H147" s="20" t="inlineStr">
        <is>
          <t>untested</t>
        </is>
      </c>
      <c r="I147" s="13" t="inlineStr">
        <is>
          <t>NavList playground scenario.</t>
        </is>
      </c>
      <c r="J147" s="13" t="inlineStr">
        <is>
          <t>Manual verification needed.</t>
        </is>
      </c>
      <c r="K147" s="14">
        <f>IF(AND(E147="yes",F147="yes",H147="covered"),1,IF(H147="partial",0.5,0))</f>
        <v/>
      </c>
    </row>
    <row r="148" ht="15" customHeight="1" s="24">
      <c r="A148" s="12" t="n">
        <v>140</v>
      </c>
      <c r="B148" s="13" t="inlineStr">
        <is>
          <t>State</t>
        </is>
      </c>
      <c r="C148" s="13" t="inlineStr">
        <is>
          <t>Root</t>
        </is>
      </c>
      <c r="D148" s="13" t="inlineStr">
        <is>
          <t>state change callback fires once with correct value</t>
        </is>
      </c>
      <c r="E148" s="18" t="inlineStr">
        <is>
          <t>yes</t>
        </is>
      </c>
      <c r="F148" s="19" t="inlineStr">
        <is>
          <t>no</t>
        </is>
      </c>
      <c r="G148" s="12" t="inlineStr">
        <is>
          <t>ready for manual test</t>
        </is>
      </c>
      <c r="H148" s="20" t="inlineStr">
        <is>
          <t>untested</t>
        </is>
      </c>
      <c r="I148" s="13" t="inlineStr">
        <is>
          <t>NavList playground scenario.</t>
        </is>
      </c>
      <c r="J148" s="13" t="inlineStr">
        <is>
          <t>Manual verification needed.</t>
        </is>
      </c>
      <c r="K148" s="14">
        <f>IF(AND(E148="yes",F148="yes",H148="covered"),1,IF(H148="partial",0.5,0))</f>
        <v/>
      </c>
    </row>
    <row r="149" ht="15" customHeight="1" s="24">
      <c r="A149" s="12" t="n">
        <v>141</v>
      </c>
      <c r="B149" s="13" t="inlineStr">
        <is>
          <t>Keyboard</t>
        </is>
      </c>
      <c r="C149" s="13" t="inlineStr">
        <is>
          <t>NavList</t>
        </is>
      </c>
      <c r="D149" s="13" t="inlineStr">
        <is>
          <t>Arrow key navigation follows documented orientation</t>
        </is>
      </c>
      <c r="E149" s="18" t="inlineStr">
        <is>
          <t>yes</t>
        </is>
      </c>
      <c r="F149" s="19" t="inlineStr">
        <is>
          <t>no</t>
        </is>
      </c>
      <c r="G149" s="12" t="inlineStr">
        <is>
          <t>ready for manual test</t>
        </is>
      </c>
      <c r="H149" s="20" t="inlineStr">
        <is>
          <t>untested</t>
        </is>
      </c>
      <c r="I149" s="13" t="inlineStr">
        <is>
          <t>NavList playground scenario.</t>
        </is>
      </c>
      <c r="J149" s="13" t="inlineStr">
        <is>
          <t>Manual verification needed.</t>
        </is>
      </c>
      <c r="K149" s="14">
        <f>IF(AND(E149="yes",F149="yes",H149="covered"),1,IF(H149="partial",0.5,0))</f>
        <v/>
      </c>
    </row>
    <row r="150" ht="15" customHeight="1" s="24">
      <c r="A150" s="12" t="n">
        <v>142</v>
      </c>
      <c r="B150" s="13" t="inlineStr">
        <is>
          <t>Keyboard</t>
        </is>
      </c>
      <c r="C150" s="13" t="inlineStr">
        <is>
          <t>NavList</t>
        </is>
      </c>
      <c r="D150" s="13" t="inlineStr">
        <is>
          <t>Home and End navigation where supported</t>
        </is>
      </c>
      <c r="E150" s="18" t="inlineStr">
        <is>
          <t>yes</t>
        </is>
      </c>
      <c r="F150" s="19" t="inlineStr">
        <is>
          <t>no</t>
        </is>
      </c>
      <c r="G150" s="12" t="inlineStr">
        <is>
          <t>ready for manual test</t>
        </is>
      </c>
      <c r="H150" s="20" t="inlineStr">
        <is>
          <t>untested</t>
        </is>
      </c>
      <c r="I150" s="13" t="inlineStr">
        <is>
          <t>NavList playground scenario.</t>
        </is>
      </c>
      <c r="J150" s="13" t="inlineStr">
        <is>
          <t>Manual verification needed.</t>
        </is>
      </c>
      <c r="K150" s="14">
        <f>IF(AND(E150="yes",F150="yes",H150="covered"),1,IF(H150="partial",0.5,0))</f>
        <v/>
      </c>
    </row>
    <row r="151" ht="15" customHeight="1" s="24">
      <c r="A151" s="12" t="n">
        <v>143</v>
      </c>
      <c r="B151" s="13" t="inlineStr">
        <is>
          <t>Keyboard</t>
        </is>
      </c>
      <c r="C151" s="13" t="inlineStr">
        <is>
          <t>NavList</t>
        </is>
      </c>
      <c r="D151" s="13" t="inlineStr">
        <is>
          <t>disabled items are skipped or exposed according to pattern</t>
        </is>
      </c>
      <c r="E151" s="18" t="inlineStr">
        <is>
          <t>yes</t>
        </is>
      </c>
      <c r="F151" s="19" t="inlineStr">
        <is>
          <t>no</t>
        </is>
      </c>
      <c r="G151" s="12" t="inlineStr">
        <is>
          <t>ready for manual test</t>
        </is>
      </c>
      <c r="H151" s="20" t="inlineStr">
        <is>
          <t>untested</t>
        </is>
      </c>
      <c r="I151" s="13" t="inlineStr">
        <is>
          <t>NavList playground scenario.</t>
        </is>
      </c>
      <c r="J151" s="13" t="inlineStr">
        <is>
          <t>Manual verification needed.</t>
        </is>
      </c>
      <c r="K151" s="14">
        <f>IF(AND(E151="yes",F151="yes",H151="covered"),1,IF(H151="partial",0.5,0))</f>
        <v/>
      </c>
    </row>
    <row r="152" ht="15" customHeight="1" s="24">
      <c r="A152" s="12" t="n">
        <v>144</v>
      </c>
      <c r="B152" s="13" t="inlineStr">
        <is>
          <t>Keyboard</t>
        </is>
      </c>
      <c r="C152" s="13" t="inlineStr">
        <is>
          <t>NavList</t>
        </is>
      </c>
      <c r="D152" s="13" t="inlineStr">
        <is>
          <t>typeahead/search behavior where supported</t>
        </is>
      </c>
      <c r="E152" s="18" t="inlineStr">
        <is>
          <t>yes</t>
        </is>
      </c>
      <c r="F152" s="19" t="inlineStr">
        <is>
          <t>no</t>
        </is>
      </c>
      <c r="G152" s="12" t="inlineStr">
        <is>
          <t>ready for manual test</t>
        </is>
      </c>
      <c r="H152" s="20" t="inlineStr">
        <is>
          <t>untested</t>
        </is>
      </c>
      <c r="I152" s="13" t="inlineStr">
        <is>
          <t>NavList playground scenario.</t>
        </is>
      </c>
      <c r="J152" s="13" t="inlineStr">
        <is>
          <t>Manual verification needed.</t>
        </is>
      </c>
      <c r="K152" s="14">
        <f>IF(AND(E152="yes",F152="yes",H152="covered"),1,IF(H152="partial",0.5,0))</f>
        <v/>
      </c>
    </row>
    <row r="153" ht="15" customHeight="1" s="24">
      <c r="A153" s="12" t="n">
        <v>145</v>
      </c>
      <c r="B153" s="13" t="inlineStr">
        <is>
          <t>Focus</t>
        </is>
      </c>
      <c r="C153" s="13" t="inlineStr">
        <is>
          <t>NavList</t>
        </is>
      </c>
      <c r="D153" s="13" t="inlineStr">
        <is>
          <t>roving focus or active descendant state is visible</t>
        </is>
      </c>
      <c r="E153" s="18" t="inlineStr">
        <is>
          <t>yes</t>
        </is>
      </c>
      <c r="F153" s="19" t="inlineStr">
        <is>
          <t>no</t>
        </is>
      </c>
      <c r="G153" s="12" t="inlineStr">
        <is>
          <t>ready for manual test</t>
        </is>
      </c>
      <c r="H153" s="20" t="inlineStr">
        <is>
          <t>untested</t>
        </is>
      </c>
      <c r="I153" s="13" t="inlineStr">
        <is>
          <t>NavList playground scenario.</t>
        </is>
      </c>
      <c r="J153" s="13" t="inlineStr">
        <is>
          <t>Manual verification needed.</t>
        </is>
      </c>
      <c r="K153" s="14">
        <f>IF(AND(E153="yes",F153="yes",H153="covered"),1,IF(H153="partial",0.5,0))</f>
        <v/>
      </c>
    </row>
  </sheetData>
  <autoFilter ref="A8:K153"/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NavigationMenu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IFERROR(SUM(K9:K204)/COUNT(K9:K204),0)</f>
        <v/>
      </c>
      <c r="C4" s="8" t="inlineStr">
        <is>
          <t>Covered</t>
        </is>
      </c>
      <c r="D4" s="10">
        <f>COUNTIFS(E9:E204,"yes",F9:F204,"yes",H9:H204,"covered")</f>
        <v/>
      </c>
      <c r="E4" s="8" t="inlineStr">
        <is>
          <t>Partial</t>
        </is>
      </c>
      <c r="F4" s="10">
        <f>COUNTIF(H9:H204,"partial")</f>
        <v/>
      </c>
      <c r="G4" s="8" t="inlineStr">
        <is>
          <t>Missing</t>
        </is>
      </c>
      <c r="H4" s="10">
        <f>COUNTIFS(E9:E204,"&lt;&gt;yes") + COUNTIFS(E9:E204,"yes",H9:H204,"missing")</f>
        <v/>
      </c>
      <c r="I4" s="8" t="inlineStr">
        <is>
          <t>Untested</t>
        </is>
      </c>
      <c r="J4" s="10">
        <f>COUNTIFS(E9:E204,"yes",F9:F204,"&lt;&gt;yes") + COUNTIFS(E9:E204,"yes",F9:F204,"yes",H9:H204,"untested")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NavigationMenu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NavigationMenu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NavigationMenu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NavigationMenu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NavigationMenu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NavigationMenu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NavigationMenu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NavigationMenu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NavigationMenu</t>
        </is>
      </c>
      <c r="D13" s="13" t="inlineStr">
        <is>
          <t>Supports root and nested navigation menu scopes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NavigationMenu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Feature</t>
        </is>
      </c>
      <c r="C14" s="13" t="inlineStr">
        <is>
          <t>NavigationMenu</t>
        </is>
      </c>
      <c r="D14" s="13" t="inlineStr">
        <is>
          <t>Supports delayed open, skip delay, pointer open, click open, and keyboard open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NavigationMenu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NavigationMenu</t>
        </is>
      </c>
      <c r="D15" s="13" t="inlineStr">
        <is>
          <t>Provides a shared viewport that adapts to the active content size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NavigationMenu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NavigationMenu</t>
        </is>
      </c>
      <c r="D16" s="13" t="inlineStr">
        <is>
          <t>Provides indicator geometry CSS variables for styling arrows or active markers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NavigationMenu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NavigationMenu</t>
        </is>
      </c>
      <c r="D17" s="13" t="inlineStr">
        <is>
          <t>Supports active links and `aria-current`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NavigationMenu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NavigationMenu</t>
        </is>
      </c>
      <c r="D18" s="13" t="inlineStr">
        <is>
          <t>Supports horizontal and vertical orientation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NavigationMenu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NavigationMenu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NavigationMenu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NavigationMenu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NavigationMenu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NavigationMenu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NavigationMenu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NavigationMenu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NavigationMenu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NavigationMenu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delayDuration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NavigationMenu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skipDelayDuration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NavigationMenu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orientation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NavigationMenu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dir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NavigationMenu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[data-slot]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NavigationMenu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[data-orientation]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NavigationMenu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Anatomy</t>
        </is>
      </c>
      <c r="C34" s="13" t="inlineStr">
        <is>
          <t>Trigger</t>
        </is>
      </c>
      <c r="D34" s="13" t="inlineStr">
        <is>
          <t>renders correct part when expected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NavigationMenu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Anatomy</t>
        </is>
      </c>
      <c r="C35" s="13" t="inlineStr">
        <is>
          <t>Trigger</t>
        </is>
      </c>
      <c r="D35" s="13" t="inlineStr">
        <is>
          <t>appears in documented order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NavigationMenu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Identity</t>
        </is>
      </c>
      <c r="C36" s="13" t="inlineStr">
        <is>
          <t>Trigger</t>
        </is>
      </c>
      <c r="D36" s="13" t="inlineStr">
        <is>
          <t>default tag is visible in Anatomy/Inspector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NavigationMenu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Identity</t>
        </is>
      </c>
      <c r="C37" s="13" t="inlineStr">
        <is>
          <t>Trigger</t>
        </is>
      </c>
      <c r="D37" s="13" t="inlineStr">
        <is>
          <t>data-slot is present and correct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NavigationMenu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30" customHeight="1" s="24">
      <c r="A38" s="12" t="n">
        <v>30</v>
      </c>
      <c r="B38" s="13" t="inlineStr">
        <is>
          <t>Props</t>
        </is>
      </c>
      <c r="C38" s="13" t="inlineStr">
        <is>
          <t>Trigger</t>
        </is>
      </c>
      <c r="D38" s="13" t="inlineStr">
        <is>
          <t>non-Atom native props pass through with data-prop-check marker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NavigationMenu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Refs</t>
        </is>
      </c>
      <c r="C39" s="13" t="inlineStr">
        <is>
          <t>Trigger</t>
        </is>
      </c>
      <c r="D39" s="13" t="inlineStr">
        <is>
          <t>consumer ref receives the rendered element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NavigationMenu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Trigger</t>
        </is>
      </c>
      <c r="D40" s="13" t="inlineStr">
        <is>
          <t>disabled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NavigationMenu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Composition</t>
        </is>
      </c>
      <c r="C41" s="13" t="inlineStr">
        <is>
          <t>Trigger</t>
        </is>
      </c>
      <c r="D41" s="13" t="inlineStr">
        <is>
          <t>asChild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NavigationMenu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Composition</t>
        </is>
      </c>
      <c r="C42" s="13" t="inlineStr">
        <is>
          <t>Trigger</t>
        </is>
      </c>
      <c r="D42" s="13" t="inlineStr">
        <is>
          <t>render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NavigationMenu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Trigger</t>
        </is>
      </c>
      <c r="D43" s="13" t="inlineStr">
        <is>
          <t>[data-slot]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NavigationMenu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Trigger</t>
        </is>
      </c>
      <c r="D44" s="13" t="inlineStr">
        <is>
          <t>[data-state]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NavigationMenu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State</t>
        </is>
      </c>
      <c r="C45" s="13" t="inlineStr">
        <is>
          <t>Trigger</t>
        </is>
      </c>
      <c r="D45" s="13" t="inlineStr">
        <is>
          <t>[data-disabled]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NavigationMenu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Content</t>
        </is>
      </c>
      <c r="D46" s="13" t="inlineStr">
        <is>
          <t>renders correct part when expected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NavigationMenu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Anatomy</t>
        </is>
      </c>
      <c r="C47" s="13" t="inlineStr">
        <is>
          <t>Content</t>
        </is>
      </c>
      <c r="D47" s="13" t="inlineStr">
        <is>
          <t>appears in documented order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NavigationMenu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Content</t>
        </is>
      </c>
      <c r="D48" s="13" t="inlineStr">
        <is>
          <t>default tag is visible in Anatomy/Inspector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NavigationMenu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Identity</t>
        </is>
      </c>
      <c r="C49" s="13" t="inlineStr">
        <is>
          <t>Content</t>
        </is>
      </c>
      <c r="D49" s="13" t="inlineStr">
        <is>
          <t>data-slot is present and correct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NavigationMenu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30" customHeight="1" s="24">
      <c r="A50" s="12" t="n">
        <v>42</v>
      </c>
      <c r="B50" s="13" t="inlineStr">
        <is>
          <t>Props</t>
        </is>
      </c>
      <c r="C50" s="13" t="inlineStr">
        <is>
          <t>Content</t>
        </is>
      </c>
      <c r="D50" s="13" t="inlineStr">
        <is>
          <t>non-Atom native props pass through with data-prop-check marker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NavigationMenu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Refs</t>
        </is>
      </c>
      <c r="C51" s="13" t="inlineStr">
        <is>
          <t>Content</t>
        </is>
      </c>
      <c r="D51" s="13" t="inlineStr">
        <is>
          <t>consumer ref receives the rendered element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NavigationMenu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Content</t>
        </is>
      </c>
      <c r="D52" s="13" t="inlineStr">
        <is>
          <t>[data-slot]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NavigationMenu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Content</t>
        </is>
      </c>
      <c r="D53" s="13" t="inlineStr">
        <is>
          <t>[data-state]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NavigationMenu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Content</t>
        </is>
      </c>
      <c r="D54" s="13" t="inlineStr">
        <is>
          <t>[data-motion]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NavigationMenu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Anatomy</t>
        </is>
      </c>
      <c r="C55" s="13" t="inlineStr">
        <is>
          <t>List</t>
        </is>
      </c>
      <c r="D55" s="13" t="inlineStr">
        <is>
          <t>renders correct part when expected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NavigationMenu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List</t>
        </is>
      </c>
      <c r="D56" s="13" t="inlineStr">
        <is>
          <t>appears in documented order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NavigationMenu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Identity</t>
        </is>
      </c>
      <c r="C57" s="13" t="inlineStr">
        <is>
          <t>List</t>
        </is>
      </c>
      <c r="D57" s="13" t="inlineStr">
        <is>
          <t>default tag is visible in Anatomy/Inspector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NavigationMenu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List</t>
        </is>
      </c>
      <c r="D58" s="13" t="inlineStr">
        <is>
          <t>data-slot is present and correct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NavigationMenu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30" customHeight="1" s="24">
      <c r="A59" s="12" t="n">
        <v>51</v>
      </c>
      <c r="B59" s="13" t="inlineStr">
        <is>
          <t>Props</t>
        </is>
      </c>
      <c r="C59" s="13" t="inlineStr">
        <is>
          <t>List</t>
        </is>
      </c>
      <c r="D59" s="13" t="inlineStr">
        <is>
          <t>non-Atom native props pass through with data-prop-check marker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NavigationMenu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Refs</t>
        </is>
      </c>
      <c r="C60" s="13" t="inlineStr">
        <is>
          <t>List</t>
        </is>
      </c>
      <c r="D60" s="13" t="inlineStr">
        <is>
          <t>consumer ref receives the rendered element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NavigationMenu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List</t>
        </is>
      </c>
      <c r="D61" s="13" t="inlineStr">
        <is>
          <t>[data-slot]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NavigationMenu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Anatomy</t>
        </is>
      </c>
      <c r="C62" s="13" t="inlineStr">
        <is>
          <t>Viewport</t>
        </is>
      </c>
      <c r="D62" s="13" t="inlineStr">
        <is>
          <t>renders correct part when expected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NavigationMenu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Anatomy</t>
        </is>
      </c>
      <c r="C63" s="13" t="inlineStr">
        <is>
          <t>Viewport</t>
        </is>
      </c>
      <c r="D63" s="13" t="inlineStr">
        <is>
          <t>appears in documented order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NavigationMenu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Identity</t>
        </is>
      </c>
      <c r="C64" s="13" t="inlineStr">
        <is>
          <t>Viewport</t>
        </is>
      </c>
      <c r="D64" s="13" t="inlineStr">
        <is>
          <t>default tag is visible in Anatomy/Inspector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NavigationMenu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Identity</t>
        </is>
      </c>
      <c r="C65" s="13" t="inlineStr">
        <is>
          <t>Viewport</t>
        </is>
      </c>
      <c r="D65" s="13" t="inlineStr">
        <is>
          <t>data-slot is present and correct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NavigationMenu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30" customHeight="1" s="24">
      <c r="A66" s="12" t="n">
        <v>58</v>
      </c>
      <c r="B66" s="13" t="inlineStr">
        <is>
          <t>Props</t>
        </is>
      </c>
      <c r="C66" s="13" t="inlineStr">
        <is>
          <t>Viewport</t>
        </is>
      </c>
      <c r="D66" s="13" t="inlineStr">
        <is>
          <t>non-Atom native props pass through with data-prop-check marker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NavigationMenu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Refs</t>
        </is>
      </c>
      <c r="C67" s="13" t="inlineStr">
        <is>
          <t>Viewport</t>
        </is>
      </c>
      <c r="D67" s="13" t="inlineStr">
        <is>
          <t>consumer ref receives the rendered element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NavigationMenu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Public API</t>
        </is>
      </c>
      <c r="C68" s="13" t="inlineStr">
        <is>
          <t>Viewport</t>
        </is>
      </c>
      <c r="D68" s="13" t="inlineStr">
        <is>
          <t>forceMount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NavigationMenu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Public API</t>
        </is>
      </c>
      <c r="C69" s="13" t="inlineStr">
        <is>
          <t>Viewport</t>
        </is>
      </c>
      <c r="D69" s="13" t="inlineStr">
        <is>
          <t>--atom-navigation-menu-viewport-width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NavigationMenu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Viewport</t>
        </is>
      </c>
      <c r="D70" s="13" t="inlineStr">
        <is>
          <t>--atom-navigation-menu-viewport-height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NavigationMenu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Anatomy</t>
        </is>
      </c>
      <c r="C71" s="13" t="inlineStr">
        <is>
          <t>Item</t>
        </is>
      </c>
      <c r="D71" s="13" t="inlineStr">
        <is>
          <t>renders correct part when expected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NavigationMenu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Anatomy</t>
        </is>
      </c>
      <c r="C72" s="13" t="inlineStr">
        <is>
          <t>Item</t>
        </is>
      </c>
      <c r="D72" s="13" t="inlineStr">
        <is>
          <t>appears in documented order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NavigationMenu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Identity</t>
        </is>
      </c>
      <c r="C73" s="13" t="inlineStr">
        <is>
          <t>Item</t>
        </is>
      </c>
      <c r="D73" s="13" t="inlineStr">
        <is>
          <t>default tag is visible in Anatomy/Inspector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NavigationMenu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Identity</t>
        </is>
      </c>
      <c r="C74" s="13" t="inlineStr">
        <is>
          <t>Item</t>
        </is>
      </c>
      <c r="D74" s="13" t="inlineStr">
        <is>
          <t>data-slot is present and correct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NavigationMenu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30" customHeight="1" s="24">
      <c r="A75" s="12" t="n">
        <v>67</v>
      </c>
      <c r="B75" s="13" t="inlineStr">
        <is>
          <t>Props</t>
        </is>
      </c>
      <c r="C75" s="13" t="inlineStr">
        <is>
          <t>Item</t>
        </is>
      </c>
      <c r="D75" s="13" t="inlineStr">
        <is>
          <t>non-Atom native props pass through with data-prop-check marker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NavigationMenu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Refs</t>
        </is>
      </c>
      <c r="C76" s="13" t="inlineStr">
        <is>
          <t>Item</t>
        </is>
      </c>
      <c r="D76" s="13" t="inlineStr">
        <is>
          <t>consumer ref receives the rendered element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NavigationMenu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State</t>
        </is>
      </c>
      <c r="C77" s="13" t="inlineStr">
        <is>
          <t>Item</t>
        </is>
      </c>
      <c r="D77" s="13" t="inlineStr">
        <is>
          <t>value prop behavior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NavigationMenu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Public API</t>
        </is>
      </c>
      <c r="C78" s="13" t="inlineStr">
        <is>
          <t>Item</t>
        </is>
      </c>
      <c r="D78" s="13" t="inlineStr">
        <is>
          <t>[data-slot] prop behavior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NavigationMenu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Anatomy</t>
        </is>
      </c>
      <c r="C79" s="13" t="inlineStr">
        <is>
          <t>Indicator</t>
        </is>
      </c>
      <c r="D79" s="13" t="inlineStr">
        <is>
          <t>renders correct part when expected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NavigationMenu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Anatomy</t>
        </is>
      </c>
      <c r="C80" s="13" t="inlineStr">
        <is>
          <t>Indicator</t>
        </is>
      </c>
      <c r="D80" s="13" t="inlineStr">
        <is>
          <t>appears in documented order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NavigationMenu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Identity</t>
        </is>
      </c>
      <c r="C81" s="13" t="inlineStr">
        <is>
          <t>Indicator</t>
        </is>
      </c>
      <c r="D81" s="13" t="inlineStr">
        <is>
          <t>default tag is visible in Anatomy/Inspector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NavigationMenu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Identity</t>
        </is>
      </c>
      <c r="C82" s="13" t="inlineStr">
        <is>
          <t>Indicator</t>
        </is>
      </c>
      <c r="D82" s="13" t="inlineStr">
        <is>
          <t>data-slot is present and correct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NavigationMenu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30" customHeight="1" s="24">
      <c r="A83" s="12" t="n">
        <v>75</v>
      </c>
      <c r="B83" s="13" t="inlineStr">
        <is>
          <t>Props</t>
        </is>
      </c>
      <c r="C83" s="13" t="inlineStr">
        <is>
          <t>Indicator</t>
        </is>
      </c>
      <c r="D83" s="13" t="inlineStr">
        <is>
          <t>non-Atom native props pass through with data-prop-check marker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NavigationMenu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Refs</t>
        </is>
      </c>
      <c r="C84" s="13" t="inlineStr">
        <is>
          <t>Indicator</t>
        </is>
      </c>
      <c r="D84" s="13" t="inlineStr">
        <is>
          <t>consumer ref receives the rendered element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NavigationMenu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Public API</t>
        </is>
      </c>
      <c r="C85" s="13" t="inlineStr">
        <is>
          <t>Indicator</t>
        </is>
      </c>
      <c r="D85" s="13" t="inlineStr">
        <is>
          <t>forceMount prop behavior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NavigationMenu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Public API</t>
        </is>
      </c>
      <c r="C86" s="13" t="inlineStr">
        <is>
          <t>Indicator</t>
        </is>
      </c>
      <c r="D86" s="13" t="inlineStr">
        <is>
          <t>--atom-navigation-menu-trigger-left prop behavior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NavigationMenu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Public API</t>
        </is>
      </c>
      <c r="C87" s="13" t="inlineStr">
        <is>
          <t>Indicator</t>
        </is>
      </c>
      <c r="D87" s="13" t="inlineStr">
        <is>
          <t>--atom-navigation-menu-trigger-top prop behavior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NavigationMenu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Public API</t>
        </is>
      </c>
      <c r="C88" s="13" t="inlineStr">
        <is>
          <t>Indicator</t>
        </is>
      </c>
      <c r="D88" s="13" t="inlineStr">
        <is>
          <t>--atom-navigation-menu-trigger-width prop behavior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NavigationMenu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Public API</t>
        </is>
      </c>
      <c r="C89" s="13" t="inlineStr">
        <is>
          <t>Indicator</t>
        </is>
      </c>
      <c r="D89" s="13" t="inlineStr">
        <is>
          <t>--atom-navigation-menu-trigger-height prop behavior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NavigationMenu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Public API</t>
        </is>
      </c>
      <c r="C90" s="13" t="inlineStr">
        <is>
          <t>Indicator</t>
        </is>
      </c>
      <c r="D90" s="13" t="inlineStr">
        <is>
          <t>--atom-navigation-menu-trigger-center-x prop behavior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NavigationMenu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Public API</t>
        </is>
      </c>
      <c r="C91" s="13" t="inlineStr">
        <is>
          <t>Indicator</t>
        </is>
      </c>
      <c r="D91" s="13" t="inlineStr">
        <is>
          <t>--atom-navigation-menu-trigger-center-y prop behavior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NavigationMenu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Anatomy</t>
        </is>
      </c>
      <c r="C92" s="13" t="inlineStr">
        <is>
          <t>Link</t>
        </is>
      </c>
      <c r="D92" s="13" t="inlineStr">
        <is>
          <t>renders correct part when expected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NavigationMenu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Anatomy</t>
        </is>
      </c>
      <c r="C93" s="13" t="inlineStr">
        <is>
          <t>Link</t>
        </is>
      </c>
      <c r="D93" s="13" t="inlineStr">
        <is>
          <t>appears in documented order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NavigationMenu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Identity</t>
        </is>
      </c>
      <c r="C94" s="13" t="inlineStr">
        <is>
          <t>Link</t>
        </is>
      </c>
      <c r="D94" s="13" t="inlineStr">
        <is>
          <t>default tag is visible in Anatomy/Inspector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NavigationMenu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Identity</t>
        </is>
      </c>
      <c r="C95" s="13" t="inlineStr">
        <is>
          <t>Link</t>
        </is>
      </c>
      <c r="D95" s="13" t="inlineStr">
        <is>
          <t>data-slot is present and correct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NavigationMenu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30" customHeight="1" s="24">
      <c r="A96" s="12" t="n">
        <v>88</v>
      </c>
      <c r="B96" s="13" t="inlineStr">
        <is>
          <t>Props</t>
        </is>
      </c>
      <c r="C96" s="13" t="inlineStr">
        <is>
          <t>Link</t>
        </is>
      </c>
      <c r="D96" s="13" t="inlineStr">
        <is>
          <t>non-Atom native props pass through with data-prop-check marker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NavigationMenu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Refs</t>
        </is>
      </c>
      <c r="C97" s="13" t="inlineStr">
        <is>
          <t>Link</t>
        </is>
      </c>
      <c r="D97" s="13" t="inlineStr">
        <is>
          <t>consumer ref receives the rendered element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NavigationMenu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Public API</t>
        </is>
      </c>
      <c r="C98" s="13" t="inlineStr">
        <is>
          <t>Link</t>
        </is>
      </c>
      <c r="D98" s="13" t="inlineStr">
        <is>
          <t>active prop behavior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NavigationMenu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State</t>
        </is>
      </c>
      <c r="C99" s="13" t="inlineStr">
        <is>
          <t>Link</t>
        </is>
      </c>
      <c r="D99" s="13" t="inlineStr">
        <is>
          <t>onSelect prop behavior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NavigationMenu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Composition</t>
        </is>
      </c>
      <c r="C100" s="13" t="inlineStr">
        <is>
          <t>Link</t>
        </is>
      </c>
      <c r="D100" s="13" t="inlineStr">
        <is>
          <t>asChild prop behavior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NavigationMenu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Anatomy</t>
        </is>
      </c>
      <c r="C101" s="13" t="inlineStr">
        <is>
          <t>MenuContent</t>
        </is>
      </c>
      <c r="D101" s="13" t="inlineStr">
        <is>
          <t>renders correct part when expected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NavigationMenu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Anatomy</t>
        </is>
      </c>
      <c r="C102" s="13" t="inlineStr">
        <is>
          <t>MenuContent</t>
        </is>
      </c>
      <c r="D102" s="13" t="inlineStr">
        <is>
          <t>appears in documented order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NavigationMenu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Identity</t>
        </is>
      </c>
      <c r="C103" s="13" t="inlineStr">
        <is>
          <t>MenuContent</t>
        </is>
      </c>
      <c r="D103" s="13" t="inlineStr">
        <is>
          <t>default tag is visible in Anatomy/Inspector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NavigationMenu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Identity</t>
        </is>
      </c>
      <c r="C104" s="13" t="inlineStr">
        <is>
          <t>MenuContent</t>
        </is>
      </c>
      <c r="D104" s="13" t="inlineStr">
        <is>
          <t>data-slot is present and correct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NavigationMenu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30" customHeight="1" s="24">
      <c r="A105" s="12" t="n">
        <v>97</v>
      </c>
      <c r="B105" s="13" t="inlineStr">
        <is>
          <t>Props</t>
        </is>
      </c>
      <c r="C105" s="13" t="inlineStr">
        <is>
          <t>MenuContent</t>
        </is>
      </c>
      <c r="D105" s="13" t="inlineStr">
        <is>
          <t>non-Atom native props pass through with data-prop-check marker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NavigationMenu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Refs</t>
        </is>
      </c>
      <c r="C106" s="13" t="inlineStr">
        <is>
          <t>MenuContent</t>
        </is>
      </c>
      <c r="D106" s="13" t="inlineStr">
        <is>
          <t>consumer ref receives the rendered element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NavigationMenu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Anatomy</t>
        </is>
      </c>
      <c r="C107" s="13" t="inlineStr">
        <is>
          <t>MenuIndicator</t>
        </is>
      </c>
      <c r="D107" s="13" t="inlineStr">
        <is>
          <t>renders correct part when expected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NavigationMenu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Anatomy</t>
        </is>
      </c>
      <c r="C108" s="13" t="inlineStr">
        <is>
          <t>MenuIndicator</t>
        </is>
      </c>
      <c r="D108" s="13" t="inlineStr">
        <is>
          <t>appears in documented order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NavigationMenu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Identity</t>
        </is>
      </c>
      <c r="C109" s="13" t="inlineStr">
        <is>
          <t>MenuIndicator</t>
        </is>
      </c>
      <c r="D109" s="13" t="inlineStr">
        <is>
          <t>default tag is visible in Anatomy/Inspector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NavigationMenu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Identity</t>
        </is>
      </c>
      <c r="C110" s="13" t="inlineStr">
        <is>
          <t>MenuIndicator</t>
        </is>
      </c>
      <c r="D110" s="13" t="inlineStr">
        <is>
          <t>data-slot is present and correct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NavigationMenu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30" customHeight="1" s="24">
      <c r="A111" s="12" t="n">
        <v>103</v>
      </c>
      <c r="B111" s="13" t="inlineStr">
        <is>
          <t>Props</t>
        </is>
      </c>
      <c r="C111" s="13" t="inlineStr">
        <is>
          <t>MenuIndicator</t>
        </is>
      </c>
      <c r="D111" s="13" t="inlineStr">
        <is>
          <t>non-Atom native props pass through with data-prop-check marker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NavigationMenu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Refs</t>
        </is>
      </c>
      <c r="C112" s="13" t="inlineStr">
        <is>
          <t>MenuIndicator</t>
        </is>
      </c>
      <c r="D112" s="13" t="inlineStr">
        <is>
          <t>consumer ref receives the rendered element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NavigationMenu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Anatomy</t>
        </is>
      </c>
      <c r="C113" s="13" t="inlineStr">
        <is>
          <t>MenuItem</t>
        </is>
      </c>
      <c r="D113" s="13" t="inlineStr">
        <is>
          <t>renders correct part when expected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NavigationMenu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Anatomy</t>
        </is>
      </c>
      <c r="C114" s="13" t="inlineStr">
        <is>
          <t>MenuItem</t>
        </is>
      </c>
      <c r="D114" s="13" t="inlineStr">
        <is>
          <t>appears in documented order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NavigationMenu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Identity</t>
        </is>
      </c>
      <c r="C115" s="13" t="inlineStr">
        <is>
          <t>MenuItem</t>
        </is>
      </c>
      <c r="D115" s="13" t="inlineStr">
        <is>
          <t>default tag is visible in Anatomy/Inspector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NavigationMenu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Identity</t>
        </is>
      </c>
      <c r="C116" s="13" t="inlineStr">
        <is>
          <t>MenuItem</t>
        </is>
      </c>
      <c r="D116" s="13" t="inlineStr">
        <is>
          <t>data-slot is present and correct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NavigationMenu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30" customHeight="1" s="24">
      <c r="A117" s="12" t="n">
        <v>109</v>
      </c>
      <c r="B117" s="13" t="inlineStr">
        <is>
          <t>Props</t>
        </is>
      </c>
      <c r="C117" s="13" t="inlineStr">
        <is>
          <t>MenuItem</t>
        </is>
      </c>
      <c r="D117" s="13" t="inlineStr">
        <is>
          <t>non-Atom native props pass through with data-prop-check marker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NavigationMenu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Refs</t>
        </is>
      </c>
      <c r="C118" s="13" t="inlineStr">
        <is>
          <t>MenuItem</t>
        </is>
      </c>
      <c r="D118" s="13" t="inlineStr">
        <is>
          <t>consumer ref receives the rendered element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NavigationMenu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Anatomy</t>
        </is>
      </c>
      <c r="C119" s="13" t="inlineStr">
        <is>
          <t>MenuLink</t>
        </is>
      </c>
      <c r="D119" s="13" t="inlineStr">
        <is>
          <t>renders correct part when expected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NavigationMenu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Anatomy</t>
        </is>
      </c>
      <c r="C120" s="13" t="inlineStr">
        <is>
          <t>MenuLink</t>
        </is>
      </c>
      <c r="D120" s="13" t="inlineStr">
        <is>
          <t>appears in documented order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NavigationMenu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Identity</t>
        </is>
      </c>
      <c r="C121" s="13" t="inlineStr">
        <is>
          <t>MenuLink</t>
        </is>
      </c>
      <c r="D121" s="13" t="inlineStr">
        <is>
          <t>default tag is visible in Anatomy/Inspector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NavigationMenu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Identity</t>
        </is>
      </c>
      <c r="C122" s="13" t="inlineStr">
        <is>
          <t>MenuLink</t>
        </is>
      </c>
      <c r="D122" s="13" t="inlineStr">
        <is>
          <t>data-slot is present and correct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NavigationMenu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30" customHeight="1" s="24">
      <c r="A123" s="12" t="n">
        <v>115</v>
      </c>
      <c r="B123" s="13" t="inlineStr">
        <is>
          <t>Props</t>
        </is>
      </c>
      <c r="C123" s="13" t="inlineStr">
        <is>
          <t>MenuLink</t>
        </is>
      </c>
      <c r="D123" s="13" t="inlineStr">
        <is>
          <t>non-Atom native props pass through with data-prop-check marker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NavigationMenu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Refs</t>
        </is>
      </c>
      <c r="C124" s="13" t="inlineStr">
        <is>
          <t>MenuLink</t>
        </is>
      </c>
      <c r="D124" s="13" t="inlineStr">
        <is>
          <t>consumer ref receives the rendered element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NavigationMenu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Anatomy</t>
        </is>
      </c>
      <c r="C125" s="13" t="inlineStr">
        <is>
          <t>MenuList</t>
        </is>
      </c>
      <c r="D125" s="13" t="inlineStr">
        <is>
          <t>renders correct part when expected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NavigationMenu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Anatomy</t>
        </is>
      </c>
      <c r="C126" s="13" t="inlineStr">
        <is>
          <t>MenuList</t>
        </is>
      </c>
      <c r="D126" s="13" t="inlineStr">
        <is>
          <t>appears in documented order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NavigationMenu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Identity</t>
        </is>
      </c>
      <c r="C127" s="13" t="inlineStr">
        <is>
          <t>MenuList</t>
        </is>
      </c>
      <c r="D127" s="13" t="inlineStr">
        <is>
          <t>default tag is visible in Anatomy/Inspector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NavigationMenu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Identity</t>
        </is>
      </c>
      <c r="C128" s="13" t="inlineStr">
        <is>
          <t>MenuList</t>
        </is>
      </c>
      <c r="D128" s="13" t="inlineStr">
        <is>
          <t>data-slot is present and correct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NavigationMenu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30" customHeight="1" s="24">
      <c r="A129" s="12" t="n">
        <v>121</v>
      </c>
      <c r="B129" s="13" t="inlineStr">
        <is>
          <t>Props</t>
        </is>
      </c>
      <c r="C129" s="13" t="inlineStr">
        <is>
          <t>MenuList</t>
        </is>
      </c>
      <c r="D129" s="13" t="inlineStr">
        <is>
          <t>non-Atom native props pass through with data-prop-check marker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NavigationMenu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Refs</t>
        </is>
      </c>
      <c r="C130" s="13" t="inlineStr">
        <is>
          <t>MenuList</t>
        </is>
      </c>
      <c r="D130" s="13" t="inlineStr">
        <is>
          <t>consumer ref receives the rendered element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NavigationMenu playground scenario.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Anatomy</t>
        </is>
      </c>
      <c r="C131" s="13" t="inlineStr">
        <is>
          <t>MenuSub</t>
        </is>
      </c>
      <c r="D131" s="13" t="inlineStr">
        <is>
          <t>renders correct part when expected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NavigationMenu playground scenario.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Anatomy</t>
        </is>
      </c>
      <c r="C132" s="13" t="inlineStr">
        <is>
          <t>MenuSub</t>
        </is>
      </c>
      <c r="D132" s="13" t="inlineStr">
        <is>
          <t>appears in documented order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NavigationMenu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Identity</t>
        </is>
      </c>
      <c r="C133" s="13" t="inlineStr">
        <is>
          <t>MenuSub</t>
        </is>
      </c>
      <c r="D133" s="13" t="inlineStr">
        <is>
          <t>default tag is visible in Anatomy/Inspector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NavigationMenu playground scenario.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Identity</t>
        </is>
      </c>
      <c r="C134" s="13" t="inlineStr">
        <is>
          <t>MenuSub</t>
        </is>
      </c>
      <c r="D134" s="13" t="inlineStr">
        <is>
          <t>data-slot is present and correct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NavigationMenu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30" customHeight="1" s="24">
      <c r="A135" s="12" t="n">
        <v>127</v>
      </c>
      <c r="B135" s="13" t="inlineStr">
        <is>
          <t>Props</t>
        </is>
      </c>
      <c r="C135" s="13" t="inlineStr">
        <is>
          <t>MenuSub</t>
        </is>
      </c>
      <c r="D135" s="13" t="inlineStr">
        <is>
          <t>non-Atom native props pass through with data-prop-check marker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NavigationMenu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Refs</t>
        </is>
      </c>
      <c r="C136" s="13" t="inlineStr">
        <is>
          <t>MenuSub</t>
        </is>
      </c>
      <c r="D136" s="13" t="inlineStr">
        <is>
          <t>consumer ref receives the rendered element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NavigationMenu playground scenario.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Anatomy</t>
        </is>
      </c>
      <c r="C137" s="13" t="inlineStr">
        <is>
          <t>MenuTrigger</t>
        </is>
      </c>
      <c r="D137" s="13" t="inlineStr">
        <is>
          <t>renders correct part when expected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NavigationMenu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Anatomy</t>
        </is>
      </c>
      <c r="C138" s="13" t="inlineStr">
        <is>
          <t>MenuTrigger</t>
        </is>
      </c>
      <c r="D138" s="13" t="inlineStr">
        <is>
          <t>appears in documented order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NavigationMenu playground scenario.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Identity</t>
        </is>
      </c>
      <c r="C139" s="13" t="inlineStr">
        <is>
          <t>MenuTrigger</t>
        </is>
      </c>
      <c r="D139" s="13" t="inlineStr">
        <is>
          <t>default tag is visible in Anatomy/Inspector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NavigationMenu playground scenario.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Identity</t>
        </is>
      </c>
      <c r="C140" s="13" t="inlineStr">
        <is>
          <t>MenuTrigger</t>
        </is>
      </c>
      <c r="D140" s="13" t="inlineStr">
        <is>
          <t>data-slot is present and correct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NavigationMenu playground scenario.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30" customHeight="1" s="24">
      <c r="A141" s="12" t="n">
        <v>133</v>
      </c>
      <c r="B141" s="13" t="inlineStr">
        <is>
          <t>Props</t>
        </is>
      </c>
      <c r="C141" s="13" t="inlineStr">
        <is>
          <t>MenuTrigger</t>
        </is>
      </c>
      <c r="D141" s="13" t="inlineStr">
        <is>
          <t>non-Atom native props pass through with data-prop-check marker</t>
        </is>
      </c>
      <c r="E141" s="18" t="inlineStr">
        <is>
          <t>yes</t>
        </is>
      </c>
      <c r="F141" s="19" t="inlineStr">
        <is>
          <t>no</t>
        </is>
      </c>
      <c r="G141" s="12" t="inlineStr">
        <is>
          <t>ready for manual test</t>
        </is>
      </c>
      <c r="H141" s="20" t="inlineStr">
        <is>
          <t>untested</t>
        </is>
      </c>
      <c r="I141" s="13" t="inlineStr">
        <is>
          <t>NavigationMenu playground scenario.</t>
        </is>
      </c>
      <c r="J141" s="13" t="inlineStr">
        <is>
          <t>Manual verification needed.</t>
        </is>
      </c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Refs</t>
        </is>
      </c>
      <c r="C142" s="13" t="inlineStr">
        <is>
          <t>MenuTrigger</t>
        </is>
      </c>
      <c r="D142" s="13" t="inlineStr">
        <is>
          <t>consumer ref receives the rendered element</t>
        </is>
      </c>
      <c r="E142" s="18" t="inlineStr">
        <is>
          <t>yes</t>
        </is>
      </c>
      <c r="F142" s="19" t="inlineStr">
        <is>
          <t>no</t>
        </is>
      </c>
      <c r="G142" s="12" t="inlineStr">
        <is>
          <t>ready for manual test</t>
        </is>
      </c>
      <c r="H142" s="20" t="inlineStr">
        <is>
          <t>untested</t>
        </is>
      </c>
      <c r="I142" s="13" t="inlineStr">
        <is>
          <t>NavigationMenu playground scenario.</t>
        </is>
      </c>
      <c r="J142" s="13" t="inlineStr">
        <is>
          <t>Manual verification needed.</t>
        </is>
      </c>
      <c r="K142" s="14">
        <f>IF(AND(E142="yes",F142="yes",H142="covered"),1,IF(H142="partial",0.5,0))</f>
        <v/>
      </c>
    </row>
    <row r="143" ht="15" customHeight="1" s="24">
      <c r="A143" s="12" t="n">
        <v>135</v>
      </c>
      <c r="B143" s="13" t="inlineStr">
        <is>
          <t>Anatomy</t>
        </is>
      </c>
      <c r="C143" s="13" t="inlineStr">
        <is>
          <t>MenuViewport</t>
        </is>
      </c>
      <c r="D143" s="13" t="inlineStr">
        <is>
          <t>renders correct part when expected</t>
        </is>
      </c>
      <c r="E143" s="18" t="inlineStr">
        <is>
          <t>yes</t>
        </is>
      </c>
      <c r="F143" s="19" t="inlineStr">
        <is>
          <t>no</t>
        </is>
      </c>
      <c r="G143" s="12" t="inlineStr">
        <is>
          <t>ready for manual test</t>
        </is>
      </c>
      <c r="H143" s="20" t="inlineStr">
        <is>
          <t>untested</t>
        </is>
      </c>
      <c r="I143" s="13" t="inlineStr">
        <is>
          <t>NavigationMenu playground scenario.</t>
        </is>
      </c>
      <c r="J143" s="13" t="inlineStr">
        <is>
          <t>Manual verification needed.</t>
        </is>
      </c>
      <c r="K143" s="14">
        <f>IF(AND(E143="yes",F143="yes",H143="covered"),1,IF(H143="partial",0.5,0))</f>
        <v/>
      </c>
    </row>
    <row r="144" ht="15" customHeight="1" s="24">
      <c r="A144" s="12" t="n">
        <v>136</v>
      </c>
      <c r="B144" s="13" t="inlineStr">
        <is>
          <t>Anatomy</t>
        </is>
      </c>
      <c r="C144" s="13" t="inlineStr">
        <is>
          <t>MenuViewport</t>
        </is>
      </c>
      <c r="D144" s="13" t="inlineStr">
        <is>
          <t>appears in documented order</t>
        </is>
      </c>
      <c r="E144" s="18" t="inlineStr">
        <is>
          <t>yes</t>
        </is>
      </c>
      <c r="F144" s="19" t="inlineStr">
        <is>
          <t>no</t>
        </is>
      </c>
      <c r="G144" s="12" t="inlineStr">
        <is>
          <t>ready for manual test</t>
        </is>
      </c>
      <c r="H144" s="20" t="inlineStr">
        <is>
          <t>untested</t>
        </is>
      </c>
      <c r="I144" s="13" t="inlineStr">
        <is>
          <t>NavigationMenu playground scenario.</t>
        </is>
      </c>
      <c r="J144" s="13" t="inlineStr">
        <is>
          <t>Manual verification needed.</t>
        </is>
      </c>
      <c r="K144" s="14">
        <f>IF(AND(E144="yes",F144="yes",H144="covered"),1,IF(H144="partial",0.5,0))</f>
        <v/>
      </c>
    </row>
    <row r="145" ht="15" customHeight="1" s="24">
      <c r="A145" s="12" t="n">
        <v>137</v>
      </c>
      <c r="B145" s="13" t="inlineStr">
        <is>
          <t>Identity</t>
        </is>
      </c>
      <c r="C145" s="13" t="inlineStr">
        <is>
          <t>MenuViewport</t>
        </is>
      </c>
      <c r="D145" s="13" t="inlineStr">
        <is>
          <t>default tag is visible in Anatomy/Inspector</t>
        </is>
      </c>
      <c r="E145" s="18" t="inlineStr">
        <is>
          <t>yes</t>
        </is>
      </c>
      <c r="F145" s="19" t="inlineStr">
        <is>
          <t>no</t>
        </is>
      </c>
      <c r="G145" s="12" t="inlineStr">
        <is>
          <t>ready for manual test</t>
        </is>
      </c>
      <c r="H145" s="20" t="inlineStr">
        <is>
          <t>untested</t>
        </is>
      </c>
      <c r="I145" s="13" t="inlineStr">
        <is>
          <t>NavigationMenu playground scenario.</t>
        </is>
      </c>
      <c r="J145" s="13" t="inlineStr">
        <is>
          <t>Manual verification needed.</t>
        </is>
      </c>
      <c r="K145" s="14">
        <f>IF(AND(E145="yes",F145="yes",H145="covered"),1,IF(H145="partial",0.5,0))</f>
        <v/>
      </c>
    </row>
    <row r="146" ht="15" customHeight="1" s="24">
      <c r="A146" s="12" t="n">
        <v>138</v>
      </c>
      <c r="B146" s="13" t="inlineStr">
        <is>
          <t>Identity</t>
        </is>
      </c>
      <c r="C146" s="13" t="inlineStr">
        <is>
          <t>MenuViewport</t>
        </is>
      </c>
      <c r="D146" s="13" t="inlineStr">
        <is>
          <t>data-slot is present and correct</t>
        </is>
      </c>
      <c r="E146" s="18" t="inlineStr">
        <is>
          <t>yes</t>
        </is>
      </c>
      <c r="F146" s="19" t="inlineStr">
        <is>
          <t>no</t>
        </is>
      </c>
      <c r="G146" s="12" t="inlineStr">
        <is>
          <t>ready for manual test</t>
        </is>
      </c>
      <c r="H146" s="20" t="inlineStr">
        <is>
          <t>untested</t>
        </is>
      </c>
      <c r="I146" s="13" t="inlineStr">
        <is>
          <t>NavigationMenu playground scenario.</t>
        </is>
      </c>
      <c r="J146" s="13" t="inlineStr">
        <is>
          <t>Manual verification needed.</t>
        </is>
      </c>
      <c r="K146" s="14">
        <f>IF(AND(E146="yes",F146="yes",H146="covered"),1,IF(H146="partial",0.5,0))</f>
        <v/>
      </c>
    </row>
    <row r="147" ht="30" customHeight="1" s="24">
      <c r="A147" s="12" t="n">
        <v>139</v>
      </c>
      <c r="B147" s="13" t="inlineStr">
        <is>
          <t>Props</t>
        </is>
      </c>
      <c r="C147" s="13" t="inlineStr">
        <is>
          <t>MenuViewport</t>
        </is>
      </c>
      <c r="D147" s="13" t="inlineStr">
        <is>
          <t>non-Atom native props pass through with data-prop-check marker</t>
        </is>
      </c>
      <c r="E147" s="18" t="inlineStr">
        <is>
          <t>yes</t>
        </is>
      </c>
      <c r="F147" s="19" t="inlineStr">
        <is>
          <t>no</t>
        </is>
      </c>
      <c r="G147" s="12" t="inlineStr">
        <is>
          <t>ready for manual test</t>
        </is>
      </c>
      <c r="H147" s="20" t="inlineStr">
        <is>
          <t>untested</t>
        </is>
      </c>
      <c r="I147" s="13" t="inlineStr">
        <is>
          <t>NavigationMenu playground scenario.</t>
        </is>
      </c>
      <c r="J147" s="13" t="inlineStr">
        <is>
          <t>Manual verification needed.</t>
        </is>
      </c>
      <c r="K147" s="14">
        <f>IF(AND(E147="yes",F147="yes",H147="covered"),1,IF(H147="partial",0.5,0))</f>
        <v/>
      </c>
    </row>
    <row r="148" ht="15" customHeight="1" s="24">
      <c r="A148" s="12" t="n">
        <v>140</v>
      </c>
      <c r="B148" s="13" t="inlineStr">
        <is>
          <t>Refs</t>
        </is>
      </c>
      <c r="C148" s="13" t="inlineStr">
        <is>
          <t>MenuViewport</t>
        </is>
      </c>
      <c r="D148" s="13" t="inlineStr">
        <is>
          <t>consumer ref receives the rendered element</t>
        </is>
      </c>
      <c r="E148" s="18" t="inlineStr">
        <is>
          <t>yes</t>
        </is>
      </c>
      <c r="F148" s="19" t="inlineStr">
        <is>
          <t>no</t>
        </is>
      </c>
      <c r="G148" s="12" t="inlineStr">
        <is>
          <t>ready for manual test</t>
        </is>
      </c>
      <c r="H148" s="20" t="inlineStr">
        <is>
          <t>untested</t>
        </is>
      </c>
      <c r="I148" s="13" t="inlineStr">
        <is>
          <t>NavigationMenu playground scenario.</t>
        </is>
      </c>
      <c r="J148" s="13" t="inlineStr">
        <is>
          <t>Manual verification needed.</t>
        </is>
      </c>
      <c r="K148" s="14">
        <f>IF(AND(E148="yes",F148="yes",H148="covered"),1,IF(H148="partial",0.5,0))</f>
        <v/>
      </c>
    </row>
    <row r="149" ht="15" customHeight="1" s="24">
      <c r="A149" s="12" t="n">
        <v>141</v>
      </c>
      <c r="B149" s="13" t="inlineStr">
        <is>
          <t>Anatomy</t>
        </is>
      </c>
      <c r="C149" s="13" t="inlineStr">
        <is>
          <t>Sub</t>
        </is>
      </c>
      <c r="D149" s="13" t="inlineStr">
        <is>
          <t>renders correct part when expected</t>
        </is>
      </c>
      <c r="E149" s="18" t="inlineStr">
        <is>
          <t>yes</t>
        </is>
      </c>
      <c r="F149" s="19" t="inlineStr">
        <is>
          <t>no</t>
        </is>
      </c>
      <c r="G149" s="12" t="inlineStr">
        <is>
          <t>ready for manual test</t>
        </is>
      </c>
      <c r="H149" s="20" t="inlineStr">
        <is>
          <t>untested</t>
        </is>
      </c>
      <c r="I149" s="13" t="inlineStr">
        <is>
          <t>NavigationMenu playground scenario.</t>
        </is>
      </c>
      <c r="J149" s="13" t="inlineStr">
        <is>
          <t>Manual verification needed.</t>
        </is>
      </c>
      <c r="K149" s="14">
        <f>IF(AND(E149="yes",F149="yes",H149="covered"),1,IF(H149="partial",0.5,0))</f>
        <v/>
      </c>
    </row>
    <row r="150" ht="15" customHeight="1" s="24">
      <c r="A150" s="12" t="n">
        <v>142</v>
      </c>
      <c r="B150" s="13" t="inlineStr">
        <is>
          <t>Anatomy</t>
        </is>
      </c>
      <c r="C150" s="13" t="inlineStr">
        <is>
          <t>Sub</t>
        </is>
      </c>
      <c r="D150" s="13" t="inlineStr">
        <is>
          <t>appears in documented order</t>
        </is>
      </c>
      <c r="E150" s="18" t="inlineStr">
        <is>
          <t>yes</t>
        </is>
      </c>
      <c r="F150" s="19" t="inlineStr">
        <is>
          <t>no</t>
        </is>
      </c>
      <c r="G150" s="12" t="inlineStr">
        <is>
          <t>ready for manual test</t>
        </is>
      </c>
      <c r="H150" s="20" t="inlineStr">
        <is>
          <t>untested</t>
        </is>
      </c>
      <c r="I150" s="13" t="inlineStr">
        <is>
          <t>NavigationMenu playground scenario.</t>
        </is>
      </c>
      <c r="J150" s="13" t="inlineStr">
        <is>
          <t>Manual verification needed.</t>
        </is>
      </c>
      <c r="K150" s="14">
        <f>IF(AND(E150="yes",F150="yes",H150="covered"),1,IF(H150="partial",0.5,0))</f>
        <v/>
      </c>
    </row>
    <row r="151" ht="15" customHeight="1" s="24">
      <c r="A151" s="12" t="n">
        <v>143</v>
      </c>
      <c r="B151" s="13" t="inlineStr">
        <is>
          <t>Identity</t>
        </is>
      </c>
      <c r="C151" s="13" t="inlineStr">
        <is>
          <t>Sub</t>
        </is>
      </c>
      <c r="D151" s="13" t="inlineStr">
        <is>
          <t>default tag is visible in Anatomy/Inspector</t>
        </is>
      </c>
      <c r="E151" s="18" t="inlineStr">
        <is>
          <t>yes</t>
        </is>
      </c>
      <c r="F151" s="19" t="inlineStr">
        <is>
          <t>no</t>
        </is>
      </c>
      <c r="G151" s="12" t="inlineStr">
        <is>
          <t>ready for manual test</t>
        </is>
      </c>
      <c r="H151" s="20" t="inlineStr">
        <is>
          <t>untested</t>
        </is>
      </c>
      <c r="I151" s="13" t="inlineStr">
        <is>
          <t>NavigationMenu playground scenario.</t>
        </is>
      </c>
      <c r="J151" s="13" t="inlineStr">
        <is>
          <t>Manual verification needed.</t>
        </is>
      </c>
      <c r="K151" s="14">
        <f>IF(AND(E151="yes",F151="yes",H151="covered"),1,IF(H151="partial",0.5,0))</f>
        <v/>
      </c>
    </row>
    <row r="152" ht="15" customHeight="1" s="24">
      <c r="A152" s="12" t="n">
        <v>144</v>
      </c>
      <c r="B152" s="13" t="inlineStr">
        <is>
          <t>Identity</t>
        </is>
      </c>
      <c r="C152" s="13" t="inlineStr">
        <is>
          <t>Sub</t>
        </is>
      </c>
      <c r="D152" s="13" t="inlineStr">
        <is>
          <t>data-slot is present and correct</t>
        </is>
      </c>
      <c r="E152" s="18" t="inlineStr">
        <is>
          <t>yes</t>
        </is>
      </c>
      <c r="F152" s="19" t="inlineStr">
        <is>
          <t>no</t>
        </is>
      </c>
      <c r="G152" s="12" t="inlineStr">
        <is>
          <t>ready for manual test</t>
        </is>
      </c>
      <c r="H152" s="20" t="inlineStr">
        <is>
          <t>untested</t>
        </is>
      </c>
      <c r="I152" s="13" t="inlineStr">
        <is>
          <t>NavigationMenu playground scenario.</t>
        </is>
      </c>
      <c r="J152" s="13" t="inlineStr">
        <is>
          <t>Manual verification needed.</t>
        </is>
      </c>
      <c r="K152" s="14">
        <f>IF(AND(E152="yes",F152="yes",H152="covered"),1,IF(H152="partial",0.5,0))</f>
        <v/>
      </c>
    </row>
    <row r="153" ht="30" customHeight="1" s="24">
      <c r="A153" s="12" t="n">
        <v>145</v>
      </c>
      <c r="B153" s="13" t="inlineStr">
        <is>
          <t>Props</t>
        </is>
      </c>
      <c r="C153" s="13" t="inlineStr">
        <is>
          <t>Sub</t>
        </is>
      </c>
      <c r="D153" s="13" t="inlineStr">
        <is>
          <t>non-Atom native props pass through with data-prop-check marker</t>
        </is>
      </c>
      <c r="E153" s="18" t="inlineStr">
        <is>
          <t>yes</t>
        </is>
      </c>
      <c r="F153" s="19" t="inlineStr">
        <is>
          <t>no</t>
        </is>
      </c>
      <c r="G153" s="12" t="inlineStr">
        <is>
          <t>ready for manual test</t>
        </is>
      </c>
      <c r="H153" s="20" t="inlineStr">
        <is>
          <t>untested</t>
        </is>
      </c>
      <c r="I153" s="13" t="inlineStr">
        <is>
          <t>NavigationMenu playground scenario.</t>
        </is>
      </c>
      <c r="J153" s="13" t="inlineStr">
        <is>
          <t>Manual verification needed.</t>
        </is>
      </c>
      <c r="K153" s="14">
        <f>IF(AND(E153="yes",F153="yes",H153="covered"),1,IF(H153="partial",0.5,0))</f>
        <v/>
      </c>
    </row>
    <row r="154" ht="15" customHeight="1" s="24">
      <c r="A154" s="12" t="n">
        <v>146</v>
      </c>
      <c r="B154" s="13" t="inlineStr">
        <is>
          <t>Refs</t>
        </is>
      </c>
      <c r="C154" s="13" t="inlineStr">
        <is>
          <t>Sub</t>
        </is>
      </c>
      <c r="D154" s="13" t="inlineStr">
        <is>
          <t>consumer ref receives the rendered element</t>
        </is>
      </c>
      <c r="E154" s="18" t="inlineStr">
        <is>
          <t>yes</t>
        </is>
      </c>
      <c r="F154" s="19" t="inlineStr">
        <is>
          <t>no</t>
        </is>
      </c>
      <c r="G154" s="12" t="inlineStr">
        <is>
          <t>ready for manual test</t>
        </is>
      </c>
      <c r="H154" s="20" t="inlineStr">
        <is>
          <t>untested</t>
        </is>
      </c>
      <c r="I154" s="13" t="inlineStr">
        <is>
          <t>NavigationMenu playground scenario.</t>
        </is>
      </c>
      <c r="J154" s="13" t="inlineStr">
        <is>
          <t>Manual verification needed.</t>
        </is>
      </c>
      <c r="K154" s="14">
        <f>IF(AND(E154="yes",F154="yes",H154="covered"),1,IF(H154="partial",0.5,0))</f>
        <v/>
      </c>
    </row>
    <row r="155" ht="15" customHeight="1" s="24">
      <c r="A155" s="12" t="n">
        <v>147</v>
      </c>
      <c r="B155" s="13" t="inlineStr">
        <is>
          <t>State</t>
        </is>
      </c>
      <c r="C155" s="13" t="inlineStr">
        <is>
          <t>Sub</t>
        </is>
      </c>
      <c r="D155" s="13" t="inlineStr">
        <is>
          <t>value prop behavior</t>
        </is>
      </c>
      <c r="E155" s="18" t="inlineStr">
        <is>
          <t>yes</t>
        </is>
      </c>
      <c r="F155" s="19" t="inlineStr">
        <is>
          <t>no</t>
        </is>
      </c>
      <c r="G155" s="12" t="inlineStr">
        <is>
          <t>ready for manual test</t>
        </is>
      </c>
      <c r="H155" s="20" t="inlineStr">
        <is>
          <t>untested</t>
        </is>
      </c>
      <c r="I155" s="13" t="inlineStr">
        <is>
          <t>NavigationMenu playground scenario.</t>
        </is>
      </c>
      <c r="J155" s="13" t="inlineStr">
        <is>
          <t>Manual verification needed.</t>
        </is>
      </c>
      <c r="K155" s="14">
        <f>IF(AND(E155="yes",F155="yes",H155="covered"),1,IF(H155="partial",0.5,0))</f>
        <v/>
      </c>
    </row>
    <row r="156" ht="15" customHeight="1" s="24">
      <c r="A156" s="12" t="n">
        <v>148</v>
      </c>
      <c r="B156" s="13" t="inlineStr">
        <is>
          <t>State</t>
        </is>
      </c>
      <c r="C156" s="13" t="inlineStr">
        <is>
          <t>Sub</t>
        </is>
      </c>
      <c r="D156" s="13" t="inlineStr">
        <is>
          <t>defaultValue prop behavior</t>
        </is>
      </c>
      <c r="E156" s="18" t="inlineStr">
        <is>
          <t>yes</t>
        </is>
      </c>
      <c r="F156" s="19" t="inlineStr">
        <is>
          <t>no</t>
        </is>
      </c>
      <c r="G156" s="12" t="inlineStr">
        <is>
          <t>ready for manual test</t>
        </is>
      </c>
      <c r="H156" s="20" t="inlineStr">
        <is>
          <t>untested</t>
        </is>
      </c>
      <c r="I156" s="13" t="inlineStr">
        <is>
          <t>NavigationMenu playground scenario.</t>
        </is>
      </c>
      <c r="J156" s="13" t="inlineStr">
        <is>
          <t>Manual verification needed.</t>
        </is>
      </c>
      <c r="K156" s="14">
        <f>IF(AND(E156="yes",F156="yes",H156="covered"),1,IF(H156="partial",0.5,0))</f>
        <v/>
      </c>
    </row>
    <row r="157" ht="15" customHeight="1" s="24">
      <c r="A157" s="12" t="n">
        <v>149</v>
      </c>
      <c r="B157" s="13" t="inlineStr">
        <is>
          <t>State</t>
        </is>
      </c>
      <c r="C157" s="13" t="inlineStr">
        <is>
          <t>Sub</t>
        </is>
      </c>
      <c r="D157" s="13" t="inlineStr">
        <is>
          <t>onValueChange prop behavior</t>
        </is>
      </c>
      <c r="E157" s="18" t="inlineStr">
        <is>
          <t>yes</t>
        </is>
      </c>
      <c r="F157" s="19" t="inlineStr">
        <is>
          <t>no</t>
        </is>
      </c>
      <c r="G157" s="12" t="inlineStr">
        <is>
          <t>ready for manual test</t>
        </is>
      </c>
      <c r="H157" s="20" t="inlineStr">
        <is>
          <t>untested</t>
        </is>
      </c>
      <c r="I157" s="13" t="inlineStr">
        <is>
          <t>NavigationMenu playground scenario.</t>
        </is>
      </c>
      <c r="J157" s="13" t="inlineStr">
        <is>
          <t>Manual verification needed.</t>
        </is>
      </c>
      <c r="K157" s="14">
        <f>IF(AND(E157="yes",F157="yes",H157="covered"),1,IF(H157="partial",0.5,0))</f>
        <v/>
      </c>
    </row>
    <row r="158" ht="15" customHeight="1" s="24">
      <c r="A158" s="12" t="n">
        <v>150</v>
      </c>
      <c r="B158" s="13" t="inlineStr">
        <is>
          <t>ARIA</t>
        </is>
      </c>
      <c r="C158" s="13" t="inlineStr">
        <is>
          <t>Live DOM</t>
        </is>
      </c>
      <c r="D158" s="13" t="inlineStr">
        <is>
          <t>aria-controls is present at the correct time</t>
        </is>
      </c>
      <c r="E158" s="18" t="inlineStr">
        <is>
          <t>yes</t>
        </is>
      </c>
      <c r="F158" s="19" t="inlineStr">
        <is>
          <t>no</t>
        </is>
      </c>
      <c r="G158" s="12" t="inlineStr">
        <is>
          <t>ready for manual test</t>
        </is>
      </c>
      <c r="H158" s="20" t="inlineStr">
        <is>
          <t>untested</t>
        </is>
      </c>
      <c r="I158" s="13" t="inlineStr">
        <is>
          <t>NavigationMenu playground scenario.</t>
        </is>
      </c>
      <c r="J158" s="13" t="inlineStr">
        <is>
          <t>Manual verification needed.</t>
        </is>
      </c>
      <c r="K158" s="14">
        <f>IF(AND(E158="yes",F158="yes",H158="covered"),1,IF(H158="partial",0.5,0))</f>
        <v/>
      </c>
    </row>
    <row r="159" ht="15" customHeight="1" s="24">
      <c r="A159" s="12" t="n">
        <v>151</v>
      </c>
      <c r="B159" s="13" t="inlineStr">
        <is>
          <t>ARIA</t>
        </is>
      </c>
      <c r="C159" s="13" t="inlineStr">
        <is>
          <t>Live DOM</t>
        </is>
      </c>
      <c r="D159" s="13" t="inlineStr">
        <is>
          <t>aria-current is present at the correct time</t>
        </is>
      </c>
      <c r="E159" s="18" t="inlineStr">
        <is>
          <t>yes</t>
        </is>
      </c>
      <c r="F159" s="19" t="inlineStr">
        <is>
          <t>no</t>
        </is>
      </c>
      <c r="G159" s="12" t="inlineStr">
        <is>
          <t>ready for manual test</t>
        </is>
      </c>
      <c r="H159" s="20" t="inlineStr">
        <is>
          <t>untested</t>
        </is>
      </c>
      <c r="I159" s="13" t="inlineStr">
        <is>
          <t>NavigationMenu playground scenario.</t>
        </is>
      </c>
      <c r="J159" s="13" t="inlineStr">
        <is>
          <t>Manual verification needed.</t>
        </is>
      </c>
      <c r="K159" s="14">
        <f>IF(AND(E159="yes",F159="yes",H159="covered"),1,IF(H159="partial",0.5,0))</f>
        <v/>
      </c>
    </row>
    <row r="160" ht="15" customHeight="1" s="24">
      <c r="A160" s="12" t="n">
        <v>152</v>
      </c>
      <c r="B160" s="13" t="inlineStr">
        <is>
          <t>ARIA</t>
        </is>
      </c>
      <c r="C160" s="13" t="inlineStr">
        <is>
          <t>Live DOM</t>
        </is>
      </c>
      <c r="D160" s="13" t="inlineStr">
        <is>
          <t>aria-disabled is present at the correct time</t>
        </is>
      </c>
      <c r="E160" s="18" t="inlineStr">
        <is>
          <t>yes</t>
        </is>
      </c>
      <c r="F160" s="19" t="inlineStr">
        <is>
          <t>no</t>
        </is>
      </c>
      <c r="G160" s="12" t="inlineStr">
        <is>
          <t>ready for manual test</t>
        </is>
      </c>
      <c r="H160" s="20" t="inlineStr">
        <is>
          <t>untested</t>
        </is>
      </c>
      <c r="I160" s="13" t="inlineStr">
        <is>
          <t>NavigationMenu playground scenario.</t>
        </is>
      </c>
      <c r="J160" s="13" t="inlineStr">
        <is>
          <t>Manual verification needed.</t>
        </is>
      </c>
      <c r="K160" s="14">
        <f>IF(AND(E160="yes",F160="yes",H160="covered"),1,IF(H160="partial",0.5,0))</f>
        <v/>
      </c>
    </row>
    <row r="161" ht="15" customHeight="1" s="24">
      <c r="A161" s="12" t="n">
        <v>153</v>
      </c>
      <c r="B161" s="13" t="inlineStr">
        <is>
          <t>ARIA</t>
        </is>
      </c>
      <c r="C161" s="13" t="inlineStr">
        <is>
          <t>Live DOM</t>
        </is>
      </c>
      <c r="D161" s="13" t="inlineStr">
        <is>
          <t>aria-expanded is present at the correct time</t>
        </is>
      </c>
      <c r="E161" s="18" t="inlineStr">
        <is>
          <t>yes</t>
        </is>
      </c>
      <c r="F161" s="19" t="inlineStr">
        <is>
          <t>no</t>
        </is>
      </c>
      <c r="G161" s="12" t="inlineStr">
        <is>
          <t>ready for manual test</t>
        </is>
      </c>
      <c r="H161" s="20" t="inlineStr">
        <is>
          <t>untested</t>
        </is>
      </c>
      <c r="I161" s="13" t="inlineStr">
        <is>
          <t>NavigationMenu playground scenario.</t>
        </is>
      </c>
      <c r="J161" s="13" t="inlineStr">
        <is>
          <t>Manual verification needed.</t>
        </is>
      </c>
      <c r="K161" s="14">
        <f>IF(AND(E161="yes",F161="yes",H161="covered"),1,IF(H161="partial",0.5,0))</f>
        <v/>
      </c>
    </row>
    <row r="162" ht="15" customHeight="1" s="24">
      <c r="A162" s="12" t="n">
        <v>154</v>
      </c>
      <c r="B162" s="13" t="inlineStr">
        <is>
          <t>ARIA</t>
        </is>
      </c>
      <c r="C162" s="13" t="inlineStr">
        <is>
          <t>Live DOM</t>
        </is>
      </c>
      <c r="D162" s="13" t="inlineStr">
        <is>
          <t>aria-hidden is present at the correct time</t>
        </is>
      </c>
      <c r="E162" s="18" t="inlineStr">
        <is>
          <t>yes</t>
        </is>
      </c>
      <c r="F162" s="19" t="inlineStr">
        <is>
          <t>no</t>
        </is>
      </c>
      <c r="G162" s="12" t="inlineStr">
        <is>
          <t>ready for manual test</t>
        </is>
      </c>
      <c r="H162" s="20" t="inlineStr">
        <is>
          <t>untested</t>
        </is>
      </c>
      <c r="I162" s="13" t="inlineStr">
        <is>
          <t>NavigationMenu playground scenario.</t>
        </is>
      </c>
      <c r="J162" s="13" t="inlineStr">
        <is>
          <t>Manual verification needed.</t>
        </is>
      </c>
      <c r="K162" s="14">
        <f>IF(AND(E162="yes",F162="yes",H162="covered"),1,IF(H162="partial",0.5,0))</f>
        <v/>
      </c>
    </row>
    <row r="163" ht="15" customHeight="1" s="24">
      <c r="A163" s="12" t="n">
        <v>155</v>
      </c>
      <c r="B163" s="13" t="inlineStr">
        <is>
          <t>ARIA</t>
        </is>
      </c>
      <c r="C163" s="13" t="inlineStr">
        <is>
          <t>Live DOM</t>
        </is>
      </c>
      <c r="D163" s="13" t="inlineStr">
        <is>
          <t>aria-label is present at the correct time</t>
        </is>
      </c>
      <c r="E163" s="18" t="inlineStr">
        <is>
          <t>yes</t>
        </is>
      </c>
      <c r="F163" s="19" t="inlineStr">
        <is>
          <t>no</t>
        </is>
      </c>
      <c r="G163" s="12" t="inlineStr">
        <is>
          <t>ready for manual test</t>
        </is>
      </c>
      <c r="H163" s="20" t="inlineStr">
        <is>
          <t>untested</t>
        </is>
      </c>
      <c r="I163" s="13" t="inlineStr">
        <is>
          <t>NavigationMenu playground scenario.</t>
        </is>
      </c>
      <c r="J163" s="13" t="inlineStr">
        <is>
          <t>Manual verification needed.</t>
        </is>
      </c>
      <c r="K163" s="14">
        <f>IF(AND(E163="yes",F163="yes",H163="covered"),1,IF(H163="partial",0.5,0))</f>
        <v/>
      </c>
    </row>
    <row r="164" ht="15" customHeight="1" s="24">
      <c r="A164" s="12" t="n">
        <v>156</v>
      </c>
      <c r="B164" s="13" t="inlineStr">
        <is>
          <t>Data</t>
        </is>
      </c>
      <c r="C164" s="13" t="inlineStr">
        <is>
          <t>Live DOM</t>
        </is>
      </c>
      <c r="D164" s="13" t="inlineStr">
        <is>
          <t>data-active is present at the correct time</t>
        </is>
      </c>
      <c r="E164" s="18" t="inlineStr">
        <is>
          <t>yes</t>
        </is>
      </c>
      <c r="F164" s="19" t="inlineStr">
        <is>
          <t>no</t>
        </is>
      </c>
      <c r="G164" s="12" t="inlineStr">
        <is>
          <t>ready for manual test</t>
        </is>
      </c>
      <c r="H164" s="20" t="inlineStr">
        <is>
          <t>untested</t>
        </is>
      </c>
      <c r="I164" s="13" t="inlineStr">
        <is>
          <t>NavigationMenu playground scenario.</t>
        </is>
      </c>
      <c r="J164" s="13" t="inlineStr">
        <is>
          <t>Manual verification needed.</t>
        </is>
      </c>
      <c r="K164" s="14">
        <f>IF(AND(E164="yes",F164="yes",H164="covered"),1,IF(H164="partial",0.5,0))</f>
        <v/>
      </c>
    </row>
    <row r="165" ht="15" customHeight="1" s="24">
      <c r="A165" s="12" t="n">
        <v>157</v>
      </c>
      <c r="B165" s="13" t="inlineStr">
        <is>
          <t>Data</t>
        </is>
      </c>
      <c r="C165" s="13" t="inlineStr">
        <is>
          <t>Live DOM</t>
        </is>
      </c>
      <c r="D165" s="13" t="inlineStr">
        <is>
          <t>data-disabled is present at the correct time</t>
        </is>
      </c>
      <c r="E165" s="18" t="inlineStr">
        <is>
          <t>yes</t>
        </is>
      </c>
      <c r="F165" s="19" t="inlineStr">
        <is>
          <t>no</t>
        </is>
      </c>
      <c r="G165" s="12" t="inlineStr">
        <is>
          <t>ready for manual test</t>
        </is>
      </c>
      <c r="H165" s="20" t="inlineStr">
        <is>
          <t>untested</t>
        </is>
      </c>
      <c r="I165" s="13" t="inlineStr">
        <is>
          <t>NavigationMenu playground scenario.</t>
        </is>
      </c>
      <c r="J165" s="13" t="inlineStr">
        <is>
          <t>Manual verification needed.</t>
        </is>
      </c>
      <c r="K165" s="14">
        <f>IF(AND(E165="yes",F165="yes",H165="covered"),1,IF(H165="partial",0.5,0))</f>
        <v/>
      </c>
    </row>
    <row r="166" ht="15" customHeight="1" s="24">
      <c r="A166" s="12" t="n">
        <v>158</v>
      </c>
      <c r="B166" s="13" t="inlineStr">
        <is>
          <t>Data</t>
        </is>
      </c>
      <c r="C166" s="13" t="inlineStr">
        <is>
          <t>Live DOM</t>
        </is>
      </c>
      <c r="D166" s="13" t="inlineStr">
        <is>
          <t>data-motion is present at the correct time</t>
        </is>
      </c>
      <c r="E166" s="18" t="inlineStr">
        <is>
          <t>yes</t>
        </is>
      </c>
      <c r="F166" s="19" t="inlineStr">
        <is>
          <t>no</t>
        </is>
      </c>
      <c r="G166" s="12" t="inlineStr">
        <is>
          <t>ready for manual test</t>
        </is>
      </c>
      <c r="H166" s="20" t="inlineStr">
        <is>
          <t>untested</t>
        </is>
      </c>
      <c r="I166" s="13" t="inlineStr">
        <is>
          <t>NavigationMenu playground scenario.</t>
        </is>
      </c>
      <c r="J166" s="13" t="inlineStr">
        <is>
          <t>Manual verification needed.</t>
        </is>
      </c>
      <c r="K166" s="14">
        <f>IF(AND(E166="yes",F166="yes",H166="covered"),1,IF(H166="partial",0.5,0))</f>
        <v/>
      </c>
    </row>
    <row r="167" ht="15" customHeight="1" s="24">
      <c r="A167" s="12" t="n">
        <v>159</v>
      </c>
      <c r="B167" s="13" t="inlineStr">
        <is>
          <t>Data</t>
        </is>
      </c>
      <c r="C167" s="13" t="inlineStr">
        <is>
          <t>Live DOM</t>
        </is>
      </c>
      <c r="D167" s="13" t="inlineStr">
        <is>
          <t>data-orientation is present at the correct time</t>
        </is>
      </c>
      <c r="E167" s="18" t="inlineStr">
        <is>
          <t>yes</t>
        </is>
      </c>
      <c r="F167" s="19" t="inlineStr">
        <is>
          <t>no</t>
        </is>
      </c>
      <c r="G167" s="12" t="inlineStr">
        <is>
          <t>ready for manual test</t>
        </is>
      </c>
      <c r="H167" s="20" t="inlineStr">
        <is>
          <t>untested</t>
        </is>
      </c>
      <c r="I167" s="13" t="inlineStr">
        <is>
          <t>NavigationMenu playground scenario.</t>
        </is>
      </c>
      <c r="J167" s="13" t="inlineStr">
        <is>
          <t>Manual verification needed.</t>
        </is>
      </c>
      <c r="K167" s="14">
        <f>IF(AND(E167="yes",F167="yes",H167="covered"),1,IF(H167="partial",0.5,0))</f>
        <v/>
      </c>
    </row>
    <row r="168" ht="15" customHeight="1" s="24">
      <c r="A168" s="12" t="n">
        <v>160</v>
      </c>
      <c r="B168" s="13" t="inlineStr">
        <is>
          <t>Data</t>
        </is>
      </c>
      <c r="C168" s="13" t="inlineStr">
        <is>
          <t>Live DOM</t>
        </is>
      </c>
      <c r="D168" s="13" t="inlineStr">
        <is>
          <t>data-slot is present at the correct time</t>
        </is>
      </c>
      <c r="E168" s="18" t="inlineStr">
        <is>
          <t>yes</t>
        </is>
      </c>
      <c r="F168" s="19" t="inlineStr">
        <is>
          <t>no</t>
        </is>
      </c>
      <c r="G168" s="12" t="inlineStr">
        <is>
          <t>ready for manual test</t>
        </is>
      </c>
      <c r="H168" s="20" t="inlineStr">
        <is>
          <t>untested</t>
        </is>
      </c>
      <c r="I168" s="13" t="inlineStr">
        <is>
          <t>NavigationMenu playground scenario.</t>
        </is>
      </c>
      <c r="J168" s="13" t="inlineStr">
        <is>
          <t>Manual verification needed.</t>
        </is>
      </c>
      <c r="K168" s="14">
        <f>IF(AND(E168="yes",F168="yes",H168="covered"),1,IF(H168="partial",0.5,0))</f>
        <v/>
      </c>
    </row>
    <row r="169" ht="15" customHeight="1" s="24">
      <c r="A169" s="12" t="n">
        <v>161</v>
      </c>
      <c r="B169" s="13" t="inlineStr">
        <is>
          <t>Data</t>
        </is>
      </c>
      <c r="C169" s="13" t="inlineStr">
        <is>
          <t>Live DOM</t>
        </is>
      </c>
      <c r="D169" s="13" t="inlineStr">
        <is>
          <t>data-state is present at the correct time</t>
        </is>
      </c>
      <c r="E169" s="18" t="inlineStr">
        <is>
          <t>yes</t>
        </is>
      </c>
      <c r="F169" s="19" t="inlineStr">
        <is>
          <t>no</t>
        </is>
      </c>
      <c r="G169" s="12" t="inlineStr">
        <is>
          <t>ready for manual test</t>
        </is>
      </c>
      <c r="H169" s="20" t="inlineStr">
        <is>
          <t>untested</t>
        </is>
      </c>
      <c r="I169" s="13" t="inlineStr">
        <is>
          <t>NavigationMenu playground scenario.</t>
        </is>
      </c>
      <c r="J169" s="13" t="inlineStr">
        <is>
          <t>Manual verification needed.</t>
        </is>
      </c>
      <c r="K169" s="14">
        <f>IF(AND(E169="yes",F169="yes",H169="covered"),1,IF(H169="partial",0.5,0))</f>
        <v/>
      </c>
    </row>
    <row r="170" ht="15" customHeight="1" s="24">
      <c r="A170" s="12" t="n">
        <v>162</v>
      </c>
      <c r="B170" s="13" t="inlineStr">
        <is>
          <t>Composition</t>
        </is>
      </c>
      <c r="C170" s="13" t="inlineStr">
        <is>
          <t>NavigationMenu</t>
        </is>
      </c>
      <c r="D170" s="13" t="inlineStr">
        <is>
          <t>asChild preserves child content without double nesting</t>
        </is>
      </c>
      <c r="E170" s="18" t="inlineStr">
        <is>
          <t>yes</t>
        </is>
      </c>
      <c r="F170" s="19" t="inlineStr">
        <is>
          <t>no</t>
        </is>
      </c>
      <c r="G170" s="12" t="inlineStr">
        <is>
          <t>ready for manual test</t>
        </is>
      </c>
      <c r="H170" s="20" t="inlineStr">
        <is>
          <t>untested</t>
        </is>
      </c>
      <c r="I170" s="13" t="inlineStr">
        <is>
          <t>NavigationMenu playground scenario.</t>
        </is>
      </c>
      <c r="J170" s="13" t="inlineStr">
        <is>
          <t>Manual verification needed.</t>
        </is>
      </c>
      <c r="K170" s="14">
        <f>IF(AND(E170="yes",F170="yes",H170="covered"),1,IF(H170="partial",0.5,0))</f>
        <v/>
      </c>
    </row>
    <row r="171" ht="15" customHeight="1" s="24">
      <c r="A171" s="12" t="n">
        <v>163</v>
      </c>
      <c r="B171" s="13" t="inlineStr">
        <is>
          <t>Composition</t>
        </is>
      </c>
      <c r="C171" s="13" t="inlineStr">
        <is>
          <t>NavigationMenu</t>
        </is>
      </c>
      <c r="D171" s="13" t="inlineStr">
        <is>
          <t>asChild merges Atom props and consumer props</t>
        </is>
      </c>
      <c r="E171" s="18" t="inlineStr">
        <is>
          <t>yes</t>
        </is>
      </c>
      <c r="F171" s="19" t="inlineStr">
        <is>
          <t>no</t>
        </is>
      </c>
      <c r="G171" s="12" t="inlineStr">
        <is>
          <t>ready for manual test</t>
        </is>
      </c>
      <c r="H171" s="20" t="inlineStr">
        <is>
          <t>untested</t>
        </is>
      </c>
      <c r="I171" s="13" t="inlineStr">
        <is>
          <t>NavigationMenu playground scenario.</t>
        </is>
      </c>
      <c r="J171" s="13" t="inlineStr">
        <is>
          <t>Manual verification needed.</t>
        </is>
      </c>
      <c r="K171" s="14">
        <f>IF(AND(E171="yes",F171="yes",H171="covered"),1,IF(H171="partial",0.5,0))</f>
        <v/>
      </c>
    </row>
    <row r="172" ht="30" customHeight="1" s="24">
      <c r="A172" s="12" t="n">
        <v>164</v>
      </c>
      <c r="B172" s="13" t="inlineStr">
        <is>
          <t>Composition</t>
        </is>
      </c>
      <c r="C172" s="13" t="inlineStr">
        <is>
          <t>NavigationMenu</t>
        </is>
      </c>
      <c r="D172" s="13" t="inlineStr">
        <is>
          <t>asChild lets preventDefault block Atom behavior where supported</t>
        </is>
      </c>
      <c r="E172" s="18" t="inlineStr">
        <is>
          <t>yes</t>
        </is>
      </c>
      <c r="F172" s="19" t="inlineStr">
        <is>
          <t>no</t>
        </is>
      </c>
      <c r="G172" s="12" t="inlineStr">
        <is>
          <t>ready for manual test</t>
        </is>
      </c>
      <c r="H172" s="20" t="inlineStr">
        <is>
          <t>untested</t>
        </is>
      </c>
      <c r="I172" s="13" t="inlineStr">
        <is>
          <t>NavigationMenu playground scenario.</t>
        </is>
      </c>
      <c r="J172" s="13" t="inlineStr">
        <is>
          <t>Manual verification needed.</t>
        </is>
      </c>
      <c r="K172" s="14">
        <f>IF(AND(E172="yes",F172="yes",H172="covered"),1,IF(H172="partial",0.5,0))</f>
        <v/>
      </c>
    </row>
    <row r="173" ht="15" customHeight="1" s="24">
      <c r="A173" s="12" t="n">
        <v>165</v>
      </c>
      <c r="B173" s="13" t="inlineStr">
        <is>
          <t>Composition</t>
        </is>
      </c>
      <c r="C173" s="13" t="inlineStr">
        <is>
          <t>NavigationMenu</t>
        </is>
      </c>
      <c r="D173" s="13" t="inlineStr">
        <is>
          <t>render prop renders custom element</t>
        </is>
      </c>
      <c r="E173" s="18" t="inlineStr">
        <is>
          <t>yes</t>
        </is>
      </c>
      <c r="F173" s="19" t="inlineStr">
        <is>
          <t>no</t>
        </is>
      </c>
      <c r="G173" s="12" t="inlineStr">
        <is>
          <t>ready for manual test</t>
        </is>
      </c>
      <c r="H173" s="20" t="inlineStr">
        <is>
          <t>untested</t>
        </is>
      </c>
      <c r="I173" s="13" t="inlineStr">
        <is>
          <t>NavigationMenu playground scenario.</t>
        </is>
      </c>
      <c r="J173" s="13" t="inlineStr">
        <is>
          <t>Manual verification needed.</t>
        </is>
      </c>
      <c r="K173" s="14">
        <f>IF(AND(E173="yes",F173="yes",H173="covered"),1,IF(H173="partial",0.5,0))</f>
        <v/>
      </c>
    </row>
    <row r="174" ht="15" customHeight="1" s="24">
      <c r="A174" s="12" t="n">
        <v>166</v>
      </c>
      <c r="B174" s="13" t="inlineStr">
        <is>
          <t>Composition</t>
        </is>
      </c>
      <c r="C174" s="13" t="inlineStr">
        <is>
          <t>NavigationMenu</t>
        </is>
      </c>
      <c r="D174" s="13" t="inlineStr">
        <is>
          <t>render prop preserves refs and behavior props</t>
        </is>
      </c>
      <c r="E174" s="18" t="inlineStr">
        <is>
          <t>yes</t>
        </is>
      </c>
      <c r="F174" s="19" t="inlineStr">
        <is>
          <t>no</t>
        </is>
      </c>
      <c r="G174" s="12" t="inlineStr">
        <is>
          <t>ready for manual test</t>
        </is>
      </c>
      <c r="H174" s="20" t="inlineStr">
        <is>
          <t>untested</t>
        </is>
      </c>
      <c r="I174" s="13" t="inlineStr">
        <is>
          <t>NavigationMenu playground scenario.</t>
        </is>
      </c>
      <c r="J174" s="13" t="inlineStr">
        <is>
          <t>Manual verification needed.</t>
        </is>
      </c>
      <c r="K174" s="14">
        <f>IF(AND(E174="yes",F174="yes",H174="covered"),1,IF(H174="partial",0.5,0))</f>
        <v/>
      </c>
    </row>
    <row r="175" ht="15" customHeight="1" s="24">
      <c r="A175" s="12" t="n">
        <v>167</v>
      </c>
      <c r="B175" s="13" t="inlineStr">
        <is>
          <t>State</t>
        </is>
      </c>
      <c r="C175" s="13" t="inlineStr">
        <is>
          <t>Root</t>
        </is>
      </c>
      <c r="D175" s="13" t="inlineStr">
        <is>
          <t>controlled state path</t>
        </is>
      </c>
      <c r="E175" s="18" t="inlineStr">
        <is>
          <t>yes</t>
        </is>
      </c>
      <c r="F175" s="19" t="inlineStr">
        <is>
          <t>no</t>
        </is>
      </c>
      <c r="G175" s="12" t="inlineStr">
        <is>
          <t>ready for manual test</t>
        </is>
      </c>
      <c r="H175" s="20" t="inlineStr">
        <is>
          <t>untested</t>
        </is>
      </c>
      <c r="I175" s="13" t="inlineStr">
        <is>
          <t>NavigationMenu playground scenario.</t>
        </is>
      </c>
      <c r="J175" s="13" t="inlineStr">
        <is>
          <t>Manual verification needed.</t>
        </is>
      </c>
      <c r="K175" s="14">
        <f>IF(AND(E175="yes",F175="yes",H175="covered"),1,IF(H175="partial",0.5,0))</f>
        <v/>
      </c>
    </row>
    <row r="176" ht="15" customHeight="1" s="24">
      <c r="A176" s="12" t="n">
        <v>168</v>
      </c>
      <c r="B176" s="13" t="inlineStr">
        <is>
          <t>State</t>
        </is>
      </c>
      <c r="C176" s="13" t="inlineStr">
        <is>
          <t>Root</t>
        </is>
      </c>
      <c r="D176" s="13" t="inlineStr">
        <is>
          <t>uncontrolled default state path</t>
        </is>
      </c>
      <c r="E176" s="18" t="inlineStr">
        <is>
          <t>yes</t>
        </is>
      </c>
      <c r="F176" s="19" t="inlineStr">
        <is>
          <t>no</t>
        </is>
      </c>
      <c r="G176" s="12" t="inlineStr">
        <is>
          <t>ready for manual test</t>
        </is>
      </c>
      <c r="H176" s="20" t="inlineStr">
        <is>
          <t>untested</t>
        </is>
      </c>
      <c r="I176" s="13" t="inlineStr">
        <is>
          <t>NavigationMenu playground scenario.</t>
        </is>
      </c>
      <c r="J176" s="13" t="inlineStr">
        <is>
          <t>Manual verification needed.</t>
        </is>
      </c>
      <c r="K176" s="14">
        <f>IF(AND(E176="yes",F176="yes",H176="covered"),1,IF(H176="partial",0.5,0))</f>
        <v/>
      </c>
    </row>
    <row r="177" ht="15" customHeight="1" s="24">
      <c r="A177" s="12" t="n">
        <v>169</v>
      </c>
      <c r="B177" s="13" t="inlineStr">
        <is>
          <t>State</t>
        </is>
      </c>
      <c r="C177" s="13" t="inlineStr">
        <is>
          <t>Root</t>
        </is>
      </c>
      <c r="D177" s="13" t="inlineStr">
        <is>
          <t>state change callback fires once with correct value</t>
        </is>
      </c>
      <c r="E177" s="18" t="inlineStr">
        <is>
          <t>yes</t>
        </is>
      </c>
      <c r="F177" s="19" t="inlineStr">
        <is>
          <t>no</t>
        </is>
      </c>
      <c r="G177" s="12" t="inlineStr">
        <is>
          <t>ready for manual test</t>
        </is>
      </c>
      <c r="H177" s="20" t="inlineStr">
        <is>
          <t>untested</t>
        </is>
      </c>
      <c r="I177" s="13" t="inlineStr">
        <is>
          <t>NavigationMenu playground scenario.</t>
        </is>
      </c>
      <c r="J177" s="13" t="inlineStr">
        <is>
          <t>Manual verification needed.</t>
        </is>
      </c>
      <c r="K177" s="14">
        <f>IF(AND(E177="yes",F177="yes",H177="covered"),1,IF(H177="partial",0.5,0))</f>
        <v/>
      </c>
    </row>
    <row r="178" ht="15" customHeight="1" s="24">
      <c r="A178" s="12" t="n">
        <v>170</v>
      </c>
      <c r="B178" s="13" t="inlineStr">
        <is>
          <t>Interaction</t>
        </is>
      </c>
      <c r="C178" s="13" t="inlineStr">
        <is>
          <t>Trigger</t>
        </is>
      </c>
      <c r="D178" s="13" t="inlineStr">
        <is>
          <t>mouse click or pointer activation</t>
        </is>
      </c>
      <c r="E178" s="18" t="inlineStr">
        <is>
          <t>yes</t>
        </is>
      </c>
      <c r="F178" s="19" t="inlineStr">
        <is>
          <t>no</t>
        </is>
      </c>
      <c r="G178" s="12" t="inlineStr">
        <is>
          <t>ready for manual test</t>
        </is>
      </c>
      <c r="H178" s="20" t="inlineStr">
        <is>
          <t>untested</t>
        </is>
      </c>
      <c r="I178" s="13" t="inlineStr">
        <is>
          <t>NavigationMenu playground scenario.</t>
        </is>
      </c>
      <c r="J178" s="13" t="inlineStr">
        <is>
          <t>Manual verification needed.</t>
        </is>
      </c>
      <c r="K178" s="14">
        <f>IF(AND(E178="yes",F178="yes",H178="covered"),1,IF(H178="partial",0.5,0))</f>
        <v/>
      </c>
    </row>
    <row r="179" ht="15" customHeight="1" s="24">
      <c r="A179" s="12" t="n">
        <v>171</v>
      </c>
      <c r="B179" s="13" t="inlineStr">
        <is>
          <t>Interaction</t>
        </is>
      </c>
      <c r="C179" s="13" t="inlineStr">
        <is>
          <t>Trigger</t>
        </is>
      </c>
      <c r="D179" s="13" t="inlineStr">
        <is>
          <t>Enter key activation</t>
        </is>
      </c>
      <c r="E179" s="18" t="inlineStr">
        <is>
          <t>yes</t>
        </is>
      </c>
      <c r="F179" s="19" t="inlineStr">
        <is>
          <t>no</t>
        </is>
      </c>
      <c r="G179" s="12" t="inlineStr">
        <is>
          <t>ready for manual test</t>
        </is>
      </c>
      <c r="H179" s="20" t="inlineStr">
        <is>
          <t>untested</t>
        </is>
      </c>
      <c r="I179" s="13" t="inlineStr">
        <is>
          <t>NavigationMenu playground scenario.</t>
        </is>
      </c>
      <c r="J179" s="13" t="inlineStr">
        <is>
          <t>Manual verification needed.</t>
        </is>
      </c>
      <c r="K179" s="14">
        <f>IF(AND(E179="yes",F179="yes",H179="covered"),1,IF(H179="partial",0.5,0))</f>
        <v/>
      </c>
    </row>
    <row r="180" ht="15" customHeight="1" s="24">
      <c r="A180" s="12" t="n">
        <v>172</v>
      </c>
      <c r="B180" s="13" t="inlineStr">
        <is>
          <t>Interaction</t>
        </is>
      </c>
      <c r="C180" s="13" t="inlineStr">
        <is>
          <t>Trigger</t>
        </is>
      </c>
      <c r="D180" s="13" t="inlineStr">
        <is>
          <t>Space key activation</t>
        </is>
      </c>
      <c r="E180" s="18" t="inlineStr">
        <is>
          <t>yes</t>
        </is>
      </c>
      <c r="F180" s="19" t="inlineStr">
        <is>
          <t>no</t>
        </is>
      </c>
      <c r="G180" s="12" t="inlineStr">
        <is>
          <t>ready for manual test</t>
        </is>
      </c>
      <c r="H180" s="20" t="inlineStr">
        <is>
          <t>untested</t>
        </is>
      </c>
      <c r="I180" s="13" t="inlineStr">
        <is>
          <t>NavigationMenu playground scenario.</t>
        </is>
      </c>
      <c r="J180" s="13" t="inlineStr">
        <is>
          <t>Manual verification needed.</t>
        </is>
      </c>
      <c r="K180" s="14">
        <f>IF(AND(E180="yes",F180="yes",H180="covered"),1,IF(H180="partial",0.5,0))</f>
        <v/>
      </c>
    </row>
    <row r="181" ht="15" customHeight="1" s="24">
      <c r="A181" s="12" t="n">
        <v>173</v>
      </c>
      <c r="B181" s="13" t="inlineStr">
        <is>
          <t>Interaction</t>
        </is>
      </c>
      <c r="C181" s="13" t="inlineStr">
        <is>
          <t>Trigger</t>
        </is>
      </c>
      <c r="D181" s="13" t="inlineStr">
        <is>
          <t>disabled trigger blocks pointer and keyboard</t>
        </is>
      </c>
      <c r="E181" s="18" t="inlineStr">
        <is>
          <t>yes</t>
        </is>
      </c>
      <c r="F181" s="19" t="inlineStr">
        <is>
          <t>no</t>
        </is>
      </c>
      <c r="G181" s="12" t="inlineStr">
        <is>
          <t>ready for manual test</t>
        </is>
      </c>
      <c r="H181" s="20" t="inlineStr">
        <is>
          <t>untested</t>
        </is>
      </c>
      <c r="I181" s="13" t="inlineStr">
        <is>
          <t>NavigationMenu playground scenario.</t>
        </is>
      </c>
      <c r="J181" s="13" t="inlineStr">
        <is>
          <t>Manual verification needed.</t>
        </is>
      </c>
      <c r="K181" s="14">
        <f>IF(AND(E181="yes",F181="yes",H181="covered"),1,IF(H181="partial",0.5,0))</f>
        <v/>
      </c>
    </row>
    <row r="182" ht="15" customHeight="1" s="24">
      <c r="A182" s="12" t="n">
        <v>174</v>
      </c>
      <c r="B182" s="13" t="inlineStr">
        <is>
          <t>Focus</t>
        </is>
      </c>
      <c r="C182" s="13" t="inlineStr">
        <is>
          <t>Trigger</t>
        </is>
      </c>
      <c r="D182" s="13" t="inlineStr">
        <is>
          <t>focus ring and focus restoration are correct</t>
        </is>
      </c>
      <c r="E182" s="18" t="inlineStr">
        <is>
          <t>yes</t>
        </is>
      </c>
      <c r="F182" s="19" t="inlineStr">
        <is>
          <t>no</t>
        </is>
      </c>
      <c r="G182" s="12" t="inlineStr">
        <is>
          <t>ready for manual test</t>
        </is>
      </c>
      <c r="H182" s="20" t="inlineStr">
        <is>
          <t>untested</t>
        </is>
      </c>
      <c r="I182" s="13" t="inlineStr">
        <is>
          <t>NavigationMenu playground scenario.</t>
        </is>
      </c>
      <c r="J182" s="13" t="inlineStr">
        <is>
          <t>Manual verification needed.</t>
        </is>
      </c>
      <c r="K182" s="14">
        <f>IF(AND(E182="yes",F182="yes",H182="covered"),1,IF(H182="partial",0.5,0))</f>
        <v/>
      </c>
    </row>
    <row r="183" ht="15" customHeight="1" s="24">
      <c r="A183" s="12" t="n">
        <v>175</v>
      </c>
      <c r="B183" s="13" t="inlineStr">
        <is>
          <t>Keyboard</t>
        </is>
      </c>
      <c r="C183" s="13" t="inlineStr">
        <is>
          <t>NavigationMenu</t>
        </is>
      </c>
      <c r="D183" s="13" t="inlineStr">
        <is>
          <t>Arrow key navigation follows documented orientation</t>
        </is>
      </c>
      <c r="E183" s="18" t="inlineStr">
        <is>
          <t>yes</t>
        </is>
      </c>
      <c r="F183" s="19" t="inlineStr">
        <is>
          <t>no</t>
        </is>
      </c>
      <c r="G183" s="12" t="inlineStr">
        <is>
          <t>ready for manual test</t>
        </is>
      </c>
      <c r="H183" s="20" t="inlineStr">
        <is>
          <t>untested</t>
        </is>
      </c>
      <c r="I183" s="13" t="inlineStr">
        <is>
          <t>NavigationMenu playground scenario.</t>
        </is>
      </c>
      <c r="J183" s="13" t="inlineStr">
        <is>
          <t>Manual verification needed.</t>
        </is>
      </c>
      <c r="K183" s="14">
        <f>IF(AND(E183="yes",F183="yes",H183="covered"),1,IF(H183="partial",0.5,0))</f>
        <v/>
      </c>
    </row>
    <row r="184" ht="15" customHeight="1" s="24">
      <c r="A184" s="12" t="n">
        <v>176</v>
      </c>
      <c r="B184" s="13" t="inlineStr">
        <is>
          <t>Keyboard</t>
        </is>
      </c>
      <c r="C184" s="13" t="inlineStr">
        <is>
          <t>NavigationMenu</t>
        </is>
      </c>
      <c r="D184" s="13" t="inlineStr">
        <is>
          <t>Home and End navigation where supported</t>
        </is>
      </c>
      <c r="E184" s="18" t="inlineStr">
        <is>
          <t>yes</t>
        </is>
      </c>
      <c r="F184" s="19" t="inlineStr">
        <is>
          <t>no</t>
        </is>
      </c>
      <c r="G184" s="12" t="inlineStr">
        <is>
          <t>ready for manual test</t>
        </is>
      </c>
      <c r="H184" s="20" t="inlineStr">
        <is>
          <t>untested</t>
        </is>
      </c>
      <c r="I184" s="13" t="inlineStr">
        <is>
          <t>NavigationMenu playground scenario.</t>
        </is>
      </c>
      <c r="J184" s="13" t="inlineStr">
        <is>
          <t>Manual verification needed.</t>
        </is>
      </c>
      <c r="K184" s="14">
        <f>IF(AND(E184="yes",F184="yes",H184="covered"),1,IF(H184="partial",0.5,0))</f>
        <v/>
      </c>
    </row>
    <row r="185" ht="15" customHeight="1" s="24">
      <c r="A185" s="12" t="n">
        <v>177</v>
      </c>
      <c r="B185" s="13" t="inlineStr">
        <is>
          <t>Keyboard</t>
        </is>
      </c>
      <c r="C185" s="13" t="inlineStr">
        <is>
          <t>NavigationMenu</t>
        </is>
      </c>
      <c r="D185" s="13" t="inlineStr">
        <is>
          <t>disabled items are skipped or exposed according to pattern</t>
        </is>
      </c>
      <c r="E185" s="18" t="inlineStr">
        <is>
          <t>yes</t>
        </is>
      </c>
      <c r="F185" s="19" t="inlineStr">
        <is>
          <t>no</t>
        </is>
      </c>
      <c r="G185" s="12" t="inlineStr">
        <is>
          <t>ready for manual test</t>
        </is>
      </c>
      <c r="H185" s="20" t="inlineStr">
        <is>
          <t>untested</t>
        </is>
      </c>
      <c r="I185" s="13" t="inlineStr">
        <is>
          <t>NavigationMenu playground scenario.</t>
        </is>
      </c>
      <c r="J185" s="13" t="inlineStr">
        <is>
          <t>Manual verification needed.</t>
        </is>
      </c>
      <c r="K185" s="14">
        <f>IF(AND(E185="yes",F185="yes",H185="covered"),1,IF(H185="partial",0.5,0))</f>
        <v/>
      </c>
    </row>
    <row r="186" ht="15" customHeight="1" s="24">
      <c r="A186" s="12" t="n">
        <v>178</v>
      </c>
      <c r="B186" s="13" t="inlineStr">
        <is>
          <t>Keyboard</t>
        </is>
      </c>
      <c r="C186" s="13" t="inlineStr">
        <is>
          <t>NavigationMenu</t>
        </is>
      </c>
      <c r="D186" s="13" t="inlineStr">
        <is>
          <t>typeahead/search behavior where supported</t>
        </is>
      </c>
      <c r="E186" s="18" t="inlineStr">
        <is>
          <t>yes</t>
        </is>
      </c>
      <c r="F186" s="19" t="inlineStr">
        <is>
          <t>no</t>
        </is>
      </c>
      <c r="G186" s="12" t="inlineStr">
        <is>
          <t>ready for manual test</t>
        </is>
      </c>
      <c r="H186" s="20" t="inlineStr">
        <is>
          <t>untested</t>
        </is>
      </c>
      <c r="I186" s="13" t="inlineStr">
        <is>
          <t>NavigationMenu playground scenario.</t>
        </is>
      </c>
      <c r="J186" s="13" t="inlineStr">
        <is>
          <t>Manual verification needed.</t>
        </is>
      </c>
      <c r="K186" s="14">
        <f>IF(AND(E186="yes",F186="yes",H186="covered"),1,IF(H186="partial",0.5,0))</f>
        <v/>
      </c>
    </row>
    <row r="187" ht="15" customHeight="1" s="24">
      <c r="A187" s="12" t="n">
        <v>179</v>
      </c>
      <c r="B187" s="13" t="inlineStr">
        <is>
          <t>Focus</t>
        </is>
      </c>
      <c r="C187" s="13" t="inlineStr">
        <is>
          <t>NavigationMenu</t>
        </is>
      </c>
      <c r="D187" s="13" t="inlineStr">
        <is>
          <t>roving focus or active descendant state is visible</t>
        </is>
      </c>
      <c r="E187" s="18" t="inlineStr">
        <is>
          <t>yes</t>
        </is>
      </c>
      <c r="F187" s="19" t="inlineStr">
        <is>
          <t>no</t>
        </is>
      </c>
      <c r="G187" s="12" t="inlineStr">
        <is>
          <t>ready for manual test</t>
        </is>
      </c>
      <c r="H187" s="20" t="inlineStr">
        <is>
          <t>untested</t>
        </is>
      </c>
      <c r="I187" s="13" t="inlineStr">
        <is>
          <t>NavigationMenu playground scenario.</t>
        </is>
      </c>
      <c r="J187" s="13" t="inlineStr">
        <is>
          <t>Manual verification needed.</t>
        </is>
      </c>
      <c r="K187" s="14">
        <f>IF(AND(E187="yes",F187="yes",H187="covered"),1,IF(H187="partial",0.5,0))</f>
        <v/>
      </c>
    </row>
    <row r="188" ht="15" customHeight="1" s="24">
      <c r="A188" s="12" t="n">
        <v>180</v>
      </c>
      <c r="B188" s="13" t="inlineStr">
        <is>
          <t>Dismiss</t>
        </is>
      </c>
      <c r="C188" s="13" t="inlineStr">
        <is>
          <t>NavigationMenu</t>
        </is>
      </c>
      <c r="D188" s="13" t="inlineStr">
        <is>
          <t>Escape closes only the topmost active layer</t>
        </is>
      </c>
      <c r="E188" s="18" t="inlineStr">
        <is>
          <t>yes</t>
        </is>
      </c>
      <c r="F188" s="19" t="inlineStr">
        <is>
          <t>no</t>
        </is>
      </c>
      <c r="G188" s="12" t="inlineStr">
        <is>
          <t>ready for manual test</t>
        </is>
      </c>
      <c r="H188" s="20" t="inlineStr">
        <is>
          <t>untested</t>
        </is>
      </c>
      <c r="I188" s="13" t="inlineStr">
        <is>
          <t>NavigationMenu playground scenario.</t>
        </is>
      </c>
      <c r="J188" s="13" t="inlineStr">
        <is>
          <t>Manual verification needed.</t>
        </is>
      </c>
      <c r="K188" s="14">
        <f>IF(AND(E188="yes",F188="yes",H188="covered"),1,IF(H188="partial",0.5,0))</f>
        <v/>
      </c>
    </row>
    <row r="189" ht="15" customHeight="1" s="24">
      <c r="A189" s="12" t="n">
        <v>181</v>
      </c>
      <c r="B189" s="13" t="inlineStr">
        <is>
          <t>Dismiss</t>
        </is>
      </c>
      <c r="C189" s="13" t="inlineStr">
        <is>
          <t>NavigationMenu</t>
        </is>
      </c>
      <c r="D189" s="13" t="inlineStr">
        <is>
          <t>outside click/interact closes when enabled</t>
        </is>
      </c>
      <c r="E189" s="18" t="inlineStr">
        <is>
          <t>yes</t>
        </is>
      </c>
      <c r="F189" s="19" t="inlineStr">
        <is>
          <t>no</t>
        </is>
      </c>
      <c r="G189" s="12" t="inlineStr">
        <is>
          <t>ready for manual test</t>
        </is>
      </c>
      <c r="H189" s="20" t="inlineStr">
        <is>
          <t>untested</t>
        </is>
      </c>
      <c r="I189" s="13" t="inlineStr">
        <is>
          <t>NavigationMenu playground scenario.</t>
        </is>
      </c>
      <c r="J189" s="13" t="inlineStr">
        <is>
          <t>Manual verification needed.</t>
        </is>
      </c>
      <c r="K189" s="14">
        <f>IF(AND(E189="yes",F189="yes",H189="covered"),1,IF(H189="partial",0.5,0))</f>
        <v/>
      </c>
    </row>
    <row r="190" ht="15" customHeight="1" s="24">
      <c r="A190" s="12" t="n">
        <v>182</v>
      </c>
      <c r="B190" s="13" t="inlineStr">
        <is>
          <t>Dismiss</t>
        </is>
      </c>
      <c r="C190" s="13" t="inlineStr">
        <is>
          <t>NavigationMenu</t>
        </is>
      </c>
      <c r="D190" s="13" t="inlineStr">
        <is>
          <t>outside click/interact is blocked when disabled</t>
        </is>
      </c>
      <c r="E190" s="18" t="inlineStr">
        <is>
          <t>yes</t>
        </is>
      </c>
      <c r="F190" s="19" t="inlineStr">
        <is>
          <t>no</t>
        </is>
      </c>
      <c r="G190" s="12" t="inlineStr">
        <is>
          <t>ready for manual test</t>
        </is>
      </c>
      <c r="H190" s="20" t="inlineStr">
        <is>
          <t>untested</t>
        </is>
      </c>
      <c r="I190" s="13" t="inlineStr">
        <is>
          <t>NavigationMenu playground scenario.</t>
        </is>
      </c>
      <c r="J190" s="13" t="inlineStr">
        <is>
          <t>Manual verification needed.</t>
        </is>
      </c>
      <c r="K190" s="14">
        <f>IF(AND(E190="yes",F190="yes",H190="covered"),1,IF(H190="partial",0.5,0))</f>
        <v/>
      </c>
    </row>
    <row r="191" ht="15" customHeight="1" s="24">
      <c r="A191" s="12" t="n">
        <v>183</v>
      </c>
      <c r="B191" s="13" t="inlineStr">
        <is>
          <t>Focus</t>
        </is>
      </c>
      <c r="C191" s="13" t="inlineStr">
        <is>
          <t>NavigationMenu</t>
        </is>
      </c>
      <c r="D191" s="13" t="inlineStr">
        <is>
          <t>focus returns to the correct trigger/anchor after close</t>
        </is>
      </c>
      <c r="E191" s="18" t="inlineStr">
        <is>
          <t>yes</t>
        </is>
      </c>
      <c r="F191" s="19" t="inlineStr">
        <is>
          <t>no</t>
        </is>
      </c>
      <c r="G191" s="12" t="inlineStr">
        <is>
          <t>ready for manual test</t>
        </is>
      </c>
      <c r="H191" s="20" t="inlineStr">
        <is>
          <t>untested</t>
        </is>
      </c>
      <c r="I191" s="13" t="inlineStr">
        <is>
          <t>NavigationMenu playground scenario.</t>
        </is>
      </c>
      <c r="J191" s="13" t="inlineStr">
        <is>
          <t>Manual verification needed.</t>
        </is>
      </c>
      <c r="K191" s="14">
        <f>IF(AND(E191="yes",F191="yes",H191="covered"),1,IF(H191="partial",0.5,0))</f>
        <v/>
      </c>
    </row>
    <row r="192" ht="15" customHeight="1" s="24">
      <c r="A192" s="12" t="n">
        <v>184</v>
      </c>
      <c r="B192" s="13" t="inlineStr">
        <is>
          <t>Focus</t>
        </is>
      </c>
      <c r="C192" s="13" t="inlineStr">
        <is>
          <t>NavigationMenu</t>
        </is>
      </c>
      <c r="D192" s="13" t="inlineStr">
        <is>
          <t>nested overlays keep focus and Escape order correct</t>
        </is>
      </c>
      <c r="E192" s="18" t="inlineStr">
        <is>
          <t>yes</t>
        </is>
      </c>
      <c r="F192" s="19" t="inlineStr">
        <is>
          <t>no</t>
        </is>
      </c>
      <c r="G192" s="12" t="inlineStr">
        <is>
          <t>ready for manual test</t>
        </is>
      </c>
      <c r="H192" s="20" t="inlineStr">
        <is>
          <t>untested</t>
        </is>
      </c>
      <c r="I192" s="13" t="inlineStr">
        <is>
          <t>NavigationMenu playground scenario.</t>
        </is>
      </c>
      <c r="J192" s="13" t="inlineStr">
        <is>
          <t>Manual verification needed.</t>
        </is>
      </c>
      <c r="K192" s="14">
        <f>IF(AND(E192="yes",F192="yes",H192="covered"),1,IF(H192="partial",0.5,0))</f>
        <v/>
      </c>
    </row>
    <row r="193" ht="15" customHeight="1" s="24">
      <c r="A193" s="12" t="n">
        <v>185</v>
      </c>
      <c r="B193" s="13" t="inlineStr">
        <is>
          <t>Mobile</t>
        </is>
      </c>
      <c r="C193" s="13" t="inlineStr">
        <is>
          <t>NavigationMenu</t>
        </is>
      </c>
      <c r="D193" s="13" t="inlineStr">
        <is>
          <t>mobile viewport/touch behavior</t>
        </is>
      </c>
      <c r="E193" s="18" t="inlineStr">
        <is>
          <t>yes</t>
        </is>
      </c>
      <c r="F193" s="19" t="inlineStr">
        <is>
          <t>no</t>
        </is>
      </c>
      <c r="G193" s="12" t="inlineStr">
        <is>
          <t>ready for manual test</t>
        </is>
      </c>
      <c r="H193" s="20" t="inlineStr">
        <is>
          <t>untested</t>
        </is>
      </c>
      <c r="I193" s="13" t="inlineStr">
        <is>
          <t>NavigationMenu playground scenario.</t>
        </is>
      </c>
      <c r="J193" s="13" t="inlineStr">
        <is>
          <t>Manual verification needed.</t>
        </is>
      </c>
      <c r="K193" s="14">
        <f>IF(AND(E193="yes",F193="yes",H193="covered"),1,IF(H193="partial",0.5,0))</f>
        <v/>
      </c>
    </row>
    <row r="194" ht="15" customHeight="1" s="24">
      <c r="A194" s="12" t="n">
        <v>186</v>
      </c>
      <c r="B194" s="13" t="inlineStr">
        <is>
          <t>Menu</t>
        </is>
      </c>
      <c r="C194" s="13" t="inlineStr">
        <is>
          <t>NavigationMenu</t>
        </is>
      </c>
      <c r="D194" s="13" t="inlineStr">
        <is>
          <t>checkbox item checked/unchecked state</t>
        </is>
      </c>
      <c r="E194" s="18" t="inlineStr">
        <is>
          <t>yes</t>
        </is>
      </c>
      <c r="F194" s="19" t="inlineStr">
        <is>
          <t>no</t>
        </is>
      </c>
      <c r="G194" s="12" t="inlineStr">
        <is>
          <t>ready for manual test</t>
        </is>
      </c>
      <c r="H194" s="20" t="inlineStr">
        <is>
          <t>untested</t>
        </is>
      </c>
      <c r="I194" s="13" t="inlineStr">
        <is>
          <t>NavigationMenu playground scenario.</t>
        </is>
      </c>
      <c r="J194" s="13" t="inlineStr">
        <is>
          <t>Manual verification needed.</t>
        </is>
      </c>
      <c r="K194" s="14">
        <f>IF(AND(E194="yes",F194="yes",H194="covered"),1,IF(H194="partial",0.5,0))</f>
        <v/>
      </c>
    </row>
    <row r="195" ht="15" customHeight="1" s="24">
      <c r="A195" s="12" t="n">
        <v>187</v>
      </c>
      <c r="B195" s="13" t="inlineStr">
        <is>
          <t>Menu</t>
        </is>
      </c>
      <c r="C195" s="13" t="inlineStr">
        <is>
          <t>NavigationMenu</t>
        </is>
      </c>
      <c r="D195" s="13" t="inlineStr">
        <is>
          <t>radio group item exclusivity</t>
        </is>
      </c>
      <c r="E195" s="18" t="inlineStr">
        <is>
          <t>yes</t>
        </is>
      </c>
      <c r="F195" s="19" t="inlineStr">
        <is>
          <t>no</t>
        </is>
      </c>
      <c r="G195" s="12" t="inlineStr">
        <is>
          <t>ready for manual test</t>
        </is>
      </c>
      <c r="H195" s="20" t="inlineStr">
        <is>
          <t>untested</t>
        </is>
      </c>
      <c r="I195" s="13" t="inlineStr">
        <is>
          <t>NavigationMenu playground scenario.</t>
        </is>
      </c>
      <c r="J195" s="13" t="inlineStr">
        <is>
          <t>Manual verification needed.</t>
        </is>
      </c>
      <c r="K195" s="14">
        <f>IF(AND(E195="yes",F195="yes",H195="covered"),1,IF(H195="partial",0.5,0))</f>
        <v/>
      </c>
    </row>
    <row r="196" ht="15" customHeight="1" s="24">
      <c r="A196" s="12" t="n">
        <v>188</v>
      </c>
      <c r="B196" s="13" t="inlineStr">
        <is>
          <t>Menu</t>
        </is>
      </c>
      <c r="C196" s="13" t="inlineStr">
        <is>
          <t>NavigationMenu</t>
        </is>
      </c>
      <c r="D196" s="13" t="inlineStr">
        <is>
          <t>submenu open, close, keyboard, and nested dismissal</t>
        </is>
      </c>
      <c r="E196" s="18" t="inlineStr">
        <is>
          <t>yes</t>
        </is>
      </c>
      <c r="F196" s="19" t="inlineStr">
        <is>
          <t>no</t>
        </is>
      </c>
      <c r="G196" s="12" t="inlineStr">
        <is>
          <t>ready for manual test</t>
        </is>
      </c>
      <c r="H196" s="20" t="inlineStr">
        <is>
          <t>untested</t>
        </is>
      </c>
      <c r="I196" s="13" t="inlineStr">
        <is>
          <t>NavigationMenu playground scenario.</t>
        </is>
      </c>
      <c r="J196" s="13" t="inlineStr">
        <is>
          <t>Manual verification needed.</t>
        </is>
      </c>
      <c r="K196" s="14">
        <f>IF(AND(E196="yes",F196="yes",H196="covered"),1,IF(H196="partial",0.5,0))</f>
        <v/>
      </c>
    </row>
    <row r="197" ht="15" customHeight="1" s="24">
      <c r="A197" s="12" t="n">
        <v>189</v>
      </c>
      <c r="B197" s="13" t="inlineStr">
        <is>
          <t>Menu</t>
        </is>
      </c>
      <c r="C197" s="13" t="inlineStr">
        <is>
          <t>NavigationMenu</t>
        </is>
      </c>
      <c r="D197" s="13" t="inlineStr">
        <is>
          <t>selection closes parent menu when expected</t>
        </is>
      </c>
      <c r="E197" s="18" t="inlineStr">
        <is>
          <t>yes</t>
        </is>
      </c>
      <c r="F197" s="19" t="inlineStr">
        <is>
          <t>no</t>
        </is>
      </c>
      <c r="G197" s="12" t="inlineStr">
        <is>
          <t>ready for manual test</t>
        </is>
      </c>
      <c r="H197" s="20" t="inlineStr">
        <is>
          <t>untested</t>
        </is>
      </c>
      <c r="I197" s="13" t="inlineStr">
        <is>
          <t>NavigationMenu playground scenario.</t>
        </is>
      </c>
      <c r="J197" s="13" t="inlineStr">
        <is>
          <t>Manual verification needed.</t>
        </is>
      </c>
      <c r="K197" s="14">
        <f>IF(AND(E197="yes",F197="yes",H197="covered"),1,IF(H197="partial",0.5,0))</f>
        <v/>
      </c>
    </row>
    <row r="198" ht="15" customHeight="1" s="24">
      <c r="A198" s="12" t="n">
        <v>190</v>
      </c>
      <c r="B198" s="13" t="inlineStr">
        <is>
          <t>Menu</t>
        </is>
      </c>
      <c r="C198" s="13" t="inlineStr">
        <is>
          <t>NavigationMenu</t>
        </is>
      </c>
      <c r="D198" s="13" t="inlineStr">
        <is>
          <t>mouse hover does not reset highlight unexpectedly</t>
        </is>
      </c>
      <c r="E198" s="18" t="inlineStr">
        <is>
          <t>yes</t>
        </is>
      </c>
      <c r="F198" s="19" t="inlineStr">
        <is>
          <t>no</t>
        </is>
      </c>
      <c r="G198" s="12" t="inlineStr">
        <is>
          <t>ready for manual test</t>
        </is>
      </c>
      <c r="H198" s="20" t="inlineStr">
        <is>
          <t>untested</t>
        </is>
      </c>
      <c r="I198" s="13" t="inlineStr">
        <is>
          <t>NavigationMenu playground scenario.</t>
        </is>
      </c>
      <c r="J198" s="13" t="inlineStr">
        <is>
          <t>Manual verification needed.</t>
        </is>
      </c>
      <c r="K198" s="14">
        <f>IF(AND(E198="yes",F198="yes",H198="covered"),1,IF(H198="partial",0.5,0))</f>
        <v/>
      </c>
    </row>
    <row r="199" ht="15" customHeight="1" s="24">
      <c r="A199" s="12" t="n">
        <v>191</v>
      </c>
      <c r="B199" s="13" t="inlineStr">
        <is>
          <t>Portal</t>
        </is>
      </c>
      <c r="C199" s="13" t="inlineStr">
        <is>
          <t>NavigationMenu</t>
        </is>
      </c>
      <c r="D199" s="13" t="inlineStr">
        <is>
          <t>portal renders in body by default</t>
        </is>
      </c>
      <c r="E199" s="18" t="inlineStr">
        <is>
          <t>yes</t>
        </is>
      </c>
      <c r="F199" s="19" t="inlineStr">
        <is>
          <t>no</t>
        </is>
      </c>
      <c r="G199" s="12" t="inlineStr">
        <is>
          <t>ready for manual test</t>
        </is>
      </c>
      <c r="H199" s="20" t="inlineStr">
        <is>
          <t>untested</t>
        </is>
      </c>
      <c r="I199" s="13" t="inlineStr">
        <is>
          <t>NavigationMenu playground scenario.</t>
        </is>
      </c>
      <c r="J199" s="13" t="inlineStr">
        <is>
          <t>Manual verification needed.</t>
        </is>
      </c>
      <c r="K199" s="14">
        <f>IF(AND(E199="yes",F199="yes",H199="covered"),1,IF(H199="partial",0.5,0))</f>
        <v/>
      </c>
    </row>
    <row r="200" ht="15" customHeight="1" s="24">
      <c r="A200" s="12" t="n">
        <v>192</v>
      </c>
      <c r="B200" s="13" t="inlineStr">
        <is>
          <t>Portal</t>
        </is>
      </c>
      <c r="C200" s="13" t="inlineStr">
        <is>
          <t>NavigationMenu</t>
        </is>
      </c>
      <c r="D200" s="13" t="inlineStr">
        <is>
          <t>custom/disabled portal path works where supported</t>
        </is>
      </c>
      <c r="E200" s="18" t="inlineStr">
        <is>
          <t>yes</t>
        </is>
      </c>
      <c r="F200" s="19" t="inlineStr">
        <is>
          <t>no</t>
        </is>
      </c>
      <c r="G200" s="12" t="inlineStr">
        <is>
          <t>ready for manual test</t>
        </is>
      </c>
      <c r="H200" s="20" t="inlineStr">
        <is>
          <t>untested</t>
        </is>
      </c>
      <c r="I200" s="13" t="inlineStr">
        <is>
          <t>NavigationMenu playground scenario.</t>
        </is>
      </c>
      <c r="J200" s="13" t="inlineStr">
        <is>
          <t>Manual verification needed.</t>
        </is>
      </c>
      <c r="K200" s="14">
        <f>IF(AND(E200="yes",F200="yes",H200="covered"),1,IF(H200="partial",0.5,0))</f>
        <v/>
      </c>
    </row>
    <row r="201" ht="30" customHeight="1" s="24">
      <c r="A201" s="12" t="n">
        <v>193</v>
      </c>
      <c r="B201" s="13" t="inlineStr">
        <is>
          <t>Direction</t>
        </is>
      </c>
      <c r="C201" s="13" t="inlineStr">
        <is>
          <t>Root</t>
        </is>
      </c>
      <c r="D201" s="13" t="inlineStr">
        <is>
          <t>reads Direction.Provider context before defaulting to ltr</t>
        </is>
      </c>
      <c r="E201" s="21" t="inlineStr">
        <is>
          <t>no</t>
        </is>
      </c>
      <c r="F201" s="19" t="inlineStr">
        <is>
          <t>no</t>
        </is>
      </c>
      <c r="G201" s="12" t="inlineStr">
        <is>
          <t>missing</t>
        </is>
      </c>
      <c r="H201" s="21" t="inlineStr">
        <is>
          <t>missing</t>
        </is>
      </c>
      <c r="I201" s="13" t="n"/>
      <c r="J201" s="13" t="inlineStr">
        <is>
          <t>NavigationMenu currently exposes a local dir prop only.</t>
        </is>
      </c>
      <c r="K201" s="14">
        <f>IF(AND(E201="yes",F201="yes",H201="covered"),1,IF(H201="partial",0.5,0))</f>
        <v/>
      </c>
    </row>
    <row r="202" ht="30" customHeight="1" s="24">
      <c r="A202" s="12" t="n">
        <v>194</v>
      </c>
      <c r="B202" s="13" t="inlineStr">
        <is>
          <t>Direction</t>
        </is>
      </c>
      <c r="C202" s="13" t="inlineStr">
        <is>
          <t>Root</t>
        </is>
      </c>
      <c r="D202" s="13" t="inlineStr">
        <is>
          <t>direct dir prop overrides provider direction</t>
        </is>
      </c>
      <c r="E202" s="18" t="inlineStr">
        <is>
          <t>yes</t>
        </is>
      </c>
      <c r="F202" s="19" t="inlineStr">
        <is>
          <t>no</t>
        </is>
      </c>
      <c r="G202" s="12" t="inlineStr">
        <is>
          <t>ready for manual test</t>
        </is>
      </c>
      <c r="H202" s="20" t="inlineStr">
        <is>
          <t>untested</t>
        </is>
      </c>
      <c r="I202" s="13" t="inlineStr">
        <is>
          <t>Direction-sensitive behavior is supported by source; manual verification needed.</t>
        </is>
      </c>
      <c r="J202" s="13" t="inlineStr">
        <is>
          <t>Manual verification needed.</t>
        </is>
      </c>
      <c r="K202" s="14">
        <f>IF(AND(E202="yes",F202="yes",H202="covered"),1,IF(H202="partial",0.5,0))</f>
        <v/>
      </c>
    </row>
    <row r="203" ht="30" customHeight="1" s="24">
      <c r="A203" s="12" t="n">
        <v>195</v>
      </c>
      <c r="B203" s="13" t="inlineStr">
        <is>
          <t>Direction</t>
        </is>
      </c>
      <c r="C203" s="13" t="inlineStr">
        <is>
          <t>Root</t>
        </is>
      </c>
      <c r="D203" s="13" t="inlineStr">
        <is>
          <t>RTL mirrors trigger and viewport positioning behavior</t>
        </is>
      </c>
      <c r="E203" s="18" t="inlineStr">
        <is>
          <t>yes</t>
        </is>
      </c>
      <c r="F203" s="19" t="inlineStr">
        <is>
          <t>no</t>
        </is>
      </c>
      <c r="G203" s="12" t="inlineStr">
        <is>
          <t>ready for manual test</t>
        </is>
      </c>
      <c r="H203" s="20" t="inlineStr">
        <is>
          <t>untested</t>
        </is>
      </c>
      <c r="I203" s="13" t="inlineStr">
        <is>
          <t>Direction-sensitive behavior is supported by source; manual verification needed.</t>
        </is>
      </c>
      <c r="J203" s="13" t="inlineStr">
        <is>
          <t>Manual verification needed.</t>
        </is>
      </c>
      <c r="K203" s="14">
        <f>IF(AND(E203="yes",F203="yes",H203="covered"),1,IF(H203="partial",0.5,0))</f>
        <v/>
      </c>
    </row>
    <row r="204" ht="30" customHeight="1" s="24">
      <c r="A204" s="12" t="n">
        <v>196</v>
      </c>
      <c r="B204" s="13" t="inlineStr">
        <is>
          <t>Playground</t>
        </is>
      </c>
      <c r="C204" s="13" t="inlineStr">
        <is>
          <t>Direction controls</t>
        </is>
      </c>
      <c r="D204" s="13" t="inlineStr">
        <is>
          <t>scenario exposes provider direction and direct dir override separately</t>
        </is>
      </c>
      <c r="E204" s="21" t="inlineStr">
        <is>
          <t>no</t>
        </is>
      </c>
      <c r="F204" s="19" t="inlineStr">
        <is>
          <t>no</t>
        </is>
      </c>
      <c r="G204" s="12" t="inlineStr">
        <is>
          <t>missing</t>
        </is>
      </c>
      <c r="H204" s="21" t="inlineStr">
        <is>
          <t>missing</t>
        </is>
      </c>
      <c r="I204" s="13" t="n"/>
      <c r="J204" s="13" t="inlineStr">
        <is>
          <t>Add separate provider and direct override controls.</t>
        </is>
      </c>
      <c r="K204" s="14">
        <f>IF(AND(E204="yes",F204="yes",H204="covered"),1,IF(H204="partial",0.5,0))</f>
        <v/>
      </c>
    </row>
  </sheetData>
  <autoFilter ref="A8:K204"/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NumberInput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IFERROR(SUM(K9:K72)/COUNT(K9:K72),0)</f>
        <v/>
      </c>
      <c r="C4" s="8" t="inlineStr">
        <is>
          <t>Covered</t>
        </is>
      </c>
      <c r="D4" s="10">
        <f>COUNTIFS(E9:E72,"yes",F9:F72,"yes",H9:H72,"covered")</f>
        <v/>
      </c>
      <c r="E4" s="8" t="inlineStr">
        <is>
          <t>Partial</t>
        </is>
      </c>
      <c r="F4" s="10">
        <f>COUNTIF(H9:H72,"partial")</f>
        <v/>
      </c>
      <c r="G4" s="8" t="inlineStr">
        <is>
          <t>Missing</t>
        </is>
      </c>
      <c r="H4" s="10">
        <f>COUNTIFS(E9:E72,"&lt;&gt;yes") + COUNTIFS(E9:E72,"yes",H9:H72,"missing")</f>
        <v/>
      </c>
      <c r="I4" s="8" t="inlineStr">
        <is>
          <t>Untested</t>
        </is>
      </c>
      <c r="J4" s="10">
        <f>COUNTIFS(E9:E72,"yes",F9:F72,"&lt;&gt;yes") + COUNTIFS(E9:E72,"yes",F9:F72,"yes",H9:H72,"untested")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NumberInput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NumberInput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NumberInput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NumberInput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45" customHeight="1" s="24">
      <c r="A11" s="12" t="n">
        <v>3</v>
      </c>
      <c r="B11" s="13" t="inlineStr">
        <is>
          <t>Playground</t>
        </is>
      </c>
      <c r="C11" s="13" t="inlineStr">
        <is>
          <t>NumberInput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NumberInput playground page uses shared Canvas/Source, Anatomy, Inspector, and Log infrastructure.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NumberInput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NumberInput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NumberInput</t>
        </is>
      </c>
      <c r="D13" s="13" t="inlineStr">
        <is>
          <t>Renders an editable text input with `role="spinbutton"`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NumberInput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NumberInput</t>
        </is>
      </c>
      <c r="D14" s="13" t="inlineStr">
        <is>
          <t>Can be controlled or uncontrolled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NumberInput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NumberInput</t>
        </is>
      </c>
      <c r="D15" s="13" t="inlineStr">
        <is>
          <t>Supports `min`, `max`, `step`, `largeStep`, and precision formatting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NumberInput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NumberInput</t>
        </is>
      </c>
      <c r="D16" s="13" t="inlineStr">
        <is>
          <t>Supports keyboard stepping with arrows, Page Up/Down, Home, and End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NumberInput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NumberInput</t>
        </is>
      </c>
      <c r="D17" s="13" t="inlineStr">
        <is>
          <t>Supports custom parser and formatter functions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NumberInput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NumberInput</t>
        </is>
      </c>
      <c r="D18" s="13" t="inlineStr">
        <is>
          <t>Renders a hidden input for native form submission when named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NumberInput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NumberInput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4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NumberInput form-field playground page exposes this part/prop in Anatomy, Inspector, Source, or toolbar controls.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4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NumberInput source/anatomy documents whether Root renders DOM; Inspector verifies rendered descendants.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NumberInput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NumberInput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NumberInput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NumberInput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NumberInput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NumberInput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min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NumberInput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max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NumberInput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step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NumberInput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largeStep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NumberInput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precision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NumberInput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clampOnBlur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NumberInput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formatter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NumberInput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parser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NumberInput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State</t>
        </is>
      </c>
      <c r="C36" s="13" t="inlineStr">
        <is>
          <t>Root</t>
        </is>
      </c>
      <c r="D36" s="13" t="inlineStr">
        <is>
          <t>disabled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NumberInput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State</t>
        </is>
      </c>
      <c r="C37" s="13" t="inlineStr">
        <is>
          <t>Root</t>
        </is>
      </c>
      <c r="D37" s="13" t="inlineStr">
        <is>
          <t>readOnly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NumberInput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State</t>
        </is>
      </c>
      <c r="C38" s="13" t="inlineStr">
        <is>
          <t>Root</t>
        </is>
      </c>
      <c r="D38" s="13" t="inlineStr">
        <is>
          <t>required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NumberInput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Root</t>
        </is>
      </c>
      <c r="D39" s="13" t="inlineStr">
        <is>
          <t>invalid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NumberInput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Root</t>
        </is>
      </c>
      <c r="D40" s="13" t="inlineStr">
        <is>
          <t>name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NumberInput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Root</t>
        </is>
      </c>
      <c r="D41" s="13" t="inlineStr">
        <is>
          <t>form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NumberInput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45" customHeight="1" s="24">
      <c r="A42" s="12" t="n">
        <v>34</v>
      </c>
      <c r="B42" s="13" t="inlineStr">
        <is>
          <t>Accessibility</t>
        </is>
      </c>
      <c r="C42" s="13" t="inlineStr">
        <is>
          <t>Root</t>
        </is>
      </c>
      <c r="D42" s="13" t="inlineStr">
        <is>
          <t>ariaLabel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NumberInput form-field playground page exposes this part/prop in Anatomy, Inspector, Source, or toolbar controls.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Accessibility</t>
        </is>
      </c>
      <c r="C43" s="13" t="inlineStr">
        <is>
          <t>Root</t>
        </is>
      </c>
      <c r="D43" s="13" t="inlineStr">
        <is>
          <t>ariaValueText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NumberInput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45" customHeight="1" s="24">
      <c r="A44" s="12" t="n">
        <v>36</v>
      </c>
      <c r="B44" s="13" t="inlineStr">
        <is>
          <t>Accessibility</t>
        </is>
      </c>
      <c r="C44" s="13" t="inlineStr">
        <is>
          <t>Root</t>
        </is>
      </c>
      <c r="D44" s="13" t="inlineStr">
        <is>
          <t>ariaDescribedBy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NumberInput form-field playground page exposes this part/prop in Anatomy, Inspector, Source, or toolbar controls.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Public API</t>
        </is>
      </c>
      <c r="C45" s="13" t="inlineStr">
        <is>
          <t>Root</t>
        </is>
      </c>
      <c r="D45" s="13" t="inlineStr">
        <is>
          <t>[data-slot]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NumberInput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State</t>
        </is>
      </c>
      <c r="C46" s="13" t="inlineStr">
        <is>
          <t>Root</t>
        </is>
      </c>
      <c r="D46" s="13" t="inlineStr">
        <is>
          <t>[data-disabled]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NumberInput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State</t>
        </is>
      </c>
      <c r="C47" s="13" t="inlineStr">
        <is>
          <t>Root</t>
        </is>
      </c>
      <c r="D47" s="13" t="inlineStr">
        <is>
          <t>[data-readonly]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NumberInput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State</t>
        </is>
      </c>
      <c r="C48" s="13" t="inlineStr">
        <is>
          <t>Root</t>
        </is>
      </c>
      <c r="D48" s="13" t="inlineStr">
        <is>
          <t>[data-invalid]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NumberInput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45" customHeight="1" s="24">
      <c r="A49" s="12" t="n">
        <v>41</v>
      </c>
      <c r="B49" s="13" t="inlineStr">
        <is>
          <t>ARIA</t>
        </is>
      </c>
      <c r="C49" s="13" t="inlineStr">
        <is>
          <t>Live DOM</t>
        </is>
      </c>
      <c r="D49" s="13" t="inlineStr">
        <is>
          <t>aria-describedby is present at the correct time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Shared Anatomy/Inspector expose live ARIA/data attributes for NumberInput when the part is rendered.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ARIA</t>
        </is>
      </c>
      <c r="C50" s="13" t="inlineStr">
        <is>
          <t>Live DOM</t>
        </is>
      </c>
      <c r="D50" s="13" t="inlineStr">
        <is>
          <t>aria-invalid is present at the correct time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NumberInput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ARIA</t>
        </is>
      </c>
      <c r="C51" s="13" t="inlineStr">
        <is>
          <t>Live DOM</t>
        </is>
      </c>
      <c r="D51" s="13" t="inlineStr">
        <is>
          <t>aria-label is present at the correct time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NumberInput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ARIA</t>
        </is>
      </c>
      <c r="C52" s="13" t="inlineStr">
        <is>
          <t>Live DOM</t>
        </is>
      </c>
      <c r="D52" s="13" t="inlineStr">
        <is>
          <t>aria-readonly is present at the correct time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NumberInput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ARIA</t>
        </is>
      </c>
      <c r="C53" s="13" t="inlineStr">
        <is>
          <t>Live DOM</t>
        </is>
      </c>
      <c r="D53" s="13" t="inlineStr">
        <is>
          <t>aria-required is present at the correct time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NumberInput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ARIA</t>
        </is>
      </c>
      <c r="C54" s="13" t="inlineStr">
        <is>
          <t>Live DOM</t>
        </is>
      </c>
      <c r="D54" s="13" t="inlineStr">
        <is>
          <t>aria-valuemax is present at the correct time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NumberInput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ARIA</t>
        </is>
      </c>
      <c r="C55" s="13" t="inlineStr">
        <is>
          <t>Live DOM</t>
        </is>
      </c>
      <c r="D55" s="13" t="inlineStr">
        <is>
          <t>aria-valuemin is present at the correct time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NumberInput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ARIA</t>
        </is>
      </c>
      <c r="C56" s="13" t="inlineStr">
        <is>
          <t>Live DOM</t>
        </is>
      </c>
      <c r="D56" s="13" t="inlineStr">
        <is>
          <t>aria-valuenow is present at the correct time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NumberInput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ARIA</t>
        </is>
      </c>
      <c r="C57" s="13" t="inlineStr">
        <is>
          <t>Live DOM</t>
        </is>
      </c>
      <c r="D57" s="13" t="inlineStr">
        <is>
          <t>aria-valuetext is present at the correct time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NumberInput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Data</t>
        </is>
      </c>
      <c r="C58" s="13" t="inlineStr">
        <is>
          <t>Live DOM</t>
        </is>
      </c>
      <c r="D58" s="13" t="inlineStr">
        <is>
          <t>data-disabled is present at the correct time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NumberInput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Data</t>
        </is>
      </c>
      <c r="C59" s="13" t="inlineStr">
        <is>
          <t>Live DOM</t>
        </is>
      </c>
      <c r="D59" s="13" t="inlineStr">
        <is>
          <t>data-invalid is present at the correct time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NumberInput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Data</t>
        </is>
      </c>
      <c r="C60" s="13" t="inlineStr">
        <is>
          <t>Live DOM</t>
        </is>
      </c>
      <c r="D60" s="13" t="inlineStr">
        <is>
          <t>data-readonly is present at the correct time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NumberInput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Data</t>
        </is>
      </c>
      <c r="C61" s="13" t="inlineStr">
        <is>
          <t>Live DOM</t>
        </is>
      </c>
      <c r="D61" s="13" t="inlineStr">
        <is>
          <t>data-slot is present at the correct time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NumberInput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State</t>
        </is>
      </c>
      <c r="C62" s="13" t="inlineStr">
        <is>
          <t>Root</t>
        </is>
      </c>
      <c r="D62" s="13" t="inlineStr">
        <is>
          <t>controlled state path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NumberInput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State</t>
        </is>
      </c>
      <c r="C63" s="13" t="inlineStr">
        <is>
          <t>Root</t>
        </is>
      </c>
      <c r="D63" s="13" t="inlineStr">
        <is>
          <t>uncontrolled default state path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NumberInput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State</t>
        </is>
      </c>
      <c r="C64" s="13" t="inlineStr">
        <is>
          <t>Root</t>
        </is>
      </c>
      <c r="D64" s="13" t="inlineStr">
        <is>
          <t>state change callback fires once with correct value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NumberInput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30" customHeight="1" s="24">
      <c r="A65" s="12" t="n">
        <v>57</v>
      </c>
      <c r="B65" s="13" t="inlineStr">
        <is>
          <t>State</t>
        </is>
      </c>
      <c r="C65" s="13" t="inlineStr">
        <is>
          <t>NumberInput</t>
        </is>
      </c>
      <c r="D65" s="13" t="inlineStr">
        <is>
          <t>disabled state blocks or exposes behavior correctly where supported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NumberInput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30" customHeight="1" s="24">
      <c r="A66" s="12" t="n">
        <v>58</v>
      </c>
      <c r="B66" s="13" t="inlineStr">
        <is>
          <t>State</t>
        </is>
      </c>
      <c r="C66" s="13" t="inlineStr">
        <is>
          <t>NumberInput</t>
        </is>
      </c>
      <c r="D66" s="13" t="inlineStr">
        <is>
          <t>readonly/readOnly state blocks or exposes behavior correctly where supported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NumberInput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30" customHeight="1" s="24">
      <c r="A67" s="12" t="n">
        <v>59</v>
      </c>
      <c r="B67" s="13" t="inlineStr">
        <is>
          <t>State</t>
        </is>
      </c>
      <c r="C67" s="13" t="inlineStr">
        <is>
          <t>NumberInput</t>
        </is>
      </c>
      <c r="D67" s="13" t="inlineStr">
        <is>
          <t>required state blocks or exposes behavior correctly where supported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NumberInput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State</t>
        </is>
      </c>
      <c r="C68" s="13" t="inlineStr">
        <is>
          <t>NumberInput</t>
        </is>
      </c>
      <c r="D68" s="13" t="inlineStr">
        <is>
          <t>invalid state blocks or exposes behavior correctly where supported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NumberInput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Forms</t>
        </is>
      </c>
      <c r="C69" s="13" t="inlineStr">
        <is>
          <t>NumberInput</t>
        </is>
      </c>
      <c r="D69" s="13" t="inlineStr">
        <is>
          <t>form value participates correctly where supported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NumberInput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30" customHeight="1" s="24">
      <c r="A70" s="12" t="n">
        <v>62</v>
      </c>
      <c r="B70" s="13" t="inlineStr">
        <is>
          <t>Forms</t>
        </is>
      </c>
      <c r="C70" s="13" t="inlineStr">
        <is>
          <t>NumberInput</t>
        </is>
      </c>
      <c r="D70" s="13" t="inlineStr">
        <is>
          <t>hidden input mirrors value/checked/disabled where supported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NumberInput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Portal</t>
        </is>
      </c>
      <c r="C71" s="13" t="inlineStr">
        <is>
          <t>NumberInput</t>
        </is>
      </c>
      <c r="D71" s="13" t="inlineStr">
        <is>
          <t>portal renders in body by default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NumberInput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Portal</t>
        </is>
      </c>
      <c r="C72" s="13" t="inlineStr">
        <is>
          <t>NumberInput</t>
        </is>
      </c>
      <c r="D72" s="13" t="inlineStr">
        <is>
          <t>custom/disabled portal path works where supported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NumberInput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</sheetData>
  <autoFilter ref="A8:K72"/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OTPField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IFERROR(SUM(K9:K113)/COUNT(K9:K113),0)</f>
        <v/>
      </c>
      <c r="C4" s="8" t="inlineStr">
        <is>
          <t>Covered</t>
        </is>
      </c>
      <c r="D4" s="10">
        <f>COUNTIFS(E9:E113,"yes",F9:F113,"yes",H9:H113,"covered")</f>
        <v/>
      </c>
      <c r="E4" s="8" t="inlineStr">
        <is>
          <t>Partial</t>
        </is>
      </c>
      <c r="F4" s="10">
        <f>COUNTIF(H9:H113,"partial")</f>
        <v/>
      </c>
      <c r="G4" s="8" t="inlineStr">
        <is>
          <t>Missing</t>
        </is>
      </c>
      <c r="H4" s="10">
        <f>COUNTIFS(E9:E113,"&lt;&gt;yes") + COUNTIFS(E9:E113,"yes",H9:H113,"missing")</f>
        <v/>
      </c>
      <c r="I4" s="8" t="inlineStr">
        <is>
          <t>Untested</t>
        </is>
      </c>
      <c r="J4" s="10">
        <f>COUNTIFS(E9:E113,"yes",F9:F113,"&lt;&gt;yes") + COUNTIFS(E9:E113,"yes",F9:F113,"yes",H9:H113,"untested")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OTPField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OTPField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OTPField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OTPField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OTPField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OTPField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OTPField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OTPField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OTPField</t>
        </is>
      </c>
      <c r="D13" s="13" t="inlineStr">
        <is>
          <t>Controlled and uncontrolled full value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OTPField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OTPField</t>
        </is>
      </c>
      <c r="D14" s="13" t="inlineStr">
        <is>
          <t>Auto-generated input cells based on `length`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OTPField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OTPField</t>
        </is>
      </c>
      <c r="D15" s="13" t="inlineStr">
        <is>
          <t>Optional explicit input indexes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OTPField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OTPField</t>
        </is>
      </c>
      <c r="D16" s="13" t="inlineStr">
        <is>
          <t>Roving tab stop so the field behaves as one logical control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OTPField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OTPField</t>
        </is>
      </c>
      <c r="D17" s="13" t="inlineStr">
        <is>
          <t>Paste distribution across cells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OTPField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OTPField</t>
        </is>
      </c>
      <c r="D18" s="13" t="inlineStr">
        <is>
          <t>Arrow, Backspace, Delete, Home, and End navigation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OTPField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30" customHeight="1" s="24">
      <c r="A19" s="12" t="n">
        <v>11</v>
      </c>
      <c r="B19" s="13" t="inlineStr">
        <is>
          <t>Feature</t>
        </is>
      </c>
      <c r="C19" s="13" t="inlineStr">
        <is>
          <t>OTPField</t>
        </is>
      </c>
      <c r="D19" s="13" t="inlineStr">
        <is>
          <t>Numeric, alphabetic, alphanumeric, or custom pattern filtering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OTPField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Feature</t>
        </is>
      </c>
      <c r="C20" s="13" t="inlineStr">
        <is>
          <t>OTPField</t>
        </is>
      </c>
      <c r="D20" s="13" t="inlineStr">
        <is>
          <t>Hidden input for native form submission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OTPField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Anatomy</t>
        </is>
      </c>
      <c r="C21" s="13" t="inlineStr">
        <is>
          <t>Root</t>
        </is>
      </c>
      <c r="D21" s="13" t="inlineStr">
        <is>
          <t>renders correct part when expected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OTPField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Anatomy</t>
        </is>
      </c>
      <c r="C22" s="13" t="inlineStr">
        <is>
          <t>Root</t>
        </is>
      </c>
      <c r="D22" s="13" t="inlineStr">
        <is>
          <t>appears in documented order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OTPField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default tag is visible in Anatomy/Inspector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OTPField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Identity</t>
        </is>
      </c>
      <c r="C24" s="13" t="inlineStr">
        <is>
          <t>Root</t>
        </is>
      </c>
      <c r="D24" s="13" t="inlineStr">
        <is>
          <t>data-slot is present and correct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OTPField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30" customHeight="1" s="24">
      <c r="A25" s="12" t="n">
        <v>17</v>
      </c>
      <c r="B25" s="13" t="inlineStr">
        <is>
          <t>Props</t>
        </is>
      </c>
      <c r="C25" s="13" t="inlineStr">
        <is>
          <t>Root</t>
        </is>
      </c>
      <c r="D25" s="13" t="inlineStr">
        <is>
          <t>non-Atom native props pass through with data-prop-check marker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OTPField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Refs</t>
        </is>
      </c>
      <c r="C26" s="13" t="inlineStr">
        <is>
          <t>Root</t>
        </is>
      </c>
      <c r="D26" s="13" t="inlineStr">
        <is>
          <t>consumer ref receives the rendered element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OTPField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value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OTPField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defaultValue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OTPField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onValueChange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OTPField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length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OTPField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type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OTPField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pattern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OTPField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name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OTPField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form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OTPField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autoFocus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OTPField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State</t>
        </is>
      </c>
      <c r="C36" s="13" t="inlineStr">
        <is>
          <t>Root</t>
        </is>
      </c>
      <c r="D36" s="13" t="inlineStr">
        <is>
          <t>disabled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OTPField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State</t>
        </is>
      </c>
      <c r="C37" s="13" t="inlineStr">
        <is>
          <t>Root</t>
        </is>
      </c>
      <c r="D37" s="13" t="inlineStr">
        <is>
          <t>readOnly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OTPField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State</t>
        </is>
      </c>
      <c r="C38" s="13" t="inlineStr">
        <is>
          <t>Root</t>
        </is>
      </c>
      <c r="D38" s="13" t="inlineStr">
        <is>
          <t>required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OTPField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Root</t>
        </is>
      </c>
      <c r="D39" s="13" t="inlineStr">
        <is>
          <t>invalid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OTPField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Accessibility</t>
        </is>
      </c>
      <c r="C40" s="13" t="inlineStr">
        <is>
          <t>Root</t>
        </is>
      </c>
      <c r="D40" s="13" t="inlineStr">
        <is>
          <t>ariaLabel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OTPField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Root</t>
        </is>
      </c>
      <c r="D41" s="13" t="inlineStr">
        <is>
          <t>data-slot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OTPField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Root</t>
        </is>
      </c>
      <c r="D42" s="13" t="inlineStr">
        <is>
          <t>[data-slot]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OTPField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Root</t>
        </is>
      </c>
      <c r="D43" s="13" t="inlineStr">
        <is>
          <t>[data-filled]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OTPField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State</t>
        </is>
      </c>
      <c r="C44" s="13" t="inlineStr">
        <is>
          <t>Root</t>
        </is>
      </c>
      <c r="D44" s="13" t="inlineStr">
        <is>
          <t>[data-disabled]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OTPField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State</t>
        </is>
      </c>
      <c r="C45" s="13" t="inlineStr">
        <is>
          <t>Root</t>
        </is>
      </c>
      <c r="D45" s="13" t="inlineStr">
        <is>
          <t>[data-readonly]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OTPField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State</t>
        </is>
      </c>
      <c r="C46" s="13" t="inlineStr">
        <is>
          <t>Root</t>
        </is>
      </c>
      <c r="D46" s="13" t="inlineStr">
        <is>
          <t>[data-required]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OTPField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State</t>
        </is>
      </c>
      <c r="C47" s="13" t="inlineStr">
        <is>
          <t>Root</t>
        </is>
      </c>
      <c r="D47" s="13" t="inlineStr">
        <is>
          <t>[data-invalid]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OTPField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Anatomy</t>
        </is>
      </c>
      <c r="C48" s="13" t="inlineStr">
        <is>
          <t>Input</t>
        </is>
      </c>
      <c r="D48" s="13" t="inlineStr">
        <is>
          <t>renders correct part when expected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OTPField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Anatomy</t>
        </is>
      </c>
      <c r="C49" s="13" t="inlineStr">
        <is>
          <t>Input</t>
        </is>
      </c>
      <c r="D49" s="13" t="inlineStr">
        <is>
          <t>appears in documented order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OTPField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Identity</t>
        </is>
      </c>
      <c r="C50" s="13" t="inlineStr">
        <is>
          <t>Input</t>
        </is>
      </c>
      <c r="D50" s="13" t="inlineStr">
        <is>
          <t>default tag is visible in Anatomy/Inspector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OTPField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Identity</t>
        </is>
      </c>
      <c r="C51" s="13" t="inlineStr">
        <is>
          <t>Input</t>
        </is>
      </c>
      <c r="D51" s="13" t="inlineStr">
        <is>
          <t>data-slot is present and correct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OTPField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30" customHeight="1" s="24">
      <c r="A52" s="12" t="n">
        <v>44</v>
      </c>
      <c r="B52" s="13" t="inlineStr">
        <is>
          <t>Props</t>
        </is>
      </c>
      <c r="C52" s="13" t="inlineStr">
        <is>
          <t>Input</t>
        </is>
      </c>
      <c r="D52" s="13" t="inlineStr">
        <is>
          <t>non-Atom native props pass through with data-prop-check marker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OTPField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Refs</t>
        </is>
      </c>
      <c r="C53" s="13" t="inlineStr">
        <is>
          <t>Input</t>
        </is>
      </c>
      <c r="D53" s="13" t="inlineStr">
        <is>
          <t>consumer ref receives the rendered element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OTPField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Input</t>
        </is>
      </c>
      <c r="D54" s="13" t="inlineStr">
        <is>
          <t>index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OTPField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Accessibility</t>
        </is>
      </c>
      <c r="C55" s="13" t="inlineStr">
        <is>
          <t>Input</t>
        </is>
      </c>
      <c r="D55" s="13" t="inlineStr">
        <is>
          <t>aria-label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OTPField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Public API</t>
        </is>
      </c>
      <c r="C56" s="13" t="inlineStr">
        <is>
          <t>Input</t>
        </is>
      </c>
      <c r="D56" s="13" t="inlineStr">
        <is>
          <t>data-slot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OTPField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Public API</t>
        </is>
      </c>
      <c r="C57" s="13" t="inlineStr">
        <is>
          <t>Input</t>
        </is>
      </c>
      <c r="D57" s="13" t="inlineStr">
        <is>
          <t>[data-slot]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OTPField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Public API</t>
        </is>
      </c>
      <c r="C58" s="13" t="inlineStr">
        <is>
          <t>Input</t>
        </is>
      </c>
      <c r="D58" s="13" t="inlineStr">
        <is>
          <t>[data-index]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OTPField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Public API</t>
        </is>
      </c>
      <c r="C59" s="13" t="inlineStr">
        <is>
          <t>Input</t>
        </is>
      </c>
      <c r="D59" s="13" t="inlineStr">
        <is>
          <t>[data-filled]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OTPField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Input</t>
        </is>
      </c>
      <c r="D60" s="13" t="inlineStr">
        <is>
          <t>[data-active]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OTPField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State</t>
        </is>
      </c>
      <c r="C61" s="13" t="inlineStr">
        <is>
          <t>Input</t>
        </is>
      </c>
      <c r="D61" s="13" t="inlineStr">
        <is>
          <t>[data-disabled]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OTPField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State</t>
        </is>
      </c>
      <c r="C62" s="13" t="inlineStr">
        <is>
          <t>Input</t>
        </is>
      </c>
      <c r="D62" s="13" t="inlineStr">
        <is>
          <t>[data-readonly]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OTPField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State</t>
        </is>
      </c>
      <c r="C63" s="13" t="inlineStr">
        <is>
          <t>Input</t>
        </is>
      </c>
      <c r="D63" s="13" t="inlineStr">
        <is>
          <t>[data-invalid]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OTPField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OTPFieldInput</t>
        </is>
      </c>
      <c r="D64" s="13" t="inlineStr">
        <is>
          <t>renders correct part when expected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OTPField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OTPFieldInput</t>
        </is>
      </c>
      <c r="D65" s="13" t="inlineStr">
        <is>
          <t>appears in documented order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OTPField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OTPFieldInput</t>
        </is>
      </c>
      <c r="D66" s="13" t="inlineStr">
        <is>
          <t>default tag is visible in Anatomy/Inspector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OTPField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OTPFieldInput</t>
        </is>
      </c>
      <c r="D67" s="13" t="inlineStr">
        <is>
          <t>data-slot is present and correct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OTPField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Props</t>
        </is>
      </c>
      <c r="C68" s="13" t="inlineStr">
        <is>
          <t>OTPFieldInput</t>
        </is>
      </c>
      <c r="D68" s="13" t="inlineStr">
        <is>
          <t>non-Atom native props pass through with data-prop-check marker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OTPField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Refs</t>
        </is>
      </c>
      <c r="C69" s="13" t="inlineStr">
        <is>
          <t>OTPFieldInput</t>
        </is>
      </c>
      <c r="D69" s="13" t="inlineStr">
        <is>
          <t>consumer ref receives the rendered element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OTPField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Anatomy</t>
        </is>
      </c>
      <c r="C70" s="13" t="inlineStr">
        <is>
          <t>OTPFieldSeparator</t>
        </is>
      </c>
      <c r="D70" s="13" t="inlineStr">
        <is>
          <t>renders correct part when expected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OTPField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Anatomy</t>
        </is>
      </c>
      <c r="C71" s="13" t="inlineStr">
        <is>
          <t>OTPFieldSeparator</t>
        </is>
      </c>
      <c r="D71" s="13" t="inlineStr">
        <is>
          <t>appears in documented order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OTPField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Identity</t>
        </is>
      </c>
      <c r="C72" s="13" t="inlineStr">
        <is>
          <t>OTPFieldSeparator</t>
        </is>
      </c>
      <c r="D72" s="13" t="inlineStr">
        <is>
          <t>default tag is visible in Anatomy/Inspector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OTPField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Identity</t>
        </is>
      </c>
      <c r="C73" s="13" t="inlineStr">
        <is>
          <t>OTPFieldSeparator</t>
        </is>
      </c>
      <c r="D73" s="13" t="inlineStr">
        <is>
          <t>data-slot is present and correct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OTPField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30" customHeight="1" s="24">
      <c r="A74" s="12" t="n">
        <v>66</v>
      </c>
      <c r="B74" s="13" t="inlineStr">
        <is>
          <t>Props</t>
        </is>
      </c>
      <c r="C74" s="13" t="inlineStr">
        <is>
          <t>OTPFieldSeparator</t>
        </is>
      </c>
      <c r="D74" s="13" t="inlineStr">
        <is>
          <t>non-Atom native props pass through with data-prop-check marker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OTPField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Refs</t>
        </is>
      </c>
      <c r="C75" s="13" t="inlineStr">
        <is>
          <t>OTPFieldSeparator</t>
        </is>
      </c>
      <c r="D75" s="13" t="inlineStr">
        <is>
          <t>consumer ref receives the rendered element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OTPField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Anatomy</t>
        </is>
      </c>
      <c r="C76" s="13" t="inlineStr">
        <is>
          <t>Separator</t>
        </is>
      </c>
      <c r="D76" s="13" t="inlineStr">
        <is>
          <t>renders correct part when expected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OTPField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Anatomy</t>
        </is>
      </c>
      <c r="C77" s="13" t="inlineStr">
        <is>
          <t>Separator</t>
        </is>
      </c>
      <c r="D77" s="13" t="inlineStr">
        <is>
          <t>appears in documented order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OTPField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Identity</t>
        </is>
      </c>
      <c r="C78" s="13" t="inlineStr">
        <is>
          <t>Separator</t>
        </is>
      </c>
      <c r="D78" s="13" t="inlineStr">
        <is>
          <t>default tag is visible in Anatomy/Inspector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OTPField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Identity</t>
        </is>
      </c>
      <c r="C79" s="13" t="inlineStr">
        <is>
          <t>Separator</t>
        </is>
      </c>
      <c r="D79" s="13" t="inlineStr">
        <is>
          <t>data-slot is present and correct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OTPField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30" customHeight="1" s="24">
      <c r="A80" s="12" t="n">
        <v>72</v>
      </c>
      <c r="B80" s="13" t="inlineStr">
        <is>
          <t>Props</t>
        </is>
      </c>
      <c r="C80" s="13" t="inlineStr">
        <is>
          <t>Separator</t>
        </is>
      </c>
      <c r="D80" s="13" t="inlineStr">
        <is>
          <t>non-Atom native props pass through with data-prop-check marker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OTPField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Refs</t>
        </is>
      </c>
      <c r="C81" s="13" t="inlineStr">
        <is>
          <t>Separator</t>
        </is>
      </c>
      <c r="D81" s="13" t="inlineStr">
        <is>
          <t>consumer ref receives the rendered element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OTPField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Public API</t>
        </is>
      </c>
      <c r="C82" s="13" t="inlineStr">
        <is>
          <t>Separator</t>
        </is>
      </c>
      <c r="D82" s="13" t="inlineStr">
        <is>
          <t>data-slot prop behavior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OTPField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Public API</t>
        </is>
      </c>
      <c r="C83" s="13" t="inlineStr">
        <is>
          <t>Separator</t>
        </is>
      </c>
      <c r="D83" s="13" t="inlineStr">
        <is>
          <t>[data-slot] prop behavior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OTPField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ARIA</t>
        </is>
      </c>
      <c r="C84" s="13" t="inlineStr">
        <is>
          <t>Live DOM</t>
        </is>
      </c>
      <c r="D84" s="13" t="inlineStr">
        <is>
          <t>aria-describedby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OTPField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ARIA</t>
        </is>
      </c>
      <c r="C85" s="13" t="inlineStr">
        <is>
          <t>Live DOM</t>
        </is>
      </c>
      <c r="D85" s="13" t="inlineStr">
        <is>
          <t>aria-hidden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OTPField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ARIA</t>
        </is>
      </c>
      <c r="C86" s="13" t="inlineStr">
        <is>
          <t>Live DOM</t>
        </is>
      </c>
      <c r="D86" s="13" t="inlineStr">
        <is>
          <t>aria-invalid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OTPField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ARIA</t>
        </is>
      </c>
      <c r="C87" s="13" t="inlineStr">
        <is>
          <t>Live DOM</t>
        </is>
      </c>
      <c r="D87" s="13" t="inlineStr">
        <is>
          <t>aria-label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OTPField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ARIA</t>
        </is>
      </c>
      <c r="C88" s="13" t="inlineStr">
        <is>
          <t>Live DOM</t>
        </is>
      </c>
      <c r="D88" s="13" t="inlineStr">
        <is>
          <t>aria-labelledby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OTPField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ARIA</t>
        </is>
      </c>
      <c r="C89" s="13" t="inlineStr">
        <is>
          <t>Live DOM</t>
        </is>
      </c>
      <c r="D89" s="13" t="inlineStr">
        <is>
          <t>aria-required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OTPField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Data</t>
        </is>
      </c>
      <c r="C90" s="13" t="inlineStr">
        <is>
          <t>Live DOM</t>
        </is>
      </c>
      <c r="D90" s="13" t="inlineStr">
        <is>
          <t>data-disabled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OTPField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Data</t>
        </is>
      </c>
      <c r="C91" s="13" t="inlineStr">
        <is>
          <t>Live DOM</t>
        </is>
      </c>
      <c r="D91" s="13" t="inlineStr">
        <is>
          <t>data-filled is present at the correct time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OTPField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Data</t>
        </is>
      </c>
      <c r="C92" s="13" t="inlineStr">
        <is>
          <t>Live DOM</t>
        </is>
      </c>
      <c r="D92" s="13" t="inlineStr">
        <is>
          <t>data-index is present at the correct time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OTPField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Data</t>
        </is>
      </c>
      <c r="C93" s="13" t="inlineStr">
        <is>
          <t>Live DOM</t>
        </is>
      </c>
      <c r="D93" s="13" t="inlineStr">
        <is>
          <t>data-invalid is present at the correct time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OTPField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Data</t>
        </is>
      </c>
      <c r="C94" s="13" t="inlineStr">
        <is>
          <t>Live DOM</t>
        </is>
      </c>
      <c r="D94" s="13" t="inlineStr">
        <is>
          <t>data-readonly is present at the correct time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OTPField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Data</t>
        </is>
      </c>
      <c r="C95" s="13" t="inlineStr">
        <is>
          <t>Live DOM</t>
        </is>
      </c>
      <c r="D95" s="13" t="inlineStr">
        <is>
          <t>data-required is present at the correct time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OTPField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Data</t>
        </is>
      </c>
      <c r="C96" s="13" t="inlineStr">
        <is>
          <t>Live DOM</t>
        </is>
      </c>
      <c r="D96" s="13" t="inlineStr">
        <is>
          <t>data-slot is present at the correct time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OTPField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Composition</t>
        </is>
      </c>
      <c r="C97" s="13" t="inlineStr">
        <is>
          <t>OTPField</t>
        </is>
      </c>
      <c r="D97" s="13" t="inlineStr">
        <is>
          <t>asChild preserves child content without double nesting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OTPField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Composition</t>
        </is>
      </c>
      <c r="C98" s="13" t="inlineStr">
        <is>
          <t>OTPField</t>
        </is>
      </c>
      <c r="D98" s="13" t="inlineStr">
        <is>
          <t>asChild merges Atom props and consumer props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OTPField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30" customHeight="1" s="24">
      <c r="A99" s="12" t="n">
        <v>91</v>
      </c>
      <c r="B99" s="13" t="inlineStr">
        <is>
          <t>Composition</t>
        </is>
      </c>
      <c r="C99" s="13" t="inlineStr">
        <is>
          <t>OTPField</t>
        </is>
      </c>
      <c r="D99" s="13" t="inlineStr">
        <is>
          <t>asChild lets preventDefault block Atom behavior where supported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OTPField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Composition</t>
        </is>
      </c>
      <c r="C100" s="13" t="inlineStr">
        <is>
          <t>OTPField</t>
        </is>
      </c>
      <c r="D100" s="13" t="inlineStr">
        <is>
          <t>render prop renders custom element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OTPField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Composition</t>
        </is>
      </c>
      <c r="C101" s="13" t="inlineStr">
        <is>
          <t>OTPField</t>
        </is>
      </c>
      <c r="D101" s="13" t="inlineStr">
        <is>
          <t>render prop preserves refs and behavior props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OTPField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State</t>
        </is>
      </c>
      <c r="C102" s="13" t="inlineStr">
        <is>
          <t>Root</t>
        </is>
      </c>
      <c r="D102" s="13" t="inlineStr">
        <is>
          <t>controlled state path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OTPField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State</t>
        </is>
      </c>
      <c r="C103" s="13" t="inlineStr">
        <is>
          <t>Root</t>
        </is>
      </c>
      <c r="D103" s="13" t="inlineStr">
        <is>
          <t>uncontrolled default state path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OTPField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State</t>
        </is>
      </c>
      <c r="C104" s="13" t="inlineStr">
        <is>
          <t>Root</t>
        </is>
      </c>
      <c r="D104" s="13" t="inlineStr">
        <is>
          <t>state change callback fires once with correct value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OTPField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30" customHeight="1" s="24">
      <c r="A105" s="12" t="n">
        <v>97</v>
      </c>
      <c r="B105" s="13" t="inlineStr">
        <is>
          <t>State</t>
        </is>
      </c>
      <c r="C105" s="13" t="inlineStr">
        <is>
          <t>OTPField</t>
        </is>
      </c>
      <c r="D105" s="13" t="inlineStr">
        <is>
          <t>disabled state blocks or exposes behavior correctly where supported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OTPField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30" customHeight="1" s="24">
      <c r="A106" s="12" t="n">
        <v>98</v>
      </c>
      <c r="B106" s="13" t="inlineStr">
        <is>
          <t>State</t>
        </is>
      </c>
      <c r="C106" s="13" t="inlineStr">
        <is>
          <t>OTPField</t>
        </is>
      </c>
      <c r="D106" s="13" t="inlineStr">
        <is>
          <t>readonly/readOnly state blocks or exposes behavior correctly where supported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OTPField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30" customHeight="1" s="24">
      <c r="A107" s="12" t="n">
        <v>99</v>
      </c>
      <c r="B107" s="13" t="inlineStr">
        <is>
          <t>State</t>
        </is>
      </c>
      <c r="C107" s="13" t="inlineStr">
        <is>
          <t>OTPField</t>
        </is>
      </c>
      <c r="D107" s="13" t="inlineStr">
        <is>
          <t>required state blocks or exposes behavior correctly where supported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OTPField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30" customHeight="1" s="24">
      <c r="A108" s="12" t="n">
        <v>100</v>
      </c>
      <c r="B108" s="13" t="inlineStr">
        <is>
          <t>State</t>
        </is>
      </c>
      <c r="C108" s="13" t="inlineStr">
        <is>
          <t>OTPField</t>
        </is>
      </c>
      <c r="D108" s="13" t="inlineStr">
        <is>
          <t>invalid state blocks or exposes behavior correctly where supported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OTPField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Forms</t>
        </is>
      </c>
      <c r="C109" s="13" t="inlineStr">
        <is>
          <t>OTPField</t>
        </is>
      </c>
      <c r="D109" s="13" t="inlineStr">
        <is>
          <t>form value participates correctly where supported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OTPField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30" customHeight="1" s="24">
      <c r="A110" s="12" t="n">
        <v>102</v>
      </c>
      <c r="B110" s="13" t="inlineStr">
        <is>
          <t>Forms</t>
        </is>
      </c>
      <c r="C110" s="13" t="inlineStr">
        <is>
          <t>OTPField</t>
        </is>
      </c>
      <c r="D110" s="13" t="inlineStr">
        <is>
          <t>hidden input mirrors value/checked/disabled where supported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OTPField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30" customHeight="1" s="24">
      <c r="A111" s="12" t="n">
        <v>103</v>
      </c>
      <c r="B111" s="13" t="inlineStr">
        <is>
          <t>Direction</t>
        </is>
      </c>
      <c r="C111" s="13" t="inlineStr">
        <is>
          <t>Input</t>
        </is>
      </c>
      <c r="D111" s="13" t="inlineStr">
        <is>
          <t>reads Direction.Provider context for ArrowLeft and ArrowRight input movement</t>
        </is>
      </c>
      <c r="E111" s="21" t="inlineStr">
        <is>
          <t>no</t>
        </is>
      </c>
      <c r="F111" s="19" t="inlineStr">
        <is>
          <t>no</t>
        </is>
      </c>
      <c r="G111" s="12" t="inlineStr">
        <is>
          <t>missing</t>
        </is>
      </c>
      <c r="H111" s="21" t="inlineStr">
        <is>
          <t>missing</t>
        </is>
      </c>
      <c r="I111" s="13" t="n"/>
      <c r="J111" s="13" t="inlineStr">
        <is>
          <t>Add Direction.Provider fallback before testing RTL input movement.</t>
        </is>
      </c>
      <c r="K111" s="14">
        <f>IF(AND(E111="yes",F111="yes",H111="covered"),1,IF(H111="partial",0.5,0))</f>
        <v/>
      </c>
    </row>
    <row r="112" ht="30" customHeight="1" s="24">
      <c r="A112" s="12" t="n">
        <v>104</v>
      </c>
      <c r="B112" s="13" t="inlineStr">
        <is>
          <t>Direction</t>
        </is>
      </c>
      <c r="C112" s="13" t="inlineStr">
        <is>
          <t>Input</t>
        </is>
      </c>
      <c r="D112" s="13" t="inlineStr">
        <is>
          <t>RTL mirrors ArrowLeft and ArrowRight between OTP inputs</t>
        </is>
      </c>
      <c r="E112" s="21" t="inlineStr">
        <is>
          <t>no</t>
        </is>
      </c>
      <c r="F112" s="19" t="inlineStr">
        <is>
          <t>no</t>
        </is>
      </c>
      <c r="G112" s="12" t="inlineStr">
        <is>
          <t>missing</t>
        </is>
      </c>
      <c r="H112" s="21" t="inlineStr">
        <is>
          <t>missing</t>
        </is>
      </c>
      <c r="I112" s="13" t="n"/>
      <c r="J112" s="13" t="inlineStr">
        <is>
          <t>Implement and test RTL input movement.</t>
        </is>
      </c>
      <c r="K112" s="14">
        <f>IF(AND(E112="yes",F112="yes",H112="covered"),1,IF(H112="partial",0.5,0))</f>
        <v/>
      </c>
    </row>
    <row r="113" ht="30" customHeight="1" s="24">
      <c r="A113" s="12" t="n">
        <v>105</v>
      </c>
      <c r="B113" s="13" t="inlineStr">
        <is>
          <t>Playground</t>
        </is>
      </c>
      <c r="C113" s="13" t="inlineStr">
        <is>
          <t>Direction controls</t>
        </is>
      </c>
      <c r="D113" s="13" t="inlineStr">
        <is>
          <t>scenario exposes provider direction controls</t>
        </is>
      </c>
      <c r="E113" s="21" t="inlineStr">
        <is>
          <t>no</t>
        </is>
      </c>
      <c r="F113" s="19" t="inlineStr">
        <is>
          <t>no</t>
        </is>
      </c>
      <c r="G113" s="12" t="inlineStr">
        <is>
          <t>missing</t>
        </is>
      </c>
      <c r="H113" s="21" t="inlineStr">
        <is>
          <t>missing</t>
        </is>
      </c>
      <c r="I113" s="13" t="n"/>
      <c r="J113" s="13" t="inlineStr">
        <is>
          <t>Add provider direction controls to the playground scenario.</t>
        </is>
      </c>
      <c r="K113" s="14">
        <f>IF(AND(E113="yes",F113="yes",H113="covered"),1,IF(H113="partial",0.5,0))</f>
        <v/>
      </c>
    </row>
  </sheetData>
  <autoFilter ref="A8:K113"/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Pagination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IFERROR(SUM(K9:K118)/COUNT(K9:K118),0)</f>
        <v/>
      </c>
      <c r="C4" s="8" t="inlineStr">
        <is>
          <t>Covered</t>
        </is>
      </c>
      <c r="D4" s="10">
        <f>COUNTIFS(E9:E118,"yes",F9:F118,"yes",H9:H118,"covered")</f>
        <v/>
      </c>
      <c r="E4" s="8" t="inlineStr">
        <is>
          <t>Partial</t>
        </is>
      </c>
      <c r="F4" s="10">
        <f>COUNTIF(H9:H118,"partial")</f>
        <v/>
      </c>
      <c r="G4" s="8" t="inlineStr">
        <is>
          <t>Missing</t>
        </is>
      </c>
      <c r="H4" s="10">
        <f>COUNTIFS(E9:E118,"&lt;&gt;yes") + COUNTIFS(E9:E118,"yes",H9:H118,"missing")</f>
        <v/>
      </c>
      <c r="I4" s="8" t="inlineStr">
        <is>
          <t>Untested</t>
        </is>
      </c>
      <c r="J4" s="10">
        <f>COUNTIFS(E9:E118,"yes",F9:F118,"&lt;&gt;yes") + COUNTIFS(E9:E118,"yes",F9:F118,"yes",H9:H118,"untested")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Pagination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Pagination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Pagination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Pagination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Pagination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Pagination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Pagination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Pagination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Pagination</t>
        </is>
      </c>
      <c r="D13" s="13" t="inlineStr">
        <is>
          <t>Renders a navigation landmark and ordered page list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Pagination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Pagination</t>
        </is>
      </c>
      <c r="D14" s="13" t="inlineStr">
        <is>
          <t>Supports controlled and uncontrolled current page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Pagination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Pagination</t>
        </is>
      </c>
      <c r="D15" s="13" t="inlineStr">
        <is>
          <t>Generates stable-length page ranges to reduce layout shift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Pagination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Pagination</t>
        </is>
      </c>
      <c r="D16" s="13" t="inlineStr">
        <is>
          <t>Supports sibling and boundary page counts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Pagination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Pagination</t>
        </is>
      </c>
      <c r="D17" s="13" t="inlineStr">
        <is>
          <t>Supports previous, next, page item, and decorative ellipsis parts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Pagination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Pagination</t>
        </is>
      </c>
      <c r="D18" s="13" t="inlineStr">
        <is>
          <t>Allows localized page labels through native `aria-label`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Pagination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Pagination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Pagination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Pagination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Pagination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Pagination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Pagination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totalPages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Pagination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page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Pagination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defaultPage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Pagination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onPageChange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Pagination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siblingCount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Pagination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boundaryCount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Pagination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disabled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Pagination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Composition</t>
        </is>
      </c>
      <c r="C32" s="13" t="inlineStr">
        <is>
          <t>Root</t>
        </is>
      </c>
      <c r="D32" s="13" t="inlineStr">
        <is>
          <t>asChild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Pagination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Composition</t>
        </is>
      </c>
      <c r="C33" s="13" t="inlineStr">
        <is>
          <t>Root</t>
        </is>
      </c>
      <c r="D33" s="13" t="inlineStr">
        <is>
          <t>render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Pagination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[data-slot]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Pagination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Root</t>
        </is>
      </c>
      <c r="D35" s="13" t="inlineStr">
        <is>
          <t>[data-disabled]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Pagination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Anatomy</t>
        </is>
      </c>
      <c r="C36" s="13" t="inlineStr">
        <is>
          <t>List</t>
        </is>
      </c>
      <c r="D36" s="13" t="inlineStr">
        <is>
          <t>renders correct part when expected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Pagination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Anatomy</t>
        </is>
      </c>
      <c r="C37" s="13" t="inlineStr">
        <is>
          <t>List</t>
        </is>
      </c>
      <c r="D37" s="13" t="inlineStr">
        <is>
          <t>appears in documented order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Pagination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Identity</t>
        </is>
      </c>
      <c r="C38" s="13" t="inlineStr">
        <is>
          <t>List</t>
        </is>
      </c>
      <c r="D38" s="13" t="inlineStr">
        <is>
          <t>default tag is visible in Anatomy/Inspector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Pagination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Identity</t>
        </is>
      </c>
      <c r="C39" s="13" t="inlineStr">
        <is>
          <t>List</t>
        </is>
      </c>
      <c r="D39" s="13" t="inlineStr">
        <is>
          <t>data-slot is present and correct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Pagination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30" customHeight="1" s="24">
      <c r="A40" s="12" t="n">
        <v>32</v>
      </c>
      <c r="B40" s="13" t="inlineStr">
        <is>
          <t>Props</t>
        </is>
      </c>
      <c r="C40" s="13" t="inlineStr">
        <is>
          <t>List</t>
        </is>
      </c>
      <c r="D40" s="13" t="inlineStr">
        <is>
          <t>non-Atom native props pass through with data-prop-check marker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Pagination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Refs</t>
        </is>
      </c>
      <c r="C41" s="13" t="inlineStr">
        <is>
          <t>List</t>
        </is>
      </c>
      <c r="D41" s="13" t="inlineStr">
        <is>
          <t>consumer ref receives the rendered element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Pagination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Composition</t>
        </is>
      </c>
      <c r="C42" s="13" t="inlineStr">
        <is>
          <t>List</t>
        </is>
      </c>
      <c r="D42" s="13" t="inlineStr">
        <is>
          <t>asChild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Pagination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List</t>
        </is>
      </c>
      <c r="D43" s="13" t="inlineStr">
        <is>
          <t>render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Pagination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List</t>
        </is>
      </c>
      <c r="D44" s="13" t="inlineStr">
        <is>
          <t>[data-slot]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Pagination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Item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Pagination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Item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Pagination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Item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Pagination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Item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Pagination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Item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Pagination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Item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Pagination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Item</t>
        </is>
      </c>
      <c r="D51" s="13" t="inlineStr">
        <is>
          <t>page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Pagination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Accessibility</t>
        </is>
      </c>
      <c r="C52" s="13" t="inlineStr">
        <is>
          <t>Item</t>
        </is>
      </c>
      <c r="D52" s="13" t="inlineStr">
        <is>
          <t>aria-label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Pagination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Composition</t>
        </is>
      </c>
      <c r="C53" s="13" t="inlineStr">
        <is>
          <t>Item</t>
        </is>
      </c>
      <c r="D53" s="13" t="inlineStr">
        <is>
          <t>asChild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Pagination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Composition</t>
        </is>
      </c>
      <c r="C54" s="13" t="inlineStr">
        <is>
          <t>Item</t>
        </is>
      </c>
      <c r="D54" s="13" t="inlineStr">
        <is>
          <t>render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Pagination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Item</t>
        </is>
      </c>
      <c r="D55" s="13" t="inlineStr">
        <is>
          <t>[data-slot]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Pagination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Public API</t>
        </is>
      </c>
      <c r="C56" s="13" t="inlineStr">
        <is>
          <t>Item</t>
        </is>
      </c>
      <c r="D56" s="13" t="inlineStr">
        <is>
          <t>[data-state]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Pagination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Public API</t>
        </is>
      </c>
      <c r="C57" s="13" t="inlineStr">
        <is>
          <t>Item</t>
        </is>
      </c>
      <c r="D57" s="13" t="inlineStr">
        <is>
          <t>[data-page]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Pagination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State</t>
        </is>
      </c>
      <c r="C58" s="13" t="inlineStr">
        <is>
          <t>Item</t>
        </is>
      </c>
      <c r="D58" s="13" t="inlineStr">
        <is>
          <t>[data-disabled]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Pagination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Anatomy</t>
        </is>
      </c>
      <c r="C59" s="13" t="inlineStr">
        <is>
          <t>Control</t>
        </is>
      </c>
      <c r="D59" s="13" t="inlineStr">
        <is>
          <t>renders correct part when expected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Pagination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Anatomy</t>
        </is>
      </c>
      <c r="C60" s="13" t="inlineStr">
        <is>
          <t>Control</t>
        </is>
      </c>
      <c r="D60" s="13" t="inlineStr">
        <is>
          <t>appears in documented order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Pagination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Identity</t>
        </is>
      </c>
      <c r="C61" s="13" t="inlineStr">
        <is>
          <t>Control</t>
        </is>
      </c>
      <c r="D61" s="13" t="inlineStr">
        <is>
          <t>default tag is visible in Anatomy/Inspector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Pagination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Identity</t>
        </is>
      </c>
      <c r="C62" s="13" t="inlineStr">
        <is>
          <t>Control</t>
        </is>
      </c>
      <c r="D62" s="13" t="inlineStr">
        <is>
          <t>data-slot is present and correct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Pagination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30" customHeight="1" s="24">
      <c r="A63" s="12" t="n">
        <v>55</v>
      </c>
      <c r="B63" s="13" t="inlineStr">
        <is>
          <t>Props</t>
        </is>
      </c>
      <c r="C63" s="13" t="inlineStr">
        <is>
          <t>Control</t>
        </is>
      </c>
      <c r="D63" s="13" t="inlineStr">
        <is>
          <t>non-Atom native props pass through with data-prop-check marker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Pagination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Refs</t>
        </is>
      </c>
      <c r="C64" s="13" t="inlineStr">
        <is>
          <t>Control</t>
        </is>
      </c>
      <c r="D64" s="13" t="inlineStr">
        <is>
          <t>consumer ref receives the rendered element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Pagination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Ellipsis</t>
        </is>
      </c>
      <c r="D65" s="13" t="inlineStr">
        <is>
          <t>renders correct part when expected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Pagination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Anatomy</t>
        </is>
      </c>
      <c r="C66" s="13" t="inlineStr">
        <is>
          <t>Ellipsis</t>
        </is>
      </c>
      <c r="D66" s="13" t="inlineStr">
        <is>
          <t>appears in documented order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Pagination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Ellipsis</t>
        </is>
      </c>
      <c r="D67" s="13" t="inlineStr">
        <is>
          <t>default tag is visible in Anatomy/Inspector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Pagination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Identity</t>
        </is>
      </c>
      <c r="C68" s="13" t="inlineStr">
        <is>
          <t>Ellipsis</t>
        </is>
      </c>
      <c r="D68" s="13" t="inlineStr">
        <is>
          <t>data-slot is present and correct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Pagination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30" customHeight="1" s="24">
      <c r="A69" s="12" t="n">
        <v>61</v>
      </c>
      <c r="B69" s="13" t="inlineStr">
        <is>
          <t>Props</t>
        </is>
      </c>
      <c r="C69" s="13" t="inlineStr">
        <is>
          <t>Ellipsis</t>
        </is>
      </c>
      <c r="D69" s="13" t="inlineStr">
        <is>
          <t>non-Atom native props pass through with data-prop-check marker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Pagination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Refs</t>
        </is>
      </c>
      <c r="C70" s="13" t="inlineStr">
        <is>
          <t>Ellipsis</t>
        </is>
      </c>
      <c r="D70" s="13" t="inlineStr">
        <is>
          <t>consumer ref receives the rendered element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Pagination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Composition</t>
        </is>
      </c>
      <c r="C71" s="13" t="inlineStr">
        <is>
          <t>Ellipsis</t>
        </is>
      </c>
      <c r="D71" s="13" t="inlineStr">
        <is>
          <t>asChild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Pagination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Composition</t>
        </is>
      </c>
      <c r="C72" s="13" t="inlineStr">
        <is>
          <t>Ellipsis</t>
        </is>
      </c>
      <c r="D72" s="13" t="inlineStr">
        <is>
          <t>render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Pagination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Ellipsis</t>
        </is>
      </c>
      <c r="D73" s="13" t="inlineStr">
        <is>
          <t>[data-slot]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Pagination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Anatomy</t>
        </is>
      </c>
      <c r="C74" s="13" t="inlineStr">
        <is>
          <t>Next</t>
        </is>
      </c>
      <c r="D74" s="13" t="inlineStr">
        <is>
          <t>renders correct part when expected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Pagination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Anatomy</t>
        </is>
      </c>
      <c r="C75" s="13" t="inlineStr">
        <is>
          <t>Next</t>
        </is>
      </c>
      <c r="D75" s="13" t="inlineStr">
        <is>
          <t>appears in documented order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Pagination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Identity</t>
        </is>
      </c>
      <c r="C76" s="13" t="inlineStr">
        <is>
          <t>Next</t>
        </is>
      </c>
      <c r="D76" s="13" t="inlineStr">
        <is>
          <t>default tag is visible in Anatomy/Inspector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Pagination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Identity</t>
        </is>
      </c>
      <c r="C77" s="13" t="inlineStr">
        <is>
          <t>Next</t>
        </is>
      </c>
      <c r="D77" s="13" t="inlineStr">
        <is>
          <t>data-slot is present and correct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Pagination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30" customHeight="1" s="24">
      <c r="A78" s="12" t="n">
        <v>70</v>
      </c>
      <c r="B78" s="13" t="inlineStr">
        <is>
          <t>Props</t>
        </is>
      </c>
      <c r="C78" s="13" t="inlineStr">
        <is>
          <t>Next</t>
        </is>
      </c>
      <c r="D78" s="13" t="inlineStr">
        <is>
          <t>non-Atom native props pass through with data-prop-check marker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Pagination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Refs</t>
        </is>
      </c>
      <c r="C79" s="13" t="inlineStr">
        <is>
          <t>Next</t>
        </is>
      </c>
      <c r="D79" s="13" t="inlineStr">
        <is>
          <t>consumer ref receives the rendered element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Pagination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Accessibility</t>
        </is>
      </c>
      <c r="C80" s="13" t="inlineStr">
        <is>
          <t>Next</t>
        </is>
      </c>
      <c r="D80" s="13" t="inlineStr">
        <is>
          <t>aria-label prop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Pagination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Composition</t>
        </is>
      </c>
      <c r="C81" s="13" t="inlineStr">
        <is>
          <t>Next</t>
        </is>
      </c>
      <c r="D81" s="13" t="inlineStr">
        <is>
          <t>asChild prop behavior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Pagination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Composition</t>
        </is>
      </c>
      <c r="C82" s="13" t="inlineStr">
        <is>
          <t>Next</t>
        </is>
      </c>
      <c r="D82" s="13" t="inlineStr">
        <is>
          <t>render prop behavior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Pagination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Public API</t>
        </is>
      </c>
      <c r="C83" s="13" t="inlineStr">
        <is>
          <t>Next</t>
        </is>
      </c>
      <c r="D83" s="13" t="inlineStr">
        <is>
          <t>[data-slot] prop behavior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Pagination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Public API</t>
        </is>
      </c>
      <c r="C84" s="13" t="inlineStr">
        <is>
          <t>Next</t>
        </is>
      </c>
      <c r="D84" s="13" t="inlineStr">
        <is>
          <t>[data-direction] prop behavior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Pagination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State</t>
        </is>
      </c>
      <c r="C85" s="13" t="inlineStr">
        <is>
          <t>Next</t>
        </is>
      </c>
      <c r="D85" s="13" t="inlineStr">
        <is>
          <t>[data-disabled] prop behavior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Pagination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Anatomy</t>
        </is>
      </c>
      <c r="C86" s="13" t="inlineStr">
        <is>
          <t>Previous</t>
        </is>
      </c>
      <c r="D86" s="13" t="inlineStr">
        <is>
          <t>renders correct part when expected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Pagination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Anatomy</t>
        </is>
      </c>
      <c r="C87" s="13" t="inlineStr">
        <is>
          <t>Previous</t>
        </is>
      </c>
      <c r="D87" s="13" t="inlineStr">
        <is>
          <t>appears in documented order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Pagination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Identity</t>
        </is>
      </c>
      <c r="C88" s="13" t="inlineStr">
        <is>
          <t>Previous</t>
        </is>
      </c>
      <c r="D88" s="13" t="inlineStr">
        <is>
          <t>default tag is visible in Anatomy/Inspector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Pagination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Identity</t>
        </is>
      </c>
      <c r="C89" s="13" t="inlineStr">
        <is>
          <t>Previous</t>
        </is>
      </c>
      <c r="D89" s="13" t="inlineStr">
        <is>
          <t>data-slot is present and correct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Pagination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30" customHeight="1" s="24">
      <c r="A90" s="12" t="n">
        <v>82</v>
      </c>
      <c r="B90" s="13" t="inlineStr">
        <is>
          <t>Props</t>
        </is>
      </c>
      <c r="C90" s="13" t="inlineStr">
        <is>
          <t>Previous</t>
        </is>
      </c>
      <c r="D90" s="13" t="inlineStr">
        <is>
          <t>non-Atom native props pass through with data-prop-check marker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Pagination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Refs</t>
        </is>
      </c>
      <c r="C91" s="13" t="inlineStr">
        <is>
          <t>Previous</t>
        </is>
      </c>
      <c r="D91" s="13" t="inlineStr">
        <is>
          <t>consumer ref receives the rendered element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Pagination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Accessibility</t>
        </is>
      </c>
      <c r="C92" s="13" t="inlineStr">
        <is>
          <t>Previous</t>
        </is>
      </c>
      <c r="D92" s="13" t="inlineStr">
        <is>
          <t>aria-label prop behavior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Pagination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Composition</t>
        </is>
      </c>
      <c r="C93" s="13" t="inlineStr">
        <is>
          <t>Previous</t>
        </is>
      </c>
      <c r="D93" s="13" t="inlineStr">
        <is>
          <t>asChild prop behavior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Pagination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Composition</t>
        </is>
      </c>
      <c r="C94" s="13" t="inlineStr">
        <is>
          <t>Previous</t>
        </is>
      </c>
      <c r="D94" s="13" t="inlineStr">
        <is>
          <t>render prop behavior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Pagination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Public API</t>
        </is>
      </c>
      <c r="C95" s="13" t="inlineStr">
        <is>
          <t>Previous</t>
        </is>
      </c>
      <c r="D95" s="13" t="inlineStr">
        <is>
          <t>[data-slot] prop behavior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Pagination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Public API</t>
        </is>
      </c>
      <c r="C96" s="13" t="inlineStr">
        <is>
          <t>Previous</t>
        </is>
      </c>
      <c r="D96" s="13" t="inlineStr">
        <is>
          <t>[data-direction] prop behavior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Pagination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State</t>
        </is>
      </c>
      <c r="C97" s="13" t="inlineStr">
        <is>
          <t>Previous</t>
        </is>
      </c>
      <c r="D97" s="13" t="inlineStr">
        <is>
          <t>[data-disabled] prop behavior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Pagination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ARIA</t>
        </is>
      </c>
      <c r="C98" s="13" t="inlineStr">
        <is>
          <t>Live DOM</t>
        </is>
      </c>
      <c r="D98" s="13" t="inlineStr">
        <is>
          <t>aria-current is present at the correct time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Pagination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ARIA</t>
        </is>
      </c>
      <c r="C99" s="13" t="inlineStr">
        <is>
          <t>Live DOM</t>
        </is>
      </c>
      <c r="D99" s="13" t="inlineStr">
        <is>
          <t>aria-hidden is present at the correct time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Pagination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ARIA</t>
        </is>
      </c>
      <c r="C100" s="13" t="inlineStr">
        <is>
          <t>Live DOM</t>
        </is>
      </c>
      <c r="D100" s="13" t="inlineStr">
        <is>
          <t>aria-label is present at the correct time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Pagination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Data</t>
        </is>
      </c>
      <c r="C101" s="13" t="inlineStr">
        <is>
          <t>Live DOM</t>
        </is>
      </c>
      <c r="D101" s="13" t="inlineStr">
        <is>
          <t>data-direction is present at the correct time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Pagination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Data</t>
        </is>
      </c>
      <c r="C102" s="13" t="inlineStr">
        <is>
          <t>Live DOM</t>
        </is>
      </c>
      <c r="D102" s="13" t="inlineStr">
        <is>
          <t>data-disabled is present at the correct time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Pagination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Data</t>
        </is>
      </c>
      <c r="C103" s="13" t="inlineStr">
        <is>
          <t>Live DOM</t>
        </is>
      </c>
      <c r="D103" s="13" t="inlineStr">
        <is>
          <t>data-page is present at the correct time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Pagination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Data</t>
        </is>
      </c>
      <c r="C104" s="13" t="inlineStr">
        <is>
          <t>Live DOM</t>
        </is>
      </c>
      <c r="D104" s="13" t="inlineStr">
        <is>
          <t>data-slot is present at the correct time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Pagination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Data</t>
        </is>
      </c>
      <c r="C105" s="13" t="inlineStr">
        <is>
          <t>Live DOM</t>
        </is>
      </c>
      <c r="D105" s="13" t="inlineStr">
        <is>
          <t>data-state is present at the correct time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Pagination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Composition</t>
        </is>
      </c>
      <c r="C106" s="13" t="inlineStr">
        <is>
          <t>Pagination</t>
        </is>
      </c>
      <c r="D106" s="13" t="inlineStr">
        <is>
          <t>asChild preserves child content without double nesting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Pagination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Composition</t>
        </is>
      </c>
      <c r="C107" s="13" t="inlineStr">
        <is>
          <t>Pagination</t>
        </is>
      </c>
      <c r="D107" s="13" t="inlineStr">
        <is>
          <t>asChild merges Atom props and consumer props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Pagination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30" customHeight="1" s="24">
      <c r="A108" s="12" t="n">
        <v>100</v>
      </c>
      <c r="B108" s="13" t="inlineStr">
        <is>
          <t>Composition</t>
        </is>
      </c>
      <c r="C108" s="13" t="inlineStr">
        <is>
          <t>Pagination</t>
        </is>
      </c>
      <c r="D108" s="13" t="inlineStr">
        <is>
          <t>asChild lets preventDefault block Atom behavior where supported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Pagination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Composition</t>
        </is>
      </c>
      <c r="C109" s="13" t="inlineStr">
        <is>
          <t>Pagination</t>
        </is>
      </c>
      <c r="D109" s="13" t="inlineStr">
        <is>
          <t>render prop renders custom element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Pagination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Composition</t>
        </is>
      </c>
      <c r="C110" s="13" t="inlineStr">
        <is>
          <t>Pagination</t>
        </is>
      </c>
      <c r="D110" s="13" t="inlineStr">
        <is>
          <t>render prop preserves refs and behavior props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Pagination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State</t>
        </is>
      </c>
      <c r="C111" s="13" t="inlineStr">
        <is>
          <t>Root</t>
        </is>
      </c>
      <c r="D111" s="13" t="inlineStr">
        <is>
          <t>controlled state path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Pagination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State</t>
        </is>
      </c>
      <c r="C112" s="13" t="inlineStr">
        <is>
          <t>Root</t>
        </is>
      </c>
      <c r="D112" s="13" t="inlineStr">
        <is>
          <t>uncontrolled default state path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Pagination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State</t>
        </is>
      </c>
      <c r="C113" s="13" t="inlineStr">
        <is>
          <t>Root</t>
        </is>
      </c>
      <c r="D113" s="13" t="inlineStr">
        <is>
          <t>state change callback fires once with correct value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Pagination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Keyboard</t>
        </is>
      </c>
      <c r="C114" s="13" t="inlineStr">
        <is>
          <t>Pagination</t>
        </is>
      </c>
      <c r="D114" s="13" t="inlineStr">
        <is>
          <t>Arrow key navigation follows documented orientation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Pagination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Keyboard</t>
        </is>
      </c>
      <c r="C115" s="13" t="inlineStr">
        <is>
          <t>Pagination</t>
        </is>
      </c>
      <c r="D115" s="13" t="inlineStr">
        <is>
          <t>Home and End navigation where supported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Pagination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Keyboard</t>
        </is>
      </c>
      <c r="C116" s="13" t="inlineStr">
        <is>
          <t>Pagination</t>
        </is>
      </c>
      <c r="D116" s="13" t="inlineStr">
        <is>
          <t>disabled items are skipped or exposed according to pattern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Pagination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Keyboard</t>
        </is>
      </c>
      <c r="C117" s="13" t="inlineStr">
        <is>
          <t>Pagination</t>
        </is>
      </c>
      <c r="D117" s="13" t="inlineStr">
        <is>
          <t>typeahead/search behavior where supported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Pagination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Focus</t>
        </is>
      </c>
      <c r="C118" s="13" t="inlineStr">
        <is>
          <t>Pagination</t>
        </is>
      </c>
      <c r="D118" s="13" t="inlineStr">
        <is>
          <t>roving focus or active descendant state is visible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Pagination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</sheetData>
  <autoFilter ref="A8:K118"/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PasswordToggleField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IFERROR(SUM(K9:K113)/COUNT(K9:K113),0)</f>
        <v/>
      </c>
      <c r="C4" s="8" t="inlineStr">
        <is>
          <t>Covered</t>
        </is>
      </c>
      <c r="D4" s="10">
        <f>COUNTIFS(E9:E113,"yes",F9:F113,"yes",H9:H113,"covered")</f>
        <v/>
      </c>
      <c r="E4" s="8" t="inlineStr">
        <is>
          <t>Partial</t>
        </is>
      </c>
      <c r="F4" s="10">
        <f>COUNTIF(H9:H113,"partial")</f>
        <v/>
      </c>
      <c r="G4" s="8" t="inlineStr">
        <is>
          <t>Missing</t>
        </is>
      </c>
      <c r="H4" s="10">
        <f>COUNTIFS(E9:E113,"&lt;&gt;yes") + COUNTIFS(E9:E113,"yes",H9:H113,"missing")</f>
        <v/>
      </c>
      <c r="I4" s="8" t="inlineStr">
        <is>
          <t>Untested</t>
        </is>
      </c>
      <c r="J4" s="10">
        <f>COUNTIFS(E9:E113,"yes",F9:F113,"&lt;&gt;yes") + COUNTIFS(E9:E113,"yes",F9:F113,"yes",H9:H113,"untested")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PasswordToggleField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PasswordToggleField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PasswordToggleField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PasswordToggleField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45" customHeight="1" s="24">
      <c r="A11" s="12" t="n">
        <v>3</v>
      </c>
      <c r="B11" s="13" t="inlineStr">
        <is>
          <t>Playground</t>
        </is>
      </c>
      <c r="C11" s="13" t="inlineStr">
        <is>
          <t>PasswordToggleField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PasswordToggleField playground page uses shared Canvas/Source, Anatomy, Inspector, and Log infrastructure.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PasswordToggleField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PasswordToggleField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PasswordToggleField</t>
        </is>
      </c>
      <c r="D13" s="13" t="inlineStr">
        <is>
          <t>Controlled and uncontrolled password visibility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PasswordToggleField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PasswordToggleField</t>
        </is>
      </c>
      <c r="D14" s="13" t="inlineStr">
        <is>
          <t>Native password input type switching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PasswordToggleField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PasswordToggleField</t>
        </is>
      </c>
      <c r="D15" s="13" t="inlineStr">
        <is>
          <t>Toggle button with dynamic accessible label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PasswordToggleField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PasswordToggleField</t>
        </is>
      </c>
      <c r="D16" s="13" t="inlineStr">
        <is>
          <t>Optional icon part that switches visible/hidden content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PasswordToggleField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PasswordToggleField</t>
        </is>
      </c>
      <c r="D17" s="13" t="inlineStr">
        <is>
          <t>Disabled, read-only, required, and invalid state propagation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PasswordToggleField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PasswordToggleField</t>
        </is>
      </c>
      <c r="D18" s="13" t="inlineStr">
        <is>
          <t>Headless only: no icon, layout, or visual affordance is included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PasswordToggleField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PasswordToggleField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4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PasswordToggleField form-field playground page exposes this part/prop in Anatomy, Inspector, Source, or toolbar controls.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PasswordToggleField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PasswordToggleField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PasswordToggleField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PasswordToggleField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visible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PasswordToggleField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defaultVisible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PasswordToggleField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onVisibleChange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PasswordToggleField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disabled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PasswordToggleField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readOnly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PasswordToggleField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required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PasswordToggleField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invalid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PasswordToggleField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Anatomy</t>
        </is>
      </c>
      <c r="C32" s="13" t="inlineStr">
        <is>
          <t>Icon</t>
        </is>
      </c>
      <c r="D32" s="13" t="inlineStr">
        <is>
          <t>renders correct part when expected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PasswordToggleField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45" customHeight="1" s="24">
      <c r="A33" s="12" t="n">
        <v>25</v>
      </c>
      <c r="B33" s="13" t="inlineStr">
        <is>
          <t>Anatomy</t>
        </is>
      </c>
      <c r="C33" s="13" t="inlineStr">
        <is>
          <t>Icon</t>
        </is>
      </c>
      <c r="D33" s="13" t="inlineStr">
        <is>
          <t>appears in documented order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PasswordToggleField form-field playground page exposes this part/prop in Anatomy, Inspector, Source, or toolbar controls.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Identity</t>
        </is>
      </c>
      <c r="C34" s="13" t="inlineStr">
        <is>
          <t>Icon</t>
        </is>
      </c>
      <c r="D34" s="13" t="inlineStr">
        <is>
          <t>default tag is visible in Anatomy/Inspector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PasswordToggleField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Identity</t>
        </is>
      </c>
      <c r="C35" s="13" t="inlineStr">
        <is>
          <t>Icon</t>
        </is>
      </c>
      <c r="D35" s="13" t="inlineStr">
        <is>
          <t>data-slot is present and correct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PasswordToggleField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30" customHeight="1" s="24">
      <c r="A36" s="12" t="n">
        <v>28</v>
      </c>
      <c r="B36" s="13" t="inlineStr">
        <is>
          <t>Props</t>
        </is>
      </c>
      <c r="C36" s="13" t="inlineStr">
        <is>
          <t>Icon</t>
        </is>
      </c>
      <c r="D36" s="13" t="inlineStr">
        <is>
          <t>non-Atom native props pass through with data-prop-check marker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PasswordToggleField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Refs</t>
        </is>
      </c>
      <c r="C37" s="13" t="inlineStr">
        <is>
          <t>Icon</t>
        </is>
      </c>
      <c r="D37" s="13" t="inlineStr">
        <is>
          <t>consumer ref receives the rendered element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PasswordToggleField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Icon</t>
        </is>
      </c>
      <c r="D38" s="13" t="inlineStr">
        <is>
          <t>visible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PasswordToggleField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Icon</t>
        </is>
      </c>
      <c r="D39" s="13" t="inlineStr">
        <is>
          <t>hidden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PasswordToggleField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Icon</t>
        </is>
      </c>
      <c r="D40" s="13" t="inlineStr">
        <is>
          <t>data-slot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PasswordToggleField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Icon</t>
        </is>
      </c>
      <c r="D41" s="13" t="inlineStr">
        <is>
          <t>[data-slot]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PasswordToggleField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Icon</t>
        </is>
      </c>
      <c r="D42" s="13" t="inlineStr">
        <is>
          <t>[data-visible]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PasswordToggleField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Anatomy</t>
        </is>
      </c>
      <c r="C43" s="13" t="inlineStr">
        <is>
          <t>Input</t>
        </is>
      </c>
      <c r="D43" s="13" t="inlineStr">
        <is>
          <t>renders correct part when expected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PasswordToggleField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45" customHeight="1" s="24">
      <c r="A44" s="12" t="n">
        <v>36</v>
      </c>
      <c r="B44" s="13" t="inlineStr">
        <is>
          <t>Anatomy</t>
        </is>
      </c>
      <c r="C44" s="13" t="inlineStr">
        <is>
          <t>Input</t>
        </is>
      </c>
      <c r="D44" s="13" t="inlineStr">
        <is>
          <t>appears in documented order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PasswordToggleField form-field playground page exposes this part/prop in Anatomy, Inspector, Source, or toolbar controls.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Identity</t>
        </is>
      </c>
      <c r="C45" s="13" t="inlineStr">
        <is>
          <t>Input</t>
        </is>
      </c>
      <c r="D45" s="13" t="inlineStr">
        <is>
          <t>default tag is visible in Anatomy/Inspector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PasswordToggleField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Identity</t>
        </is>
      </c>
      <c r="C46" s="13" t="inlineStr">
        <is>
          <t>Input</t>
        </is>
      </c>
      <c r="D46" s="13" t="inlineStr">
        <is>
          <t>data-slot is present and correct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PasswordToggleField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30" customHeight="1" s="24">
      <c r="A47" s="12" t="n">
        <v>39</v>
      </c>
      <c r="B47" s="13" t="inlineStr">
        <is>
          <t>Props</t>
        </is>
      </c>
      <c r="C47" s="13" t="inlineStr">
        <is>
          <t>Input</t>
        </is>
      </c>
      <c r="D47" s="13" t="inlineStr">
        <is>
          <t>non-Atom native props pass through with data-prop-check marker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PasswordToggleField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Refs</t>
        </is>
      </c>
      <c r="C48" s="13" t="inlineStr">
        <is>
          <t>Input</t>
        </is>
      </c>
      <c r="D48" s="13" t="inlineStr">
        <is>
          <t>consumer ref receives the rendered element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PasswordToggleField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Input</t>
        </is>
      </c>
      <c r="D49" s="13" t="inlineStr">
        <is>
          <t>data-slot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PasswordToggleField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Input</t>
        </is>
      </c>
      <c r="D50" s="13" t="inlineStr">
        <is>
          <t>[data-slot]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PasswordToggleField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Input</t>
        </is>
      </c>
      <c r="D51" s="13" t="inlineStr">
        <is>
          <t>[data-visible]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PasswordToggleField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State</t>
        </is>
      </c>
      <c r="C52" s="13" t="inlineStr">
        <is>
          <t>Input</t>
        </is>
      </c>
      <c r="D52" s="13" t="inlineStr">
        <is>
          <t>[data-disabled]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PasswordToggleField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State</t>
        </is>
      </c>
      <c r="C53" s="13" t="inlineStr">
        <is>
          <t>Input</t>
        </is>
      </c>
      <c r="D53" s="13" t="inlineStr">
        <is>
          <t>[data-readonly]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PasswordToggleField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State</t>
        </is>
      </c>
      <c r="C54" s="13" t="inlineStr">
        <is>
          <t>Input</t>
        </is>
      </c>
      <c r="D54" s="13" t="inlineStr">
        <is>
          <t>[data-required]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PasswordToggleField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State</t>
        </is>
      </c>
      <c r="C55" s="13" t="inlineStr">
        <is>
          <t>Input</t>
        </is>
      </c>
      <c r="D55" s="13" t="inlineStr">
        <is>
          <t>[data-invalid]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PasswordToggleField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Toggle</t>
        </is>
      </c>
      <c r="D56" s="13" t="inlineStr">
        <is>
          <t>renders correct part when expected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PasswordToggleField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45" customHeight="1" s="24">
      <c r="A57" s="12" t="n">
        <v>49</v>
      </c>
      <c r="B57" s="13" t="inlineStr">
        <is>
          <t>Anatomy</t>
        </is>
      </c>
      <c r="C57" s="13" t="inlineStr">
        <is>
          <t>Toggle</t>
        </is>
      </c>
      <c r="D57" s="13" t="inlineStr">
        <is>
          <t>appears in documented order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PasswordToggleField form-field playground page exposes this part/prop in Anatomy, Inspector, Source, or toolbar controls.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Toggle</t>
        </is>
      </c>
      <c r="D58" s="13" t="inlineStr">
        <is>
          <t>default tag is visible in Anatomy/Inspector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PasswordToggleField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Toggle</t>
        </is>
      </c>
      <c r="D59" s="13" t="inlineStr">
        <is>
          <t>data-slot is present and correct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PasswordToggleField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Props</t>
        </is>
      </c>
      <c r="C60" s="13" t="inlineStr">
        <is>
          <t>Toggle</t>
        </is>
      </c>
      <c r="D60" s="13" t="inlineStr">
        <is>
          <t>non-Atom native props pass through with data-prop-check marker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PasswordToggleField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Refs</t>
        </is>
      </c>
      <c r="C61" s="13" t="inlineStr">
        <is>
          <t>Toggle</t>
        </is>
      </c>
      <c r="D61" s="13" t="inlineStr">
        <is>
          <t>consumer ref receives the rendered element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PasswordToggleField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Composition</t>
        </is>
      </c>
      <c r="C62" s="13" t="inlineStr">
        <is>
          <t>Toggle</t>
        </is>
      </c>
      <c r="D62" s="13" t="inlineStr">
        <is>
          <t>asChild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PasswordToggleField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Composition</t>
        </is>
      </c>
      <c r="C63" s="13" t="inlineStr">
        <is>
          <t>Toggle</t>
        </is>
      </c>
      <c r="D63" s="13" t="inlineStr">
        <is>
          <t>render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PasswordToggleField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Toggle</t>
        </is>
      </c>
      <c r="D64" s="13" t="inlineStr">
        <is>
          <t>data-slot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PasswordToggleField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Public API</t>
        </is>
      </c>
      <c r="C65" s="13" t="inlineStr">
        <is>
          <t>Toggle</t>
        </is>
      </c>
      <c r="D65" s="13" t="inlineStr">
        <is>
          <t>[data-slot]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PasswordToggleField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Public API</t>
        </is>
      </c>
      <c r="C66" s="13" t="inlineStr">
        <is>
          <t>Toggle</t>
        </is>
      </c>
      <c r="D66" s="13" t="inlineStr">
        <is>
          <t>[data-visible]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PasswordToggleField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State</t>
        </is>
      </c>
      <c r="C67" s="13" t="inlineStr">
        <is>
          <t>Toggle</t>
        </is>
      </c>
      <c r="D67" s="13" t="inlineStr">
        <is>
          <t>[data-disabled]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PasswordToggleField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State</t>
        </is>
      </c>
      <c r="C68" s="13" t="inlineStr">
        <is>
          <t>Toggle</t>
        </is>
      </c>
      <c r="D68" s="13" t="inlineStr">
        <is>
          <t>[data-readonly]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PasswordToggleField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State</t>
        </is>
      </c>
      <c r="C69" s="13" t="inlineStr">
        <is>
          <t>Toggle</t>
        </is>
      </c>
      <c r="D69" s="13" t="inlineStr">
        <is>
          <t>[data-required]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PasswordToggleField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State</t>
        </is>
      </c>
      <c r="C70" s="13" t="inlineStr">
        <is>
          <t>Toggle</t>
        </is>
      </c>
      <c r="D70" s="13" t="inlineStr">
        <is>
          <t>[data-invalid]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PasswordToggleField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Anatomy</t>
        </is>
      </c>
      <c r="C71" s="13" t="inlineStr">
        <is>
          <t>ToggleFieldIcon</t>
        </is>
      </c>
      <c r="D71" s="13" t="inlineStr">
        <is>
          <t>renders correct part when expected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PasswordToggleField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45" customHeight="1" s="24">
      <c r="A72" s="12" t="n">
        <v>64</v>
      </c>
      <c r="B72" s="13" t="inlineStr">
        <is>
          <t>Anatomy</t>
        </is>
      </c>
      <c r="C72" s="13" t="inlineStr">
        <is>
          <t>ToggleFieldIcon</t>
        </is>
      </c>
      <c r="D72" s="13" t="inlineStr">
        <is>
          <t>appears in documented order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PasswordToggleField form-field playground page exposes this part/prop in Anatomy, Inspector, Source, or toolbar controls.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Identity</t>
        </is>
      </c>
      <c r="C73" s="13" t="inlineStr">
        <is>
          <t>ToggleFieldIcon</t>
        </is>
      </c>
      <c r="D73" s="13" t="inlineStr">
        <is>
          <t>default tag is visible in Anatomy/Inspector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PasswordToggleField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Identity</t>
        </is>
      </c>
      <c r="C74" s="13" t="inlineStr">
        <is>
          <t>ToggleFieldIcon</t>
        </is>
      </c>
      <c r="D74" s="13" t="inlineStr">
        <is>
          <t>data-slot is present and correct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PasswordToggleField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30" customHeight="1" s="24">
      <c r="A75" s="12" t="n">
        <v>67</v>
      </c>
      <c r="B75" s="13" t="inlineStr">
        <is>
          <t>Props</t>
        </is>
      </c>
      <c r="C75" s="13" t="inlineStr">
        <is>
          <t>ToggleFieldIcon</t>
        </is>
      </c>
      <c r="D75" s="13" t="inlineStr">
        <is>
          <t>non-Atom native props pass through with data-prop-check marker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PasswordToggleField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Refs</t>
        </is>
      </c>
      <c r="C76" s="13" t="inlineStr">
        <is>
          <t>ToggleFieldIcon</t>
        </is>
      </c>
      <c r="D76" s="13" t="inlineStr">
        <is>
          <t>consumer ref receives the rendered element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PasswordToggleField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Anatomy</t>
        </is>
      </c>
      <c r="C77" s="13" t="inlineStr">
        <is>
          <t>ToggleFieldInput</t>
        </is>
      </c>
      <c r="D77" s="13" t="inlineStr">
        <is>
          <t>renders correct part when expected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PasswordToggleField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45" customHeight="1" s="24">
      <c r="A78" s="12" t="n">
        <v>70</v>
      </c>
      <c r="B78" s="13" t="inlineStr">
        <is>
          <t>Anatomy</t>
        </is>
      </c>
      <c r="C78" s="13" t="inlineStr">
        <is>
          <t>ToggleFieldInput</t>
        </is>
      </c>
      <c r="D78" s="13" t="inlineStr">
        <is>
          <t>appears in documented order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PasswordToggleField form-field playground page exposes this part/prop in Anatomy, Inspector, Source, or toolbar controls.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Identity</t>
        </is>
      </c>
      <c r="C79" s="13" t="inlineStr">
        <is>
          <t>ToggleFieldInput</t>
        </is>
      </c>
      <c r="D79" s="13" t="inlineStr">
        <is>
          <t>default tag is visible in Anatomy/Inspector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PasswordToggleField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ToggleFieldInput</t>
        </is>
      </c>
      <c r="D80" s="13" t="inlineStr">
        <is>
          <t>data-slot is present and correct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PasswordToggleField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Props</t>
        </is>
      </c>
      <c r="C81" s="13" t="inlineStr">
        <is>
          <t>ToggleFieldInput</t>
        </is>
      </c>
      <c r="D81" s="13" t="inlineStr">
        <is>
          <t>non-Atom native props pass through with data-prop-check marker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PasswordToggleField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Refs</t>
        </is>
      </c>
      <c r="C82" s="13" t="inlineStr">
        <is>
          <t>ToggleFieldInput</t>
        </is>
      </c>
      <c r="D82" s="13" t="inlineStr">
        <is>
          <t>consumer ref receives the rendered element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PasswordToggleField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Anatomy</t>
        </is>
      </c>
      <c r="C83" s="13" t="inlineStr">
        <is>
          <t>ToggleFieldToggle</t>
        </is>
      </c>
      <c r="D83" s="13" t="inlineStr">
        <is>
          <t>renders correct part when expected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PasswordToggleField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45" customHeight="1" s="24">
      <c r="A84" s="12" t="n">
        <v>76</v>
      </c>
      <c r="B84" s="13" t="inlineStr">
        <is>
          <t>Anatomy</t>
        </is>
      </c>
      <c r="C84" s="13" t="inlineStr">
        <is>
          <t>ToggleFieldToggle</t>
        </is>
      </c>
      <c r="D84" s="13" t="inlineStr">
        <is>
          <t>appears in documented order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PasswordToggleField form-field playground page exposes this part/prop in Anatomy, Inspector, Source, or toolbar controls.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Identity</t>
        </is>
      </c>
      <c r="C85" s="13" t="inlineStr">
        <is>
          <t>ToggleFieldToggle</t>
        </is>
      </c>
      <c r="D85" s="13" t="inlineStr">
        <is>
          <t>default tag is visible in Anatomy/Inspector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PasswordToggleField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Identity</t>
        </is>
      </c>
      <c r="C86" s="13" t="inlineStr">
        <is>
          <t>ToggleFieldToggle</t>
        </is>
      </c>
      <c r="D86" s="13" t="inlineStr">
        <is>
          <t>data-slot is present and correct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PasswordToggleField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30" customHeight="1" s="24">
      <c r="A87" s="12" t="n">
        <v>79</v>
      </c>
      <c r="B87" s="13" t="inlineStr">
        <is>
          <t>Props</t>
        </is>
      </c>
      <c r="C87" s="13" t="inlineStr">
        <is>
          <t>ToggleFieldToggle</t>
        </is>
      </c>
      <c r="D87" s="13" t="inlineStr">
        <is>
          <t>non-Atom native props pass through with data-prop-check marker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PasswordToggleField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Refs</t>
        </is>
      </c>
      <c r="C88" s="13" t="inlineStr">
        <is>
          <t>ToggleFieldToggle</t>
        </is>
      </c>
      <c r="D88" s="13" t="inlineStr">
        <is>
          <t>consumer ref receives the rendered element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PasswordToggleField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ARIA</t>
        </is>
      </c>
      <c r="C89" s="13" t="inlineStr">
        <is>
          <t>Live DOM</t>
        </is>
      </c>
      <c r="D89" s="13" t="inlineStr">
        <is>
          <t>aria-hidden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PasswordToggleField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ARIA</t>
        </is>
      </c>
      <c r="C90" s="13" t="inlineStr">
        <is>
          <t>Live DOM</t>
        </is>
      </c>
      <c r="D90" s="13" t="inlineStr">
        <is>
          <t>aria-invalid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PasswordToggleField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ARIA</t>
        </is>
      </c>
      <c r="C91" s="13" t="inlineStr">
        <is>
          <t>Live DOM</t>
        </is>
      </c>
      <c r="D91" s="13" t="inlineStr">
        <is>
          <t>aria-label is present at the correct time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PasswordToggleField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ARIA</t>
        </is>
      </c>
      <c r="C92" s="13" t="inlineStr">
        <is>
          <t>Live DOM</t>
        </is>
      </c>
      <c r="D92" s="13" t="inlineStr">
        <is>
          <t>aria-readonly is present at the correct time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PasswordToggleField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ARIA</t>
        </is>
      </c>
      <c r="C93" s="13" t="inlineStr">
        <is>
          <t>Live DOM</t>
        </is>
      </c>
      <c r="D93" s="13" t="inlineStr">
        <is>
          <t>aria-required is present at the correct time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PasswordToggleField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Data</t>
        </is>
      </c>
      <c r="C94" s="13" t="inlineStr">
        <is>
          <t>Live DOM</t>
        </is>
      </c>
      <c r="D94" s="13" t="inlineStr">
        <is>
          <t>data-disabled is present at the correct time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PasswordToggleField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Data</t>
        </is>
      </c>
      <c r="C95" s="13" t="inlineStr">
        <is>
          <t>Live DOM</t>
        </is>
      </c>
      <c r="D95" s="13" t="inlineStr">
        <is>
          <t>data-invalid is present at the correct time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PasswordToggleField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Data</t>
        </is>
      </c>
      <c r="C96" s="13" t="inlineStr">
        <is>
          <t>Live DOM</t>
        </is>
      </c>
      <c r="D96" s="13" t="inlineStr">
        <is>
          <t>data-readonly is present at the correct time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PasswordToggleField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Data</t>
        </is>
      </c>
      <c r="C97" s="13" t="inlineStr">
        <is>
          <t>Live DOM</t>
        </is>
      </c>
      <c r="D97" s="13" t="inlineStr">
        <is>
          <t>data-required is present at the correct time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PasswordToggleField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Data</t>
        </is>
      </c>
      <c r="C98" s="13" t="inlineStr">
        <is>
          <t>Live DOM</t>
        </is>
      </c>
      <c r="D98" s="13" t="inlineStr">
        <is>
          <t>data-slot is present at the correct time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PasswordToggleField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Data</t>
        </is>
      </c>
      <c r="C99" s="13" t="inlineStr">
        <is>
          <t>Live DOM</t>
        </is>
      </c>
      <c r="D99" s="13" t="inlineStr">
        <is>
          <t>data-state is present at the correct time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PasswordToggleField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Composition</t>
        </is>
      </c>
      <c r="C100" s="13" t="inlineStr">
        <is>
          <t>PasswordToggleField</t>
        </is>
      </c>
      <c r="D100" s="13" t="inlineStr">
        <is>
          <t>asChild preserves child content without double nesting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PasswordToggleField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Composition</t>
        </is>
      </c>
      <c r="C101" s="13" t="inlineStr">
        <is>
          <t>PasswordToggleField</t>
        </is>
      </c>
      <c r="D101" s="13" t="inlineStr">
        <is>
          <t>asChild merges Atom props and consumer props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PasswordToggleField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30" customHeight="1" s="24">
      <c r="A102" s="12" t="n">
        <v>94</v>
      </c>
      <c r="B102" s="13" t="inlineStr">
        <is>
          <t>Composition</t>
        </is>
      </c>
      <c r="C102" s="13" t="inlineStr">
        <is>
          <t>PasswordToggleField</t>
        </is>
      </c>
      <c r="D102" s="13" t="inlineStr">
        <is>
          <t>asChild lets preventDefault block Atom behavior where supported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PasswordToggleField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Composition</t>
        </is>
      </c>
      <c r="C103" s="13" t="inlineStr">
        <is>
          <t>PasswordToggleField</t>
        </is>
      </c>
      <c r="D103" s="13" t="inlineStr">
        <is>
          <t>render prop renders custom element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PasswordToggleField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Composition</t>
        </is>
      </c>
      <c r="C104" s="13" t="inlineStr">
        <is>
          <t>PasswordToggleField</t>
        </is>
      </c>
      <c r="D104" s="13" t="inlineStr">
        <is>
          <t>render prop preserves refs and behavior props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PasswordToggleField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State</t>
        </is>
      </c>
      <c r="C105" s="13" t="inlineStr">
        <is>
          <t>Root</t>
        </is>
      </c>
      <c r="D105" s="13" t="inlineStr">
        <is>
          <t>controlled state path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PasswordToggleField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State</t>
        </is>
      </c>
      <c r="C106" s="13" t="inlineStr">
        <is>
          <t>Root</t>
        </is>
      </c>
      <c r="D106" s="13" t="inlineStr">
        <is>
          <t>uncontrolled default state path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PasswordToggleField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45" customHeight="1" s="24">
      <c r="A107" s="12" t="n">
        <v>99</v>
      </c>
      <c r="B107" s="13" t="inlineStr">
        <is>
          <t>State</t>
        </is>
      </c>
      <c r="C107" s="13" t="inlineStr">
        <is>
          <t>Root</t>
        </is>
      </c>
      <c r="D107" s="13" t="inlineStr">
        <is>
          <t>state change callback fires once with correct value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PasswordToggleField form-field playground page exposes this part/prop in Anatomy, Inspector, Source, or toolbar controls.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30" customHeight="1" s="24">
      <c r="A108" s="12" t="n">
        <v>100</v>
      </c>
      <c r="B108" s="13" t="inlineStr">
        <is>
          <t>State</t>
        </is>
      </c>
      <c r="C108" s="13" t="inlineStr">
        <is>
          <t>PasswordToggleField</t>
        </is>
      </c>
      <c r="D108" s="13" t="inlineStr">
        <is>
          <t>disabled state blocks or exposes behavior correctly where supported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PasswordToggleField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30" customHeight="1" s="24">
      <c r="A109" s="12" t="n">
        <v>101</v>
      </c>
      <c r="B109" s="13" t="inlineStr">
        <is>
          <t>State</t>
        </is>
      </c>
      <c r="C109" s="13" t="inlineStr">
        <is>
          <t>PasswordToggleField</t>
        </is>
      </c>
      <c r="D109" s="13" t="inlineStr">
        <is>
          <t>readonly/readOnly state blocks or exposes behavior correctly where supported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PasswordToggleField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30" customHeight="1" s="24">
      <c r="A110" s="12" t="n">
        <v>102</v>
      </c>
      <c r="B110" s="13" t="inlineStr">
        <is>
          <t>State</t>
        </is>
      </c>
      <c r="C110" s="13" t="inlineStr">
        <is>
          <t>PasswordToggleField</t>
        </is>
      </c>
      <c r="D110" s="13" t="inlineStr">
        <is>
          <t>required state blocks or exposes behavior correctly where supported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PasswordToggleField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30" customHeight="1" s="24">
      <c r="A111" s="12" t="n">
        <v>103</v>
      </c>
      <c r="B111" s="13" t="inlineStr">
        <is>
          <t>State</t>
        </is>
      </c>
      <c r="C111" s="13" t="inlineStr">
        <is>
          <t>PasswordToggleField</t>
        </is>
      </c>
      <c r="D111" s="13" t="inlineStr">
        <is>
          <t>invalid state blocks or exposes behavior correctly where supported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PasswordToggleField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45" customHeight="1" s="24">
      <c r="A112" s="12" t="n">
        <v>104</v>
      </c>
      <c r="B112" s="13" t="inlineStr">
        <is>
          <t>Forms</t>
        </is>
      </c>
      <c r="C112" s="13" t="inlineStr">
        <is>
          <t>PasswordToggleField</t>
        </is>
      </c>
      <c r="D112" s="13" t="inlineStr">
        <is>
          <t>form value participates correctly where supported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PasswordToggleField source/anatomy identifies whether this state/form behavior is supported for the primitive.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30" customHeight="1" s="24">
      <c r="A113" s="12" t="n">
        <v>105</v>
      </c>
      <c r="B113" s="13" t="inlineStr">
        <is>
          <t>Forms</t>
        </is>
      </c>
      <c r="C113" s="13" t="inlineStr">
        <is>
          <t>PasswordToggleField</t>
        </is>
      </c>
      <c r="D113" s="13" t="inlineStr">
        <is>
          <t>hidden input mirrors value/checked/disabled where supported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PasswordToggleField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</sheetData>
  <autoFilter ref="A8:K113"/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Popover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IFERROR(SUM(K9:K137)/COUNT(K9:K137),0)</f>
        <v/>
      </c>
      <c r="C4" s="8" t="inlineStr">
        <is>
          <t>Covered</t>
        </is>
      </c>
      <c r="D4" s="10">
        <f>COUNTIFS(E9:E137,"yes",F9:F137,"yes",H9:H137,"covered")</f>
        <v/>
      </c>
      <c r="E4" s="8" t="inlineStr">
        <is>
          <t>Partial</t>
        </is>
      </c>
      <c r="F4" s="10">
        <f>COUNTIF(H9:H137,"partial")</f>
        <v/>
      </c>
      <c r="G4" s="8" t="inlineStr">
        <is>
          <t>Missing</t>
        </is>
      </c>
      <c r="H4" s="10">
        <f>COUNTIFS(E9:E137,"&lt;&gt;yes") + COUNTIFS(E9:E137,"yes",H9:H137,"missing")</f>
        <v/>
      </c>
      <c r="I4" s="8" t="inlineStr">
        <is>
          <t>Untested</t>
        </is>
      </c>
      <c r="J4" s="10">
        <f>COUNTIFS(E9:E137,"yes",F9:F137,"&lt;&gt;yes") + COUNTIFS(E9:E137,"yes",F9:F137,"yes",H9:H137,"untested")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Popover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Popover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Popover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Popover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Popover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Popover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Popover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Popover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Popover</t>
        </is>
      </c>
      <c r="D13" s="13" t="inlineStr">
        <is>
          <t>Controlled and uncontrolled open state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Popover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Popover</t>
        </is>
      </c>
      <c r="D14" s="13" t="inlineStr">
        <is>
          <t>Click or hover trigger mode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Popover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Popover</t>
        </is>
      </c>
      <c r="D15" s="13" t="inlineStr">
        <is>
          <t>Optional anchor separate from the trigger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Popover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Popover</t>
        </is>
      </c>
      <c r="D16" s="13" t="inlineStr">
        <is>
          <t>Floating UI positioning with side, align, side offset, collision shift, flip, and arrow coordinates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Popover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Popover</t>
        </is>
      </c>
      <c r="D17" s="13" t="inlineStr">
        <is>
          <t>Modal mode with focus trap and scroll lock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Popover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Popover</t>
        </is>
      </c>
      <c r="D18" s="13" t="inlineStr">
        <is>
          <t>Non-modal focus guards and outside interaction dismissal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Popover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45" customHeight="1" s="24">
      <c r="A19" s="12" t="n">
        <v>11</v>
      </c>
      <c r="B19" s="13" t="inlineStr">
        <is>
          <t>Feature</t>
        </is>
      </c>
      <c r="C19" s="13" t="inlineStr">
        <is>
          <t>Popover</t>
        </is>
      </c>
      <c r="D19" s="13" t="inlineStr">
        <is>
          <t>Stack-aware Escape dismissal for nested overlays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Popover playground exposes dismiss, side/align/offset, portal/content/arrow anatomy, and mobile/manual overlay verification paths.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Feature</t>
        </is>
      </c>
      <c r="C20" s="13" t="inlineStr">
        <is>
          <t>Popover</t>
        </is>
      </c>
      <c r="D20" s="13" t="inlineStr">
        <is>
          <t>Close button part and portal support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Popover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Anatomy</t>
        </is>
      </c>
      <c r="C21" s="13" t="inlineStr">
        <is>
          <t>Root</t>
        </is>
      </c>
      <c r="D21" s="13" t="inlineStr">
        <is>
          <t>renders correct part when expected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Popover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Anatomy</t>
        </is>
      </c>
      <c r="C22" s="13" t="inlineStr">
        <is>
          <t>Root</t>
        </is>
      </c>
      <c r="D22" s="13" t="inlineStr">
        <is>
          <t>appears in documented order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Popover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45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default tag is visible in Anatomy/Inspector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Popover source/anatomy documents whether Root renders DOM; Inspector verifies rendered descendants.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Identity</t>
        </is>
      </c>
      <c r="C24" s="13" t="inlineStr">
        <is>
          <t>Root</t>
        </is>
      </c>
      <c r="D24" s="13" t="inlineStr">
        <is>
          <t>data-slot is present and correct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Popover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30" customHeight="1" s="24">
      <c r="A25" s="12" t="n">
        <v>17</v>
      </c>
      <c r="B25" s="13" t="inlineStr">
        <is>
          <t>Props</t>
        </is>
      </c>
      <c r="C25" s="13" t="inlineStr">
        <is>
          <t>Root</t>
        </is>
      </c>
      <c r="D25" s="13" t="inlineStr">
        <is>
          <t>non-Atom native props pass through with data-prop-check marker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Popover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45" customHeight="1" s="24">
      <c r="A26" s="12" t="n">
        <v>18</v>
      </c>
      <c r="B26" s="13" t="inlineStr">
        <is>
          <t>Refs</t>
        </is>
      </c>
      <c r="C26" s="13" t="inlineStr">
        <is>
          <t>Root</t>
        </is>
      </c>
      <c r="D26" s="13" t="inlineStr">
        <is>
          <t>consumer ref receives the rendered element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Package tests/source review verify consumer ref plumbing for Popover; playground manual pass can inspect rendered DOM behavior.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open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Popover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defaultOpen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Popover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onOpenChange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Popover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Positioning</t>
        </is>
      </c>
      <c r="C30" s="13" t="inlineStr">
        <is>
          <t>Root</t>
        </is>
      </c>
      <c r="D30" s="13" t="inlineStr">
        <is>
          <t>modal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Popover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triggerMode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Popover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Positioning</t>
        </is>
      </c>
      <c r="C32" s="13" t="inlineStr">
        <is>
          <t>Root</t>
        </is>
      </c>
      <c r="D32" s="13" t="inlineStr">
        <is>
          <t>closeOnInteractOutside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Popover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disabled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Popover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Anatomy</t>
        </is>
      </c>
      <c r="C34" s="13" t="inlineStr">
        <is>
          <t>Portal</t>
        </is>
      </c>
      <c r="D34" s="13" t="inlineStr">
        <is>
          <t>renders correct part when expected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Popover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Anatomy</t>
        </is>
      </c>
      <c r="C35" s="13" t="inlineStr">
        <is>
          <t>Portal</t>
        </is>
      </c>
      <c r="D35" s="13" t="inlineStr">
        <is>
          <t>appears in documented order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Popover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45" customHeight="1" s="24">
      <c r="A36" s="12" t="n">
        <v>28</v>
      </c>
      <c r="B36" s="13" t="inlineStr">
        <is>
          <t>Identity</t>
        </is>
      </c>
      <c r="C36" s="13" t="inlineStr">
        <is>
          <t>Portal</t>
        </is>
      </c>
      <c r="D36" s="13" t="inlineStr">
        <is>
          <t>default tag is visible in Anatomy/Inspector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Popover source/anatomy documents whether Portal renders DOM; Inspector verifies rendered descendants.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Identity</t>
        </is>
      </c>
      <c r="C37" s="13" t="inlineStr">
        <is>
          <t>Portal</t>
        </is>
      </c>
      <c r="D37" s="13" t="inlineStr">
        <is>
          <t>data-slot is present and correct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Popover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45" customHeight="1" s="24">
      <c r="A38" s="12" t="n">
        <v>30</v>
      </c>
      <c r="B38" s="13" t="inlineStr">
        <is>
          <t>Props</t>
        </is>
      </c>
      <c r="C38" s="13" t="inlineStr">
        <is>
          <t>Portal</t>
        </is>
      </c>
      <c r="D38" s="13" t="inlineStr">
        <is>
          <t>non-Atom native props pass through with data-prop-check marker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Popover source/anatomy documents whether Portal renders DOM; Inspector verifies rendered descendants.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45" customHeight="1" s="24">
      <c r="A39" s="12" t="n">
        <v>31</v>
      </c>
      <c r="B39" s="13" t="inlineStr">
        <is>
          <t>Refs</t>
        </is>
      </c>
      <c r="C39" s="13" t="inlineStr">
        <is>
          <t>Portal</t>
        </is>
      </c>
      <c r="D39" s="13" t="inlineStr">
        <is>
          <t>consumer ref receives the rendered element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Package tests/source review verify consumer ref plumbing for Popover; playground manual pass can inspect rendered DOM behavior.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45" customHeight="1" s="24">
      <c r="A40" s="12" t="n">
        <v>32</v>
      </c>
      <c r="B40" s="13" t="inlineStr">
        <is>
          <t>Positioning</t>
        </is>
      </c>
      <c r="C40" s="13" t="inlineStr">
        <is>
          <t>Portal</t>
        </is>
      </c>
      <c r="D40" s="13" t="inlineStr">
        <is>
          <t>container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Popover playground exposes dismiss, side/align/offset, portal/content/arrow anatomy, and mobile/manual overlay verification paths.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Portal</t>
        </is>
      </c>
      <c r="D41" s="13" t="inlineStr">
        <is>
          <t>disabled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Popover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Anchor</t>
        </is>
      </c>
      <c r="D42" s="13" t="inlineStr">
        <is>
          <t>renders correct part when expected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Popover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Anatomy</t>
        </is>
      </c>
      <c r="C43" s="13" t="inlineStr">
        <is>
          <t>Anchor</t>
        </is>
      </c>
      <c r="D43" s="13" t="inlineStr">
        <is>
          <t>appears in documented order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Popover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Anchor</t>
        </is>
      </c>
      <c r="D44" s="13" t="inlineStr">
        <is>
          <t>default tag is visible in Anatomy/Inspector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Popover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Identity</t>
        </is>
      </c>
      <c r="C45" s="13" t="inlineStr">
        <is>
          <t>Anchor</t>
        </is>
      </c>
      <c r="D45" s="13" t="inlineStr">
        <is>
          <t>data-slot is present and correct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Popover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30" customHeight="1" s="24">
      <c r="A46" s="12" t="n">
        <v>38</v>
      </c>
      <c r="B46" s="13" t="inlineStr">
        <is>
          <t>Props</t>
        </is>
      </c>
      <c r="C46" s="13" t="inlineStr">
        <is>
          <t>Anchor</t>
        </is>
      </c>
      <c r="D46" s="13" t="inlineStr">
        <is>
          <t>non-Atom native props pass through with data-prop-check marker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Popover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45" customHeight="1" s="24">
      <c r="A47" s="12" t="n">
        <v>39</v>
      </c>
      <c r="B47" s="13" t="inlineStr">
        <is>
          <t>Refs</t>
        </is>
      </c>
      <c r="C47" s="13" t="inlineStr">
        <is>
          <t>Anchor</t>
        </is>
      </c>
      <c r="D47" s="13" t="inlineStr">
        <is>
          <t>consumer ref receives the rendered element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Package tests/source review verify consumer ref plumbing for Popover; playground manual pass can inspect rendered DOM behavior.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Composition</t>
        </is>
      </c>
      <c r="C48" s="13" t="inlineStr">
        <is>
          <t>Anchor</t>
        </is>
      </c>
      <c r="D48" s="13" t="inlineStr">
        <is>
          <t>asChild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Popover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Composition</t>
        </is>
      </c>
      <c r="C49" s="13" t="inlineStr">
        <is>
          <t>Anchor</t>
        </is>
      </c>
      <c r="D49" s="13" t="inlineStr">
        <is>
          <t>render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Popover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Anchor</t>
        </is>
      </c>
      <c r="D50" s="13" t="inlineStr">
        <is>
          <t>data-slot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Popover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Anchor</t>
        </is>
      </c>
      <c r="D51" s="13" t="inlineStr">
        <is>
          <t>[data-slot]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Popover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Anatomy</t>
        </is>
      </c>
      <c r="C52" s="13" t="inlineStr">
        <is>
          <t>Trigger</t>
        </is>
      </c>
      <c r="D52" s="13" t="inlineStr">
        <is>
          <t>renders correct part when expected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Popover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Anatomy</t>
        </is>
      </c>
      <c r="C53" s="13" t="inlineStr">
        <is>
          <t>Trigger</t>
        </is>
      </c>
      <c r="D53" s="13" t="inlineStr">
        <is>
          <t>appears in documented order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Popover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Identity</t>
        </is>
      </c>
      <c r="C54" s="13" t="inlineStr">
        <is>
          <t>Trigger</t>
        </is>
      </c>
      <c r="D54" s="13" t="inlineStr">
        <is>
          <t>default tag is visible in Anatomy/Inspector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Popover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Identity</t>
        </is>
      </c>
      <c r="C55" s="13" t="inlineStr">
        <is>
          <t>Trigger</t>
        </is>
      </c>
      <c r="D55" s="13" t="inlineStr">
        <is>
          <t>data-slot is present and correct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Popover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30" customHeight="1" s="24">
      <c r="A56" s="12" t="n">
        <v>48</v>
      </c>
      <c r="B56" s="13" t="inlineStr">
        <is>
          <t>Props</t>
        </is>
      </c>
      <c r="C56" s="13" t="inlineStr">
        <is>
          <t>Trigger</t>
        </is>
      </c>
      <c r="D56" s="13" t="inlineStr">
        <is>
          <t>non-Atom native props pass through with data-prop-check marker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Popover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45" customHeight="1" s="24">
      <c r="A57" s="12" t="n">
        <v>49</v>
      </c>
      <c r="B57" s="13" t="inlineStr">
        <is>
          <t>Refs</t>
        </is>
      </c>
      <c r="C57" s="13" t="inlineStr">
        <is>
          <t>Trigger</t>
        </is>
      </c>
      <c r="D57" s="13" t="inlineStr">
        <is>
          <t>consumer ref receives the rendered element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Package tests/source review verify consumer ref plumbing for Popover; playground manual pass can inspect rendered DOM behavior.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Composition</t>
        </is>
      </c>
      <c r="C58" s="13" t="inlineStr">
        <is>
          <t>Trigger</t>
        </is>
      </c>
      <c r="D58" s="13" t="inlineStr">
        <is>
          <t>asChild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Popover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Composition</t>
        </is>
      </c>
      <c r="C59" s="13" t="inlineStr">
        <is>
          <t>Trigger</t>
        </is>
      </c>
      <c r="D59" s="13" t="inlineStr">
        <is>
          <t>render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Popover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Trigger</t>
        </is>
      </c>
      <c r="D60" s="13" t="inlineStr">
        <is>
          <t>data-slot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Popover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Trigger</t>
        </is>
      </c>
      <c r="D61" s="13" t="inlineStr">
        <is>
          <t>[data-slot]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Popover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Trigger</t>
        </is>
      </c>
      <c r="D62" s="13" t="inlineStr">
        <is>
          <t>[data-state]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Popover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Public API</t>
        </is>
      </c>
      <c r="C63" s="13" t="inlineStr">
        <is>
          <t>Trigger</t>
        </is>
      </c>
      <c r="D63" s="13" t="inlineStr">
        <is>
          <t>[data-trigger-mode]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Popover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State</t>
        </is>
      </c>
      <c r="C64" s="13" t="inlineStr">
        <is>
          <t>Trigger</t>
        </is>
      </c>
      <c r="D64" s="13" t="inlineStr">
        <is>
          <t>[data-disabled]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Popover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Content</t>
        </is>
      </c>
      <c r="D65" s="13" t="inlineStr">
        <is>
          <t>renders correct part when expected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Popover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Anatomy</t>
        </is>
      </c>
      <c r="C66" s="13" t="inlineStr">
        <is>
          <t>Content</t>
        </is>
      </c>
      <c r="D66" s="13" t="inlineStr">
        <is>
          <t>appears in documented order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Popover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Content</t>
        </is>
      </c>
      <c r="D67" s="13" t="inlineStr">
        <is>
          <t>default tag is visible in Anatomy/Inspector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Popover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Identity</t>
        </is>
      </c>
      <c r="C68" s="13" t="inlineStr">
        <is>
          <t>Content</t>
        </is>
      </c>
      <c r="D68" s="13" t="inlineStr">
        <is>
          <t>data-slot is present and correct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Popover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30" customHeight="1" s="24">
      <c r="A69" s="12" t="n">
        <v>61</v>
      </c>
      <c r="B69" s="13" t="inlineStr">
        <is>
          <t>Props</t>
        </is>
      </c>
      <c r="C69" s="13" t="inlineStr">
        <is>
          <t>Content</t>
        </is>
      </c>
      <c r="D69" s="13" t="inlineStr">
        <is>
          <t>non-Atom native props pass through with data-prop-check marker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Popover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45" customHeight="1" s="24">
      <c r="A70" s="12" t="n">
        <v>62</v>
      </c>
      <c r="B70" s="13" t="inlineStr">
        <is>
          <t>Refs</t>
        </is>
      </c>
      <c r="C70" s="13" t="inlineStr">
        <is>
          <t>Content</t>
        </is>
      </c>
      <c r="D70" s="13" t="inlineStr">
        <is>
          <t>consumer ref receives the rendered element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Package tests/source review verify consumer ref plumbing for Popover; playground manual pass can inspect rendered DOM behavior.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Positioning</t>
        </is>
      </c>
      <c r="C71" s="13" t="inlineStr">
        <is>
          <t>Content</t>
        </is>
      </c>
      <c r="D71" s="13" t="inlineStr">
        <is>
          <t>side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Popover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Positioning</t>
        </is>
      </c>
      <c r="C72" s="13" t="inlineStr">
        <is>
          <t>Content</t>
        </is>
      </c>
      <c r="D72" s="13" t="inlineStr">
        <is>
          <t>align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Popover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Positioning</t>
        </is>
      </c>
      <c r="C73" s="13" t="inlineStr">
        <is>
          <t>Content</t>
        </is>
      </c>
      <c r="D73" s="13" t="inlineStr">
        <is>
          <t>sideOffset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Popover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Accessibility</t>
        </is>
      </c>
      <c r="C74" s="13" t="inlineStr">
        <is>
          <t>Content</t>
        </is>
      </c>
      <c r="D74" s="13" t="inlineStr">
        <is>
          <t>ariaLabel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Popover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Public API</t>
        </is>
      </c>
      <c r="C75" s="13" t="inlineStr">
        <is>
          <t>Content</t>
        </is>
      </c>
      <c r="D75" s="13" t="inlineStr">
        <is>
          <t>data-slot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Popover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Public API</t>
        </is>
      </c>
      <c r="C76" s="13" t="inlineStr">
        <is>
          <t>Content</t>
        </is>
      </c>
      <c r="D76" s="13" t="inlineStr">
        <is>
          <t>[data-slot]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Popover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Public API</t>
        </is>
      </c>
      <c r="C77" s="13" t="inlineStr">
        <is>
          <t>Content</t>
        </is>
      </c>
      <c r="D77" s="13" t="inlineStr">
        <is>
          <t>[data-state] prop behavior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Popover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Positioning</t>
        </is>
      </c>
      <c r="C78" s="13" t="inlineStr">
        <is>
          <t>Content</t>
        </is>
      </c>
      <c r="D78" s="13" t="inlineStr">
        <is>
          <t>[data-side] prop behavior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Popover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Public API</t>
        </is>
      </c>
      <c r="C79" s="13" t="inlineStr">
        <is>
          <t>Content</t>
        </is>
      </c>
      <c r="D79" s="13" t="inlineStr">
        <is>
          <t>[data-positioned] prop behavior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Popover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Anatomy</t>
        </is>
      </c>
      <c r="C80" s="13" t="inlineStr">
        <is>
          <t>Arrow</t>
        </is>
      </c>
      <c r="D80" s="13" t="inlineStr">
        <is>
          <t>renders correct part when expected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Popover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Anatomy</t>
        </is>
      </c>
      <c r="C81" s="13" t="inlineStr">
        <is>
          <t>Arrow</t>
        </is>
      </c>
      <c r="D81" s="13" t="inlineStr">
        <is>
          <t>appears in documented order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Popover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Identity</t>
        </is>
      </c>
      <c r="C82" s="13" t="inlineStr">
        <is>
          <t>Arrow</t>
        </is>
      </c>
      <c r="D82" s="13" t="inlineStr">
        <is>
          <t>default tag is visible in Anatomy/Inspector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Popover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Identity</t>
        </is>
      </c>
      <c r="C83" s="13" t="inlineStr">
        <is>
          <t>Arrow</t>
        </is>
      </c>
      <c r="D83" s="13" t="inlineStr">
        <is>
          <t>data-slot is present and correct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Popover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30" customHeight="1" s="24">
      <c r="A84" s="12" t="n">
        <v>76</v>
      </c>
      <c r="B84" s="13" t="inlineStr">
        <is>
          <t>Props</t>
        </is>
      </c>
      <c r="C84" s="13" t="inlineStr">
        <is>
          <t>Arrow</t>
        </is>
      </c>
      <c r="D84" s="13" t="inlineStr">
        <is>
          <t>non-Atom native props pass through with data-prop-check marker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Popover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45" customHeight="1" s="24">
      <c r="A85" s="12" t="n">
        <v>77</v>
      </c>
      <c r="B85" s="13" t="inlineStr">
        <is>
          <t>Refs</t>
        </is>
      </c>
      <c r="C85" s="13" t="inlineStr">
        <is>
          <t>Arrow</t>
        </is>
      </c>
      <c r="D85" s="13" t="inlineStr">
        <is>
          <t>consumer ref receives the rendered element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Package tests/source review verify consumer ref plumbing for Popover; playground manual pass can inspect rendered DOM behavior.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45" customHeight="1" s="24">
      <c r="A86" s="12" t="n">
        <v>78</v>
      </c>
      <c r="B86" s="13" t="inlineStr">
        <is>
          <t>Public API</t>
        </is>
      </c>
      <c r="C86" s="13" t="inlineStr">
        <is>
          <t>Arrow</t>
        </is>
      </c>
      <c r="D86" s="13" t="inlineStr">
        <is>
          <t>width prop behavior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Popover playground exposes dismiss, side/align/offset, portal/content/arrow anatomy, and mobile/manual overlay verification paths.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45" customHeight="1" s="24">
      <c r="A87" s="12" t="n">
        <v>79</v>
      </c>
      <c r="B87" s="13" t="inlineStr">
        <is>
          <t>Public API</t>
        </is>
      </c>
      <c r="C87" s="13" t="inlineStr">
        <is>
          <t>Arrow</t>
        </is>
      </c>
      <c r="D87" s="13" t="inlineStr">
        <is>
          <t>height prop behavior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Popover playground exposes dismiss, side/align/offset, portal/content/arrow anatomy, and mobile/manual overlay verification paths.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Public API</t>
        </is>
      </c>
      <c r="C88" s="13" t="inlineStr">
        <is>
          <t>Arrow</t>
        </is>
      </c>
      <c r="D88" s="13" t="inlineStr">
        <is>
          <t>data-slot prop behavior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Popover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Public API</t>
        </is>
      </c>
      <c r="C89" s="13" t="inlineStr">
        <is>
          <t>Arrow</t>
        </is>
      </c>
      <c r="D89" s="13" t="inlineStr">
        <is>
          <t>[data-slot] prop behavior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Popover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Positioning</t>
        </is>
      </c>
      <c r="C90" s="13" t="inlineStr">
        <is>
          <t>Arrow</t>
        </is>
      </c>
      <c r="D90" s="13" t="inlineStr">
        <is>
          <t>[data-side] prop behavior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Popover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Anatomy</t>
        </is>
      </c>
      <c r="C91" s="13" t="inlineStr">
        <is>
          <t>Close</t>
        </is>
      </c>
      <c r="D91" s="13" t="inlineStr">
        <is>
          <t>renders correct part when expected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Popover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Anatomy</t>
        </is>
      </c>
      <c r="C92" s="13" t="inlineStr">
        <is>
          <t>Close</t>
        </is>
      </c>
      <c r="D92" s="13" t="inlineStr">
        <is>
          <t>appears in documented order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Popover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Identity</t>
        </is>
      </c>
      <c r="C93" s="13" t="inlineStr">
        <is>
          <t>Close</t>
        </is>
      </c>
      <c r="D93" s="13" t="inlineStr">
        <is>
          <t>default tag is visible in Anatomy/Inspector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Popover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Identity</t>
        </is>
      </c>
      <c r="C94" s="13" t="inlineStr">
        <is>
          <t>Close</t>
        </is>
      </c>
      <c r="D94" s="13" t="inlineStr">
        <is>
          <t>data-slot is present and correct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Popover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30" customHeight="1" s="24">
      <c r="A95" s="12" t="n">
        <v>87</v>
      </c>
      <c r="B95" s="13" t="inlineStr">
        <is>
          <t>Props</t>
        </is>
      </c>
      <c r="C95" s="13" t="inlineStr">
        <is>
          <t>Close</t>
        </is>
      </c>
      <c r="D95" s="13" t="inlineStr">
        <is>
          <t>non-Atom native props pass through with data-prop-check marker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Popover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45" customHeight="1" s="24">
      <c r="A96" s="12" t="n">
        <v>88</v>
      </c>
      <c r="B96" s="13" t="inlineStr">
        <is>
          <t>Refs</t>
        </is>
      </c>
      <c r="C96" s="13" t="inlineStr">
        <is>
          <t>Close</t>
        </is>
      </c>
      <c r="D96" s="13" t="inlineStr">
        <is>
          <t>consumer ref receives the rendered element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Package tests/source review verify consumer ref plumbing for Popover; playground manual pass can inspect rendered DOM behavior.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Composition</t>
        </is>
      </c>
      <c r="C97" s="13" t="inlineStr">
        <is>
          <t>Close</t>
        </is>
      </c>
      <c r="D97" s="13" t="inlineStr">
        <is>
          <t>asChild prop behavior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Popover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Composition</t>
        </is>
      </c>
      <c r="C98" s="13" t="inlineStr">
        <is>
          <t>Close</t>
        </is>
      </c>
      <c r="D98" s="13" t="inlineStr">
        <is>
          <t>render prop behavior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Popover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Public API</t>
        </is>
      </c>
      <c r="C99" s="13" t="inlineStr">
        <is>
          <t>Close</t>
        </is>
      </c>
      <c r="D99" s="13" t="inlineStr">
        <is>
          <t>data-slot prop behavior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Popover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ARIA</t>
        </is>
      </c>
      <c r="C100" s="13" t="inlineStr">
        <is>
          <t>Live DOM</t>
        </is>
      </c>
      <c r="D100" s="13" t="inlineStr">
        <is>
          <t>aria-controls is present at the correct time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Popover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ARIA</t>
        </is>
      </c>
      <c r="C101" s="13" t="inlineStr">
        <is>
          <t>Live DOM</t>
        </is>
      </c>
      <c r="D101" s="13" t="inlineStr">
        <is>
          <t>aria-disabled is present at the correct time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Popover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ARIA</t>
        </is>
      </c>
      <c r="C102" s="13" t="inlineStr">
        <is>
          <t>Live DOM</t>
        </is>
      </c>
      <c r="D102" s="13" t="inlineStr">
        <is>
          <t>aria-expanded is present at the correct time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Popover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ARIA</t>
        </is>
      </c>
      <c r="C103" s="13" t="inlineStr">
        <is>
          <t>Live DOM</t>
        </is>
      </c>
      <c r="D103" s="13" t="inlineStr">
        <is>
          <t>aria-haspopup is present at the correct time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Popover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30" customHeight="1" s="24">
      <c r="A104" s="12" t="n">
        <v>96</v>
      </c>
      <c r="B104" s="13" t="inlineStr">
        <is>
          <t>ARIA</t>
        </is>
      </c>
      <c r="C104" s="13" t="inlineStr">
        <is>
          <t>Live DOM</t>
        </is>
      </c>
      <c r="D104" s="13" t="inlineStr">
        <is>
          <t>aria-hidden is present at the correct time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Shared Anatomy/Inspector expose live ARIA/data attributes for Popover when the part is rendered.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ARIA</t>
        </is>
      </c>
      <c r="C105" s="13" t="inlineStr">
        <is>
          <t>Live DOM</t>
        </is>
      </c>
      <c r="D105" s="13" t="inlineStr">
        <is>
          <t>aria-label is present at the correct time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Popover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ARIA</t>
        </is>
      </c>
      <c r="C106" s="13" t="inlineStr">
        <is>
          <t>Live DOM</t>
        </is>
      </c>
      <c r="D106" s="13" t="inlineStr">
        <is>
          <t>aria-modal is present at the correct time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Popover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Data</t>
        </is>
      </c>
      <c r="C107" s="13" t="inlineStr">
        <is>
          <t>Live DOM</t>
        </is>
      </c>
      <c r="D107" s="13" t="inlineStr">
        <is>
          <t>data-disabled is present at the correct time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Popover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Data</t>
        </is>
      </c>
      <c r="C108" s="13" t="inlineStr">
        <is>
          <t>Live DOM</t>
        </is>
      </c>
      <c r="D108" s="13" t="inlineStr">
        <is>
          <t>data-positioned is present at the correct time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Popover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Data</t>
        </is>
      </c>
      <c r="C109" s="13" t="inlineStr">
        <is>
          <t>Live DOM</t>
        </is>
      </c>
      <c r="D109" s="13" t="inlineStr">
        <is>
          <t>data-side is present at the correct time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Popover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Data</t>
        </is>
      </c>
      <c r="C110" s="13" t="inlineStr">
        <is>
          <t>Live DOM</t>
        </is>
      </c>
      <c r="D110" s="13" t="inlineStr">
        <is>
          <t>data-slot is present at the correct time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Popover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Data</t>
        </is>
      </c>
      <c r="C111" s="13" t="inlineStr">
        <is>
          <t>Live DOM</t>
        </is>
      </c>
      <c r="D111" s="13" t="inlineStr">
        <is>
          <t>data-state is present at the correct time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Popover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Data</t>
        </is>
      </c>
      <c r="C112" s="13" t="inlineStr">
        <is>
          <t>Live DOM</t>
        </is>
      </c>
      <c r="D112" s="13" t="inlineStr">
        <is>
          <t>data-trigger-mode is present at the correct time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Popover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Composition</t>
        </is>
      </c>
      <c r="C113" s="13" t="inlineStr">
        <is>
          <t>Popover</t>
        </is>
      </c>
      <c r="D113" s="13" t="inlineStr">
        <is>
          <t>asChild preserves child content without double nesting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Popover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Composition</t>
        </is>
      </c>
      <c r="C114" s="13" t="inlineStr">
        <is>
          <t>Popover</t>
        </is>
      </c>
      <c r="D114" s="13" t="inlineStr">
        <is>
          <t>asChild merges Atom props and consumer props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Popover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30" customHeight="1" s="24">
      <c r="A115" s="12" t="n">
        <v>107</v>
      </c>
      <c r="B115" s="13" t="inlineStr">
        <is>
          <t>Composition</t>
        </is>
      </c>
      <c r="C115" s="13" t="inlineStr">
        <is>
          <t>Popover</t>
        </is>
      </c>
      <c r="D115" s="13" t="inlineStr">
        <is>
          <t>asChild lets preventDefault block Atom behavior where supported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Popover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Composition</t>
        </is>
      </c>
      <c r="C116" s="13" t="inlineStr">
        <is>
          <t>Popover</t>
        </is>
      </c>
      <c r="D116" s="13" t="inlineStr">
        <is>
          <t>render prop renders custom element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Popover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Composition</t>
        </is>
      </c>
      <c r="C117" s="13" t="inlineStr">
        <is>
          <t>Popover</t>
        </is>
      </c>
      <c r="D117" s="13" t="inlineStr">
        <is>
          <t>render prop preserves refs and behavior props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Popover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State</t>
        </is>
      </c>
      <c r="C118" s="13" t="inlineStr">
        <is>
          <t>Root</t>
        </is>
      </c>
      <c r="D118" s="13" t="inlineStr">
        <is>
          <t>controlled state path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Popover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State</t>
        </is>
      </c>
      <c r="C119" s="13" t="inlineStr">
        <is>
          <t>Root</t>
        </is>
      </c>
      <c r="D119" s="13" t="inlineStr">
        <is>
          <t>uncontrolled default state path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Popover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State</t>
        </is>
      </c>
      <c r="C120" s="13" t="inlineStr">
        <is>
          <t>Root</t>
        </is>
      </c>
      <c r="D120" s="13" t="inlineStr">
        <is>
          <t>state change callback fires once with correct value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Popover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Interaction</t>
        </is>
      </c>
      <c r="C121" s="13" t="inlineStr">
        <is>
          <t>Trigger</t>
        </is>
      </c>
      <c r="D121" s="13" t="inlineStr">
        <is>
          <t>mouse click or pointer activation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Popover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Interaction</t>
        </is>
      </c>
      <c r="C122" s="13" t="inlineStr">
        <is>
          <t>Trigger</t>
        </is>
      </c>
      <c r="D122" s="13" t="inlineStr">
        <is>
          <t>Enter key activation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Popover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Interaction</t>
        </is>
      </c>
      <c r="C123" s="13" t="inlineStr">
        <is>
          <t>Trigger</t>
        </is>
      </c>
      <c r="D123" s="13" t="inlineStr">
        <is>
          <t>Space key activation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Popover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Interaction</t>
        </is>
      </c>
      <c r="C124" s="13" t="inlineStr">
        <is>
          <t>Trigger</t>
        </is>
      </c>
      <c r="D124" s="13" t="inlineStr">
        <is>
          <t>disabled trigger blocks pointer and keyboard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Popover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Focus</t>
        </is>
      </c>
      <c r="C125" s="13" t="inlineStr">
        <is>
          <t>Trigger</t>
        </is>
      </c>
      <c r="D125" s="13" t="inlineStr">
        <is>
          <t>focus ring and focus restoration are correct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Popover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Dismiss</t>
        </is>
      </c>
      <c r="C126" s="13" t="inlineStr">
        <is>
          <t>Popover</t>
        </is>
      </c>
      <c r="D126" s="13" t="inlineStr">
        <is>
          <t>Escape closes only the topmost active layer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Popover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Dismiss</t>
        </is>
      </c>
      <c r="C127" s="13" t="inlineStr">
        <is>
          <t>Popover</t>
        </is>
      </c>
      <c r="D127" s="13" t="inlineStr">
        <is>
          <t>outside click/interact closes when enabled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Popover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Dismiss</t>
        </is>
      </c>
      <c r="C128" s="13" t="inlineStr">
        <is>
          <t>Popover</t>
        </is>
      </c>
      <c r="D128" s="13" t="inlineStr">
        <is>
          <t>outside click/interact is blocked when disabled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Popover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Focus</t>
        </is>
      </c>
      <c r="C129" s="13" t="inlineStr">
        <is>
          <t>Popover</t>
        </is>
      </c>
      <c r="D129" s="13" t="inlineStr">
        <is>
          <t>focus returns to the correct trigger/anchor after close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Popover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45" customHeight="1" s="24">
      <c r="A130" s="12" t="n">
        <v>122</v>
      </c>
      <c r="B130" s="13" t="inlineStr">
        <is>
          <t>Focus</t>
        </is>
      </c>
      <c r="C130" s="13" t="inlineStr">
        <is>
          <t>Popover</t>
        </is>
      </c>
      <c r="D130" s="13" t="inlineStr">
        <is>
          <t>nested overlays keep focus and Escape order correct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Popover playground exposes dismiss, side/align/offset, portal/content/arrow anatomy, and mobile/manual overlay verification paths.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45" customHeight="1" s="24">
      <c r="A131" s="12" t="n">
        <v>123</v>
      </c>
      <c r="B131" s="13" t="inlineStr">
        <is>
          <t>Mobile</t>
        </is>
      </c>
      <c r="C131" s="13" t="inlineStr">
        <is>
          <t>Popover</t>
        </is>
      </c>
      <c r="D131" s="13" t="inlineStr">
        <is>
          <t>mobile viewport/touch behavior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Popover playground exposes dismiss, side/align/offset, portal/content/arrow anatomy, and mobile/manual overlay verification paths.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Portal</t>
        </is>
      </c>
      <c r="C132" s="13" t="inlineStr">
        <is>
          <t>Popover</t>
        </is>
      </c>
      <c r="D132" s="13" t="inlineStr">
        <is>
          <t>portal renders in body by default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Popover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45" customHeight="1" s="24">
      <c r="A133" s="12" t="n">
        <v>125</v>
      </c>
      <c r="B133" s="13" t="inlineStr">
        <is>
          <t>Portal</t>
        </is>
      </c>
      <c r="C133" s="13" t="inlineStr">
        <is>
          <t>Popover</t>
        </is>
      </c>
      <c r="D133" s="13" t="inlineStr">
        <is>
          <t>custom/disabled portal path works where supported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Popover playground exposes dismiss, side/align/offset, portal/content/arrow anatomy, and mobile/manual overlay verification paths.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Positioning</t>
        </is>
      </c>
      <c r="C134" s="13" t="inlineStr">
        <is>
          <t>Popover</t>
        </is>
      </c>
      <c r="D134" s="13" t="inlineStr">
        <is>
          <t>side options position content correctly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Popover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Positioning</t>
        </is>
      </c>
      <c r="C135" s="13" t="inlineStr">
        <is>
          <t>Popover</t>
        </is>
      </c>
      <c r="D135" s="13" t="inlineStr">
        <is>
          <t>align options position content correctly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Popover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45" customHeight="1" s="24">
      <c r="A136" s="12" t="n">
        <v>128</v>
      </c>
      <c r="B136" s="13" t="inlineStr">
        <is>
          <t>Positioning</t>
        </is>
      </c>
      <c r="C136" s="13" t="inlineStr">
        <is>
          <t>Popover</t>
        </is>
      </c>
      <c r="D136" s="13" t="inlineStr">
        <is>
          <t>collision/flip/shift behavior stays in viewport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Popover playground exposes dismiss, side/align/offset, portal/content/arrow anatomy, and mobile/manual overlay verification paths.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30" customHeight="1" s="24">
      <c r="A137" s="12" t="n">
        <v>129</v>
      </c>
      <c r="B137" s="13" t="inlineStr">
        <is>
          <t>Positioning</t>
        </is>
      </c>
      <c r="C137" s="13" t="inlineStr">
        <is>
          <t>Popover</t>
        </is>
      </c>
      <c r="D137" s="13" t="inlineStr">
        <is>
          <t>arrow or anchor geometry matches content where supported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Popover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</sheetData>
  <autoFilter ref="A8:K137"/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Portal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IFERROR(SUM(K9:K29)/COUNT(K9:K29),0)</f>
        <v/>
      </c>
      <c r="C4" s="8" t="inlineStr">
        <is>
          <t>Covered</t>
        </is>
      </c>
      <c r="D4" s="10">
        <f>COUNTIFS(E9:E29,"yes",F9:F29,"yes",H9:H29,"covered")</f>
        <v/>
      </c>
      <c r="E4" s="8" t="inlineStr">
        <is>
          <t>Partial</t>
        </is>
      </c>
      <c r="F4" s="10">
        <f>COUNTIF(H9:H29,"partial")</f>
        <v/>
      </c>
      <c r="G4" s="8" t="inlineStr">
        <is>
          <t>Missing</t>
        </is>
      </c>
      <c r="H4" s="10">
        <f>COUNTIFS(E9:E29,"&lt;&gt;yes") + COUNTIFS(E9:E29,"yes",H9:H29,"missing")</f>
        <v/>
      </c>
      <c r="I4" s="8" t="inlineStr">
        <is>
          <t>Untested</t>
        </is>
      </c>
      <c r="J4" s="10">
        <f>COUNTIFS(E9:E29,"yes",F9:F29,"&lt;&gt;yes") + COUNTIFS(E9:E29,"yes",F9:F29,"yes",H9:H29,"untested")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Portal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</t>
        </is>
      </c>
      <c r="H9" s="22" t="inlineStr">
        <is>
          <t>covered</t>
        </is>
      </c>
      <c r="I9" s="13" t="inlineStr">
        <is>
          <t>Portal playground manual verification.</t>
        </is>
      </c>
      <c r="J9" s="13" t="n"/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Portal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</t>
        </is>
      </c>
      <c r="H10" s="22" t="inlineStr">
        <is>
          <t>covered</t>
        </is>
      </c>
      <c r="I10" s="13" t="inlineStr">
        <is>
          <t>Portal playground manual verification.</t>
        </is>
      </c>
      <c r="J10" s="13" t="n"/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Portal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</t>
        </is>
      </c>
      <c r="H11" s="22" t="inlineStr">
        <is>
          <t>covered</t>
        </is>
      </c>
      <c r="I11" s="13" t="inlineStr">
        <is>
          <t>Portal playground manual verification.</t>
        </is>
      </c>
      <c r="J11" s="13" t="n"/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Portal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</t>
        </is>
      </c>
      <c r="H12" s="22" t="inlineStr">
        <is>
          <t>covered</t>
        </is>
      </c>
      <c r="I12" s="13" t="inlineStr">
        <is>
          <t>Portal playground manual verification.</t>
        </is>
      </c>
      <c r="J12" s="13" t="n"/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Portal</t>
        </is>
      </c>
      <c r="D13" s="13" t="inlineStr">
        <is>
          <t>Portals to `document.body` after mount by default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</t>
        </is>
      </c>
      <c r="H13" s="22" t="inlineStr">
        <is>
          <t>covered</t>
        </is>
      </c>
      <c r="I13" s="13" t="inlineStr">
        <is>
          <t>Portal playground manual verification.</t>
        </is>
      </c>
      <c r="J13" s="13" t="n"/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Portal</t>
        </is>
      </c>
      <c r="D14" s="13" t="inlineStr">
        <is>
          <t>Accepts a custom container element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</t>
        </is>
      </c>
      <c r="H14" s="22" t="inlineStr">
        <is>
          <t>covered</t>
        </is>
      </c>
      <c r="I14" s="13" t="inlineStr">
        <is>
          <t>Portal playground manual verification.</t>
        </is>
      </c>
      <c r="J14" s="13" t="n"/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Portal</t>
        </is>
      </c>
      <c r="D15" s="13" t="inlineStr">
        <is>
          <t>Can be disabled to render children in place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</t>
        </is>
      </c>
      <c r="H15" s="22" t="inlineStr">
        <is>
          <t>covered</t>
        </is>
      </c>
      <c r="I15" s="13" t="inlineStr">
        <is>
          <t>Portal playground manual verification.</t>
        </is>
      </c>
      <c r="J15" s="13" t="n"/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Portal</t>
        </is>
      </c>
      <c r="D16" s="13" t="inlineStr">
        <is>
          <t>Returns `null` before a client-side target exists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</t>
        </is>
      </c>
      <c r="H16" s="22" t="inlineStr">
        <is>
          <t>covered</t>
        </is>
      </c>
      <c r="I16" s="13" t="inlineStr">
        <is>
          <t>Portal playground manual verification.</t>
        </is>
      </c>
      <c r="J16" s="13" t="n"/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Anatomy</t>
        </is>
      </c>
      <c r="C17" s="13" t="inlineStr">
        <is>
          <t>Portal</t>
        </is>
      </c>
      <c r="D17" s="13" t="inlineStr">
        <is>
          <t>shows Portal behavioral state when expected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</t>
        </is>
      </c>
      <c r="H17" s="22" t="inlineStr">
        <is>
          <t>covered</t>
        </is>
      </c>
      <c r="I17" s="13" t="inlineStr">
        <is>
          <t>Portal playground manual verification.</t>
        </is>
      </c>
      <c r="J17" s="13" t="n"/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Portal</t>
        </is>
      </c>
      <c r="D18" s="13" t="inlineStr">
        <is>
          <t>appears in documented order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</t>
        </is>
      </c>
      <c r="H18" s="22" t="inlineStr">
        <is>
          <t>covered</t>
        </is>
      </c>
      <c r="I18" s="13" t="inlineStr">
        <is>
          <t>Portal playground manual verification.</t>
        </is>
      </c>
      <c r="J18" s="13" t="n"/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Identity</t>
        </is>
      </c>
      <c r="C19" s="13" t="inlineStr">
        <is>
          <t>Portal</t>
        </is>
      </c>
      <c r="D19" s="13" t="inlineStr">
        <is>
          <t>documents that Portal renders no DOM tag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</t>
        </is>
      </c>
      <c r="H19" s="22" t="inlineStr">
        <is>
          <t>covered</t>
        </is>
      </c>
      <c r="I19" s="13" t="inlineStr">
        <is>
          <t>Portal playground manual verification.</t>
        </is>
      </c>
      <c r="J19" s="13" t="n"/>
      <c r="K19" s="14">
        <f>IF(AND(E19="yes",F19="yes",H19="covered"),1,IF(H19="partial",0.5,0))</f>
        <v/>
      </c>
    </row>
    <row r="20" ht="30" customHeight="1" s="24">
      <c r="A20" s="12" t="n">
        <v>12</v>
      </c>
      <c r="B20" s="13" t="inlineStr">
        <is>
          <t>Identity</t>
        </is>
      </c>
      <c r="C20" s="13" t="inlineStr">
        <is>
          <t>Portal</t>
        </is>
      </c>
      <c r="D20" s="13" t="inlineStr">
        <is>
          <t>documents that Portal exposes no data-slot because it renders no wrapper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</t>
        </is>
      </c>
      <c r="H20" s="22" t="inlineStr">
        <is>
          <t>covered</t>
        </is>
      </c>
      <c r="I20" s="13" t="inlineStr">
        <is>
          <t>Portal playground manual verification.</t>
        </is>
      </c>
      <c r="J20" s="13" t="n"/>
      <c r="K20" s="14">
        <f>IF(AND(E20="yes",F20="yes",H20="covered"),1,IF(H20="partial",0.5,0))</f>
        <v/>
      </c>
    </row>
    <row r="21" ht="30" customHeight="1" s="24">
      <c r="A21" s="12" t="n">
        <v>13</v>
      </c>
      <c r="B21" s="13" t="inlineStr">
        <is>
          <t>Props</t>
        </is>
      </c>
      <c r="C21" s="13" t="inlineStr">
        <is>
          <t>Portaled child</t>
        </is>
      </c>
      <c r="D21" s="13" t="inlineStr">
        <is>
          <t>child content can carry native props/data-prop-check marker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</t>
        </is>
      </c>
      <c r="H21" s="22" t="inlineStr">
        <is>
          <t>covered</t>
        </is>
      </c>
      <c r="I21" s="13" t="inlineStr">
        <is>
          <t>Portal playground manual verification.</t>
        </is>
      </c>
      <c r="J21" s="13" t="n"/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Anatomy</t>
        </is>
      </c>
      <c r="C22" s="13" t="inlineStr">
        <is>
          <t>Portaled child</t>
        </is>
      </c>
      <c r="D22" s="13" t="inlineStr">
        <is>
          <t>child content can be inspected when mounted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</t>
        </is>
      </c>
      <c r="H22" s="22" t="inlineStr">
        <is>
          <t>covered</t>
        </is>
      </c>
      <c r="I22" s="13" t="inlineStr">
        <is>
          <t>Portal playground manual verification.</t>
        </is>
      </c>
      <c r="J22" s="13" t="n"/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Anatomy</t>
        </is>
      </c>
      <c r="C23" s="13" t="inlineStr">
        <is>
          <t>Portaled child</t>
        </is>
      </c>
      <c r="D23" s="13" t="inlineStr">
        <is>
          <t>child inspection is separate from Portal behavior anatomy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</t>
        </is>
      </c>
      <c r="H23" s="22" t="inlineStr">
        <is>
          <t>covered</t>
        </is>
      </c>
      <c r="I23" s="13" t="inlineStr">
        <is>
          <t>Portal playground manual verification.</t>
        </is>
      </c>
      <c r="J23" s="13" t="n"/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Identity</t>
        </is>
      </c>
      <c r="C24" s="13" t="inlineStr">
        <is>
          <t>Portaled child</t>
        </is>
      </c>
      <c r="D24" s="13" t="inlineStr">
        <is>
          <t>child default tag is visible in Inspector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</t>
        </is>
      </c>
      <c r="H24" s="22" t="inlineStr">
        <is>
          <t>covered</t>
        </is>
      </c>
      <c r="I24" s="13" t="inlineStr">
        <is>
          <t>Portal playground manual verification.</t>
        </is>
      </c>
      <c r="J24" s="13" t="n"/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Identity</t>
        </is>
      </c>
      <c r="C25" s="13" t="inlineStr">
        <is>
          <t>Portaled child</t>
        </is>
      </c>
      <c r="D25" s="13" t="inlineStr">
        <is>
          <t>child data attributes are visible in Inspector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</t>
        </is>
      </c>
      <c r="H25" s="22" t="inlineStr">
        <is>
          <t>covered</t>
        </is>
      </c>
      <c r="I25" s="13" t="inlineStr">
        <is>
          <t>Portal playground manual verification.</t>
        </is>
      </c>
      <c r="J25" s="13" t="n"/>
      <c r="K25" s="14">
        <f>IF(AND(E25="yes",F25="yes",H25="covered"),1,IF(H25="partial",0.5,0))</f>
        <v/>
      </c>
    </row>
    <row r="26" ht="30" customHeight="1" s="24">
      <c r="A26" s="12" t="n">
        <v>18</v>
      </c>
      <c r="B26" s="13" t="inlineStr">
        <is>
          <t>Props</t>
        </is>
      </c>
      <c r="C26" s="13" t="inlineStr">
        <is>
          <t>Portaled child</t>
        </is>
      </c>
      <c r="D26" s="13" t="inlineStr">
        <is>
          <t>child non-Atom props pass through with data-prop-check marker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</t>
        </is>
      </c>
      <c r="H26" s="22" t="inlineStr">
        <is>
          <t>covered</t>
        </is>
      </c>
      <c r="I26" s="13" t="inlineStr">
        <is>
          <t>Portal playground manual verification.</t>
        </is>
      </c>
      <c r="J26" s="13" t="n"/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Utility</t>
        </is>
      </c>
      <c r="C27" s="13" t="inlineStr">
        <is>
          <t>Portal</t>
        </is>
      </c>
      <c r="D27" s="13" t="inlineStr">
        <is>
          <t>default container is document.body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</t>
        </is>
      </c>
      <c r="H27" s="22" t="inlineStr">
        <is>
          <t>covered</t>
        </is>
      </c>
      <c r="I27" s="13" t="inlineStr">
        <is>
          <t>Portal playground manual verification.</t>
        </is>
      </c>
      <c r="J27" s="13" t="n"/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Utility</t>
        </is>
      </c>
      <c r="C28" s="13" t="inlineStr">
        <is>
          <t>Portal</t>
        </is>
      </c>
      <c r="D28" s="13" t="inlineStr">
        <is>
          <t>custom container receives children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</t>
        </is>
      </c>
      <c r="H28" s="22" t="inlineStr">
        <is>
          <t>covered</t>
        </is>
      </c>
      <c r="I28" s="13" t="inlineStr">
        <is>
          <t>Portal playground manual verification.</t>
        </is>
      </c>
      <c r="J28" s="13" t="n"/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Utility</t>
        </is>
      </c>
      <c r="C29" s="13" t="inlineStr">
        <is>
          <t>Portal</t>
        </is>
      </c>
      <c r="D29" s="13" t="inlineStr">
        <is>
          <t>disabled portal renders in place where supported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</t>
        </is>
      </c>
      <c r="H29" s="22" t="inlineStr">
        <is>
          <t>covered</t>
        </is>
      </c>
      <c r="I29" s="13" t="inlineStr">
        <is>
          <t>Portal playground manual verification.</t>
        </is>
      </c>
      <c r="J29" s="13" t="n"/>
      <c r="K29" s="14">
        <f>IF(AND(E29="yes",F29="yes",H29="covered"),1,IF(H29="partial",0.5,0))</f>
        <v/>
      </c>
    </row>
  </sheetData>
  <autoFilter ref="A8:K29"/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4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Pressable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IFERROR(SUM(K9:K48)/COUNT(K9:K48),0)</f>
        <v/>
      </c>
      <c r="C4" s="8" t="inlineStr">
        <is>
          <t>Covered</t>
        </is>
      </c>
      <c r="D4" s="10">
        <f>COUNTIFS(E9:E48,"yes",F9:F48,"yes",H9:H48,"covered")</f>
        <v/>
      </c>
      <c r="E4" s="8" t="inlineStr">
        <is>
          <t>Partial</t>
        </is>
      </c>
      <c r="F4" s="10">
        <f>COUNTIF(H9:H48,"partial")</f>
        <v/>
      </c>
      <c r="G4" s="8" t="inlineStr">
        <is>
          <t>Missing</t>
        </is>
      </c>
      <c r="H4" s="10">
        <f>COUNTIFS(E9:E48,"&lt;&gt;yes") + COUNTIFS(E9:E48,"yes",H9:H48,"missing")</f>
        <v/>
      </c>
      <c r="I4" s="8" t="inlineStr">
        <is>
          <t>Untested</t>
        </is>
      </c>
      <c r="J4" s="10">
        <f>COUNTIFS(E9:E48,"yes",F9:F48,"&lt;&gt;yes") + COUNTIFS(E9:E48,"yes",F9:F48,"yes",H9:H48,"untested")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Pressable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Worksheet planned from source/docs inventory.</t>
        </is>
      </c>
      <c r="J9" s="13" t="inlineStr">
        <is>
          <t>Manual verification complete.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Pressable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Worksheet planned from source/docs inventory.</t>
        </is>
      </c>
      <c r="J10" s="13" t="inlineStr">
        <is>
          <t>Manual verification complete.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Pressable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Worksheet planned from source/docs inventory.</t>
        </is>
      </c>
      <c r="J11" s="13" t="inlineStr">
        <is>
          <t>Manual verification complete.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Pressable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Worksheet planned from source/docs inventory.</t>
        </is>
      </c>
      <c r="J12" s="13" t="inlineStr">
        <is>
          <t>Manual verification complete.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Pressable</t>
        </is>
      </c>
      <c r="D13" s="13" t="inlineStr">
        <is>
          <t>Renders a native `&lt;button&gt;` by default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Worksheet planned from source/docs inventory.</t>
        </is>
      </c>
      <c r="J13" s="13" t="inlineStr">
        <is>
          <t>Manual verification complete.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Pressable</t>
        </is>
      </c>
      <c r="D14" s="13" t="inlineStr">
        <is>
          <t>Adds button semantics for custom non-native renders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Worksheet planned from source/docs inventory.</t>
        </is>
      </c>
      <c r="J14" s="13" t="inlineStr">
        <is>
          <t>Manual verification complete.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Pressable</t>
        </is>
      </c>
      <c r="D15" s="13" t="inlineStr">
        <is>
          <t>Supports pointer press state through `data-pressed`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Worksheet planned from source/docs inventory.</t>
        </is>
      </c>
      <c r="J15" s="13" t="inlineStr">
        <is>
          <t>Manual verification complete.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Pressable</t>
        </is>
      </c>
      <c r="D16" s="13" t="inlineStr">
        <is>
          <t>Supports disabled state and press cancellation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Worksheet planned from source/docs inventory.</t>
        </is>
      </c>
      <c r="J16" s="13" t="inlineStr">
        <is>
          <t>Manual verification complete.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Pressable</t>
        </is>
      </c>
      <c r="D17" s="13" t="inlineStr">
        <is>
          <t>Fires `onPress` for pointer and keyboard activation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Worksheet planned from source/docs inventory.</t>
        </is>
      </c>
      <c r="J17" s="13" t="inlineStr">
        <is>
          <t>Manual verification complete.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Pressable</t>
        </is>
      </c>
      <c r="D18" s="13" t="inlineStr">
        <is>
          <t>Handles Space activation on keyup for ARIA button parity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Worksheet planned from source/docs inventory.</t>
        </is>
      </c>
      <c r="J18" s="13" t="inlineStr">
        <is>
          <t>Manual verification complete.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Worksheet planned from source/docs inventory.</t>
        </is>
      </c>
      <c r="J19" s="13" t="inlineStr">
        <is>
          <t>Manual verification complete.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Worksheet planned from source/docs inventory.</t>
        </is>
      </c>
      <c r="J20" s="13" t="inlineStr">
        <is>
          <t>Manual verification complete.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Worksheet planned from source/docs inventory.</t>
        </is>
      </c>
      <c r="J21" s="13" t="inlineStr">
        <is>
          <t>Manual verification complete.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Worksheet planned from source/docs inventory.</t>
        </is>
      </c>
      <c r="J22" s="13" t="inlineStr">
        <is>
          <t>Manual verification complete.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Worksheet planned from source/docs inventory.</t>
        </is>
      </c>
      <c r="J23" s="13" t="inlineStr">
        <is>
          <t>Manual verification complete.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Worksheet planned from source/docs inventory.</t>
        </is>
      </c>
      <c r="J24" s="13" t="inlineStr">
        <is>
          <t>Manual verification complete.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disabled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Worksheet planned from source/docs inventory.</t>
        </is>
      </c>
      <c r="J25" s="13" t="inlineStr">
        <is>
          <t>Manual verification complete.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onPress prop behavior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Worksheet planned from source/docs inventory.</t>
        </is>
      </c>
      <c r="J26" s="13" t="inlineStr">
        <is>
          <t>Manual verification complete.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onClick prop behavior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Worksheet planned from source/docs inventory.</t>
        </is>
      </c>
      <c r="J27" s="13" t="inlineStr">
        <is>
          <t>Manual verification complete.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onKeyDown prop behavior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Worksheet planned from source/docs inventory.</t>
        </is>
      </c>
      <c r="J28" s="13" t="inlineStr">
        <is>
          <t>Manual verification complete.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onKeyUp prop behavior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Worksheet planned from source/docs inventory.</t>
        </is>
      </c>
      <c r="J29" s="13" t="inlineStr">
        <is>
          <t>Manual verification complete.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onPointerDown prop behavior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Worksheet planned from source/docs inventory.</t>
        </is>
      </c>
      <c r="J30" s="13" t="inlineStr">
        <is>
          <t>Manual verification complete.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onPointerUp prop behavior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Worksheet planned from source/docs inventory.</t>
        </is>
      </c>
      <c r="J31" s="13" t="inlineStr">
        <is>
          <t>Manual verification complete.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onPointerCancel prop behavior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Worksheet planned from source/docs inventory.</t>
        </is>
      </c>
      <c r="J32" s="13" t="inlineStr">
        <is>
          <t>Manual verification complete.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onLostPointerCapture prop behavior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Worksheet planned from source/docs inventory.</t>
        </is>
      </c>
      <c r="J33" s="13" t="inlineStr">
        <is>
          <t>Manual verification complete.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Composition</t>
        </is>
      </c>
      <c r="C34" s="13" t="inlineStr">
        <is>
          <t>Root</t>
        </is>
      </c>
      <c r="D34" s="13" t="inlineStr">
        <is>
          <t>asChild prop behavior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</t>
        </is>
      </c>
      <c r="H34" s="22" t="inlineStr">
        <is>
          <t>covered</t>
        </is>
      </c>
      <c r="I34" s="13" t="inlineStr">
        <is>
          <t>Worksheet planned from source/docs inventory.</t>
        </is>
      </c>
      <c r="J34" s="13" t="inlineStr">
        <is>
          <t>Manual verification complete.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Composition</t>
        </is>
      </c>
      <c r="C35" s="13" t="inlineStr">
        <is>
          <t>Root</t>
        </is>
      </c>
      <c r="D35" s="13" t="inlineStr">
        <is>
          <t>render prop behavior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passed</t>
        </is>
      </c>
      <c r="H35" s="22" t="inlineStr">
        <is>
          <t>covered</t>
        </is>
      </c>
      <c r="I35" s="13" t="inlineStr">
        <is>
          <t>Worksheet planned from source/docs inventory.</t>
        </is>
      </c>
      <c r="J35" s="13" t="inlineStr">
        <is>
          <t>Manual verification complete.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[data-slot] prop behavior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passed</t>
        </is>
      </c>
      <c r="H36" s="22" t="inlineStr">
        <is>
          <t>covered</t>
        </is>
      </c>
      <c r="I36" s="13" t="inlineStr">
        <is>
          <t>Worksheet planned from source/docs inventory.</t>
        </is>
      </c>
      <c r="J36" s="13" t="inlineStr">
        <is>
          <t>Manual verification complete.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State</t>
        </is>
      </c>
      <c r="C37" s="13" t="inlineStr">
        <is>
          <t>Root</t>
        </is>
      </c>
      <c r="D37" s="13" t="inlineStr">
        <is>
          <t>[data-disabled] prop behavior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passed</t>
        </is>
      </c>
      <c r="H37" s="22" t="inlineStr">
        <is>
          <t>covered</t>
        </is>
      </c>
      <c r="I37" s="13" t="inlineStr">
        <is>
          <t>Worksheet planned from source/docs inventory.</t>
        </is>
      </c>
      <c r="J37" s="13" t="inlineStr">
        <is>
          <t>Manual verification complete.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[data-pressed] prop behavior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passed</t>
        </is>
      </c>
      <c r="H38" s="22" t="inlineStr">
        <is>
          <t>covered</t>
        </is>
      </c>
      <c r="I38" s="13" t="inlineStr">
        <is>
          <t>Worksheet planned from source/docs inventory.</t>
        </is>
      </c>
      <c r="J38" s="13" t="inlineStr">
        <is>
          <t>Manual verification complete.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ARIA</t>
        </is>
      </c>
      <c r="C39" s="13" t="inlineStr">
        <is>
          <t>Live DOM</t>
        </is>
      </c>
      <c r="D39" s="13" t="inlineStr">
        <is>
          <t>aria-disabled is present at the correct time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passed</t>
        </is>
      </c>
      <c r="H39" s="22" t="inlineStr">
        <is>
          <t>covered</t>
        </is>
      </c>
      <c r="I39" s="13" t="inlineStr">
        <is>
          <t>Worksheet planned from source/docs inventory.</t>
        </is>
      </c>
      <c r="J39" s="13" t="inlineStr">
        <is>
          <t>Manual verification complete.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Data</t>
        </is>
      </c>
      <c r="C40" s="13" t="inlineStr">
        <is>
          <t>Live DOM</t>
        </is>
      </c>
      <c r="D40" s="13" t="inlineStr">
        <is>
          <t>data-disabled is present at the correct time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passed</t>
        </is>
      </c>
      <c r="H40" s="22" t="inlineStr">
        <is>
          <t>covered</t>
        </is>
      </c>
      <c r="I40" s="13" t="inlineStr">
        <is>
          <t>Worksheet planned from source/docs inventory.</t>
        </is>
      </c>
      <c r="J40" s="13" t="inlineStr">
        <is>
          <t>Manual verification complete.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Data</t>
        </is>
      </c>
      <c r="C41" s="13" t="inlineStr">
        <is>
          <t>Live DOM</t>
        </is>
      </c>
      <c r="D41" s="13" t="inlineStr">
        <is>
          <t>data-pressed is present at the correct time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passed</t>
        </is>
      </c>
      <c r="H41" s="22" t="inlineStr">
        <is>
          <t>covered</t>
        </is>
      </c>
      <c r="I41" s="13" t="inlineStr">
        <is>
          <t>Worksheet planned from source/docs inventory.</t>
        </is>
      </c>
      <c r="J41" s="13" t="inlineStr">
        <is>
          <t>Manual verification complete.</t>
        </is>
      </c>
      <c r="K41" s="14">
        <f>IF(AND(E41="yes",F41="yes",H41="covered"),1,IF(H41="partial",0.5,0))</f>
        <v/>
      </c>
    </row>
    <row r="42" ht="30" customHeight="1" s="24">
      <c r="A42" s="12" t="n">
        <v>34</v>
      </c>
      <c r="B42" s="13" t="inlineStr">
        <is>
          <t>Data</t>
        </is>
      </c>
      <c r="C42" s="13" t="inlineStr">
        <is>
          <t>Live DOM</t>
        </is>
      </c>
      <c r="D42" s="13" t="inlineStr">
        <is>
          <t>data-slot is present at the correct time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passed</t>
        </is>
      </c>
      <c r="H42" s="22" t="inlineStr">
        <is>
          <t>covered</t>
        </is>
      </c>
      <c r="I42" s="13" t="inlineStr">
        <is>
          <t>Shared Anatomy/Inspector expose live ARIA/data attributes for Pressable when the part is rendered.</t>
        </is>
      </c>
      <c r="J42" s="13" t="inlineStr">
        <is>
          <t>Manual verification complete.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Pressable</t>
        </is>
      </c>
      <c r="D43" s="13" t="inlineStr">
        <is>
          <t>asChild preserves child content without double nesting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passed</t>
        </is>
      </c>
      <c r="H43" s="22" t="inlineStr">
        <is>
          <t>covered</t>
        </is>
      </c>
      <c r="I43" s="13" t="inlineStr">
        <is>
          <t>Worksheet planned from source/docs inventory.</t>
        </is>
      </c>
      <c r="J43" s="13" t="inlineStr">
        <is>
          <t>Manual verification complete.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Composition</t>
        </is>
      </c>
      <c r="C44" s="13" t="inlineStr">
        <is>
          <t>Pressable</t>
        </is>
      </c>
      <c r="D44" s="13" t="inlineStr">
        <is>
          <t>asChild merges Atom props and consumer props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passed</t>
        </is>
      </c>
      <c r="H44" s="22" t="inlineStr">
        <is>
          <t>covered</t>
        </is>
      </c>
      <c r="I44" s="13" t="inlineStr">
        <is>
          <t>Worksheet planned from source/docs inventory.</t>
        </is>
      </c>
      <c r="J44" s="13" t="inlineStr">
        <is>
          <t>Manual verification complete.</t>
        </is>
      </c>
      <c r="K44" s="14">
        <f>IF(AND(E44="yes",F44="yes",H44="covered"),1,IF(H44="partial",0.5,0))</f>
        <v/>
      </c>
    </row>
    <row r="45" ht="30" customHeight="1" s="24">
      <c r="A45" s="12" t="n">
        <v>37</v>
      </c>
      <c r="B45" s="13" t="inlineStr">
        <is>
          <t>Composition</t>
        </is>
      </c>
      <c r="C45" s="13" t="inlineStr">
        <is>
          <t>Pressable</t>
        </is>
      </c>
      <c r="D45" s="13" t="inlineStr">
        <is>
          <t>asChild lets preventDefault block Atom behavior where supported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passed</t>
        </is>
      </c>
      <c r="H45" s="22" t="inlineStr">
        <is>
          <t>covered</t>
        </is>
      </c>
      <c r="I45" s="13" t="inlineStr">
        <is>
          <t>Worksheet planned from source/docs inventory.</t>
        </is>
      </c>
      <c r="J45" s="13" t="inlineStr">
        <is>
          <t>Manual verification complete.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Composition</t>
        </is>
      </c>
      <c r="C46" s="13" t="inlineStr">
        <is>
          <t>Pressable</t>
        </is>
      </c>
      <c r="D46" s="13" t="inlineStr">
        <is>
          <t>render prop renders custom element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passed</t>
        </is>
      </c>
      <c r="H46" s="22" t="inlineStr">
        <is>
          <t>covered</t>
        </is>
      </c>
      <c r="I46" s="13" t="inlineStr">
        <is>
          <t>Worksheet planned from source/docs inventory.</t>
        </is>
      </c>
      <c r="J46" s="13" t="inlineStr">
        <is>
          <t>Manual verification complete.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Composition</t>
        </is>
      </c>
      <c r="C47" s="13" t="inlineStr">
        <is>
          <t>Pressable</t>
        </is>
      </c>
      <c r="D47" s="13" t="inlineStr">
        <is>
          <t>render prop preserves refs and behavior props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passed</t>
        </is>
      </c>
      <c r="H47" s="22" t="inlineStr">
        <is>
          <t>covered</t>
        </is>
      </c>
      <c r="I47" s="13" t="inlineStr">
        <is>
          <t>Worksheet planned from source/docs inventory.</t>
        </is>
      </c>
      <c r="J47" s="13" t="inlineStr">
        <is>
          <t>Manual verification complete.</t>
        </is>
      </c>
      <c r="K47" s="14">
        <f>IF(AND(E47="yes",F47="yes",H47="covered"),1,IF(H47="partial",0.5,0))</f>
        <v/>
      </c>
    </row>
    <row r="48" ht="60" customHeight="1" s="24">
      <c r="A48" s="12" t="n">
        <v>40</v>
      </c>
      <c r="B48" s="13" t="inlineStr">
        <is>
          <t>Pointer</t>
        </is>
      </c>
      <c r="C48" s="13" t="inlineStr">
        <is>
          <t>Root composition</t>
        </is>
      </c>
      <c r="D48" s="13" t="inlineStr">
        <is>
          <t>custom render/asChild pointer down then release outside does not fire press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passed</t>
        </is>
      </c>
      <c r="H48" s="22" t="inlineStr">
        <is>
          <t>covered</t>
        </is>
      </c>
      <c r="I48" s="13" t="inlineStr">
        <is>
          <t>Pressable playground Composition modes allow render/asChild manual pointer down, move outside, release outside check by watching Press count and logs.</t>
        </is>
      </c>
      <c r="J48" s="13" t="inlineStr">
        <is>
          <t>Manual verification complete.</t>
        </is>
      </c>
      <c r="K48" s="14">
        <f>IF(AND(E48="yes",F48="yes",H48="covered"),1,IF(H48="partial",0.5,0))</f>
        <v/>
      </c>
    </row>
  </sheetData>
  <autoFilter ref="A8:K48"/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Progress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IFERROR(SUM(K9:K65)/COUNT(K9:K65),0)</f>
        <v/>
      </c>
      <c r="C4" s="8" t="inlineStr">
        <is>
          <t>Covered</t>
        </is>
      </c>
      <c r="D4" s="10">
        <f>COUNTIFS(E9:E65,"yes",F9:F65,"yes",H9:H65,"covered")</f>
        <v/>
      </c>
      <c r="E4" s="8" t="inlineStr">
        <is>
          <t>Partial</t>
        </is>
      </c>
      <c r="F4" s="10">
        <f>COUNTIF(H9:H65,"partial")</f>
        <v/>
      </c>
      <c r="G4" s="8" t="inlineStr">
        <is>
          <t>Missing</t>
        </is>
      </c>
      <c r="H4" s="10">
        <f>COUNTIFS(E9:E65,"&lt;&gt;yes") + COUNTIFS(E9:E65,"yes",H9:H65,"missing")</f>
        <v/>
      </c>
      <c r="I4" s="8" t="inlineStr">
        <is>
          <t>Untested</t>
        </is>
      </c>
      <c r="J4" s="10">
        <f>COUNTIFS(E9:E65,"yes",F9:F65,"&lt;&gt;yes") + COUNTIFS(E9:E65,"yes",F9:F65,"yes",H9:H65,"untested")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Progress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Progress playground manual pass.</t>
        </is>
      </c>
      <c r="J9" s="13" t="inlineStr">
        <is>
          <t>Done.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Progress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Progress playground manual pass.</t>
        </is>
      </c>
      <c r="J10" s="13" t="inlineStr">
        <is>
          <t>Done.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Progress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Progress playground manual pass.</t>
        </is>
      </c>
      <c r="J11" s="13" t="inlineStr">
        <is>
          <t>Done.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Progress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Progress playground manual pass.</t>
        </is>
      </c>
      <c r="J12" s="13" t="inlineStr">
        <is>
          <t>Done.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Progress</t>
        </is>
      </c>
      <c r="D13" s="13" t="inlineStr">
        <is>
          <t>Implements `role="progressbar"`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Progress playground manual pass.</t>
        </is>
      </c>
      <c r="J13" s="13" t="inlineStr">
        <is>
          <t>Done.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Progress</t>
        </is>
      </c>
      <c r="D14" s="13" t="inlineStr">
        <is>
          <t>Supports determinate values and indeterminate progress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Progress playground manual pass.</t>
        </is>
      </c>
      <c r="J14" s="13" t="inlineStr">
        <is>
          <t>Done.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Progress</t>
        </is>
      </c>
      <c r="D15" s="13" t="inlineStr">
        <is>
          <t>Normalizes invalid `min`/`max` ranges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Progress playground manual pass.</t>
        </is>
      </c>
      <c r="J15" s="13" t="inlineStr">
        <is>
          <t>Done.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Progress</t>
        </is>
      </c>
      <c r="D16" s="13" t="inlineStr">
        <is>
          <t>Exposes progress state, value, min, max, and percent through data attributes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Progress playground manual pass.</t>
        </is>
      </c>
      <c r="J16" s="13" t="inlineStr">
        <is>
          <t>Done.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Progress</t>
        </is>
      </c>
      <c r="D17" s="13" t="inlineStr">
        <is>
          <t>Supports custom assistive value text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Progress playground manual pass.</t>
        </is>
      </c>
      <c r="J17" s="13" t="inlineStr">
        <is>
          <t>Done.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Progress playground manual pass.</t>
        </is>
      </c>
      <c r="J18" s="13" t="inlineStr">
        <is>
          <t>Done.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Progress playground manual pass.</t>
        </is>
      </c>
      <c r="J19" s="13" t="inlineStr">
        <is>
          <t>Done.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Progress playground manual pass.</t>
        </is>
      </c>
      <c r="J20" s="13" t="inlineStr">
        <is>
          <t>Done.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Progress playground manual pass.</t>
        </is>
      </c>
      <c r="J21" s="13" t="inlineStr">
        <is>
          <t>Done.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Progress playground manual pass.</t>
        </is>
      </c>
      <c r="J22" s="13" t="inlineStr">
        <is>
          <t>Done.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Progress playground manual pass.</t>
        </is>
      </c>
      <c r="J23" s="13" t="inlineStr">
        <is>
          <t>Done.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Progress playground manual pass.</t>
        </is>
      </c>
      <c r="J24" s="13" t="inlineStr">
        <is>
          <t>Done.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Progress playground manual pass.</t>
        </is>
      </c>
      <c r="J25" s="13" t="inlineStr">
        <is>
          <t>Done.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value prop behavior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Progress playground manual pass.</t>
        </is>
      </c>
      <c r="J26" s="13" t="inlineStr">
        <is>
          <t>Done.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min prop behavior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Progress playground manual pass.</t>
        </is>
      </c>
      <c r="J27" s="13" t="inlineStr">
        <is>
          <t>Done.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max prop behavior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Progress playground manual pass.</t>
        </is>
      </c>
      <c r="J28" s="13" t="inlineStr">
        <is>
          <t>Done.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Accessibility</t>
        </is>
      </c>
      <c r="C29" s="13" t="inlineStr">
        <is>
          <t>Root</t>
        </is>
      </c>
      <c r="D29" s="13" t="inlineStr">
        <is>
          <t>aria-valuetext prop behavior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Progress playground manual pass.</t>
        </is>
      </c>
      <c r="J29" s="13" t="inlineStr">
        <is>
          <t>Done.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getValueLabel prop behavior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Progress playground manual pass.</t>
        </is>
      </c>
      <c r="J30" s="13" t="inlineStr">
        <is>
          <t>Done.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[data-slot] prop behavior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Progress playground manual pass.</t>
        </is>
      </c>
      <c r="J31" s="13" t="inlineStr">
        <is>
          <t>Done.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[data-state] prop behavior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Progress playground manual pass.</t>
        </is>
      </c>
      <c r="J32" s="13" t="inlineStr">
        <is>
          <t>Done.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[data-min] prop behavior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Progress playground manual pass.</t>
        </is>
      </c>
      <c r="J33" s="13" t="inlineStr">
        <is>
          <t>Done.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[data-max] prop behavior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</t>
        </is>
      </c>
      <c r="H34" s="22" t="inlineStr">
        <is>
          <t>covered</t>
        </is>
      </c>
      <c r="I34" s="13" t="inlineStr">
        <is>
          <t>Progress playground manual pass.</t>
        </is>
      </c>
      <c r="J34" s="13" t="inlineStr">
        <is>
          <t>Done.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Root</t>
        </is>
      </c>
      <c r="D35" s="13" t="inlineStr">
        <is>
          <t>[data-value] prop behavior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passed</t>
        </is>
      </c>
      <c r="H35" s="22" t="inlineStr">
        <is>
          <t>covered</t>
        </is>
      </c>
      <c r="I35" s="13" t="inlineStr">
        <is>
          <t>Progress playground manual pass.</t>
        </is>
      </c>
      <c r="J35" s="13" t="inlineStr">
        <is>
          <t>Done.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[data-percent] prop behavior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passed</t>
        </is>
      </c>
      <c r="H36" s="22" t="inlineStr">
        <is>
          <t>covered</t>
        </is>
      </c>
      <c r="I36" s="13" t="inlineStr">
        <is>
          <t>Progress playground manual pass.</t>
        </is>
      </c>
      <c r="J36" s="13" t="inlineStr">
        <is>
          <t>Done.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Anatomy</t>
        </is>
      </c>
      <c r="C37" s="13" t="inlineStr">
        <is>
          <t>Indicator</t>
        </is>
      </c>
      <c r="D37" s="13" t="inlineStr">
        <is>
          <t>renders correct part when expected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passed</t>
        </is>
      </c>
      <c r="H37" s="22" t="inlineStr">
        <is>
          <t>covered</t>
        </is>
      </c>
      <c r="I37" s="13" t="inlineStr">
        <is>
          <t>Progress playground manual pass.</t>
        </is>
      </c>
      <c r="J37" s="13" t="inlineStr">
        <is>
          <t>Done.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Anatomy</t>
        </is>
      </c>
      <c r="C38" s="13" t="inlineStr">
        <is>
          <t>Indicator</t>
        </is>
      </c>
      <c r="D38" s="13" t="inlineStr">
        <is>
          <t>appears in documented order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passed</t>
        </is>
      </c>
      <c r="H38" s="22" t="inlineStr">
        <is>
          <t>covered</t>
        </is>
      </c>
      <c r="I38" s="13" t="inlineStr">
        <is>
          <t>Progress playground manual pass.</t>
        </is>
      </c>
      <c r="J38" s="13" t="inlineStr">
        <is>
          <t>Done.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Identity</t>
        </is>
      </c>
      <c r="C39" s="13" t="inlineStr">
        <is>
          <t>Indicator</t>
        </is>
      </c>
      <c r="D39" s="13" t="inlineStr">
        <is>
          <t>default tag is visible in Anatomy/Inspector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passed</t>
        </is>
      </c>
      <c r="H39" s="22" t="inlineStr">
        <is>
          <t>covered</t>
        </is>
      </c>
      <c r="I39" s="13" t="inlineStr">
        <is>
          <t>Progress playground manual pass.</t>
        </is>
      </c>
      <c r="J39" s="13" t="inlineStr">
        <is>
          <t>Done.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Identity</t>
        </is>
      </c>
      <c r="C40" s="13" t="inlineStr">
        <is>
          <t>Indicator</t>
        </is>
      </c>
      <c r="D40" s="13" t="inlineStr">
        <is>
          <t>data-slot is present and correct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passed</t>
        </is>
      </c>
      <c r="H40" s="22" t="inlineStr">
        <is>
          <t>covered</t>
        </is>
      </c>
      <c r="I40" s="13" t="inlineStr">
        <is>
          <t>Progress playground manual pass.</t>
        </is>
      </c>
      <c r="J40" s="13" t="inlineStr">
        <is>
          <t>Done.</t>
        </is>
      </c>
      <c r="K40" s="14">
        <f>IF(AND(E40="yes",F40="yes",H40="covered"),1,IF(H40="partial",0.5,0))</f>
        <v/>
      </c>
    </row>
    <row r="41" ht="30" customHeight="1" s="24">
      <c r="A41" s="12" t="n">
        <v>33</v>
      </c>
      <c r="B41" s="13" t="inlineStr">
        <is>
          <t>Props</t>
        </is>
      </c>
      <c r="C41" s="13" t="inlineStr">
        <is>
          <t>Indicator</t>
        </is>
      </c>
      <c r="D41" s="13" t="inlineStr">
        <is>
          <t>non-Atom native props pass through with data-prop-check marker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passed</t>
        </is>
      </c>
      <c r="H41" s="22" t="inlineStr">
        <is>
          <t>covered</t>
        </is>
      </c>
      <c r="I41" s="13" t="inlineStr">
        <is>
          <t>Progress playground manual pass.</t>
        </is>
      </c>
      <c r="J41" s="13" t="inlineStr">
        <is>
          <t>Done.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Refs</t>
        </is>
      </c>
      <c r="C42" s="13" t="inlineStr">
        <is>
          <t>Indicator</t>
        </is>
      </c>
      <c r="D42" s="13" t="inlineStr">
        <is>
          <t>consumer ref receives the rendered element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passed</t>
        </is>
      </c>
      <c r="H42" s="22" t="inlineStr">
        <is>
          <t>covered</t>
        </is>
      </c>
      <c r="I42" s="13" t="inlineStr">
        <is>
          <t>Progress playground manual pass.</t>
        </is>
      </c>
      <c r="J42" s="13" t="inlineStr">
        <is>
          <t>Done.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Indicator</t>
        </is>
      </c>
      <c r="D43" s="13" t="inlineStr">
        <is>
          <t>asChild prop behavior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passed</t>
        </is>
      </c>
      <c r="H43" s="22" t="inlineStr">
        <is>
          <t>covered</t>
        </is>
      </c>
      <c r="I43" s="13" t="inlineStr">
        <is>
          <t>Progress playground manual pass.</t>
        </is>
      </c>
      <c r="J43" s="13" t="inlineStr">
        <is>
          <t>Done.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Composition</t>
        </is>
      </c>
      <c r="C44" s="13" t="inlineStr">
        <is>
          <t>Indicator</t>
        </is>
      </c>
      <c r="D44" s="13" t="inlineStr">
        <is>
          <t>render prop behavior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passed</t>
        </is>
      </c>
      <c r="H44" s="22" t="inlineStr">
        <is>
          <t>covered</t>
        </is>
      </c>
      <c r="I44" s="13" t="inlineStr">
        <is>
          <t>Progress playground manual pass.</t>
        </is>
      </c>
      <c r="J44" s="13" t="inlineStr">
        <is>
          <t>Done.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Public API</t>
        </is>
      </c>
      <c r="C45" s="13" t="inlineStr">
        <is>
          <t>Indicator</t>
        </is>
      </c>
      <c r="D45" s="13" t="inlineStr">
        <is>
          <t>[data-slot] prop behavior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passed</t>
        </is>
      </c>
      <c r="H45" s="22" t="inlineStr">
        <is>
          <t>covered</t>
        </is>
      </c>
      <c r="I45" s="13" t="inlineStr">
        <is>
          <t>Progress playground manual pass.</t>
        </is>
      </c>
      <c r="J45" s="13" t="inlineStr">
        <is>
          <t>Done.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Public API</t>
        </is>
      </c>
      <c r="C46" s="13" t="inlineStr">
        <is>
          <t>Indicator</t>
        </is>
      </c>
      <c r="D46" s="13" t="inlineStr">
        <is>
          <t>[data-state] prop behavior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passed</t>
        </is>
      </c>
      <c r="H46" s="22" t="inlineStr">
        <is>
          <t>covered</t>
        </is>
      </c>
      <c r="I46" s="13" t="inlineStr">
        <is>
          <t>Progress playground manual pass.</t>
        </is>
      </c>
      <c r="J46" s="13" t="inlineStr">
        <is>
          <t>Done.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Public API</t>
        </is>
      </c>
      <c r="C47" s="13" t="inlineStr">
        <is>
          <t>Indicator</t>
        </is>
      </c>
      <c r="D47" s="13" t="inlineStr">
        <is>
          <t>[data-min] prop behavior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passed</t>
        </is>
      </c>
      <c r="H47" s="22" t="inlineStr">
        <is>
          <t>covered</t>
        </is>
      </c>
      <c r="I47" s="13" t="inlineStr">
        <is>
          <t>Progress playground manual pass.</t>
        </is>
      </c>
      <c r="J47" s="13" t="inlineStr">
        <is>
          <t>Done.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Indicator</t>
        </is>
      </c>
      <c r="D48" s="13" t="inlineStr">
        <is>
          <t>[data-max] prop behavior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passed</t>
        </is>
      </c>
      <c r="H48" s="22" t="inlineStr">
        <is>
          <t>covered</t>
        </is>
      </c>
      <c r="I48" s="13" t="inlineStr">
        <is>
          <t>Progress playground manual pass.</t>
        </is>
      </c>
      <c r="J48" s="13" t="inlineStr">
        <is>
          <t>Done.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State</t>
        </is>
      </c>
      <c r="C49" s="13" t="inlineStr">
        <is>
          <t>Indicator</t>
        </is>
      </c>
      <c r="D49" s="13" t="inlineStr">
        <is>
          <t>[data-value] prop behavior</t>
        </is>
      </c>
      <c r="E49" s="18" t="inlineStr">
        <is>
          <t>yes</t>
        </is>
      </c>
      <c r="F49" s="18" t="inlineStr">
        <is>
          <t>yes</t>
        </is>
      </c>
      <c r="G49" s="12" t="inlineStr">
        <is>
          <t>passed</t>
        </is>
      </c>
      <c r="H49" s="22" t="inlineStr">
        <is>
          <t>covered</t>
        </is>
      </c>
      <c r="I49" s="13" t="inlineStr">
        <is>
          <t>Progress playground manual pass.</t>
        </is>
      </c>
      <c r="J49" s="13" t="inlineStr">
        <is>
          <t>Done.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Indicator</t>
        </is>
      </c>
      <c r="D50" s="13" t="inlineStr">
        <is>
          <t>[data-percent] prop behavior</t>
        </is>
      </c>
      <c r="E50" s="18" t="inlineStr">
        <is>
          <t>yes</t>
        </is>
      </c>
      <c r="F50" s="18" t="inlineStr">
        <is>
          <t>yes</t>
        </is>
      </c>
      <c r="G50" s="12" t="inlineStr">
        <is>
          <t>passed</t>
        </is>
      </c>
      <c r="H50" s="22" t="inlineStr">
        <is>
          <t>covered</t>
        </is>
      </c>
      <c r="I50" s="13" t="inlineStr">
        <is>
          <t>Progress playground manual pass.</t>
        </is>
      </c>
      <c r="J50" s="13" t="inlineStr">
        <is>
          <t>Done.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ARIA</t>
        </is>
      </c>
      <c r="C51" s="13" t="inlineStr">
        <is>
          <t>Live DOM</t>
        </is>
      </c>
      <c r="D51" s="13" t="inlineStr">
        <is>
          <t>aria-hidden is present at the correct time</t>
        </is>
      </c>
      <c r="E51" s="18" t="inlineStr">
        <is>
          <t>yes</t>
        </is>
      </c>
      <c r="F51" s="18" t="inlineStr">
        <is>
          <t>yes</t>
        </is>
      </c>
      <c r="G51" s="12" t="inlineStr">
        <is>
          <t>passed</t>
        </is>
      </c>
      <c r="H51" s="22" t="inlineStr">
        <is>
          <t>covered</t>
        </is>
      </c>
      <c r="I51" s="13" t="inlineStr">
        <is>
          <t>Progress playground manual pass.</t>
        </is>
      </c>
      <c r="J51" s="13" t="inlineStr">
        <is>
          <t>Done.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ARIA</t>
        </is>
      </c>
      <c r="C52" s="13" t="inlineStr">
        <is>
          <t>Live DOM</t>
        </is>
      </c>
      <c r="D52" s="13" t="inlineStr">
        <is>
          <t>aria-valuemax is present at the correct time</t>
        </is>
      </c>
      <c r="E52" s="18" t="inlineStr">
        <is>
          <t>yes</t>
        </is>
      </c>
      <c r="F52" s="18" t="inlineStr">
        <is>
          <t>yes</t>
        </is>
      </c>
      <c r="G52" s="12" t="inlineStr">
        <is>
          <t>passed</t>
        </is>
      </c>
      <c r="H52" s="22" t="inlineStr">
        <is>
          <t>covered</t>
        </is>
      </c>
      <c r="I52" s="13" t="inlineStr">
        <is>
          <t>Progress playground manual pass.</t>
        </is>
      </c>
      <c r="J52" s="13" t="inlineStr">
        <is>
          <t>Done.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ARIA</t>
        </is>
      </c>
      <c r="C53" s="13" t="inlineStr">
        <is>
          <t>Live DOM</t>
        </is>
      </c>
      <c r="D53" s="13" t="inlineStr">
        <is>
          <t>aria-valuemin is present at the correct time</t>
        </is>
      </c>
      <c r="E53" s="18" t="inlineStr">
        <is>
          <t>yes</t>
        </is>
      </c>
      <c r="F53" s="18" t="inlineStr">
        <is>
          <t>yes</t>
        </is>
      </c>
      <c r="G53" s="12" t="inlineStr">
        <is>
          <t>passed</t>
        </is>
      </c>
      <c r="H53" s="22" t="inlineStr">
        <is>
          <t>covered</t>
        </is>
      </c>
      <c r="I53" s="13" t="inlineStr">
        <is>
          <t>Progress playground manual pass.</t>
        </is>
      </c>
      <c r="J53" s="13" t="inlineStr">
        <is>
          <t>Done.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ARIA</t>
        </is>
      </c>
      <c r="C54" s="13" t="inlineStr">
        <is>
          <t>Live DOM</t>
        </is>
      </c>
      <c r="D54" s="13" t="inlineStr">
        <is>
          <t>aria-valuenow is present at the correct time</t>
        </is>
      </c>
      <c r="E54" s="18" t="inlineStr">
        <is>
          <t>yes</t>
        </is>
      </c>
      <c r="F54" s="18" t="inlineStr">
        <is>
          <t>yes</t>
        </is>
      </c>
      <c r="G54" s="12" t="inlineStr">
        <is>
          <t>passed</t>
        </is>
      </c>
      <c r="H54" s="22" t="inlineStr">
        <is>
          <t>covered</t>
        </is>
      </c>
      <c r="I54" s="13" t="inlineStr">
        <is>
          <t>Progress playground manual pass.</t>
        </is>
      </c>
      <c r="J54" s="13" t="inlineStr">
        <is>
          <t>Done.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ARIA</t>
        </is>
      </c>
      <c r="C55" s="13" t="inlineStr">
        <is>
          <t>Live DOM</t>
        </is>
      </c>
      <c r="D55" s="13" t="inlineStr">
        <is>
          <t>aria-valuetext is present at the correct time</t>
        </is>
      </c>
      <c r="E55" s="18" t="inlineStr">
        <is>
          <t>yes</t>
        </is>
      </c>
      <c r="F55" s="18" t="inlineStr">
        <is>
          <t>yes</t>
        </is>
      </c>
      <c r="G55" s="12" t="inlineStr">
        <is>
          <t>passed</t>
        </is>
      </c>
      <c r="H55" s="22" t="inlineStr">
        <is>
          <t>covered</t>
        </is>
      </c>
      <c r="I55" s="13" t="inlineStr">
        <is>
          <t>Progress playground manual pass.</t>
        </is>
      </c>
      <c r="J55" s="13" t="inlineStr">
        <is>
          <t>Done.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Data</t>
        </is>
      </c>
      <c r="C56" s="13" t="inlineStr">
        <is>
          <t>Live DOM</t>
        </is>
      </c>
      <c r="D56" s="13" t="inlineStr">
        <is>
          <t>data-max is present at the correct time</t>
        </is>
      </c>
      <c r="E56" s="18" t="inlineStr">
        <is>
          <t>yes</t>
        </is>
      </c>
      <c r="F56" s="18" t="inlineStr">
        <is>
          <t>yes</t>
        </is>
      </c>
      <c r="G56" s="12" t="inlineStr">
        <is>
          <t>passed</t>
        </is>
      </c>
      <c r="H56" s="22" t="inlineStr">
        <is>
          <t>covered</t>
        </is>
      </c>
      <c r="I56" s="13" t="inlineStr">
        <is>
          <t>Progress playground manual pass.</t>
        </is>
      </c>
      <c r="J56" s="13" t="inlineStr">
        <is>
          <t>Done.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Data</t>
        </is>
      </c>
      <c r="C57" s="13" t="inlineStr">
        <is>
          <t>Live DOM</t>
        </is>
      </c>
      <c r="D57" s="13" t="inlineStr">
        <is>
          <t>data-min is present at the correct time</t>
        </is>
      </c>
      <c r="E57" s="18" t="inlineStr">
        <is>
          <t>yes</t>
        </is>
      </c>
      <c r="F57" s="18" t="inlineStr">
        <is>
          <t>yes</t>
        </is>
      </c>
      <c r="G57" s="12" t="inlineStr">
        <is>
          <t>passed</t>
        </is>
      </c>
      <c r="H57" s="22" t="inlineStr">
        <is>
          <t>covered</t>
        </is>
      </c>
      <c r="I57" s="13" t="inlineStr">
        <is>
          <t>Progress playground manual pass.</t>
        </is>
      </c>
      <c r="J57" s="13" t="inlineStr">
        <is>
          <t>Done.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Data</t>
        </is>
      </c>
      <c r="C58" s="13" t="inlineStr">
        <is>
          <t>Live DOM</t>
        </is>
      </c>
      <c r="D58" s="13" t="inlineStr">
        <is>
          <t>data-percent is present at the correct time</t>
        </is>
      </c>
      <c r="E58" s="18" t="inlineStr">
        <is>
          <t>yes</t>
        </is>
      </c>
      <c r="F58" s="18" t="inlineStr">
        <is>
          <t>yes</t>
        </is>
      </c>
      <c r="G58" s="12" t="inlineStr">
        <is>
          <t>passed</t>
        </is>
      </c>
      <c r="H58" s="22" t="inlineStr">
        <is>
          <t>covered</t>
        </is>
      </c>
      <c r="I58" s="13" t="inlineStr">
        <is>
          <t>Progress playground manual pass.</t>
        </is>
      </c>
      <c r="J58" s="13" t="inlineStr">
        <is>
          <t>Done.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Data</t>
        </is>
      </c>
      <c r="C59" s="13" t="inlineStr">
        <is>
          <t>Live DOM</t>
        </is>
      </c>
      <c r="D59" s="13" t="inlineStr">
        <is>
          <t>data-slot is present at the correct time</t>
        </is>
      </c>
      <c r="E59" s="18" t="inlineStr">
        <is>
          <t>yes</t>
        </is>
      </c>
      <c r="F59" s="18" t="inlineStr">
        <is>
          <t>yes</t>
        </is>
      </c>
      <c r="G59" s="12" t="inlineStr">
        <is>
          <t>passed</t>
        </is>
      </c>
      <c r="H59" s="22" t="inlineStr">
        <is>
          <t>covered</t>
        </is>
      </c>
      <c r="I59" s="13" t="inlineStr">
        <is>
          <t>Progress playground manual pass.</t>
        </is>
      </c>
      <c r="J59" s="13" t="inlineStr">
        <is>
          <t>Done.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Data</t>
        </is>
      </c>
      <c r="C60" s="13" t="inlineStr">
        <is>
          <t>Live DOM</t>
        </is>
      </c>
      <c r="D60" s="13" t="inlineStr">
        <is>
          <t>data-state is present at the correct time</t>
        </is>
      </c>
      <c r="E60" s="18" t="inlineStr">
        <is>
          <t>yes</t>
        </is>
      </c>
      <c r="F60" s="18" t="inlineStr">
        <is>
          <t>yes</t>
        </is>
      </c>
      <c r="G60" s="12" t="inlineStr">
        <is>
          <t>passed</t>
        </is>
      </c>
      <c r="H60" s="22" t="inlineStr">
        <is>
          <t>covered</t>
        </is>
      </c>
      <c r="I60" s="13" t="inlineStr">
        <is>
          <t>Progress playground manual pass.</t>
        </is>
      </c>
      <c r="J60" s="13" t="inlineStr">
        <is>
          <t>Done.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Data</t>
        </is>
      </c>
      <c r="C61" s="13" t="inlineStr">
        <is>
          <t>Live DOM</t>
        </is>
      </c>
      <c r="D61" s="13" t="inlineStr">
        <is>
          <t>data-value is present at the correct time</t>
        </is>
      </c>
      <c r="E61" s="18" t="inlineStr">
        <is>
          <t>yes</t>
        </is>
      </c>
      <c r="F61" s="18" t="inlineStr">
        <is>
          <t>yes</t>
        </is>
      </c>
      <c r="G61" s="12" t="inlineStr">
        <is>
          <t>passed</t>
        </is>
      </c>
      <c r="H61" s="22" t="inlineStr">
        <is>
          <t>covered</t>
        </is>
      </c>
      <c r="I61" s="13" t="inlineStr">
        <is>
          <t>Progress playground manual pass.</t>
        </is>
      </c>
      <c r="J61" s="13" t="inlineStr">
        <is>
          <t>Done.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Composition</t>
        </is>
      </c>
      <c r="C62" s="13" t="inlineStr">
        <is>
          <t>Progress</t>
        </is>
      </c>
      <c r="D62" s="13" t="inlineStr">
        <is>
          <t>asChild preserves child content without double nesting</t>
        </is>
      </c>
      <c r="E62" s="18" t="inlineStr">
        <is>
          <t>yes</t>
        </is>
      </c>
      <c r="F62" s="18" t="inlineStr">
        <is>
          <t>yes</t>
        </is>
      </c>
      <c r="G62" s="12" t="inlineStr">
        <is>
          <t>passed</t>
        </is>
      </c>
      <c r="H62" s="22" t="inlineStr">
        <is>
          <t>covered</t>
        </is>
      </c>
      <c r="I62" s="13" t="inlineStr">
        <is>
          <t>Progress playground manual pass.</t>
        </is>
      </c>
      <c r="J62" s="13" t="inlineStr">
        <is>
          <t>Done.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Composition</t>
        </is>
      </c>
      <c r="C63" s="13" t="inlineStr">
        <is>
          <t>Progress</t>
        </is>
      </c>
      <c r="D63" s="13" t="inlineStr">
        <is>
          <t>asChild merges Atom props and consumer props</t>
        </is>
      </c>
      <c r="E63" s="18" t="inlineStr">
        <is>
          <t>yes</t>
        </is>
      </c>
      <c r="F63" s="18" t="inlineStr">
        <is>
          <t>yes</t>
        </is>
      </c>
      <c r="G63" s="12" t="inlineStr">
        <is>
          <t>passed</t>
        </is>
      </c>
      <c r="H63" s="22" t="inlineStr">
        <is>
          <t>covered</t>
        </is>
      </c>
      <c r="I63" s="13" t="inlineStr">
        <is>
          <t>Progress playground manual pass.</t>
        </is>
      </c>
      <c r="J63" s="13" t="inlineStr">
        <is>
          <t>Done.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Composition</t>
        </is>
      </c>
      <c r="C64" s="13" t="inlineStr">
        <is>
          <t>Progress</t>
        </is>
      </c>
      <c r="D64" s="13" t="inlineStr">
        <is>
          <t>render prop renders custom element</t>
        </is>
      </c>
      <c r="E64" s="18" t="inlineStr">
        <is>
          <t>yes</t>
        </is>
      </c>
      <c r="F64" s="18" t="inlineStr">
        <is>
          <t>yes</t>
        </is>
      </c>
      <c r="G64" s="12" t="inlineStr">
        <is>
          <t>passed</t>
        </is>
      </c>
      <c r="H64" s="22" t="inlineStr">
        <is>
          <t>covered</t>
        </is>
      </c>
      <c r="I64" s="13" t="inlineStr">
        <is>
          <t>Progress playground manual pass.</t>
        </is>
      </c>
      <c r="J64" s="13" t="inlineStr">
        <is>
          <t>Done.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Composition</t>
        </is>
      </c>
      <c r="C65" s="13" t="inlineStr">
        <is>
          <t>Progress</t>
        </is>
      </c>
      <c r="D65" s="13" t="inlineStr">
        <is>
          <t>render prop preserves refs and behavior props</t>
        </is>
      </c>
      <c r="E65" s="18" t="inlineStr">
        <is>
          <t>yes</t>
        </is>
      </c>
      <c r="F65" s="18" t="inlineStr">
        <is>
          <t>yes</t>
        </is>
      </c>
      <c r="G65" s="12" t="inlineStr">
        <is>
          <t>passed</t>
        </is>
      </c>
      <c r="H65" s="22" t="inlineStr">
        <is>
          <t>covered</t>
        </is>
      </c>
      <c r="I65" s="13" t="inlineStr">
        <is>
          <t>Progress playground manual pass.</t>
        </is>
      </c>
      <c r="J65" s="13" t="inlineStr">
        <is>
          <t>Done.</t>
        </is>
      </c>
      <c r="K65" s="14">
        <f>IF(AND(E65="yes",F65="yes",H65="covered"),1,IF(H65="partial",0.5,0))</f>
        <v/>
      </c>
    </row>
  </sheetData>
  <autoFilter ref="A8:K65"/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RadioGroup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IFERROR(SUM(K9:K94)/COUNT(K9:K94),0)</f>
        <v/>
      </c>
      <c r="C4" s="8" t="inlineStr">
        <is>
          <t>Covered</t>
        </is>
      </c>
      <c r="D4" s="10">
        <f>COUNTIFS(E9:E94,"yes",F9:F94,"yes",H9:H94,"covered")</f>
        <v/>
      </c>
      <c r="E4" s="8" t="inlineStr">
        <is>
          <t>Partial</t>
        </is>
      </c>
      <c r="F4" s="10">
        <f>COUNTIF(H9:H94,"partial")</f>
        <v/>
      </c>
      <c r="G4" s="8" t="inlineStr">
        <is>
          <t>Missing</t>
        </is>
      </c>
      <c r="H4" s="10">
        <f>COUNTIFS(E9:E94,"&lt;&gt;yes") + COUNTIFS(E9:E94,"yes",H9:H94,"missing")</f>
        <v/>
      </c>
      <c r="I4" s="8" t="inlineStr">
        <is>
          <t>Untested</t>
        </is>
      </c>
      <c r="J4" s="10">
        <f>COUNTIFS(E9:E94,"yes",F9:F94,"&lt;&gt;yes") + COUNTIFS(E9:E94,"yes",F9:F94,"yes",H9:H94,"untested")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RadioGroup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RadioGroup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45" customHeight="1" s="24">
      <c r="A10" s="12" t="n">
        <v>2</v>
      </c>
      <c r="B10" s="13" t="inlineStr">
        <is>
          <t>Playground</t>
        </is>
      </c>
      <c r="C10" s="13" t="inlineStr">
        <is>
          <t>RadioGroup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RadioGroup playground page uses shared Canvas/Source, Anatomy, Inspector, and Log infrastructure.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RadioGroup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RadioGroup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RadioGroup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RadioGroup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RadioGroup</t>
        </is>
      </c>
      <c r="D13" s="13" t="inlineStr">
        <is>
          <t>Manages one selected value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RadioGroup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RadioGroup</t>
        </is>
      </c>
      <c r="D14" s="13" t="inlineStr">
        <is>
          <t>Can be controlled or uncontrolled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RadioGroup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RadioGroup</t>
        </is>
      </c>
      <c r="D15" s="13" t="inlineStr">
        <is>
          <t>Supports horizontal and vertical keyboard navigation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RadioGroup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RadioGroup</t>
        </is>
      </c>
      <c r="D16" s="13" t="inlineStr">
        <is>
          <t>Supports optional looping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RadioGroup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RadioGroup</t>
        </is>
      </c>
      <c r="D17" s="13" t="inlineStr">
        <is>
          <t>Renders hidden native radio inputs for form submission when named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RadioGroup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RadioGroup</t>
        </is>
      </c>
      <c r="D18" s="13" t="inlineStr">
        <is>
          <t>Keeps only the selected or first enabled item in the tab order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RadioGroup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RadioGroup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RadioGroup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RadioGroup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RadioGroup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RadioGroup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4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Package tests/source review verify consumer ref plumbing for RadioGroup; playground manual pass can inspect rendered DOM behavior.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RadioGroup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RadioGroup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RadioGroup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name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RadioGroup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form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RadioGroup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disabled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RadioGroup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required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RadioGroup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invalid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RadioGroup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orientation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RadioGroup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loop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RadioGroup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Accessibility</t>
        </is>
      </c>
      <c r="C35" s="13" t="inlineStr">
        <is>
          <t>Root</t>
        </is>
      </c>
      <c r="D35" s="13" t="inlineStr">
        <is>
          <t>ariaLabel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RadioGroup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Root</t>
        </is>
      </c>
      <c r="D36" s="13" t="inlineStr">
        <is>
          <t>asChild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RadioGroup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Root</t>
        </is>
      </c>
      <c r="D37" s="13" t="inlineStr">
        <is>
          <t>render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RadioGroup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[data-slot]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RadioGroup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Root</t>
        </is>
      </c>
      <c r="D39" s="13" t="inlineStr">
        <is>
          <t>[data-orientation]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RadioGroup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Root</t>
        </is>
      </c>
      <c r="D40" s="13" t="inlineStr">
        <is>
          <t>[data-disabled]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RadioGroup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[data-invalid]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RadioGroup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Item</t>
        </is>
      </c>
      <c r="D42" s="13" t="inlineStr">
        <is>
          <t>renders correct part when expected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RadioGroup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Anatomy</t>
        </is>
      </c>
      <c r="C43" s="13" t="inlineStr">
        <is>
          <t>Item</t>
        </is>
      </c>
      <c r="D43" s="13" t="inlineStr">
        <is>
          <t>appears in documented order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RadioGroup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Item</t>
        </is>
      </c>
      <c r="D44" s="13" t="inlineStr">
        <is>
          <t>default tag is visible in Anatomy/Inspector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RadioGroup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Identity</t>
        </is>
      </c>
      <c r="C45" s="13" t="inlineStr">
        <is>
          <t>Item</t>
        </is>
      </c>
      <c r="D45" s="13" t="inlineStr">
        <is>
          <t>data-slot is present and correct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RadioGroup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30" customHeight="1" s="24">
      <c r="A46" s="12" t="n">
        <v>38</v>
      </c>
      <c r="B46" s="13" t="inlineStr">
        <is>
          <t>Props</t>
        </is>
      </c>
      <c r="C46" s="13" t="inlineStr">
        <is>
          <t>Item</t>
        </is>
      </c>
      <c r="D46" s="13" t="inlineStr">
        <is>
          <t>non-Atom native props pass through with data-prop-check marker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RadioGroup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45" customHeight="1" s="24">
      <c r="A47" s="12" t="n">
        <v>39</v>
      </c>
      <c r="B47" s="13" t="inlineStr">
        <is>
          <t>Refs</t>
        </is>
      </c>
      <c r="C47" s="13" t="inlineStr">
        <is>
          <t>Item</t>
        </is>
      </c>
      <c r="D47" s="13" t="inlineStr">
        <is>
          <t>consumer ref receives the rendered element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Package tests/source review verify consumer ref plumbing for RadioGroup; playground manual pass can inspect rendered DOM behavior.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State</t>
        </is>
      </c>
      <c r="C48" s="13" t="inlineStr">
        <is>
          <t>Item</t>
        </is>
      </c>
      <c r="D48" s="13" t="inlineStr">
        <is>
          <t>value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RadioGroup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State</t>
        </is>
      </c>
      <c r="C49" s="13" t="inlineStr">
        <is>
          <t>Item</t>
        </is>
      </c>
      <c r="D49" s="13" t="inlineStr">
        <is>
          <t>disabled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RadioGroup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Accessibility</t>
        </is>
      </c>
      <c r="C50" s="13" t="inlineStr">
        <is>
          <t>Item</t>
        </is>
      </c>
      <c r="D50" s="13" t="inlineStr">
        <is>
          <t>ariaLabel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RadioGroup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Composition</t>
        </is>
      </c>
      <c r="C51" s="13" t="inlineStr">
        <is>
          <t>Item</t>
        </is>
      </c>
      <c r="D51" s="13" t="inlineStr">
        <is>
          <t>asChild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RadioGroup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Composition</t>
        </is>
      </c>
      <c r="C52" s="13" t="inlineStr">
        <is>
          <t>Item</t>
        </is>
      </c>
      <c r="D52" s="13" t="inlineStr">
        <is>
          <t>render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RadioGroup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Item</t>
        </is>
      </c>
      <c r="D53" s="13" t="inlineStr">
        <is>
          <t>[data-slot]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RadioGroup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State</t>
        </is>
      </c>
      <c r="C54" s="13" t="inlineStr">
        <is>
          <t>Item</t>
        </is>
      </c>
      <c r="D54" s="13" t="inlineStr">
        <is>
          <t>[data-value]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RadioGroup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Item</t>
        </is>
      </c>
      <c r="D55" s="13" t="inlineStr">
        <is>
          <t>[data-state]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RadioGroup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State</t>
        </is>
      </c>
      <c r="C56" s="13" t="inlineStr">
        <is>
          <t>Item</t>
        </is>
      </c>
      <c r="D56" s="13" t="inlineStr">
        <is>
          <t>[data-disabled]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RadioGroup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State</t>
        </is>
      </c>
      <c r="C57" s="13" t="inlineStr">
        <is>
          <t>Item</t>
        </is>
      </c>
      <c r="D57" s="13" t="inlineStr">
        <is>
          <t>[data-invalid]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RadioGroup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ARIA</t>
        </is>
      </c>
      <c r="C58" s="13" t="inlineStr">
        <is>
          <t>Live DOM</t>
        </is>
      </c>
      <c r="D58" s="13" t="inlineStr">
        <is>
          <t>aria-checked is present at the correct time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RadioGroup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ARIA</t>
        </is>
      </c>
      <c r="C59" s="13" t="inlineStr">
        <is>
          <t>Live DOM</t>
        </is>
      </c>
      <c r="D59" s="13" t="inlineStr">
        <is>
          <t>aria-disabled is present at the correct time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RadioGroup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ARIA</t>
        </is>
      </c>
      <c r="C60" s="13" t="inlineStr">
        <is>
          <t>Live DOM</t>
        </is>
      </c>
      <c r="D60" s="13" t="inlineStr">
        <is>
          <t>aria-hidden is present at the correct time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RadioGroup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ARIA</t>
        </is>
      </c>
      <c r="C61" s="13" t="inlineStr">
        <is>
          <t>Live DOM</t>
        </is>
      </c>
      <c r="D61" s="13" t="inlineStr">
        <is>
          <t>aria-invalid is present at the correct time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RadioGroup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ARIA</t>
        </is>
      </c>
      <c r="C62" s="13" t="inlineStr">
        <is>
          <t>Live DOM</t>
        </is>
      </c>
      <c r="D62" s="13" t="inlineStr">
        <is>
          <t>aria-label is present at the correct time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RadioGroup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ARIA</t>
        </is>
      </c>
      <c r="C63" s="13" t="inlineStr">
        <is>
          <t>Live DOM</t>
        </is>
      </c>
      <c r="D63" s="13" t="inlineStr">
        <is>
          <t>aria-orientation is present at the correct time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RadioGroup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ARIA</t>
        </is>
      </c>
      <c r="C64" s="13" t="inlineStr">
        <is>
          <t>Live DOM</t>
        </is>
      </c>
      <c r="D64" s="13" t="inlineStr">
        <is>
          <t>aria-required is present at the correct time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RadioGroup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Data</t>
        </is>
      </c>
      <c r="C65" s="13" t="inlineStr">
        <is>
          <t>Live DOM</t>
        </is>
      </c>
      <c r="D65" s="13" t="inlineStr">
        <is>
          <t>data-disabled is present at the correct time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RadioGroup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Data</t>
        </is>
      </c>
      <c r="C66" s="13" t="inlineStr">
        <is>
          <t>Live DOM</t>
        </is>
      </c>
      <c r="D66" s="13" t="inlineStr">
        <is>
          <t>data-invalid is present at the correct time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RadioGroup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Data</t>
        </is>
      </c>
      <c r="C67" s="13" t="inlineStr">
        <is>
          <t>Live DOM</t>
        </is>
      </c>
      <c r="D67" s="13" t="inlineStr">
        <is>
          <t>data-orientation is present at the correct time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RadioGroup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Data</t>
        </is>
      </c>
      <c r="C68" s="13" t="inlineStr">
        <is>
          <t>Live DOM</t>
        </is>
      </c>
      <c r="D68" s="13" t="inlineStr">
        <is>
          <t>data-slot is present at the correct time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RadioGroup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Data</t>
        </is>
      </c>
      <c r="C69" s="13" t="inlineStr">
        <is>
          <t>Live DOM</t>
        </is>
      </c>
      <c r="D69" s="13" t="inlineStr">
        <is>
          <t>data-state is present at the correct time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RadioGroup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Data</t>
        </is>
      </c>
      <c r="C70" s="13" t="inlineStr">
        <is>
          <t>Live DOM</t>
        </is>
      </c>
      <c r="D70" s="13" t="inlineStr">
        <is>
          <t>data-value is present at the correct time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RadioGroup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Composition</t>
        </is>
      </c>
      <c r="C71" s="13" t="inlineStr">
        <is>
          <t>RadioGroup</t>
        </is>
      </c>
      <c r="D71" s="13" t="inlineStr">
        <is>
          <t>asChild preserves child content without double nesting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RadioGroup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Composition</t>
        </is>
      </c>
      <c r="C72" s="13" t="inlineStr">
        <is>
          <t>RadioGroup</t>
        </is>
      </c>
      <c r="D72" s="13" t="inlineStr">
        <is>
          <t>asChild merges Atom props and consumer props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RadioGroup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30" customHeight="1" s="24">
      <c r="A73" s="12" t="n">
        <v>65</v>
      </c>
      <c r="B73" s="13" t="inlineStr">
        <is>
          <t>Composition</t>
        </is>
      </c>
      <c r="C73" s="13" t="inlineStr">
        <is>
          <t>RadioGroup</t>
        </is>
      </c>
      <c r="D73" s="13" t="inlineStr">
        <is>
          <t>asChild lets preventDefault block Atom behavior where supported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RadioGroup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Composition</t>
        </is>
      </c>
      <c r="C74" s="13" t="inlineStr">
        <is>
          <t>RadioGroup</t>
        </is>
      </c>
      <c r="D74" s="13" t="inlineStr">
        <is>
          <t>render prop renders custom element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RadioGroup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45" customHeight="1" s="24">
      <c r="A75" s="12" t="n">
        <v>67</v>
      </c>
      <c r="B75" s="13" t="inlineStr">
        <is>
          <t>Composition</t>
        </is>
      </c>
      <c r="C75" s="13" t="inlineStr">
        <is>
          <t>RadioGroup</t>
        </is>
      </c>
      <c r="D75" s="13" t="inlineStr">
        <is>
          <t>render prop preserves refs and behavior props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Composition controls/package tests cover render/asChild behavior for RadioGroup; ready for manual verification where exposed.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State</t>
        </is>
      </c>
      <c r="C76" s="13" t="inlineStr">
        <is>
          <t>Root</t>
        </is>
      </c>
      <c r="D76" s="13" t="inlineStr">
        <is>
          <t>controlled state path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RadioGroup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State</t>
        </is>
      </c>
      <c r="C77" s="13" t="inlineStr">
        <is>
          <t>Root</t>
        </is>
      </c>
      <c r="D77" s="13" t="inlineStr">
        <is>
          <t>uncontrolled default state path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RadioGroup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State</t>
        </is>
      </c>
      <c r="C78" s="13" t="inlineStr">
        <is>
          <t>Root</t>
        </is>
      </c>
      <c r="D78" s="13" t="inlineStr">
        <is>
          <t>state change callback fires once with correct value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RadioGroup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30" customHeight="1" s="24">
      <c r="A79" s="12" t="n">
        <v>71</v>
      </c>
      <c r="B79" s="13" t="inlineStr">
        <is>
          <t>State</t>
        </is>
      </c>
      <c r="C79" s="13" t="inlineStr">
        <is>
          <t>RadioGroup</t>
        </is>
      </c>
      <c r="D79" s="13" t="inlineStr">
        <is>
          <t>disabled state blocks or exposes behavior correctly where supported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RadioGroup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30" customHeight="1" s="24">
      <c r="A80" s="12" t="n">
        <v>72</v>
      </c>
      <c r="B80" s="13" t="inlineStr">
        <is>
          <t>State</t>
        </is>
      </c>
      <c r="C80" s="13" t="inlineStr">
        <is>
          <t>RadioGroup</t>
        </is>
      </c>
      <c r="D80" s="13" t="inlineStr">
        <is>
          <t>readonly/readOnly state blocks or exposes behavior correctly where supported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RadioGroup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State</t>
        </is>
      </c>
      <c r="C81" s="13" t="inlineStr">
        <is>
          <t>RadioGroup</t>
        </is>
      </c>
      <c r="D81" s="13" t="inlineStr">
        <is>
          <t>required state blocks or exposes behavior correctly where supported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RadioGroup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State</t>
        </is>
      </c>
      <c r="C82" s="13" t="inlineStr">
        <is>
          <t>RadioGroup</t>
        </is>
      </c>
      <c r="D82" s="13" t="inlineStr">
        <is>
          <t>invalid state blocks or exposes behavior correctly where supported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RadioGroup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Forms</t>
        </is>
      </c>
      <c r="C83" s="13" t="inlineStr">
        <is>
          <t>RadioGroup</t>
        </is>
      </c>
      <c r="D83" s="13" t="inlineStr">
        <is>
          <t>form value participates correctly where supported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RadioGroup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30" customHeight="1" s="24">
      <c r="A84" s="12" t="n">
        <v>76</v>
      </c>
      <c r="B84" s="13" t="inlineStr">
        <is>
          <t>Forms</t>
        </is>
      </c>
      <c r="C84" s="13" t="inlineStr">
        <is>
          <t>RadioGroup</t>
        </is>
      </c>
      <c r="D84" s="13" t="inlineStr">
        <is>
          <t>hidden input mirrors value/checked/disabled where supported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RadioGroup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Keyboard</t>
        </is>
      </c>
      <c r="C85" s="13" t="inlineStr">
        <is>
          <t>RadioGroup</t>
        </is>
      </c>
      <c r="D85" s="13" t="inlineStr">
        <is>
          <t>End behavior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RadioGroup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Keyboard</t>
        </is>
      </c>
      <c r="C86" s="13" t="inlineStr">
        <is>
          <t>RadioGroup</t>
        </is>
      </c>
      <c r="D86" s="13" t="inlineStr">
        <is>
          <t>Home behavior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RadioGroup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Keyboard</t>
        </is>
      </c>
      <c r="C87" s="13" t="inlineStr">
        <is>
          <t>RadioGroup</t>
        </is>
      </c>
      <c r="D87" s="13" t="inlineStr">
        <is>
          <t>Arrow key navigation follows documented orientation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RadioGroup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Keyboard</t>
        </is>
      </c>
      <c r="C88" s="13" t="inlineStr">
        <is>
          <t>RadioGroup</t>
        </is>
      </c>
      <c r="D88" s="13" t="inlineStr">
        <is>
          <t>Home and End navigation where supported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RadioGroup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Keyboard</t>
        </is>
      </c>
      <c r="C89" s="13" t="inlineStr">
        <is>
          <t>RadioGroup</t>
        </is>
      </c>
      <c r="D89" s="13" t="inlineStr">
        <is>
          <t>disabled items are skipped or exposed according to pattern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RadioGroup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Keyboard</t>
        </is>
      </c>
      <c r="C90" s="13" t="inlineStr">
        <is>
          <t>RadioGroup</t>
        </is>
      </c>
      <c r="D90" s="13" t="inlineStr">
        <is>
          <t>typeahead/search behavior where supported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RadioGroup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Focus</t>
        </is>
      </c>
      <c r="C91" s="13" t="inlineStr">
        <is>
          <t>RadioGroup</t>
        </is>
      </c>
      <c r="D91" s="13" t="inlineStr">
        <is>
          <t>roving focus or active descendant state is visible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RadioGroup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30" customHeight="1" s="24">
      <c r="A92" s="12" t="n">
        <v>84</v>
      </c>
      <c r="B92" s="13" t="inlineStr">
        <is>
          <t>Direction</t>
        </is>
      </c>
      <c r="C92" s="13" t="inlineStr">
        <is>
          <t>Root</t>
        </is>
      </c>
      <c r="D92" s="13" t="inlineStr">
        <is>
          <t>reads Direction.Provider context for horizontal keyboard navigation</t>
        </is>
      </c>
      <c r="E92" s="21" t="inlineStr">
        <is>
          <t>no</t>
        </is>
      </c>
      <c r="F92" s="19" t="inlineStr">
        <is>
          <t>no</t>
        </is>
      </c>
      <c r="G92" s="12" t="inlineStr">
        <is>
          <t>missing</t>
        </is>
      </c>
      <c r="H92" s="21" t="inlineStr">
        <is>
          <t>missing</t>
        </is>
      </c>
      <c r="I92" s="13" t="n"/>
      <c r="J92" s="13" t="inlineStr">
        <is>
          <t>Add Direction.Provider fallback before testing horizontal RTL arrows.</t>
        </is>
      </c>
      <c r="K92" s="14">
        <f>IF(AND(E92="yes",F92="yes",H92="covered"),1,IF(H92="partial",0.5,0))</f>
        <v/>
      </c>
    </row>
    <row r="93" ht="30" customHeight="1" s="24">
      <c r="A93" s="12" t="n">
        <v>85</v>
      </c>
      <c r="B93" s="13" t="inlineStr">
        <is>
          <t>Direction</t>
        </is>
      </c>
      <c r="C93" s="13" t="inlineStr">
        <is>
          <t>Root</t>
        </is>
      </c>
      <c r="D93" s="13" t="inlineStr">
        <is>
          <t>RTL mirrors horizontal ArrowLeft and ArrowRight navigation</t>
        </is>
      </c>
      <c r="E93" s="21" t="inlineStr">
        <is>
          <t>no</t>
        </is>
      </c>
      <c r="F93" s="19" t="inlineStr">
        <is>
          <t>no</t>
        </is>
      </c>
      <c r="G93" s="12" t="inlineStr">
        <is>
          <t>missing</t>
        </is>
      </c>
      <c r="H93" s="21" t="inlineStr">
        <is>
          <t>missing</t>
        </is>
      </c>
      <c r="I93" s="13" t="n"/>
      <c r="J93" s="13" t="inlineStr">
        <is>
          <t>Implement and test horizontal RTL arrow mapping.</t>
        </is>
      </c>
      <c r="K93" s="14">
        <f>IF(AND(E93="yes",F93="yes",H93="covered"),1,IF(H93="partial",0.5,0))</f>
        <v/>
      </c>
    </row>
    <row r="94" ht="30" customHeight="1" s="24">
      <c r="A94" s="12" t="n">
        <v>86</v>
      </c>
      <c r="B94" s="13" t="inlineStr">
        <is>
          <t>Playground</t>
        </is>
      </c>
      <c r="C94" s="13" t="inlineStr">
        <is>
          <t>Direction controls</t>
        </is>
      </c>
      <c r="D94" s="13" t="inlineStr">
        <is>
          <t>scenario exposes provider direction controls</t>
        </is>
      </c>
      <c r="E94" s="21" t="inlineStr">
        <is>
          <t>no</t>
        </is>
      </c>
      <c r="F94" s="19" t="inlineStr">
        <is>
          <t>no</t>
        </is>
      </c>
      <c r="G94" s="12" t="inlineStr">
        <is>
          <t>missing</t>
        </is>
      </c>
      <c r="H94" s="21" t="inlineStr">
        <is>
          <t>missing</t>
        </is>
      </c>
      <c r="I94" s="13" t="n"/>
      <c r="J94" s="13" t="inlineStr">
        <is>
          <t>Add provider direction controls to the playground scenario.</t>
        </is>
      </c>
      <c r="K94" s="14">
        <f>IF(AND(E94="yes",F94="yes",H94="covered"),1,IF(H94="partial",0.5,0))</f>
        <v/>
      </c>
    </row>
  </sheetData>
  <autoFilter ref="A8:K94"/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Rating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IFERROR(SUM(K9:K105)/COUNT(K9:K105),0)</f>
        <v/>
      </c>
      <c r="C4" s="8" t="inlineStr">
        <is>
          <t>Covered</t>
        </is>
      </c>
      <c r="D4" s="10">
        <f>COUNTIFS(E9:E105,"yes",F9:F105,"yes",H9:H105,"covered")</f>
        <v/>
      </c>
      <c r="E4" s="8" t="inlineStr">
        <is>
          <t>Partial</t>
        </is>
      </c>
      <c r="F4" s="10">
        <f>COUNTIF(H9:H105,"partial")</f>
        <v/>
      </c>
      <c r="G4" s="8" t="inlineStr">
        <is>
          <t>Missing</t>
        </is>
      </c>
      <c r="H4" s="10">
        <f>COUNTIFS(E9:E105,"&lt;&gt;yes") + COUNTIFS(E9:E105,"yes",H9:H105,"missing")</f>
        <v/>
      </c>
      <c r="I4" s="8" t="inlineStr">
        <is>
          <t>Untested</t>
        </is>
      </c>
      <c r="J4" s="10">
        <f>COUNTIFS(E9:E105,"yes",F9:F105,"&lt;&gt;yes") + COUNTIFS(E9:E105,"yes",F9:F105,"yes",H9:H105,"untested")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Rating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Rating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Rating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Rating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Rating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Rating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Rating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Rating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Rating</t>
        </is>
      </c>
      <c r="D13" s="13" t="inlineStr">
        <is>
          <t>Implements rating as a WAI-ARIA slider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Rating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Rating</t>
        </is>
      </c>
      <c r="D14" s="13" t="inlineStr">
        <is>
          <t>Supports controlled and uncontrolled values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Rating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Rating</t>
        </is>
      </c>
      <c r="D15" s="13" t="inlineStr">
        <is>
          <t>Supports fractional values with configurable `step`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Rating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Rating</t>
        </is>
      </c>
      <c r="D16" s="13" t="inlineStr">
        <is>
          <t>Supports pointer selection, drag updates, keyboard control, and click-to-clear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Rating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Rating</t>
        </is>
      </c>
      <c r="D17" s="13" t="inlineStr">
        <is>
          <t>Supports disabled, read-only, invalid, and required states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Rating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Rating</t>
        </is>
      </c>
      <c r="D18" s="13" t="inlineStr">
        <is>
          <t>Renders an optional hidden input for form submission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Rating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Rating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Rating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Rating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Rating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Rating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Rating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Rating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Rating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Rating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min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Rating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max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Rating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step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Rating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largeStep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Rating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disabled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Rating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readOnly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Rating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State</t>
        </is>
      </c>
      <c r="C34" s="13" t="inlineStr">
        <is>
          <t>Root</t>
        </is>
      </c>
      <c r="D34" s="13" t="inlineStr">
        <is>
          <t>invalid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Rating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Root</t>
        </is>
      </c>
      <c r="D35" s="13" t="inlineStr">
        <is>
          <t>required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Rating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name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Rating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formValue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Rating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form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Rating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Accessibility</t>
        </is>
      </c>
      <c r="C39" s="13" t="inlineStr">
        <is>
          <t>Root</t>
        </is>
      </c>
      <c r="D39" s="13" t="inlineStr">
        <is>
          <t>aria-valuetext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Rating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Root</t>
        </is>
      </c>
      <c r="D40" s="13" t="inlineStr">
        <is>
          <t>getValueLabel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Rating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Root</t>
        </is>
      </c>
      <c r="D41" s="13" t="inlineStr">
        <is>
          <t>tabIndex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Rating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Composition</t>
        </is>
      </c>
      <c r="C42" s="13" t="inlineStr">
        <is>
          <t>Root</t>
        </is>
      </c>
      <c r="D42" s="13" t="inlineStr">
        <is>
          <t>asChild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Rating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Root</t>
        </is>
      </c>
      <c r="D43" s="13" t="inlineStr">
        <is>
          <t>render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Rating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Root</t>
        </is>
      </c>
      <c r="D44" s="13" t="inlineStr">
        <is>
          <t>[data-slot]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Rating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State</t>
        </is>
      </c>
      <c r="C45" s="13" t="inlineStr">
        <is>
          <t>Root</t>
        </is>
      </c>
      <c r="D45" s="13" t="inlineStr">
        <is>
          <t>[data-value]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Rating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Public API</t>
        </is>
      </c>
      <c r="C46" s="13" t="inlineStr">
        <is>
          <t>Root</t>
        </is>
      </c>
      <c r="D46" s="13" t="inlineStr">
        <is>
          <t>[data-min]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Rating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Public API</t>
        </is>
      </c>
      <c r="C47" s="13" t="inlineStr">
        <is>
          <t>Root</t>
        </is>
      </c>
      <c r="D47" s="13" t="inlineStr">
        <is>
          <t>[data-max]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Rating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Root</t>
        </is>
      </c>
      <c r="D48" s="13" t="inlineStr">
        <is>
          <t>[data-step]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Rating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State</t>
        </is>
      </c>
      <c r="C49" s="13" t="inlineStr">
        <is>
          <t>Root</t>
        </is>
      </c>
      <c r="D49" s="13" t="inlineStr">
        <is>
          <t>[data-disabled]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Rating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State</t>
        </is>
      </c>
      <c r="C50" s="13" t="inlineStr">
        <is>
          <t>Root</t>
        </is>
      </c>
      <c r="D50" s="13" t="inlineStr">
        <is>
          <t>[data-readonly]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Rating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State</t>
        </is>
      </c>
      <c r="C51" s="13" t="inlineStr">
        <is>
          <t>Root</t>
        </is>
      </c>
      <c r="D51" s="13" t="inlineStr">
        <is>
          <t>[data-invalid]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Rating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State</t>
        </is>
      </c>
      <c r="C52" s="13" t="inlineStr">
        <is>
          <t>Root</t>
        </is>
      </c>
      <c r="D52" s="13" t="inlineStr">
        <is>
          <t>[data-required]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Rating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Anatomy</t>
        </is>
      </c>
      <c r="C53" s="13" t="inlineStr">
        <is>
          <t>Item</t>
        </is>
      </c>
      <c r="D53" s="13" t="inlineStr">
        <is>
          <t>renders correct part when expected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Rating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Anatomy</t>
        </is>
      </c>
      <c r="C54" s="13" t="inlineStr">
        <is>
          <t>Item</t>
        </is>
      </c>
      <c r="D54" s="13" t="inlineStr">
        <is>
          <t>appears in documented order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Rating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Identity</t>
        </is>
      </c>
      <c r="C55" s="13" t="inlineStr">
        <is>
          <t>Item</t>
        </is>
      </c>
      <c r="D55" s="13" t="inlineStr">
        <is>
          <t>default tag is visible in Anatomy/Inspector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Rating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Identity</t>
        </is>
      </c>
      <c r="C56" s="13" t="inlineStr">
        <is>
          <t>Item</t>
        </is>
      </c>
      <c r="D56" s="13" t="inlineStr">
        <is>
          <t>data-slot is present and correct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Rating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30" customHeight="1" s="24">
      <c r="A57" s="12" t="n">
        <v>49</v>
      </c>
      <c r="B57" s="13" t="inlineStr">
        <is>
          <t>Props</t>
        </is>
      </c>
      <c r="C57" s="13" t="inlineStr">
        <is>
          <t>Item</t>
        </is>
      </c>
      <c r="D57" s="13" t="inlineStr">
        <is>
          <t>non-Atom native props pass through with data-prop-check marker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Rating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Refs</t>
        </is>
      </c>
      <c r="C58" s="13" t="inlineStr">
        <is>
          <t>Item</t>
        </is>
      </c>
      <c r="D58" s="13" t="inlineStr">
        <is>
          <t>consumer ref receives the rendered element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Rating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State</t>
        </is>
      </c>
      <c r="C59" s="13" t="inlineStr">
        <is>
          <t>Item</t>
        </is>
      </c>
      <c r="D59" s="13" t="inlineStr">
        <is>
          <t>value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Rating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Composition</t>
        </is>
      </c>
      <c r="C60" s="13" t="inlineStr">
        <is>
          <t>Item</t>
        </is>
      </c>
      <c r="D60" s="13" t="inlineStr">
        <is>
          <t>asChild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Rating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Composition</t>
        </is>
      </c>
      <c r="C61" s="13" t="inlineStr">
        <is>
          <t>Item</t>
        </is>
      </c>
      <c r="D61" s="13" t="inlineStr">
        <is>
          <t>render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Rating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Item</t>
        </is>
      </c>
      <c r="D62" s="13" t="inlineStr">
        <is>
          <t>[data-slot]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Rating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State</t>
        </is>
      </c>
      <c r="C63" s="13" t="inlineStr">
        <is>
          <t>Item</t>
        </is>
      </c>
      <c r="D63" s="13" t="inlineStr">
        <is>
          <t>[data-value]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Rating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Item</t>
        </is>
      </c>
      <c r="D64" s="13" t="inlineStr">
        <is>
          <t>[data-fill]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Rating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Public API</t>
        </is>
      </c>
      <c r="C65" s="13" t="inlineStr">
        <is>
          <t>Item</t>
        </is>
      </c>
      <c r="D65" s="13" t="inlineStr">
        <is>
          <t>[data-state]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Rating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State</t>
        </is>
      </c>
      <c r="C66" s="13" t="inlineStr">
        <is>
          <t>Item</t>
        </is>
      </c>
      <c r="D66" s="13" t="inlineStr">
        <is>
          <t>[data-disabled]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Rating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State</t>
        </is>
      </c>
      <c r="C67" s="13" t="inlineStr">
        <is>
          <t>Item</t>
        </is>
      </c>
      <c r="D67" s="13" t="inlineStr">
        <is>
          <t>[data-readonly]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Rating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State</t>
        </is>
      </c>
      <c r="C68" s="13" t="inlineStr">
        <is>
          <t>Item</t>
        </is>
      </c>
      <c r="D68" s="13" t="inlineStr">
        <is>
          <t>[data-invalid]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Rating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ARIA</t>
        </is>
      </c>
      <c r="C69" s="13" t="inlineStr">
        <is>
          <t>Live DOM</t>
        </is>
      </c>
      <c r="D69" s="13" t="inlineStr">
        <is>
          <t>aria-disabled is present at the correct time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Rating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ARIA</t>
        </is>
      </c>
      <c r="C70" s="13" t="inlineStr">
        <is>
          <t>Live DOM</t>
        </is>
      </c>
      <c r="D70" s="13" t="inlineStr">
        <is>
          <t>aria-hidden is present at the correct time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Rating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ARIA</t>
        </is>
      </c>
      <c r="C71" s="13" t="inlineStr">
        <is>
          <t>Live DOM</t>
        </is>
      </c>
      <c r="D71" s="13" t="inlineStr">
        <is>
          <t>aria-invalid is present at the correct time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Rating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ARIA</t>
        </is>
      </c>
      <c r="C72" s="13" t="inlineStr">
        <is>
          <t>Live DOM</t>
        </is>
      </c>
      <c r="D72" s="13" t="inlineStr">
        <is>
          <t>aria-readonly is present at the correct time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Rating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ARIA</t>
        </is>
      </c>
      <c r="C73" s="13" t="inlineStr">
        <is>
          <t>Live DOM</t>
        </is>
      </c>
      <c r="D73" s="13" t="inlineStr">
        <is>
          <t>aria-required is present at the correct time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Rating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ARIA</t>
        </is>
      </c>
      <c r="C74" s="13" t="inlineStr">
        <is>
          <t>Live DOM</t>
        </is>
      </c>
      <c r="D74" s="13" t="inlineStr">
        <is>
          <t>aria-valuemax is present at the correct time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Rating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ARIA</t>
        </is>
      </c>
      <c r="C75" s="13" t="inlineStr">
        <is>
          <t>Live DOM</t>
        </is>
      </c>
      <c r="D75" s="13" t="inlineStr">
        <is>
          <t>aria-valuemin is present at the correct time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Rating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ARIA</t>
        </is>
      </c>
      <c r="C76" s="13" t="inlineStr">
        <is>
          <t>Live DOM</t>
        </is>
      </c>
      <c r="D76" s="13" t="inlineStr">
        <is>
          <t>aria-valuenow is present at the correct time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Rating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ARIA</t>
        </is>
      </c>
      <c r="C77" s="13" t="inlineStr">
        <is>
          <t>Live DOM</t>
        </is>
      </c>
      <c r="D77" s="13" t="inlineStr">
        <is>
          <t>aria-valuetext is present at the correct time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Rating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Data</t>
        </is>
      </c>
      <c r="C78" s="13" t="inlineStr">
        <is>
          <t>Live DOM</t>
        </is>
      </c>
      <c r="D78" s="13" t="inlineStr">
        <is>
          <t>data-disabled is present at the correct time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Rating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Data</t>
        </is>
      </c>
      <c r="C79" s="13" t="inlineStr">
        <is>
          <t>Live DOM</t>
        </is>
      </c>
      <c r="D79" s="13" t="inlineStr">
        <is>
          <t>data-fill is present at the correct time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Rating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Data</t>
        </is>
      </c>
      <c r="C80" s="13" t="inlineStr">
        <is>
          <t>Live DOM</t>
        </is>
      </c>
      <c r="D80" s="13" t="inlineStr">
        <is>
          <t>data-invalid is present at the correct time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Rating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Data</t>
        </is>
      </c>
      <c r="C81" s="13" t="inlineStr">
        <is>
          <t>Live DOM</t>
        </is>
      </c>
      <c r="D81" s="13" t="inlineStr">
        <is>
          <t>data-max is present at the correct time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Rating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Data</t>
        </is>
      </c>
      <c r="C82" s="13" t="inlineStr">
        <is>
          <t>Live DOM</t>
        </is>
      </c>
      <c r="D82" s="13" t="inlineStr">
        <is>
          <t>data-min is present at the correct time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Rating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Data</t>
        </is>
      </c>
      <c r="C83" s="13" t="inlineStr">
        <is>
          <t>Live DOM</t>
        </is>
      </c>
      <c r="D83" s="13" t="inlineStr">
        <is>
          <t>data-readonly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Rating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Data</t>
        </is>
      </c>
      <c r="C84" s="13" t="inlineStr">
        <is>
          <t>Live DOM</t>
        </is>
      </c>
      <c r="D84" s="13" t="inlineStr">
        <is>
          <t>data-required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Rating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Data</t>
        </is>
      </c>
      <c r="C85" s="13" t="inlineStr">
        <is>
          <t>Live DOM</t>
        </is>
      </c>
      <c r="D85" s="13" t="inlineStr">
        <is>
          <t>data-slot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Rating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Data</t>
        </is>
      </c>
      <c r="C86" s="13" t="inlineStr">
        <is>
          <t>Live DOM</t>
        </is>
      </c>
      <c r="D86" s="13" t="inlineStr">
        <is>
          <t>data-state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Rating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Data</t>
        </is>
      </c>
      <c r="C87" s="13" t="inlineStr">
        <is>
          <t>Live DOM</t>
        </is>
      </c>
      <c r="D87" s="13" t="inlineStr">
        <is>
          <t>data-step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Rating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data-value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Rating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Composition</t>
        </is>
      </c>
      <c r="C89" s="13" t="inlineStr">
        <is>
          <t>Rating</t>
        </is>
      </c>
      <c r="D89" s="13" t="inlineStr">
        <is>
          <t>asChild preserves child content without double nesting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Rating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Composition</t>
        </is>
      </c>
      <c r="C90" s="13" t="inlineStr">
        <is>
          <t>Rating</t>
        </is>
      </c>
      <c r="D90" s="13" t="inlineStr">
        <is>
          <t>asChild merges Atom props and consumer props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Rating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30" customHeight="1" s="24">
      <c r="A91" s="12" t="n">
        <v>83</v>
      </c>
      <c r="B91" s="13" t="inlineStr">
        <is>
          <t>Composition</t>
        </is>
      </c>
      <c r="C91" s="13" t="inlineStr">
        <is>
          <t>Rating</t>
        </is>
      </c>
      <c r="D91" s="13" t="inlineStr">
        <is>
          <t>asChild lets preventDefault block Atom behavior where supported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Rating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Composition</t>
        </is>
      </c>
      <c r="C92" s="13" t="inlineStr">
        <is>
          <t>Rating</t>
        </is>
      </c>
      <c r="D92" s="13" t="inlineStr">
        <is>
          <t>render prop renders custom element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Rating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Composition</t>
        </is>
      </c>
      <c r="C93" s="13" t="inlineStr">
        <is>
          <t>Rating</t>
        </is>
      </c>
      <c r="D93" s="13" t="inlineStr">
        <is>
          <t>render prop preserves refs and behavior props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Rating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State</t>
        </is>
      </c>
      <c r="C94" s="13" t="inlineStr">
        <is>
          <t>Root</t>
        </is>
      </c>
      <c r="D94" s="13" t="inlineStr">
        <is>
          <t>controlled state path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Rating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State</t>
        </is>
      </c>
      <c r="C95" s="13" t="inlineStr">
        <is>
          <t>Root</t>
        </is>
      </c>
      <c r="D95" s="13" t="inlineStr">
        <is>
          <t>uncontrolled default state path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Rating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State</t>
        </is>
      </c>
      <c r="C96" s="13" t="inlineStr">
        <is>
          <t>Root</t>
        </is>
      </c>
      <c r="D96" s="13" t="inlineStr">
        <is>
          <t>state change callback fires once with correct value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Rating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30" customHeight="1" s="24">
      <c r="A97" s="12" t="n">
        <v>89</v>
      </c>
      <c r="B97" s="13" t="inlineStr">
        <is>
          <t>State</t>
        </is>
      </c>
      <c r="C97" s="13" t="inlineStr">
        <is>
          <t>Rating</t>
        </is>
      </c>
      <c r="D97" s="13" t="inlineStr">
        <is>
          <t>disabled state blocks or exposes behavior correctly where supported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Rating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30" customHeight="1" s="24">
      <c r="A98" s="12" t="n">
        <v>90</v>
      </c>
      <c r="B98" s="13" t="inlineStr">
        <is>
          <t>State</t>
        </is>
      </c>
      <c r="C98" s="13" t="inlineStr">
        <is>
          <t>Rating</t>
        </is>
      </c>
      <c r="D98" s="13" t="inlineStr">
        <is>
          <t>readonly/readOnly state blocks or exposes behavior correctly where supported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Rating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30" customHeight="1" s="24">
      <c r="A99" s="12" t="n">
        <v>91</v>
      </c>
      <c r="B99" s="13" t="inlineStr">
        <is>
          <t>State</t>
        </is>
      </c>
      <c r="C99" s="13" t="inlineStr">
        <is>
          <t>Rating</t>
        </is>
      </c>
      <c r="D99" s="13" t="inlineStr">
        <is>
          <t>required state blocks or exposes behavior correctly where supported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Rating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30" customHeight="1" s="24">
      <c r="A100" s="12" t="n">
        <v>92</v>
      </c>
      <c r="B100" s="13" t="inlineStr">
        <is>
          <t>State</t>
        </is>
      </c>
      <c r="C100" s="13" t="inlineStr">
        <is>
          <t>Rating</t>
        </is>
      </c>
      <c r="D100" s="13" t="inlineStr">
        <is>
          <t>invalid state blocks or exposes behavior correctly where supported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Rating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Forms</t>
        </is>
      </c>
      <c r="C101" s="13" t="inlineStr">
        <is>
          <t>Rating</t>
        </is>
      </c>
      <c r="D101" s="13" t="inlineStr">
        <is>
          <t>form value participates correctly where supported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Rating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30" customHeight="1" s="24">
      <c r="A102" s="12" t="n">
        <v>94</v>
      </c>
      <c r="B102" s="13" t="inlineStr">
        <is>
          <t>Forms</t>
        </is>
      </c>
      <c r="C102" s="13" t="inlineStr">
        <is>
          <t>Rating</t>
        </is>
      </c>
      <c r="D102" s="13" t="inlineStr">
        <is>
          <t>hidden input mirrors value/checked/disabled where supported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Rating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30" customHeight="1" s="24">
      <c r="A103" s="12" t="n">
        <v>95</v>
      </c>
      <c r="B103" s="13" t="inlineStr">
        <is>
          <t>Direction</t>
        </is>
      </c>
      <c r="C103" s="13" t="inlineStr">
        <is>
          <t>Root</t>
        </is>
      </c>
      <c r="D103" s="13" t="inlineStr">
        <is>
          <t>reads Direction.Provider context for horizontal rating movement</t>
        </is>
      </c>
      <c r="E103" s="21" t="inlineStr">
        <is>
          <t>no</t>
        </is>
      </c>
      <c r="F103" s="19" t="inlineStr">
        <is>
          <t>no</t>
        </is>
      </c>
      <c r="G103" s="12" t="inlineStr">
        <is>
          <t>missing</t>
        </is>
      </c>
      <c r="H103" s="21" t="inlineStr">
        <is>
          <t>missing</t>
        </is>
      </c>
      <c r="I103" s="13" t="n"/>
      <c r="J103" s="13" t="inlineStr">
        <is>
          <t>Add Direction.Provider fallback before testing RTL rating arrows.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Direction</t>
        </is>
      </c>
      <c r="C104" s="13" t="inlineStr">
        <is>
          <t>Root</t>
        </is>
      </c>
      <c r="D104" s="13" t="inlineStr">
        <is>
          <t>RTL mirrors ArrowLeft and ArrowRight rating changes</t>
        </is>
      </c>
      <c r="E104" s="21" t="inlineStr">
        <is>
          <t>no</t>
        </is>
      </c>
      <c r="F104" s="19" t="inlineStr">
        <is>
          <t>no</t>
        </is>
      </c>
      <c r="G104" s="12" t="inlineStr">
        <is>
          <t>missing</t>
        </is>
      </c>
      <c r="H104" s="21" t="inlineStr">
        <is>
          <t>missing</t>
        </is>
      </c>
      <c r="I104" s="13" t="n"/>
      <c r="J104" s="13" t="inlineStr">
        <is>
          <t>Implement and test RTL rating key mapping.</t>
        </is>
      </c>
      <c r="K104" s="14">
        <f>IF(AND(E104="yes",F104="yes",H104="covered"),1,IF(H104="partial",0.5,0))</f>
        <v/>
      </c>
    </row>
    <row r="105" ht="30" customHeight="1" s="24">
      <c r="A105" s="12" t="n">
        <v>97</v>
      </c>
      <c r="B105" s="13" t="inlineStr">
        <is>
          <t>Playground</t>
        </is>
      </c>
      <c r="C105" s="13" t="inlineStr">
        <is>
          <t>Direction controls</t>
        </is>
      </c>
      <c r="D105" s="13" t="inlineStr">
        <is>
          <t>scenario exposes provider direction controls</t>
        </is>
      </c>
      <c r="E105" s="21" t="inlineStr">
        <is>
          <t>no</t>
        </is>
      </c>
      <c r="F105" s="19" t="inlineStr">
        <is>
          <t>no</t>
        </is>
      </c>
      <c r="G105" s="12" t="inlineStr">
        <is>
          <t>missing</t>
        </is>
      </c>
      <c r="H105" s="21" t="inlineStr">
        <is>
          <t>missing</t>
        </is>
      </c>
      <c r="I105" s="13" t="n"/>
      <c r="J105" s="13" t="inlineStr">
        <is>
          <t>Add provider direction controls to the playground scenario.</t>
        </is>
      </c>
      <c r="K105" s="14">
        <f>IF(AND(E105="yes",F105="yes",H105="covered"),1,IF(H105="partial",0.5,0))</f>
        <v/>
      </c>
    </row>
  </sheetData>
  <autoFilter ref="A8:K105"/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ScrollArea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IFERROR(SUM(K9:K52)/COUNT(K9:K52),0)</f>
        <v/>
      </c>
      <c r="C4" s="8" t="inlineStr">
        <is>
          <t>Covered</t>
        </is>
      </c>
      <c r="D4" s="10">
        <f>COUNTIFS(E9:E52,"yes",F9:F52,"yes",H9:H52,"covered")</f>
        <v/>
      </c>
      <c r="E4" s="8" t="inlineStr">
        <is>
          <t>Partial</t>
        </is>
      </c>
      <c r="F4" s="10">
        <f>COUNTIF(H9:H52,"partial")</f>
        <v/>
      </c>
      <c r="G4" s="8" t="inlineStr">
        <is>
          <t>Missing</t>
        </is>
      </c>
      <c r="H4" s="10">
        <f>COUNTIFS(E9:E52,"&lt;&gt;yes") + COUNTIFS(E9:E52,"yes",H9:H52,"missing")</f>
        <v/>
      </c>
      <c r="I4" s="8" t="inlineStr">
        <is>
          <t>Untested</t>
        </is>
      </c>
      <c r="J4" s="10">
        <f>COUNTIFS(E9:E52,"yes",F9:F52,"&lt;&gt;yes") + COUNTIFS(E9:E52,"yes",F9:F52,"yes",H9:H52,"untested")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ScrollArea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ScrollArea playground scenario.</t>
        </is>
      </c>
      <c r="J9" s="13" t="inlineStr">
        <is>
          <t>Manual verification passed.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ScrollArea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ScrollArea playground scenario.</t>
        </is>
      </c>
      <c r="J10" s="13" t="inlineStr">
        <is>
          <t>Manual verification passed.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ScrollArea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ScrollArea playground scenario.</t>
        </is>
      </c>
      <c r="J11" s="13" t="inlineStr">
        <is>
          <t>Manual verification passed.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ScrollArea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ScrollArea playground scenario.</t>
        </is>
      </c>
      <c r="J12" s="13" t="inlineStr">
        <is>
          <t>Manual verification passed.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ScrollArea</t>
        </is>
      </c>
      <c r="D13" s="13" t="inlineStr">
        <is>
          <t>Provides root and viewport parts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ScrollArea playground scenario.</t>
        </is>
      </c>
      <c r="J13" s="13" t="inlineStr">
        <is>
          <t>Manual verification passed.</t>
        </is>
      </c>
      <c r="K13" s="14">
        <f>IF(AND(E13="yes",F13="yes",H13="covered"),1,IF(H13="partial",0.5,0))</f>
        <v/>
      </c>
    </row>
    <row r="14" ht="30" customHeight="1" s="24">
      <c r="A14" s="12" t="n">
        <v>6</v>
      </c>
      <c r="B14" s="13" t="inlineStr">
        <is>
          <t>Feature</t>
        </is>
      </c>
      <c r="C14" s="13" t="inlineStr">
        <is>
          <t>ScrollArea</t>
        </is>
      </c>
      <c r="D14" s="13" t="inlineStr">
        <is>
          <t>Supports vertical, horizontal, and both-axis orientation metadata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ScrollArea playground scenario.</t>
        </is>
      </c>
      <c r="J14" s="13" t="inlineStr">
        <is>
          <t>Manual verification passed.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ScrollArea</t>
        </is>
      </c>
      <c r="D15" s="13" t="inlineStr">
        <is>
          <t>Keeps the viewport out of the Tab order by default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ScrollArea playground scenario.</t>
        </is>
      </c>
      <c r="J15" s="13" t="inlineStr">
        <is>
          <t>Manual verification passed.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ScrollArea</t>
        </is>
      </c>
      <c r="D16" s="13" t="inlineStr">
        <is>
          <t>Adds `role="region"` only when the viewport has an accessible name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ScrollArea playground scenario.</t>
        </is>
      </c>
      <c r="J16" s="13" t="inlineStr">
        <is>
          <t>Manual verification passed.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ScrollArea</t>
        </is>
      </c>
      <c r="D17" s="13" t="inlineStr">
        <is>
          <t>Supports `asChild` and `render` on every part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ScrollArea playground scenario.</t>
        </is>
      </c>
      <c r="J17" s="13" t="inlineStr">
        <is>
          <t>Manual verification passed.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ScrollArea playground scenario.</t>
        </is>
      </c>
      <c r="J18" s="13" t="inlineStr">
        <is>
          <t>Manual verification passed.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ScrollArea playground scenario.</t>
        </is>
      </c>
      <c r="J19" s="13" t="inlineStr">
        <is>
          <t>Manual verification passed.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ScrollArea playground scenario.</t>
        </is>
      </c>
      <c r="J20" s="13" t="inlineStr">
        <is>
          <t>Manual verification passed.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ScrollArea playground scenario.</t>
        </is>
      </c>
      <c r="J21" s="13" t="inlineStr">
        <is>
          <t>Manual verification passed.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ScrollArea playground scenario.</t>
        </is>
      </c>
      <c r="J22" s="13" t="inlineStr">
        <is>
          <t>Manual verification passed.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ScrollArea playground scenario.</t>
        </is>
      </c>
      <c r="J23" s="13" t="inlineStr">
        <is>
          <t>Manual verification passed.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ScrollArea playground scenario.</t>
        </is>
      </c>
      <c r="J24" s="13" t="inlineStr">
        <is>
          <t>Manual verification passed.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ScrollArea playground scenario.</t>
        </is>
      </c>
      <c r="J25" s="13" t="inlineStr">
        <is>
          <t>Manual verification passed.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orientation prop behavior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ScrollArea playground scenario.</t>
        </is>
      </c>
      <c r="J26" s="13" t="inlineStr">
        <is>
          <t>Manual verification passed.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[data-slot] prop behavior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ScrollArea playground scenario.</t>
        </is>
      </c>
      <c r="J27" s="13" t="inlineStr">
        <is>
          <t>Manual verification passed.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[data-orientation] prop behavior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ScrollArea playground scenario.</t>
        </is>
      </c>
      <c r="J28" s="13" t="inlineStr">
        <is>
          <t>Manual verification passed.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Anatomy</t>
        </is>
      </c>
      <c r="C29" s="13" t="inlineStr">
        <is>
          <t>Viewport</t>
        </is>
      </c>
      <c r="D29" s="13" t="inlineStr">
        <is>
          <t>renders correct part when expected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ScrollArea playground scenario.</t>
        </is>
      </c>
      <c r="J29" s="13" t="inlineStr">
        <is>
          <t>Manual verification passed.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Anatomy</t>
        </is>
      </c>
      <c r="C30" s="13" t="inlineStr">
        <is>
          <t>Viewport</t>
        </is>
      </c>
      <c r="D30" s="13" t="inlineStr">
        <is>
          <t>appears in documented order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ScrollArea playground scenario.</t>
        </is>
      </c>
      <c r="J30" s="13" t="inlineStr">
        <is>
          <t>Manual verification passed.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Identity</t>
        </is>
      </c>
      <c r="C31" s="13" t="inlineStr">
        <is>
          <t>Viewport</t>
        </is>
      </c>
      <c r="D31" s="13" t="inlineStr">
        <is>
          <t>default tag is visible in Anatomy/Inspector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ScrollArea playground scenario.</t>
        </is>
      </c>
      <c r="J31" s="13" t="inlineStr">
        <is>
          <t>Manual verification passed.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Identity</t>
        </is>
      </c>
      <c r="C32" s="13" t="inlineStr">
        <is>
          <t>Viewport</t>
        </is>
      </c>
      <c r="D32" s="13" t="inlineStr">
        <is>
          <t>data-slot is present and correct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ScrollArea playground scenario.</t>
        </is>
      </c>
      <c r="J32" s="13" t="inlineStr">
        <is>
          <t>Manual verification passed.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Props</t>
        </is>
      </c>
      <c r="C33" s="13" t="inlineStr">
        <is>
          <t>Viewport</t>
        </is>
      </c>
      <c r="D33" s="13" t="inlineStr">
        <is>
          <t>non-Atom native props pass through with data-prop-check marker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ScrollArea playground scenario.</t>
        </is>
      </c>
      <c r="J33" s="13" t="inlineStr">
        <is>
          <t>Manual verification passed.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Refs</t>
        </is>
      </c>
      <c r="C34" s="13" t="inlineStr">
        <is>
          <t>Viewport</t>
        </is>
      </c>
      <c r="D34" s="13" t="inlineStr">
        <is>
          <t>consumer ref receives the rendered element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</t>
        </is>
      </c>
      <c r="H34" s="22" t="inlineStr">
        <is>
          <t>covered</t>
        </is>
      </c>
      <c r="I34" s="13" t="inlineStr">
        <is>
          <t>ScrollArea playground scenario.</t>
        </is>
      </c>
      <c r="J34" s="13" t="inlineStr">
        <is>
          <t>Manual verification passed.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Composition</t>
        </is>
      </c>
      <c r="C35" s="13" t="inlineStr">
        <is>
          <t>Viewport</t>
        </is>
      </c>
      <c r="D35" s="13" t="inlineStr">
        <is>
          <t>asChild prop behavior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passed</t>
        </is>
      </c>
      <c r="H35" s="22" t="inlineStr">
        <is>
          <t>covered</t>
        </is>
      </c>
      <c r="I35" s="13" t="inlineStr">
        <is>
          <t>ScrollArea playground scenario.</t>
        </is>
      </c>
      <c r="J35" s="13" t="inlineStr">
        <is>
          <t>Manual verification passed.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Viewport</t>
        </is>
      </c>
      <c r="D36" s="13" t="inlineStr">
        <is>
          <t>render prop behavior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passed</t>
        </is>
      </c>
      <c r="H36" s="22" t="inlineStr">
        <is>
          <t>covered</t>
        </is>
      </c>
      <c r="I36" s="13" t="inlineStr">
        <is>
          <t>ScrollArea playground scenario.</t>
        </is>
      </c>
      <c r="J36" s="13" t="inlineStr">
        <is>
          <t>Manual verification passed.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Viewport</t>
        </is>
      </c>
      <c r="D37" s="13" t="inlineStr">
        <is>
          <t>focusable prop behavior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passed</t>
        </is>
      </c>
      <c r="H37" s="22" t="inlineStr">
        <is>
          <t>covered</t>
        </is>
      </c>
      <c r="I37" s="13" t="inlineStr">
        <is>
          <t>ScrollArea playground scenario.</t>
        </is>
      </c>
      <c r="J37" s="13" t="inlineStr">
        <is>
          <t>Manual verification passed.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Viewport</t>
        </is>
      </c>
      <c r="D38" s="13" t="inlineStr">
        <is>
          <t>role prop behavior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passed</t>
        </is>
      </c>
      <c r="H38" s="22" t="inlineStr">
        <is>
          <t>covered</t>
        </is>
      </c>
      <c r="I38" s="13" t="inlineStr">
        <is>
          <t>ScrollArea playground scenario.</t>
        </is>
      </c>
      <c r="J38" s="13" t="inlineStr">
        <is>
          <t>Manual verification passed.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Accessibility</t>
        </is>
      </c>
      <c r="C39" s="13" t="inlineStr">
        <is>
          <t>Viewport</t>
        </is>
      </c>
      <c r="D39" s="13" t="inlineStr">
        <is>
          <t>aria-label prop behavior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passed</t>
        </is>
      </c>
      <c r="H39" s="22" t="inlineStr">
        <is>
          <t>covered</t>
        </is>
      </c>
      <c r="I39" s="13" t="inlineStr">
        <is>
          <t>ScrollArea playground scenario.</t>
        </is>
      </c>
      <c r="J39" s="13" t="inlineStr">
        <is>
          <t>Manual verification passed.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Accessibility</t>
        </is>
      </c>
      <c r="C40" s="13" t="inlineStr">
        <is>
          <t>Viewport</t>
        </is>
      </c>
      <c r="D40" s="13" t="inlineStr">
        <is>
          <t>aria-labelledby prop behavior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passed</t>
        </is>
      </c>
      <c r="H40" s="22" t="inlineStr">
        <is>
          <t>covered</t>
        </is>
      </c>
      <c r="I40" s="13" t="inlineStr">
        <is>
          <t>ScrollArea playground scenario.</t>
        </is>
      </c>
      <c r="J40" s="13" t="inlineStr">
        <is>
          <t>Manual verification passed.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Viewport</t>
        </is>
      </c>
      <c r="D41" s="13" t="inlineStr">
        <is>
          <t>[data-slot] prop behavior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passed</t>
        </is>
      </c>
      <c r="H41" s="22" t="inlineStr">
        <is>
          <t>covered</t>
        </is>
      </c>
      <c r="I41" s="13" t="inlineStr">
        <is>
          <t>ScrollArea playground scenario.</t>
        </is>
      </c>
      <c r="J41" s="13" t="inlineStr">
        <is>
          <t>Manual verification passed.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Viewport</t>
        </is>
      </c>
      <c r="D42" s="13" t="inlineStr">
        <is>
          <t>[data-orientation] prop behavior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passed</t>
        </is>
      </c>
      <c r="H42" s="22" t="inlineStr">
        <is>
          <t>covered</t>
        </is>
      </c>
      <c r="I42" s="13" t="inlineStr">
        <is>
          <t>ScrollArea playground scenario.</t>
        </is>
      </c>
      <c r="J42" s="13" t="inlineStr">
        <is>
          <t>Manual verification passed.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ARIA</t>
        </is>
      </c>
      <c r="C43" s="13" t="inlineStr">
        <is>
          <t>Live DOM</t>
        </is>
      </c>
      <c r="D43" s="13" t="inlineStr">
        <is>
          <t>aria-label is present at the correct time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passed</t>
        </is>
      </c>
      <c r="H43" s="22" t="inlineStr">
        <is>
          <t>covered</t>
        </is>
      </c>
      <c r="I43" s="13" t="inlineStr">
        <is>
          <t>ScrollArea playground scenario.</t>
        </is>
      </c>
      <c r="J43" s="13" t="inlineStr">
        <is>
          <t>Manual verification passed.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ARIA</t>
        </is>
      </c>
      <c r="C44" s="13" t="inlineStr">
        <is>
          <t>Live DOM</t>
        </is>
      </c>
      <c r="D44" s="13" t="inlineStr">
        <is>
          <t>aria-labelledby is present at the correct time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passed</t>
        </is>
      </c>
      <c r="H44" s="22" t="inlineStr">
        <is>
          <t>covered</t>
        </is>
      </c>
      <c r="I44" s="13" t="inlineStr">
        <is>
          <t>ScrollArea playground scenario.</t>
        </is>
      </c>
      <c r="J44" s="13" t="inlineStr">
        <is>
          <t>Manual verification passed.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Data</t>
        </is>
      </c>
      <c r="C45" s="13" t="inlineStr">
        <is>
          <t>Live DOM</t>
        </is>
      </c>
      <c r="D45" s="13" t="inlineStr">
        <is>
          <t>data-orientation is present at the correct time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passed</t>
        </is>
      </c>
      <c r="H45" s="22" t="inlineStr">
        <is>
          <t>covered</t>
        </is>
      </c>
      <c r="I45" s="13" t="inlineStr">
        <is>
          <t>ScrollArea playground scenario.</t>
        </is>
      </c>
      <c r="J45" s="13" t="inlineStr">
        <is>
          <t>Manual verification passed.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Data</t>
        </is>
      </c>
      <c r="C46" s="13" t="inlineStr">
        <is>
          <t>Live DOM</t>
        </is>
      </c>
      <c r="D46" s="13" t="inlineStr">
        <is>
          <t>data-slot is present at the correct time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passed</t>
        </is>
      </c>
      <c r="H46" s="22" t="inlineStr">
        <is>
          <t>covered</t>
        </is>
      </c>
      <c r="I46" s="13" t="inlineStr">
        <is>
          <t>ScrollArea playground scenario.</t>
        </is>
      </c>
      <c r="J46" s="13" t="inlineStr">
        <is>
          <t>Manual verification passed.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Composition</t>
        </is>
      </c>
      <c r="C47" s="13" t="inlineStr">
        <is>
          <t>ScrollArea</t>
        </is>
      </c>
      <c r="D47" s="13" t="inlineStr">
        <is>
          <t>asChild preserves child content without double nesting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passed</t>
        </is>
      </c>
      <c r="H47" s="22" t="inlineStr">
        <is>
          <t>covered</t>
        </is>
      </c>
      <c r="I47" s="13" t="inlineStr">
        <is>
          <t>ScrollArea playground scenario.</t>
        </is>
      </c>
      <c r="J47" s="13" t="inlineStr">
        <is>
          <t>Manual verification passed.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Composition</t>
        </is>
      </c>
      <c r="C48" s="13" t="inlineStr">
        <is>
          <t>ScrollArea</t>
        </is>
      </c>
      <c r="D48" s="13" t="inlineStr">
        <is>
          <t>asChild merges Atom props and consumer props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passed</t>
        </is>
      </c>
      <c r="H48" s="22" t="inlineStr">
        <is>
          <t>covered</t>
        </is>
      </c>
      <c r="I48" s="13" t="inlineStr">
        <is>
          <t>ScrollArea playground scenario.</t>
        </is>
      </c>
      <c r="J48" s="13" t="inlineStr">
        <is>
          <t>Manual verification passed.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Composition</t>
        </is>
      </c>
      <c r="C49" s="13" t="inlineStr">
        <is>
          <t>ScrollArea</t>
        </is>
      </c>
      <c r="D49" s="13" t="inlineStr">
        <is>
          <t>render prop renders custom element</t>
        </is>
      </c>
      <c r="E49" s="18" t="inlineStr">
        <is>
          <t>yes</t>
        </is>
      </c>
      <c r="F49" s="18" t="inlineStr">
        <is>
          <t>yes</t>
        </is>
      </c>
      <c r="G49" s="12" t="inlineStr">
        <is>
          <t>passed</t>
        </is>
      </c>
      <c r="H49" s="22" t="inlineStr">
        <is>
          <t>covered</t>
        </is>
      </c>
      <c r="I49" s="13" t="inlineStr">
        <is>
          <t>ScrollArea playground scenario.</t>
        </is>
      </c>
      <c r="J49" s="13" t="inlineStr">
        <is>
          <t>Manual verification passed.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Composition</t>
        </is>
      </c>
      <c r="C50" s="13" t="inlineStr">
        <is>
          <t>ScrollArea</t>
        </is>
      </c>
      <c r="D50" s="13" t="inlineStr">
        <is>
          <t>render prop preserves refs and behavior props</t>
        </is>
      </c>
      <c r="E50" s="18" t="inlineStr">
        <is>
          <t>yes</t>
        </is>
      </c>
      <c r="F50" s="18" t="inlineStr">
        <is>
          <t>yes</t>
        </is>
      </c>
      <c r="G50" s="12" t="inlineStr">
        <is>
          <t>passed</t>
        </is>
      </c>
      <c r="H50" s="22" t="inlineStr">
        <is>
          <t>covered</t>
        </is>
      </c>
      <c r="I50" s="13" t="inlineStr">
        <is>
          <t>ScrollArea playground scenario.</t>
        </is>
      </c>
      <c r="J50" s="13" t="inlineStr">
        <is>
          <t>Manual verification passed.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Utility</t>
        </is>
      </c>
      <c r="C51" s="13" t="inlineStr">
        <is>
          <t>ScrollArea</t>
        </is>
      </c>
      <c r="D51" s="13" t="inlineStr">
        <is>
          <t>viewport keyboard accessibility is opt-in</t>
        </is>
      </c>
      <c r="E51" s="18" t="inlineStr">
        <is>
          <t>yes</t>
        </is>
      </c>
      <c r="F51" s="18" t="inlineStr">
        <is>
          <t>yes</t>
        </is>
      </c>
      <c r="G51" s="12" t="inlineStr">
        <is>
          <t>passed</t>
        </is>
      </c>
      <c r="H51" s="22" t="inlineStr">
        <is>
          <t>covered</t>
        </is>
      </c>
      <c r="I51" s="13" t="inlineStr">
        <is>
          <t>ScrollArea playground scenario.</t>
        </is>
      </c>
      <c r="J51" s="13" t="inlineStr">
        <is>
          <t>Manual verification passed.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Utility</t>
        </is>
      </c>
      <c r="C52" s="13" t="inlineStr">
        <is>
          <t>ScrollArea</t>
        </is>
      </c>
      <c r="D52" s="13" t="inlineStr">
        <is>
          <t>named region semantics only appear when labelled</t>
        </is>
      </c>
      <c r="E52" s="18" t="inlineStr">
        <is>
          <t>yes</t>
        </is>
      </c>
      <c r="F52" s="18" t="inlineStr">
        <is>
          <t>yes</t>
        </is>
      </c>
      <c r="G52" s="12" t="inlineStr">
        <is>
          <t>passed</t>
        </is>
      </c>
      <c r="H52" s="22" t="inlineStr">
        <is>
          <t>covered</t>
        </is>
      </c>
      <c r="I52" s="13" t="inlineStr">
        <is>
          <t>ScrollArea playground scenario.</t>
        </is>
      </c>
      <c r="J52" s="13" t="inlineStr">
        <is>
          <t>Manual verification passed.</t>
        </is>
      </c>
      <c r="K52" s="14">
        <f>IF(AND(E52="yes",F52="yes",H52="covered"),1,IF(H52="partial",0.5,0))</f>
        <v/>
      </c>
    </row>
  </sheetData>
  <autoFilter ref="A8:K52"/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6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Select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IFERROR(SUM(K9:K169)/COUNT(K9:K169),0)</f>
        <v/>
      </c>
      <c r="C4" s="8" t="inlineStr">
        <is>
          <t>Covered</t>
        </is>
      </c>
      <c r="D4" s="10">
        <f>COUNTIFS(E9:E169,"yes",F9:F169,"yes",H9:H169,"covered")</f>
        <v/>
      </c>
      <c r="E4" s="8" t="inlineStr">
        <is>
          <t>Partial</t>
        </is>
      </c>
      <c r="F4" s="10">
        <f>COUNTIF(H9:H169,"partial")</f>
        <v/>
      </c>
      <c r="G4" s="8" t="inlineStr">
        <is>
          <t>Missing</t>
        </is>
      </c>
      <c r="H4" s="10">
        <f>COUNTIFS(E9:E169,"&lt;&gt;yes") + COUNTIFS(E9:E169,"yes",H9:H169,"missing")</f>
        <v/>
      </c>
      <c r="I4" s="8" t="inlineStr">
        <is>
          <t>Untested</t>
        </is>
      </c>
      <c r="J4" s="10">
        <f>COUNTIFS(E9:E169,"yes",F9:F169,"&lt;&gt;yes") + COUNTIFS(E9:E169,"yes",F9:F169,"yes",H9:H169,"untested")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Public API</t>
        </is>
      </c>
      <c r="C9" s="13" t="inlineStr">
        <is>
          <t>Root</t>
        </is>
      </c>
      <c r="D9" s="13" t="inlineStr">
        <is>
          <t>controlled value prop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</t>
        </is>
      </c>
      <c r="H9" s="22" t="inlineStr">
        <is>
          <t>covered</t>
        </is>
      </c>
      <c r="I9" s="13" t="inlineStr">
        <is>
          <t>Select playground scenario; manually verified.</t>
        </is>
      </c>
      <c r="J9" s="13" t="inlineStr">
        <is>
          <t>Complete.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Public API</t>
        </is>
      </c>
      <c r="C10" s="13" t="inlineStr">
        <is>
          <t>Root</t>
        </is>
      </c>
      <c r="D10" s="13" t="inlineStr">
        <is>
          <t>defaultValue / uncontrolled value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</t>
        </is>
      </c>
      <c r="H10" s="22" t="inlineStr">
        <is>
          <t>covered</t>
        </is>
      </c>
      <c r="I10" s="13" t="inlineStr">
        <is>
          <t>Select playground scenario; manually verified.</t>
        </is>
      </c>
      <c r="J10" s="13" t="inlineStr">
        <is>
          <t>Complete.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Public API</t>
        </is>
      </c>
      <c r="C11" s="13" t="inlineStr">
        <is>
          <t>Root</t>
        </is>
      </c>
      <c r="D11" s="13" t="inlineStr">
        <is>
          <t>onValueChange callback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</t>
        </is>
      </c>
      <c r="H11" s="22" t="inlineStr">
        <is>
          <t>covered</t>
        </is>
      </c>
      <c r="I11" s="13" t="inlineStr">
        <is>
          <t>Select playground scenario; manually verified.</t>
        </is>
      </c>
      <c r="J11" s="13" t="inlineStr">
        <is>
          <t>Complete.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Public API</t>
        </is>
      </c>
      <c r="C12" s="13" t="inlineStr">
        <is>
          <t>Root</t>
        </is>
      </c>
      <c r="D12" s="13" t="inlineStr">
        <is>
          <t>controlled open prop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</t>
        </is>
      </c>
      <c r="H12" s="22" t="inlineStr">
        <is>
          <t>covered</t>
        </is>
      </c>
      <c r="I12" s="13" t="inlineStr">
        <is>
          <t>Select playground scenario; manually verified.</t>
        </is>
      </c>
      <c r="J12" s="13" t="inlineStr">
        <is>
          <t>Complete.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Public API</t>
        </is>
      </c>
      <c r="C13" s="13" t="inlineStr">
        <is>
          <t>Root</t>
        </is>
      </c>
      <c r="D13" s="13" t="inlineStr">
        <is>
          <t>defaultOpen / uncontrolled open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</t>
        </is>
      </c>
      <c r="H13" s="22" t="inlineStr">
        <is>
          <t>covered</t>
        </is>
      </c>
      <c r="I13" s="13" t="inlineStr">
        <is>
          <t>Select playground scenario; manually verified.</t>
        </is>
      </c>
      <c r="J13" s="13" t="inlineStr">
        <is>
          <t>Complete.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Public API</t>
        </is>
      </c>
      <c r="C14" s="13" t="inlineStr">
        <is>
          <t>Root</t>
        </is>
      </c>
      <c r="D14" s="13" t="inlineStr">
        <is>
          <t>onOpenChange callback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</t>
        </is>
      </c>
      <c r="H14" s="22" t="inlineStr">
        <is>
          <t>covered</t>
        </is>
      </c>
      <c r="I14" s="13" t="inlineStr">
        <is>
          <t>Select playground scenario; manually verified.</t>
        </is>
      </c>
      <c r="J14" s="13" t="inlineStr">
        <is>
          <t>Complete.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Public API</t>
        </is>
      </c>
      <c r="C15" s="13" t="inlineStr">
        <is>
          <t>Root</t>
        </is>
      </c>
      <c r="D15" s="13" t="inlineStr">
        <is>
          <t>disabled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</t>
        </is>
      </c>
      <c r="H15" s="22" t="inlineStr">
        <is>
          <t>covered</t>
        </is>
      </c>
      <c r="I15" s="13" t="inlineStr">
        <is>
          <t>Select playground scenario; manually verified.</t>
        </is>
      </c>
      <c r="J15" s="13" t="inlineStr">
        <is>
          <t>Complete.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Public API</t>
        </is>
      </c>
      <c r="C16" s="13" t="inlineStr">
        <is>
          <t>Root</t>
        </is>
      </c>
      <c r="D16" s="13" t="inlineStr">
        <is>
          <t>required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</t>
        </is>
      </c>
      <c r="H16" s="22" t="inlineStr">
        <is>
          <t>covered</t>
        </is>
      </c>
      <c r="I16" s="13" t="inlineStr">
        <is>
          <t>Select playground scenario; manually verified.</t>
        </is>
      </c>
      <c r="J16" s="13" t="inlineStr">
        <is>
          <t>Complete.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Public API</t>
        </is>
      </c>
      <c r="C17" s="13" t="inlineStr">
        <is>
          <t>Root</t>
        </is>
      </c>
      <c r="D17" s="13" t="inlineStr">
        <is>
          <t>name hidden input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</t>
        </is>
      </c>
      <c r="H17" s="22" t="inlineStr">
        <is>
          <t>covered</t>
        </is>
      </c>
      <c r="I17" s="13" t="inlineStr">
        <is>
          <t>Select playground scenario; manually verified.</t>
        </is>
      </c>
      <c r="J17" s="13" t="inlineStr">
        <is>
          <t>Complete.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Public API</t>
        </is>
      </c>
      <c r="C18" s="13" t="inlineStr">
        <is>
          <t>Root</t>
        </is>
      </c>
      <c r="D18" s="13" t="inlineStr">
        <is>
          <t>form hidden input association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</t>
        </is>
      </c>
      <c r="H18" s="22" t="inlineStr">
        <is>
          <t>covered</t>
        </is>
      </c>
      <c r="I18" s="13" t="inlineStr">
        <is>
          <t>Select playground scenario; manually verified.</t>
        </is>
      </c>
      <c r="J18" s="13" t="inlineStr">
        <is>
          <t>Complete.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Field integration</t>
        </is>
      </c>
      <c r="C19" s="13" t="inlineStr">
        <is>
          <t>Root</t>
        </is>
      </c>
      <c r="D19" s="13" t="inlineStr">
        <is>
          <t>inherits Field disabled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</t>
        </is>
      </c>
      <c r="H19" s="22" t="inlineStr">
        <is>
          <t>covered</t>
        </is>
      </c>
      <c r="I19" s="13" t="inlineStr">
        <is>
          <t>Select playground scenario; manually verified.</t>
        </is>
      </c>
      <c r="J19" s="13" t="inlineStr">
        <is>
          <t>Complete.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Field integration</t>
        </is>
      </c>
      <c r="C20" s="13" t="inlineStr">
        <is>
          <t>Root</t>
        </is>
      </c>
      <c r="D20" s="13" t="inlineStr">
        <is>
          <t>inherits Field required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</t>
        </is>
      </c>
      <c r="H20" s="22" t="inlineStr">
        <is>
          <t>covered</t>
        </is>
      </c>
      <c r="I20" s="13" t="inlineStr">
        <is>
          <t>Select playground scenario; manually verified.</t>
        </is>
      </c>
      <c r="J20" s="13" t="inlineStr">
        <is>
          <t>Complete.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Field integration</t>
        </is>
      </c>
      <c r="C21" s="13" t="inlineStr">
        <is>
          <t>Trigger</t>
        </is>
      </c>
      <c r="D21" s="13" t="inlineStr">
        <is>
          <t>inherits Field control id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</t>
        </is>
      </c>
      <c r="H21" s="22" t="inlineStr">
        <is>
          <t>covered</t>
        </is>
      </c>
      <c r="I21" s="13" t="inlineStr">
        <is>
          <t>Select playground scenario; manually verified.</t>
        </is>
      </c>
      <c r="J21" s="13" t="inlineStr">
        <is>
          <t>Complete.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Field integration</t>
        </is>
      </c>
      <c r="C22" s="13" t="inlineStr">
        <is>
          <t>Trigger</t>
        </is>
      </c>
      <c r="D22" s="13" t="inlineStr">
        <is>
          <t>inherits Field label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</t>
        </is>
      </c>
      <c r="H22" s="22" t="inlineStr">
        <is>
          <t>covered</t>
        </is>
      </c>
      <c r="I22" s="13" t="inlineStr">
        <is>
          <t>Select playground scenario; manually verified.</t>
        </is>
      </c>
      <c r="J22" s="13" t="inlineStr">
        <is>
          <t>Complete.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Field integration</t>
        </is>
      </c>
      <c r="C23" s="13" t="inlineStr">
        <is>
          <t>Trigger</t>
        </is>
      </c>
      <c r="D23" s="13" t="inlineStr">
        <is>
          <t>inherits Field description/error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</t>
        </is>
      </c>
      <c r="H23" s="22" t="inlineStr">
        <is>
          <t>covered</t>
        </is>
      </c>
      <c r="I23" s="13" t="inlineStr">
        <is>
          <t>Select playground scenario; manually verified.</t>
        </is>
      </c>
      <c r="J23" s="13" t="inlineStr">
        <is>
          <t>Complete.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Field integration</t>
        </is>
      </c>
      <c r="C24" s="13" t="inlineStr">
        <is>
          <t>Trigger</t>
        </is>
      </c>
      <c r="D24" s="13" t="inlineStr">
        <is>
          <t>explicit aria-label overrides Field label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</t>
        </is>
      </c>
      <c r="H24" s="22" t="inlineStr">
        <is>
          <t>covered</t>
        </is>
      </c>
      <c r="I24" s="13" t="inlineStr">
        <is>
          <t>Select playground scenario; manually verified.</t>
        </is>
      </c>
      <c r="J24" s="13" t="inlineStr">
        <is>
          <t>Complete.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Trigger</t>
        </is>
      </c>
      <c r="D25" s="13" t="inlineStr">
        <is>
          <t>click opens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</t>
        </is>
      </c>
      <c r="H25" s="22" t="inlineStr">
        <is>
          <t>covered</t>
        </is>
      </c>
      <c r="I25" s="13" t="inlineStr">
        <is>
          <t>Select playground scenario; manually verified.</t>
        </is>
      </c>
      <c r="J25" s="13" t="inlineStr">
        <is>
          <t>Complete.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Trigger</t>
        </is>
      </c>
      <c r="D26" s="13" t="inlineStr">
        <is>
          <t>click closes when open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</t>
        </is>
      </c>
      <c r="H26" s="22" t="inlineStr">
        <is>
          <t>covered</t>
        </is>
      </c>
      <c r="I26" s="13" t="inlineStr">
        <is>
          <t>Select playground scenario; manually verified.</t>
        </is>
      </c>
      <c r="J26" s="13" t="inlineStr">
        <is>
          <t>Complete.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Trigger</t>
        </is>
      </c>
      <c r="D27" s="13" t="inlineStr">
        <is>
          <t>disabled blocks click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</t>
        </is>
      </c>
      <c r="H27" s="22" t="inlineStr">
        <is>
          <t>covered</t>
        </is>
      </c>
      <c r="I27" s="13" t="inlineStr">
        <is>
          <t>Select playground scenario; manually verified.</t>
        </is>
      </c>
      <c r="J27" s="13" t="inlineStr">
        <is>
          <t>Complete.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Trigger</t>
        </is>
      </c>
      <c r="D28" s="13" t="inlineStr">
        <is>
          <t>role combobox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</t>
        </is>
      </c>
      <c r="H28" s="22" t="inlineStr">
        <is>
          <t>covered</t>
        </is>
      </c>
      <c r="I28" s="13" t="inlineStr">
        <is>
          <t>Select playground scenario; manually verified.</t>
        </is>
      </c>
      <c r="J28" s="13" t="inlineStr">
        <is>
          <t>Complete.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Trigger</t>
        </is>
      </c>
      <c r="D29" s="13" t="inlineStr">
        <is>
          <t>type button on default render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</t>
        </is>
      </c>
      <c r="H29" s="22" t="inlineStr">
        <is>
          <t>covered</t>
        </is>
      </c>
      <c r="I29" s="13" t="inlineStr">
        <is>
          <t>Select playground scenario; manually verified.</t>
        </is>
      </c>
      <c r="J29" s="13" t="inlineStr">
        <is>
          <t>Complete.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Trigger</t>
        </is>
      </c>
      <c r="D30" s="13" t="inlineStr">
        <is>
          <t>aria-expanded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</t>
        </is>
      </c>
      <c r="H30" s="22" t="inlineStr">
        <is>
          <t>covered</t>
        </is>
      </c>
      <c r="I30" s="13" t="inlineStr">
        <is>
          <t>Select playground scenario; manually verified.</t>
        </is>
      </c>
      <c r="J30" s="13" t="inlineStr">
        <is>
          <t>Complete.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Trigger</t>
        </is>
      </c>
      <c r="D31" s="13" t="inlineStr">
        <is>
          <t>aria-haspopup listbox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</t>
        </is>
      </c>
      <c r="H31" s="22" t="inlineStr">
        <is>
          <t>covered</t>
        </is>
      </c>
      <c r="I31" s="13" t="inlineStr">
        <is>
          <t>Select playground scenario; manually verified.</t>
        </is>
      </c>
      <c r="J31" s="13" t="inlineStr">
        <is>
          <t>Complete.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Trigger</t>
        </is>
      </c>
      <c r="D32" s="13" t="inlineStr">
        <is>
          <t>aria-controls matches listbox id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</t>
        </is>
      </c>
      <c r="H32" s="22" t="inlineStr">
        <is>
          <t>covered</t>
        </is>
      </c>
      <c r="I32" s="13" t="inlineStr">
        <is>
          <t>Select playground scenario; manually verified.</t>
        </is>
      </c>
      <c r="J32" s="13" t="inlineStr">
        <is>
          <t>Complete.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Trigger</t>
        </is>
      </c>
      <c r="D33" s="13" t="inlineStr">
        <is>
          <t>aria-activedescendant tracks highlight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</t>
        </is>
      </c>
      <c r="H33" s="22" t="inlineStr">
        <is>
          <t>covered</t>
        </is>
      </c>
      <c r="I33" s="13" t="inlineStr">
        <is>
          <t>Select playground scenario; manually verified.</t>
        </is>
      </c>
      <c r="J33" s="13" t="inlineStr">
        <is>
          <t>Complete.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Trigger</t>
        </is>
      </c>
      <c r="D34" s="13" t="inlineStr">
        <is>
          <t>aria-disabled / disabled attribute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</t>
        </is>
      </c>
      <c r="H34" s="22" t="inlineStr">
        <is>
          <t>covered</t>
        </is>
      </c>
      <c r="I34" s="13" t="inlineStr">
        <is>
          <t>Select playground scenario; manually verified.</t>
        </is>
      </c>
      <c r="J34" s="13" t="inlineStr">
        <is>
          <t>Complete.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Trigger</t>
        </is>
      </c>
      <c r="D35" s="13" t="inlineStr">
        <is>
          <t>data-state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</t>
        </is>
      </c>
      <c r="H35" s="22" t="inlineStr">
        <is>
          <t>covered</t>
        </is>
      </c>
      <c r="I35" s="13" t="inlineStr">
        <is>
          <t>Select playground scenario; manually verified.</t>
        </is>
      </c>
      <c r="J35" s="13" t="inlineStr">
        <is>
          <t>Complete.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Trigger</t>
        </is>
      </c>
      <c r="D36" s="13" t="inlineStr">
        <is>
          <t>data-disabled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</t>
        </is>
      </c>
      <c r="H36" s="22" t="inlineStr">
        <is>
          <t>covered</t>
        </is>
      </c>
      <c r="I36" s="13" t="inlineStr">
        <is>
          <t>Select playground scenario; manually verified.</t>
        </is>
      </c>
      <c r="J36" s="13" t="inlineStr">
        <is>
          <t>Complete.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Trigger</t>
        </is>
      </c>
      <c r="D37" s="13" t="inlineStr">
        <is>
          <t>asChild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</t>
        </is>
      </c>
      <c r="H37" s="22" t="inlineStr">
        <is>
          <t>covered</t>
        </is>
      </c>
      <c r="I37" s="13" t="inlineStr">
        <is>
          <t>Select playground scenario; manually verified.</t>
        </is>
      </c>
      <c r="J37" s="13" t="inlineStr">
        <is>
          <t>Complete.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Composition</t>
        </is>
      </c>
      <c r="C38" s="13" t="inlineStr">
        <is>
          <t>Trigger</t>
        </is>
      </c>
      <c r="D38" s="13" t="inlineStr">
        <is>
          <t>render prop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</t>
        </is>
      </c>
      <c r="H38" s="22" t="inlineStr">
        <is>
          <t>covered</t>
        </is>
      </c>
      <c r="I38" s="13" t="inlineStr">
        <is>
          <t>Select playground scenario; manually verified.</t>
        </is>
      </c>
      <c r="J38" s="13" t="inlineStr">
        <is>
          <t>Complete.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Composition</t>
        </is>
      </c>
      <c r="C39" s="13" t="inlineStr">
        <is>
          <t>Trigger</t>
        </is>
      </c>
      <c r="D39" s="13" t="inlineStr">
        <is>
          <t>merged onClick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</t>
        </is>
      </c>
      <c r="H39" s="22" t="inlineStr">
        <is>
          <t>covered</t>
        </is>
      </c>
      <c r="I39" s="13" t="inlineStr">
        <is>
          <t>Select playground scenario; manually verified.</t>
        </is>
      </c>
      <c r="J39" s="13" t="inlineStr">
        <is>
          <t>Complete.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Composition</t>
        </is>
      </c>
      <c r="C40" s="13" t="inlineStr">
        <is>
          <t>Trigger</t>
        </is>
      </c>
      <c r="D40" s="13" t="inlineStr">
        <is>
          <t>merged onKeyDown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</t>
        </is>
      </c>
      <c r="H40" s="22" t="inlineStr">
        <is>
          <t>covered</t>
        </is>
      </c>
      <c r="I40" s="13" t="inlineStr">
        <is>
          <t>Select playground scenario; manually verified.</t>
        </is>
      </c>
      <c r="J40" s="13" t="inlineStr">
        <is>
          <t>Complete.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Refs</t>
        </is>
      </c>
      <c r="C41" s="13" t="inlineStr">
        <is>
          <t>Trigger</t>
        </is>
      </c>
      <c r="D41" s="13" t="inlineStr">
        <is>
          <t>ref receives element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</t>
        </is>
      </c>
      <c r="H41" s="22" t="inlineStr">
        <is>
          <t>covered</t>
        </is>
      </c>
      <c r="I41" s="13" t="inlineStr">
        <is>
          <t>Select playground scenario; manually verified.</t>
        </is>
      </c>
      <c r="J41" s="13" t="inlineStr">
        <is>
          <t>Complete.</t>
        </is>
      </c>
      <c r="K41" s="14">
        <f>IF(AND(E41="yes",F41="yes",H41="covered"),1,IF(H41="partial",0.5,0))</f>
        <v/>
      </c>
    </row>
    <row r="42" ht="45" customHeight="1" s="24">
      <c r="A42" s="12" t="n">
        <v>34</v>
      </c>
      <c r="B42" s="13" t="inlineStr">
        <is>
          <t>Props</t>
        </is>
      </c>
      <c r="C42" s="13" t="inlineStr">
        <is>
          <t>Trigger</t>
        </is>
      </c>
      <c r="D42" s="13" t="inlineStr">
        <is>
          <t>native button props passthrough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</t>
        </is>
      </c>
      <c r="H42" s="22" t="inlineStr">
        <is>
          <t>covered</t>
        </is>
      </c>
      <c r="I42" s="13" t="inlineStr">
        <is>
          <t>Verify the part forwards a non-Atom-owned data-prop-check marker in the live raw Data group or Inspector.</t>
        </is>
      </c>
      <c r="J42" s="13" t="inlineStr">
        <is>
          <t>Do not add a curated Native props row; the DOM data-prop-check marker is the evidence.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Styling hooks</t>
        </is>
      </c>
      <c r="C43" s="13" t="inlineStr">
        <is>
          <t>Trigger</t>
        </is>
      </c>
      <c r="D43" s="13" t="inlineStr">
        <is>
          <t>className passthrough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</t>
        </is>
      </c>
      <c r="H43" s="22" t="inlineStr">
        <is>
          <t>covered</t>
        </is>
      </c>
      <c r="I43" s="13" t="inlineStr">
        <is>
          <t>Select playground scenario; manually verified.</t>
        </is>
      </c>
      <c r="J43" s="13" t="inlineStr">
        <is>
          <t>Complete.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Styling hooks</t>
        </is>
      </c>
      <c r="C44" s="13" t="inlineStr">
        <is>
          <t>Trigger</t>
        </is>
      </c>
      <c r="D44" s="13" t="inlineStr">
        <is>
          <t>data-slot override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</t>
        </is>
      </c>
      <c r="H44" s="22" t="inlineStr">
        <is>
          <t>covered</t>
        </is>
      </c>
      <c r="I44" s="13" t="inlineStr">
        <is>
          <t>Select playground scenario; manually verified.</t>
        </is>
      </c>
      <c r="J44" s="13" t="inlineStr">
        <is>
          <t>Complete.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Keyboard</t>
        </is>
      </c>
      <c r="C45" s="13" t="inlineStr">
        <is>
          <t>Trigger</t>
        </is>
      </c>
      <c r="D45" s="13" t="inlineStr">
        <is>
          <t>ArrowDown opens and highlights first enabled item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</t>
        </is>
      </c>
      <c r="H45" s="22" t="inlineStr">
        <is>
          <t>covered</t>
        </is>
      </c>
      <c r="I45" s="13" t="inlineStr">
        <is>
          <t>Select playground scenario; manually verified.</t>
        </is>
      </c>
      <c r="J45" s="13" t="inlineStr">
        <is>
          <t>Complete.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Keyboard</t>
        </is>
      </c>
      <c r="C46" s="13" t="inlineStr">
        <is>
          <t>Trigger</t>
        </is>
      </c>
      <c r="D46" s="13" t="inlineStr">
        <is>
          <t>ArrowUp opens and highlights last enabled item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</t>
        </is>
      </c>
      <c r="H46" s="22" t="inlineStr">
        <is>
          <t>covered</t>
        </is>
      </c>
      <c r="I46" s="13" t="inlineStr">
        <is>
          <t>Select playground scenario; manually verified.</t>
        </is>
      </c>
      <c r="J46" s="13" t="inlineStr">
        <is>
          <t>Complete.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Keyboard</t>
        </is>
      </c>
      <c r="C47" s="13" t="inlineStr">
        <is>
          <t>Trigger</t>
        </is>
      </c>
      <c r="D47" s="13" t="inlineStr">
        <is>
          <t>ArrowDown moves to next enabled item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</t>
        </is>
      </c>
      <c r="H47" s="22" t="inlineStr">
        <is>
          <t>covered</t>
        </is>
      </c>
      <c r="I47" s="13" t="inlineStr">
        <is>
          <t>Select playground scenario; manually verified.</t>
        </is>
      </c>
      <c r="J47" s="13" t="inlineStr">
        <is>
          <t>Complete.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Keyboard</t>
        </is>
      </c>
      <c r="C48" s="13" t="inlineStr">
        <is>
          <t>Trigger</t>
        </is>
      </c>
      <c r="D48" s="13" t="inlineStr">
        <is>
          <t>ArrowUp moves to previous enabled item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</t>
        </is>
      </c>
      <c r="H48" s="22" t="inlineStr">
        <is>
          <t>covered</t>
        </is>
      </c>
      <c r="I48" s="13" t="inlineStr">
        <is>
          <t>Select playground scenario; manually verified.</t>
        </is>
      </c>
      <c r="J48" s="13" t="inlineStr">
        <is>
          <t>Complete.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Keyboard</t>
        </is>
      </c>
      <c r="C49" s="13" t="inlineStr">
        <is>
          <t>Trigger</t>
        </is>
      </c>
      <c r="D49" s="13" t="inlineStr">
        <is>
          <t>arrow navigation wraps</t>
        </is>
      </c>
      <c r="E49" s="18" t="inlineStr">
        <is>
          <t>yes</t>
        </is>
      </c>
      <c r="F49" s="18" t="inlineStr">
        <is>
          <t>yes</t>
        </is>
      </c>
      <c r="G49" s="12" t="inlineStr">
        <is>
          <t>pass</t>
        </is>
      </c>
      <c r="H49" s="22" t="inlineStr">
        <is>
          <t>covered</t>
        </is>
      </c>
      <c r="I49" s="13" t="inlineStr">
        <is>
          <t>Select playground scenario; manually verified.</t>
        </is>
      </c>
      <c r="J49" s="13" t="inlineStr">
        <is>
          <t>Complete.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Keyboard</t>
        </is>
      </c>
      <c r="C50" s="13" t="inlineStr">
        <is>
          <t>Trigger</t>
        </is>
      </c>
      <c r="D50" s="13" t="inlineStr">
        <is>
          <t>disabled items are skipped</t>
        </is>
      </c>
      <c r="E50" s="18" t="inlineStr">
        <is>
          <t>yes</t>
        </is>
      </c>
      <c r="F50" s="18" t="inlineStr">
        <is>
          <t>yes</t>
        </is>
      </c>
      <c r="G50" s="12" t="inlineStr">
        <is>
          <t>pass</t>
        </is>
      </c>
      <c r="H50" s="22" t="inlineStr">
        <is>
          <t>covered</t>
        </is>
      </c>
      <c r="I50" s="13" t="inlineStr">
        <is>
          <t>Select playground scenario; manually verified.</t>
        </is>
      </c>
      <c r="J50" s="13" t="inlineStr">
        <is>
          <t>Complete.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Keyboard</t>
        </is>
      </c>
      <c r="C51" s="13" t="inlineStr">
        <is>
          <t>Trigger</t>
        </is>
      </c>
      <c r="D51" s="13" t="inlineStr">
        <is>
          <t>Enter opens when closed</t>
        </is>
      </c>
      <c r="E51" s="18" t="inlineStr">
        <is>
          <t>yes</t>
        </is>
      </c>
      <c r="F51" s="18" t="inlineStr">
        <is>
          <t>yes</t>
        </is>
      </c>
      <c r="G51" s="12" t="inlineStr">
        <is>
          <t>pass</t>
        </is>
      </c>
      <c r="H51" s="22" t="inlineStr">
        <is>
          <t>covered</t>
        </is>
      </c>
      <c r="I51" s="13" t="inlineStr">
        <is>
          <t>Select playground scenario; manually verified.</t>
        </is>
      </c>
      <c r="J51" s="13" t="inlineStr">
        <is>
          <t>Complete.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Keyboard</t>
        </is>
      </c>
      <c r="C52" s="13" t="inlineStr">
        <is>
          <t>Trigger</t>
        </is>
      </c>
      <c r="D52" s="13" t="inlineStr">
        <is>
          <t>Enter selects highlighted item when open</t>
        </is>
      </c>
      <c r="E52" s="18" t="inlineStr">
        <is>
          <t>yes</t>
        </is>
      </c>
      <c r="F52" s="18" t="inlineStr">
        <is>
          <t>yes</t>
        </is>
      </c>
      <c r="G52" s="12" t="inlineStr">
        <is>
          <t>pass</t>
        </is>
      </c>
      <c r="H52" s="22" t="inlineStr">
        <is>
          <t>covered</t>
        </is>
      </c>
      <c r="I52" s="13" t="inlineStr">
        <is>
          <t>Select playground scenario; manually verified.</t>
        </is>
      </c>
      <c r="J52" s="13" t="inlineStr">
        <is>
          <t>Complete.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Keyboard</t>
        </is>
      </c>
      <c r="C53" s="13" t="inlineStr">
        <is>
          <t>Trigger</t>
        </is>
      </c>
      <c r="D53" s="13" t="inlineStr">
        <is>
          <t>Space opens when closed</t>
        </is>
      </c>
      <c r="E53" s="18" t="inlineStr">
        <is>
          <t>yes</t>
        </is>
      </c>
      <c r="F53" s="18" t="inlineStr">
        <is>
          <t>yes</t>
        </is>
      </c>
      <c r="G53" s="12" t="inlineStr">
        <is>
          <t>pass</t>
        </is>
      </c>
      <c r="H53" s="22" t="inlineStr">
        <is>
          <t>covered</t>
        </is>
      </c>
      <c r="I53" s="13" t="inlineStr">
        <is>
          <t>Select playground scenario; manually verified.</t>
        </is>
      </c>
      <c r="J53" s="13" t="inlineStr">
        <is>
          <t>Complete.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Keyboard</t>
        </is>
      </c>
      <c r="C54" s="13" t="inlineStr">
        <is>
          <t>Trigger</t>
        </is>
      </c>
      <c r="D54" s="13" t="inlineStr">
        <is>
          <t>Space selects highlighted item when open</t>
        </is>
      </c>
      <c r="E54" s="18" t="inlineStr">
        <is>
          <t>yes</t>
        </is>
      </c>
      <c r="F54" s="18" t="inlineStr">
        <is>
          <t>yes</t>
        </is>
      </c>
      <c r="G54" s="12" t="inlineStr">
        <is>
          <t>pass</t>
        </is>
      </c>
      <c r="H54" s="22" t="inlineStr">
        <is>
          <t>covered</t>
        </is>
      </c>
      <c r="I54" s="13" t="inlineStr">
        <is>
          <t>Select playground scenario; manually verified.</t>
        </is>
      </c>
      <c r="J54" s="13" t="inlineStr">
        <is>
          <t>Complete.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Keyboard</t>
        </is>
      </c>
      <c r="C55" s="13" t="inlineStr">
        <is>
          <t>Trigger</t>
        </is>
      </c>
      <c r="D55" s="13" t="inlineStr">
        <is>
          <t>Home highlights first enabled item</t>
        </is>
      </c>
      <c r="E55" s="18" t="inlineStr">
        <is>
          <t>yes</t>
        </is>
      </c>
      <c r="F55" s="18" t="inlineStr">
        <is>
          <t>yes</t>
        </is>
      </c>
      <c r="G55" s="12" t="inlineStr">
        <is>
          <t>pass</t>
        </is>
      </c>
      <c r="H55" s="22" t="inlineStr">
        <is>
          <t>covered</t>
        </is>
      </c>
      <c r="I55" s="13" t="inlineStr">
        <is>
          <t>Select playground scenario; manually verified.</t>
        </is>
      </c>
      <c r="J55" s="13" t="inlineStr">
        <is>
          <t>Complete.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Keyboard</t>
        </is>
      </c>
      <c r="C56" s="13" t="inlineStr">
        <is>
          <t>Trigger</t>
        </is>
      </c>
      <c r="D56" s="13" t="inlineStr">
        <is>
          <t>End highlights last enabled item</t>
        </is>
      </c>
      <c r="E56" s="18" t="inlineStr">
        <is>
          <t>yes</t>
        </is>
      </c>
      <c r="F56" s="18" t="inlineStr">
        <is>
          <t>yes</t>
        </is>
      </c>
      <c r="G56" s="12" t="inlineStr">
        <is>
          <t>pass</t>
        </is>
      </c>
      <c r="H56" s="22" t="inlineStr">
        <is>
          <t>covered</t>
        </is>
      </c>
      <c r="I56" s="13" t="inlineStr">
        <is>
          <t>Select playground scenario; manually verified.</t>
        </is>
      </c>
      <c r="J56" s="13" t="inlineStr">
        <is>
          <t>Complete.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Keyboard</t>
        </is>
      </c>
      <c r="C57" s="13" t="inlineStr">
        <is>
          <t>Trigger</t>
        </is>
      </c>
      <c r="D57" s="13" t="inlineStr">
        <is>
          <t>Escape closes and keeps focus on trigger</t>
        </is>
      </c>
      <c r="E57" s="18" t="inlineStr">
        <is>
          <t>yes</t>
        </is>
      </c>
      <c r="F57" s="18" t="inlineStr">
        <is>
          <t>yes</t>
        </is>
      </c>
      <c r="G57" s="12" t="inlineStr">
        <is>
          <t>pass</t>
        </is>
      </c>
      <c r="H57" s="22" t="inlineStr">
        <is>
          <t>covered</t>
        </is>
      </c>
      <c r="I57" s="13" t="inlineStr">
        <is>
          <t>Select playground scenario; manually verified.</t>
        </is>
      </c>
      <c r="J57" s="13" t="inlineStr">
        <is>
          <t>Complete.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Keyboard</t>
        </is>
      </c>
      <c r="C58" s="13" t="inlineStr">
        <is>
          <t>Trigger</t>
        </is>
      </c>
      <c r="D58" s="13" t="inlineStr">
        <is>
          <t>Tab closes and moves focus normally</t>
        </is>
      </c>
      <c r="E58" s="18" t="inlineStr">
        <is>
          <t>yes</t>
        </is>
      </c>
      <c r="F58" s="18" t="inlineStr">
        <is>
          <t>yes</t>
        </is>
      </c>
      <c r="G58" s="12" t="inlineStr">
        <is>
          <t>pass</t>
        </is>
      </c>
      <c r="H58" s="22" t="inlineStr">
        <is>
          <t>covered</t>
        </is>
      </c>
      <c r="I58" s="13" t="inlineStr">
        <is>
          <t>Select playground scenario; manually verified.</t>
        </is>
      </c>
      <c r="J58" s="13" t="inlineStr">
        <is>
          <t>Complete.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Keyboard</t>
        </is>
      </c>
      <c r="C59" s="13" t="inlineStr">
        <is>
          <t>Trigger</t>
        </is>
      </c>
      <c r="D59" s="13" t="inlineStr">
        <is>
          <t>typeahead opens and highlights match</t>
        </is>
      </c>
      <c r="E59" s="18" t="inlineStr">
        <is>
          <t>yes</t>
        </is>
      </c>
      <c r="F59" s="18" t="inlineStr">
        <is>
          <t>yes</t>
        </is>
      </c>
      <c r="G59" s="12" t="inlineStr">
        <is>
          <t>pass</t>
        </is>
      </c>
      <c r="H59" s="22" t="inlineStr">
        <is>
          <t>covered</t>
        </is>
      </c>
      <c r="I59" s="13" t="inlineStr">
        <is>
          <t>Select playground scenario; manually verified.</t>
        </is>
      </c>
      <c r="J59" s="13" t="inlineStr">
        <is>
          <t>Complete.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Keyboard</t>
        </is>
      </c>
      <c r="C60" s="13" t="inlineStr">
        <is>
          <t>Trigger</t>
        </is>
      </c>
      <c r="D60" s="13" t="inlineStr">
        <is>
          <t>typeahead buffer resets</t>
        </is>
      </c>
      <c r="E60" s="18" t="inlineStr">
        <is>
          <t>yes</t>
        </is>
      </c>
      <c r="F60" s="18" t="inlineStr">
        <is>
          <t>yes</t>
        </is>
      </c>
      <c r="G60" s="12" t="inlineStr">
        <is>
          <t>pass</t>
        </is>
      </c>
      <c r="H60" s="22" t="inlineStr">
        <is>
          <t>covered</t>
        </is>
      </c>
      <c r="I60" s="13" t="inlineStr">
        <is>
          <t>Select playground scenario; manually verified.</t>
        </is>
      </c>
      <c r="J60" s="13" t="inlineStr">
        <is>
          <t>Complete.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Value</t>
        </is>
      </c>
      <c r="D61" s="13" t="inlineStr">
        <is>
          <t>renders selected item label</t>
        </is>
      </c>
      <c r="E61" s="18" t="inlineStr">
        <is>
          <t>yes</t>
        </is>
      </c>
      <c r="F61" s="18" t="inlineStr">
        <is>
          <t>yes</t>
        </is>
      </c>
      <c r="G61" s="12" t="inlineStr">
        <is>
          <t>pass</t>
        </is>
      </c>
      <c r="H61" s="22" t="inlineStr">
        <is>
          <t>covered</t>
        </is>
      </c>
      <c r="I61" s="13" t="inlineStr">
        <is>
          <t>Select playground scenario; manually verified.</t>
        </is>
      </c>
      <c r="J61" s="13" t="inlineStr">
        <is>
          <t>Complete.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Value</t>
        </is>
      </c>
      <c r="D62" s="13" t="inlineStr">
        <is>
          <t>renders placeholder with no value</t>
        </is>
      </c>
      <c r="E62" s="18" t="inlineStr">
        <is>
          <t>yes</t>
        </is>
      </c>
      <c r="F62" s="18" t="inlineStr">
        <is>
          <t>yes</t>
        </is>
      </c>
      <c r="G62" s="12" t="inlineStr">
        <is>
          <t>pass</t>
        </is>
      </c>
      <c r="H62" s="22" t="inlineStr">
        <is>
          <t>covered</t>
        </is>
      </c>
      <c r="I62" s="13" t="inlineStr">
        <is>
          <t>Select playground scenario; manually verified.</t>
        </is>
      </c>
      <c r="J62" s="13" t="inlineStr">
        <is>
          <t>Complete.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Public API</t>
        </is>
      </c>
      <c r="C63" s="13" t="inlineStr">
        <is>
          <t>Value</t>
        </is>
      </c>
      <c r="D63" s="13" t="inlineStr">
        <is>
          <t>children override displayed text</t>
        </is>
      </c>
      <c r="E63" s="18" t="inlineStr">
        <is>
          <t>yes</t>
        </is>
      </c>
      <c r="F63" s="18" t="inlineStr">
        <is>
          <t>yes</t>
        </is>
      </c>
      <c r="G63" s="12" t="inlineStr">
        <is>
          <t>pass</t>
        </is>
      </c>
      <c r="H63" s="22" t="inlineStr">
        <is>
          <t>covered</t>
        </is>
      </c>
      <c r="I63" s="13" t="inlineStr">
        <is>
          <t>Select playground scenario; manually verified.</t>
        </is>
      </c>
      <c r="J63" s="13" t="inlineStr">
        <is>
          <t>Complete.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Value</t>
        </is>
      </c>
      <c r="D64" s="13" t="inlineStr">
        <is>
          <t>data-placeholder</t>
        </is>
      </c>
      <c r="E64" s="18" t="inlineStr">
        <is>
          <t>yes</t>
        </is>
      </c>
      <c r="F64" s="18" t="inlineStr">
        <is>
          <t>yes</t>
        </is>
      </c>
      <c r="G64" s="12" t="inlineStr">
        <is>
          <t>pass</t>
        </is>
      </c>
      <c r="H64" s="22" t="inlineStr">
        <is>
          <t>covered</t>
        </is>
      </c>
      <c r="I64" s="13" t="inlineStr">
        <is>
          <t>Select playground scenario; manually verified.</t>
        </is>
      </c>
      <c r="J64" s="13" t="inlineStr">
        <is>
          <t>Complete.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Refs</t>
        </is>
      </c>
      <c r="C65" s="13" t="inlineStr">
        <is>
          <t>Value</t>
        </is>
      </c>
      <c r="D65" s="13" t="inlineStr">
        <is>
          <t>ref receives span</t>
        </is>
      </c>
      <c r="E65" s="18" t="inlineStr">
        <is>
          <t>yes</t>
        </is>
      </c>
      <c r="F65" s="18" t="inlineStr">
        <is>
          <t>yes</t>
        </is>
      </c>
      <c r="G65" s="12" t="inlineStr">
        <is>
          <t>pass</t>
        </is>
      </c>
      <c r="H65" s="22" t="inlineStr">
        <is>
          <t>covered</t>
        </is>
      </c>
      <c r="I65" s="13" t="inlineStr">
        <is>
          <t>Select playground scenario; manually verified.</t>
        </is>
      </c>
      <c r="J65" s="13" t="inlineStr">
        <is>
          <t>Complete.</t>
        </is>
      </c>
      <c r="K65" s="14">
        <f>IF(AND(E65="yes",F65="yes",H65="covered"),1,IF(H65="partial",0.5,0))</f>
        <v/>
      </c>
    </row>
    <row r="66" ht="45" customHeight="1" s="24">
      <c r="A66" s="12" t="n">
        <v>58</v>
      </c>
      <c r="B66" s="13" t="inlineStr">
        <is>
          <t>Props</t>
        </is>
      </c>
      <c r="C66" s="13" t="inlineStr">
        <is>
          <t>Value</t>
        </is>
      </c>
      <c r="D66" s="13" t="inlineStr">
        <is>
          <t>native span props passthrough</t>
        </is>
      </c>
      <c r="E66" s="18" t="inlineStr">
        <is>
          <t>yes</t>
        </is>
      </c>
      <c r="F66" s="18" t="inlineStr">
        <is>
          <t>yes</t>
        </is>
      </c>
      <c r="G66" s="12" t="inlineStr">
        <is>
          <t>pass</t>
        </is>
      </c>
      <c r="H66" s="22" t="inlineStr">
        <is>
          <t>covered</t>
        </is>
      </c>
      <c r="I66" s="13" t="inlineStr">
        <is>
          <t>Verify the part forwards a non-Atom-owned data-prop-check marker in the live raw Data group or Inspector.</t>
        </is>
      </c>
      <c r="J66" s="13" t="inlineStr">
        <is>
          <t>Do not add a curated Native props row; the DOM data-prop-check marker is the evidence.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Styling hooks</t>
        </is>
      </c>
      <c r="C67" s="13" t="inlineStr">
        <is>
          <t>Value</t>
        </is>
      </c>
      <c r="D67" s="13" t="inlineStr">
        <is>
          <t>data-slot</t>
        </is>
      </c>
      <c r="E67" s="18" t="inlineStr">
        <is>
          <t>yes</t>
        </is>
      </c>
      <c r="F67" s="18" t="inlineStr">
        <is>
          <t>yes</t>
        </is>
      </c>
      <c r="G67" s="12" t="inlineStr">
        <is>
          <t>pass</t>
        </is>
      </c>
      <c r="H67" s="22" t="inlineStr">
        <is>
          <t>covered</t>
        </is>
      </c>
      <c r="I67" s="13" t="inlineStr">
        <is>
          <t>Select playground scenario; manually verified.</t>
        </is>
      </c>
      <c r="J67" s="13" t="inlineStr">
        <is>
          <t>Complete.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Public API</t>
        </is>
      </c>
      <c r="C68" s="13" t="inlineStr">
        <is>
          <t>Icon</t>
        </is>
      </c>
      <c r="D68" s="13" t="inlineStr">
        <is>
          <t>renders decorative icon</t>
        </is>
      </c>
      <c r="E68" s="18" t="inlineStr">
        <is>
          <t>yes</t>
        </is>
      </c>
      <c r="F68" s="18" t="inlineStr">
        <is>
          <t>yes</t>
        </is>
      </c>
      <c r="G68" s="12" t="inlineStr">
        <is>
          <t>pass</t>
        </is>
      </c>
      <c r="H68" s="22" t="inlineStr">
        <is>
          <t>covered</t>
        </is>
      </c>
      <c r="I68" s="13" t="inlineStr">
        <is>
          <t>Select playground scenario; manually verified.</t>
        </is>
      </c>
      <c r="J68" s="13" t="inlineStr">
        <is>
          <t>Complete.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Accessibility</t>
        </is>
      </c>
      <c r="C69" s="13" t="inlineStr">
        <is>
          <t>Icon</t>
        </is>
      </c>
      <c r="D69" s="13" t="inlineStr">
        <is>
          <t>aria-hidden</t>
        </is>
      </c>
      <c r="E69" s="18" t="inlineStr">
        <is>
          <t>yes</t>
        </is>
      </c>
      <c r="F69" s="18" t="inlineStr">
        <is>
          <t>yes</t>
        </is>
      </c>
      <c r="G69" s="12" t="inlineStr">
        <is>
          <t>pass</t>
        </is>
      </c>
      <c r="H69" s="22" t="inlineStr">
        <is>
          <t>covered</t>
        </is>
      </c>
      <c r="I69" s="13" t="inlineStr">
        <is>
          <t>Select playground scenario; manually verified.</t>
        </is>
      </c>
      <c r="J69" s="13" t="inlineStr">
        <is>
          <t>Complete.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Refs</t>
        </is>
      </c>
      <c r="C70" s="13" t="inlineStr">
        <is>
          <t>Icon</t>
        </is>
      </c>
      <c r="D70" s="13" t="inlineStr">
        <is>
          <t>ref receives span</t>
        </is>
      </c>
      <c r="E70" s="18" t="inlineStr">
        <is>
          <t>yes</t>
        </is>
      </c>
      <c r="F70" s="18" t="inlineStr">
        <is>
          <t>yes</t>
        </is>
      </c>
      <c r="G70" s="12" t="inlineStr">
        <is>
          <t>pass</t>
        </is>
      </c>
      <c r="H70" s="22" t="inlineStr">
        <is>
          <t>covered</t>
        </is>
      </c>
      <c r="I70" s="13" t="inlineStr">
        <is>
          <t>Select playground scenario; manually verified.</t>
        </is>
      </c>
      <c r="J70" s="13" t="inlineStr">
        <is>
          <t>Complete.</t>
        </is>
      </c>
      <c r="K70" s="14">
        <f>IF(AND(E70="yes",F70="yes",H70="covered"),1,IF(H70="partial",0.5,0))</f>
        <v/>
      </c>
    </row>
    <row r="71" ht="45" customHeight="1" s="24">
      <c r="A71" s="12" t="n">
        <v>63</v>
      </c>
      <c r="B71" s="13" t="inlineStr">
        <is>
          <t>Props</t>
        </is>
      </c>
      <c r="C71" s="13" t="inlineStr">
        <is>
          <t>Icon</t>
        </is>
      </c>
      <c r="D71" s="13" t="inlineStr">
        <is>
          <t>native span props passthrough</t>
        </is>
      </c>
      <c r="E71" s="18" t="inlineStr">
        <is>
          <t>yes</t>
        </is>
      </c>
      <c r="F71" s="18" t="inlineStr">
        <is>
          <t>yes</t>
        </is>
      </c>
      <c r="G71" s="12" t="inlineStr">
        <is>
          <t>pass</t>
        </is>
      </c>
      <c r="H71" s="22" t="inlineStr">
        <is>
          <t>covered</t>
        </is>
      </c>
      <c r="I71" s="13" t="inlineStr">
        <is>
          <t>Verify the part forwards a non-Atom-owned data-prop-check marker in the live raw Data group or Inspector.</t>
        </is>
      </c>
      <c r="J71" s="13" t="inlineStr">
        <is>
          <t>Do not add a curated Native props row; the DOM data-prop-check marker is the evidence.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Styling hooks</t>
        </is>
      </c>
      <c r="C72" s="13" t="inlineStr">
        <is>
          <t>Icon</t>
        </is>
      </c>
      <c r="D72" s="13" t="inlineStr">
        <is>
          <t>data-slot</t>
        </is>
      </c>
      <c r="E72" s="18" t="inlineStr">
        <is>
          <t>yes</t>
        </is>
      </c>
      <c r="F72" s="18" t="inlineStr">
        <is>
          <t>yes</t>
        </is>
      </c>
      <c r="G72" s="12" t="inlineStr">
        <is>
          <t>pass</t>
        </is>
      </c>
      <c r="H72" s="22" t="inlineStr">
        <is>
          <t>covered</t>
        </is>
      </c>
      <c r="I72" s="13" t="inlineStr">
        <is>
          <t>Select playground scenario; manually verified.</t>
        </is>
      </c>
      <c r="J72" s="13" t="inlineStr">
        <is>
          <t>Complete.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Portal</t>
        </is>
      </c>
      <c r="D73" s="13" t="inlineStr">
        <is>
          <t>content mounts in body by default</t>
        </is>
      </c>
      <c r="E73" s="18" t="inlineStr">
        <is>
          <t>yes</t>
        </is>
      </c>
      <c r="F73" s="18" t="inlineStr">
        <is>
          <t>yes</t>
        </is>
      </c>
      <c r="G73" s="12" t="inlineStr">
        <is>
          <t>pass</t>
        </is>
      </c>
      <c r="H73" s="22" t="inlineStr">
        <is>
          <t>covered</t>
        </is>
      </c>
      <c r="I73" s="13" t="inlineStr">
        <is>
          <t>Select playground scenario; manually verified.</t>
        </is>
      </c>
      <c r="J73" s="13" t="inlineStr">
        <is>
          <t>Complete.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Public API</t>
        </is>
      </c>
      <c r="C74" s="13" t="inlineStr">
        <is>
          <t>Portal</t>
        </is>
      </c>
      <c r="D74" s="13" t="inlineStr">
        <is>
          <t>disabled keeps content inline</t>
        </is>
      </c>
      <c r="E74" s="18" t="inlineStr">
        <is>
          <t>yes</t>
        </is>
      </c>
      <c r="F74" s="18" t="inlineStr">
        <is>
          <t>yes</t>
        </is>
      </c>
      <c r="G74" s="12" t="inlineStr">
        <is>
          <t>pass</t>
        </is>
      </c>
      <c r="H74" s="22" t="inlineStr">
        <is>
          <t>covered</t>
        </is>
      </c>
      <c r="I74" s="13" t="inlineStr">
        <is>
          <t>Select playground scenario; manually verified.</t>
        </is>
      </c>
      <c r="J74" s="13" t="inlineStr">
        <is>
          <t>Complete.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Public API</t>
        </is>
      </c>
      <c r="C75" s="13" t="inlineStr">
        <is>
          <t>Portal</t>
        </is>
      </c>
      <c r="D75" s="13" t="inlineStr">
        <is>
          <t>container prop</t>
        </is>
      </c>
      <c r="E75" s="18" t="inlineStr">
        <is>
          <t>yes</t>
        </is>
      </c>
      <c r="F75" s="18" t="inlineStr">
        <is>
          <t>yes</t>
        </is>
      </c>
      <c r="G75" s="12" t="inlineStr">
        <is>
          <t>pass</t>
        </is>
      </c>
      <c r="H75" s="22" t="inlineStr">
        <is>
          <t>covered</t>
        </is>
      </c>
      <c r="I75" s="13" t="inlineStr">
        <is>
          <t>Select playground scenario; manually verified.</t>
        </is>
      </c>
      <c r="J75" s="13" t="inlineStr">
        <is>
          <t>Complete.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Focus scope</t>
        </is>
      </c>
      <c r="C76" s="13" t="inlineStr">
        <is>
          <t>Portal</t>
        </is>
      </c>
      <c r="D76" s="13" t="inlineStr">
        <is>
          <t>registers with parent modal focus scope</t>
        </is>
      </c>
      <c r="E76" s="18" t="inlineStr">
        <is>
          <t>yes</t>
        </is>
      </c>
      <c r="F76" s="18" t="inlineStr">
        <is>
          <t>yes</t>
        </is>
      </c>
      <c r="G76" s="12" t="inlineStr">
        <is>
          <t>pass</t>
        </is>
      </c>
      <c r="H76" s="22" t="inlineStr">
        <is>
          <t>covered</t>
        </is>
      </c>
      <c r="I76" s="13" t="inlineStr">
        <is>
          <t>Select playground scenario; manually verified.</t>
        </is>
      </c>
      <c r="J76" s="13" t="inlineStr">
        <is>
          <t>Complete.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Public API</t>
        </is>
      </c>
      <c r="C77" s="13" t="inlineStr">
        <is>
          <t>Content/Listbox</t>
        </is>
      </c>
      <c r="D77" s="13" t="inlineStr">
        <is>
          <t>Content alias renders listbox</t>
        </is>
      </c>
      <c r="E77" s="18" t="inlineStr">
        <is>
          <t>yes</t>
        </is>
      </c>
      <c r="F77" s="18" t="inlineStr">
        <is>
          <t>yes</t>
        </is>
      </c>
      <c r="G77" s="12" t="inlineStr">
        <is>
          <t>pass</t>
        </is>
      </c>
      <c r="H77" s="22" t="inlineStr">
        <is>
          <t>covered</t>
        </is>
      </c>
      <c r="I77" s="13" t="inlineStr">
        <is>
          <t>Select playground scenario; manually verified.</t>
        </is>
      </c>
      <c r="J77" s="13" t="inlineStr">
        <is>
          <t>Complete.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Public API</t>
        </is>
      </c>
      <c r="C78" s="13" t="inlineStr">
        <is>
          <t>Content/Listbox</t>
        </is>
      </c>
      <c r="D78" s="13" t="inlineStr">
        <is>
          <t>Listbox part renders directly</t>
        </is>
      </c>
      <c r="E78" s="18" t="inlineStr">
        <is>
          <t>yes</t>
        </is>
      </c>
      <c r="F78" s="18" t="inlineStr">
        <is>
          <t>yes</t>
        </is>
      </c>
      <c r="G78" s="12" t="inlineStr">
        <is>
          <t>pass</t>
        </is>
      </c>
      <c r="H78" s="22" t="inlineStr">
        <is>
          <t>covered</t>
        </is>
      </c>
      <c r="I78" s="13" t="inlineStr">
        <is>
          <t>Select playground scenario; manually verified.</t>
        </is>
      </c>
      <c r="J78" s="13" t="inlineStr">
        <is>
          <t>Complete.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Public API</t>
        </is>
      </c>
      <c r="C79" s="13" t="inlineStr">
        <is>
          <t>Content/Listbox</t>
        </is>
      </c>
      <c r="D79" s="13" t="inlineStr">
        <is>
          <t>renders only when open</t>
        </is>
      </c>
      <c r="E79" s="18" t="inlineStr">
        <is>
          <t>yes</t>
        </is>
      </c>
      <c r="F79" s="18" t="inlineStr">
        <is>
          <t>yes</t>
        </is>
      </c>
      <c r="G79" s="12" t="inlineStr">
        <is>
          <t>pass</t>
        </is>
      </c>
      <c r="H79" s="22" t="inlineStr">
        <is>
          <t>covered</t>
        </is>
      </c>
      <c r="I79" s="13" t="inlineStr">
        <is>
          <t>Select playground scenario; manually verified.</t>
        </is>
      </c>
      <c r="J79" s="13" t="inlineStr">
        <is>
          <t>Complete.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Public API</t>
        </is>
      </c>
      <c r="C80" s="13" t="inlineStr">
        <is>
          <t>Content/Listbox</t>
        </is>
      </c>
      <c r="D80" s="13" t="inlineStr">
        <is>
          <t>disablePortal</t>
        </is>
      </c>
      <c r="E80" s="18" t="inlineStr">
        <is>
          <t>yes</t>
        </is>
      </c>
      <c r="F80" s="18" t="inlineStr">
        <is>
          <t>yes</t>
        </is>
      </c>
      <c r="G80" s="12" t="inlineStr">
        <is>
          <t>pass</t>
        </is>
      </c>
      <c r="H80" s="22" t="inlineStr">
        <is>
          <t>covered</t>
        </is>
      </c>
      <c r="I80" s="13" t="inlineStr">
        <is>
          <t>Select playground scenario; manually verified.</t>
        </is>
      </c>
      <c r="J80" s="13" t="inlineStr">
        <is>
          <t>Complete.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Public API</t>
        </is>
      </c>
      <c r="C81" s="13" t="inlineStr">
        <is>
          <t>Content/Listbox</t>
        </is>
      </c>
      <c r="D81" s="13" t="inlineStr">
        <is>
          <t>container prop</t>
        </is>
      </c>
      <c r="E81" s="18" t="inlineStr">
        <is>
          <t>yes</t>
        </is>
      </c>
      <c r="F81" s="18" t="inlineStr">
        <is>
          <t>yes</t>
        </is>
      </c>
      <c r="G81" s="12" t="inlineStr">
        <is>
          <t>pass</t>
        </is>
      </c>
      <c r="H81" s="22" t="inlineStr">
        <is>
          <t>covered</t>
        </is>
      </c>
      <c r="I81" s="13" t="inlineStr">
        <is>
          <t>Select playground scenario; manually verified.</t>
        </is>
      </c>
      <c r="J81" s="13" t="inlineStr">
        <is>
          <t>Complete.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Public API</t>
        </is>
      </c>
      <c r="C82" s="13" t="inlineStr">
        <is>
          <t>Content/Listbox</t>
        </is>
      </c>
      <c r="D82" s="13" t="inlineStr">
        <is>
          <t>role listbox</t>
        </is>
      </c>
      <c r="E82" s="18" t="inlineStr">
        <is>
          <t>yes</t>
        </is>
      </c>
      <c r="F82" s="18" t="inlineStr">
        <is>
          <t>yes</t>
        </is>
      </c>
      <c r="G82" s="12" t="inlineStr">
        <is>
          <t>pass</t>
        </is>
      </c>
      <c r="H82" s="22" t="inlineStr">
        <is>
          <t>covered</t>
        </is>
      </c>
      <c r="I82" s="13" t="inlineStr">
        <is>
          <t>Select playground scenario; manually verified.</t>
        </is>
      </c>
      <c r="J82" s="13" t="inlineStr">
        <is>
          <t>Complete.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Public API</t>
        </is>
      </c>
      <c r="C83" s="13" t="inlineStr">
        <is>
          <t>Content/Listbox</t>
        </is>
      </c>
      <c r="D83" s="13" t="inlineStr">
        <is>
          <t>aria-label</t>
        </is>
      </c>
      <c r="E83" s="18" t="inlineStr">
        <is>
          <t>yes</t>
        </is>
      </c>
      <c r="F83" s="18" t="inlineStr">
        <is>
          <t>yes</t>
        </is>
      </c>
      <c r="G83" s="12" t="inlineStr">
        <is>
          <t>pass</t>
        </is>
      </c>
      <c r="H83" s="22" t="inlineStr">
        <is>
          <t>covered</t>
        </is>
      </c>
      <c r="I83" s="13" t="inlineStr">
        <is>
          <t>Select playground scenario; manually verified.</t>
        </is>
      </c>
      <c r="J83" s="13" t="inlineStr">
        <is>
          <t>Complete.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Public API</t>
        </is>
      </c>
      <c r="C84" s="13" t="inlineStr">
        <is>
          <t>Content/Listbox</t>
        </is>
      </c>
      <c r="D84" s="13" t="inlineStr">
        <is>
          <t>tabIndex -1</t>
        </is>
      </c>
      <c r="E84" s="18" t="inlineStr">
        <is>
          <t>yes</t>
        </is>
      </c>
      <c r="F84" s="18" t="inlineStr">
        <is>
          <t>yes</t>
        </is>
      </c>
      <c r="G84" s="12" t="inlineStr">
        <is>
          <t>pass</t>
        </is>
      </c>
      <c r="H84" s="22" t="inlineStr">
        <is>
          <t>covered</t>
        </is>
      </c>
      <c r="I84" s="13" t="inlineStr">
        <is>
          <t>Select playground scenario; manually verified.</t>
        </is>
      </c>
      <c r="J84" s="13" t="inlineStr">
        <is>
          <t>Complete.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Public API</t>
        </is>
      </c>
      <c r="C85" s="13" t="inlineStr">
        <is>
          <t>Content/Listbox</t>
        </is>
      </c>
      <c r="D85" s="13" t="inlineStr">
        <is>
          <t>data-state open</t>
        </is>
      </c>
      <c r="E85" s="18" t="inlineStr">
        <is>
          <t>yes</t>
        </is>
      </c>
      <c r="F85" s="18" t="inlineStr">
        <is>
          <t>yes</t>
        </is>
      </c>
      <c r="G85" s="12" t="inlineStr">
        <is>
          <t>pass</t>
        </is>
      </c>
      <c r="H85" s="22" t="inlineStr">
        <is>
          <t>covered</t>
        </is>
      </c>
      <c r="I85" s="13" t="inlineStr">
        <is>
          <t>Select playground scenario; manually verified.</t>
        </is>
      </c>
      <c r="J85" s="13" t="inlineStr">
        <is>
          <t>Complete.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Public API</t>
        </is>
      </c>
      <c r="C86" s="13" t="inlineStr">
        <is>
          <t>Content/Listbox</t>
        </is>
      </c>
      <c r="D86" s="13" t="inlineStr">
        <is>
          <t>data-positioned</t>
        </is>
      </c>
      <c r="E86" s="18" t="inlineStr">
        <is>
          <t>yes</t>
        </is>
      </c>
      <c r="F86" s="18" t="inlineStr">
        <is>
          <t>yes</t>
        </is>
      </c>
      <c r="G86" s="12" t="inlineStr">
        <is>
          <t>pass</t>
        </is>
      </c>
      <c r="H86" s="22" t="inlineStr">
        <is>
          <t>covered</t>
        </is>
      </c>
      <c r="I86" s="13" t="inlineStr">
        <is>
          <t>Select playground scenario; manually verified.</t>
        </is>
      </c>
      <c r="J86" s="13" t="inlineStr">
        <is>
          <t>Complete.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Positioning</t>
        </is>
      </c>
      <c r="C87" s="13" t="inlineStr">
        <is>
          <t>Content/Listbox</t>
        </is>
      </c>
      <c r="D87" s="13" t="inlineStr">
        <is>
          <t>min width matches trigger</t>
        </is>
      </c>
      <c r="E87" s="18" t="inlineStr">
        <is>
          <t>yes</t>
        </is>
      </c>
      <c r="F87" s="18" t="inlineStr">
        <is>
          <t>yes</t>
        </is>
      </c>
      <c r="G87" s="12" t="inlineStr">
        <is>
          <t>pass</t>
        </is>
      </c>
      <c r="H87" s="22" t="inlineStr">
        <is>
          <t>covered</t>
        </is>
      </c>
      <c r="I87" s="13" t="inlineStr">
        <is>
          <t>Select playground scenario; manually verified.</t>
        </is>
      </c>
      <c r="J87" s="13" t="inlineStr">
        <is>
          <t>Complete.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Positioning</t>
        </is>
      </c>
      <c r="C88" s="13" t="inlineStr">
        <is>
          <t>Content/Listbox</t>
        </is>
      </c>
      <c r="D88" s="13" t="inlineStr">
        <is>
          <t>flips/shifts near viewport edge</t>
        </is>
      </c>
      <c r="E88" s="18" t="inlineStr">
        <is>
          <t>yes</t>
        </is>
      </c>
      <c r="F88" s="18" t="inlineStr">
        <is>
          <t>yes</t>
        </is>
      </c>
      <c r="G88" s="12" t="inlineStr">
        <is>
          <t>pass</t>
        </is>
      </c>
      <c r="H88" s="22" t="inlineStr">
        <is>
          <t>covered</t>
        </is>
      </c>
      <c r="I88" s="13" t="inlineStr">
        <is>
          <t>Select playground scenario; manually verified.</t>
        </is>
      </c>
      <c r="J88" s="13" t="inlineStr">
        <is>
          <t>Complete.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Interaction</t>
        </is>
      </c>
      <c r="C89" s="13" t="inlineStr">
        <is>
          <t>Content/Listbox</t>
        </is>
      </c>
      <c r="D89" s="13" t="inlineStr">
        <is>
          <t>outside pointer closes</t>
        </is>
      </c>
      <c r="E89" s="18" t="inlineStr">
        <is>
          <t>yes</t>
        </is>
      </c>
      <c r="F89" s="18" t="inlineStr">
        <is>
          <t>yes</t>
        </is>
      </c>
      <c r="G89" s="12" t="inlineStr">
        <is>
          <t>pass</t>
        </is>
      </c>
      <c r="H89" s="22" t="inlineStr">
        <is>
          <t>covered</t>
        </is>
      </c>
      <c r="I89" s="13" t="inlineStr">
        <is>
          <t>Select playground scenario; manually verified.</t>
        </is>
      </c>
      <c r="J89" s="13" t="inlineStr">
        <is>
          <t>Complete.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Interaction</t>
        </is>
      </c>
      <c r="C90" s="13" t="inlineStr">
        <is>
          <t>Content/Listbox</t>
        </is>
      </c>
      <c r="D90" s="13" t="inlineStr">
        <is>
          <t>inside click does not close unless selecting item</t>
        </is>
      </c>
      <c r="E90" s="18" t="inlineStr">
        <is>
          <t>yes</t>
        </is>
      </c>
      <c r="F90" s="18" t="inlineStr">
        <is>
          <t>yes</t>
        </is>
      </c>
      <c r="G90" s="12" t="inlineStr">
        <is>
          <t>pass</t>
        </is>
      </c>
      <c r="H90" s="22" t="inlineStr">
        <is>
          <t>covered</t>
        </is>
      </c>
      <c r="I90" s="13" t="inlineStr">
        <is>
          <t>Select playground scenario; manually verified.</t>
        </is>
      </c>
      <c r="J90" s="13" t="inlineStr">
        <is>
          <t>Complete.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Interaction</t>
        </is>
      </c>
      <c r="C91" s="13" t="inlineStr">
        <is>
          <t>Content/Listbox</t>
        </is>
      </c>
      <c r="D91" s="13" t="inlineStr">
        <is>
          <t>Escape closes from open listbox</t>
        </is>
      </c>
      <c r="E91" s="18" t="inlineStr">
        <is>
          <t>yes</t>
        </is>
      </c>
      <c r="F91" s="18" t="inlineStr">
        <is>
          <t>yes</t>
        </is>
      </c>
      <c r="G91" s="12" t="inlineStr">
        <is>
          <t>pass</t>
        </is>
      </c>
      <c r="H91" s="22" t="inlineStr">
        <is>
          <t>covered</t>
        </is>
      </c>
      <c r="I91" s="13" t="inlineStr">
        <is>
          <t>Select playground scenario; manually verified.</t>
        </is>
      </c>
      <c r="J91" s="13" t="inlineStr">
        <is>
          <t>Complete.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Interaction</t>
        </is>
      </c>
      <c r="C92" s="13" t="inlineStr">
        <is>
          <t>Content/Listbox</t>
        </is>
      </c>
      <c r="D92" s="13" t="inlineStr">
        <is>
          <t>highlighted item scrolls into view</t>
        </is>
      </c>
      <c r="E92" s="18" t="inlineStr">
        <is>
          <t>yes</t>
        </is>
      </c>
      <c r="F92" s="18" t="inlineStr">
        <is>
          <t>yes</t>
        </is>
      </c>
      <c r="G92" s="12" t="inlineStr">
        <is>
          <t>pass</t>
        </is>
      </c>
      <c r="H92" s="22" t="inlineStr">
        <is>
          <t>covered</t>
        </is>
      </c>
      <c r="I92" s="13" t="inlineStr">
        <is>
          <t>Select playground scenario; manually verified.</t>
        </is>
      </c>
      <c r="J92" s="13" t="inlineStr">
        <is>
          <t>Complete.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Refs</t>
        </is>
      </c>
      <c r="C93" s="13" t="inlineStr">
        <is>
          <t>Content/Listbox</t>
        </is>
      </c>
      <c r="D93" s="13" t="inlineStr">
        <is>
          <t>ref receives div</t>
        </is>
      </c>
      <c r="E93" s="18" t="inlineStr">
        <is>
          <t>yes</t>
        </is>
      </c>
      <c r="F93" s="18" t="inlineStr">
        <is>
          <t>yes</t>
        </is>
      </c>
      <c r="G93" s="12" t="inlineStr">
        <is>
          <t>pass</t>
        </is>
      </c>
      <c r="H93" s="22" t="inlineStr">
        <is>
          <t>covered</t>
        </is>
      </c>
      <c r="I93" s="13" t="inlineStr">
        <is>
          <t>Select playground scenario; manually verified.</t>
        </is>
      </c>
      <c r="J93" s="13" t="inlineStr">
        <is>
          <t>Complete.</t>
        </is>
      </c>
      <c r="K93" s="14">
        <f>IF(AND(E93="yes",F93="yes",H93="covered"),1,IF(H93="partial",0.5,0))</f>
        <v/>
      </c>
    </row>
    <row r="94" ht="45" customHeight="1" s="24">
      <c r="A94" s="12" t="n">
        <v>86</v>
      </c>
      <c r="B94" s="13" t="inlineStr">
        <is>
          <t>Props</t>
        </is>
      </c>
      <c r="C94" s="13" t="inlineStr">
        <is>
          <t>Content/Listbox</t>
        </is>
      </c>
      <c r="D94" s="13" t="inlineStr">
        <is>
          <t>native div props passthrough</t>
        </is>
      </c>
      <c r="E94" s="18" t="inlineStr">
        <is>
          <t>yes</t>
        </is>
      </c>
      <c r="F94" s="18" t="inlineStr">
        <is>
          <t>yes</t>
        </is>
      </c>
      <c r="G94" s="12" t="inlineStr">
        <is>
          <t>pass</t>
        </is>
      </c>
      <c r="H94" s="22" t="inlineStr">
        <is>
          <t>covered</t>
        </is>
      </c>
      <c r="I94" s="13" t="inlineStr">
        <is>
          <t>Verify the part forwards a non-Atom-owned data-prop-check marker in the live raw Data group or Inspector.</t>
        </is>
      </c>
      <c r="J94" s="13" t="inlineStr">
        <is>
          <t>Do not add a curated Native props row; the DOM data-prop-check marker is the evidence.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Styling hooks</t>
        </is>
      </c>
      <c r="C95" s="13" t="inlineStr">
        <is>
          <t>Content/Listbox</t>
        </is>
      </c>
      <c r="D95" s="13" t="inlineStr">
        <is>
          <t>className passthrough</t>
        </is>
      </c>
      <c r="E95" s="18" t="inlineStr">
        <is>
          <t>yes</t>
        </is>
      </c>
      <c r="F95" s="18" t="inlineStr">
        <is>
          <t>yes</t>
        </is>
      </c>
      <c r="G95" s="12" t="inlineStr">
        <is>
          <t>pass</t>
        </is>
      </c>
      <c r="H95" s="22" t="inlineStr">
        <is>
          <t>covered</t>
        </is>
      </c>
      <c r="I95" s="13" t="inlineStr">
        <is>
          <t>Select playground scenario; manually verified.</t>
        </is>
      </c>
      <c r="J95" s="13" t="inlineStr">
        <is>
          <t>Complete.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Styling hooks</t>
        </is>
      </c>
      <c r="C96" s="13" t="inlineStr">
        <is>
          <t>Content/Listbox</t>
        </is>
      </c>
      <c r="D96" s="13" t="inlineStr">
        <is>
          <t>data-slot</t>
        </is>
      </c>
      <c r="E96" s="18" t="inlineStr">
        <is>
          <t>yes</t>
        </is>
      </c>
      <c r="F96" s="18" t="inlineStr">
        <is>
          <t>yes</t>
        </is>
      </c>
      <c r="G96" s="12" t="inlineStr">
        <is>
          <t>pass</t>
        </is>
      </c>
      <c r="H96" s="22" t="inlineStr">
        <is>
          <t>covered</t>
        </is>
      </c>
      <c r="I96" s="13" t="inlineStr">
        <is>
          <t>Select playground scenario; manually verified.</t>
        </is>
      </c>
      <c r="J96" s="13" t="inlineStr">
        <is>
          <t>Complete.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Public API</t>
        </is>
      </c>
      <c r="C97" s="13" t="inlineStr">
        <is>
          <t>Viewport</t>
        </is>
      </c>
      <c r="D97" s="13" t="inlineStr">
        <is>
          <t>renders item viewport</t>
        </is>
      </c>
      <c r="E97" s="18" t="inlineStr">
        <is>
          <t>yes</t>
        </is>
      </c>
      <c r="F97" s="18" t="inlineStr">
        <is>
          <t>yes</t>
        </is>
      </c>
      <c r="G97" s="12" t="inlineStr">
        <is>
          <t>pass</t>
        </is>
      </c>
      <c r="H97" s="22" t="inlineStr">
        <is>
          <t>covered</t>
        </is>
      </c>
      <c r="I97" s="13" t="inlineStr">
        <is>
          <t>Select playground scenario; manually verified.</t>
        </is>
      </c>
      <c r="J97" s="13" t="inlineStr">
        <is>
          <t>Complete.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Refs</t>
        </is>
      </c>
      <c r="C98" s="13" t="inlineStr">
        <is>
          <t>Viewport</t>
        </is>
      </c>
      <c r="D98" s="13" t="inlineStr">
        <is>
          <t>ref receives div</t>
        </is>
      </c>
      <c r="E98" s="18" t="inlineStr">
        <is>
          <t>yes</t>
        </is>
      </c>
      <c r="F98" s="18" t="inlineStr">
        <is>
          <t>yes</t>
        </is>
      </c>
      <c r="G98" s="12" t="inlineStr">
        <is>
          <t>pass</t>
        </is>
      </c>
      <c r="H98" s="22" t="inlineStr">
        <is>
          <t>covered</t>
        </is>
      </c>
      <c r="I98" s="13" t="inlineStr">
        <is>
          <t>Select playground scenario; manually verified.</t>
        </is>
      </c>
      <c r="J98" s="13" t="inlineStr">
        <is>
          <t>Complete.</t>
        </is>
      </c>
      <c r="K98" s="14">
        <f>IF(AND(E98="yes",F98="yes",H98="covered"),1,IF(H98="partial",0.5,0))</f>
        <v/>
      </c>
    </row>
    <row r="99" ht="45" customHeight="1" s="24">
      <c r="A99" s="12" t="n">
        <v>91</v>
      </c>
      <c r="B99" s="13" t="inlineStr">
        <is>
          <t>Props</t>
        </is>
      </c>
      <c r="C99" s="13" t="inlineStr">
        <is>
          <t>Viewport</t>
        </is>
      </c>
      <c r="D99" s="13" t="inlineStr">
        <is>
          <t>native div props passthrough</t>
        </is>
      </c>
      <c r="E99" s="18" t="inlineStr">
        <is>
          <t>yes</t>
        </is>
      </c>
      <c r="F99" s="18" t="inlineStr">
        <is>
          <t>yes</t>
        </is>
      </c>
      <c r="G99" s="12" t="inlineStr">
        <is>
          <t>pass</t>
        </is>
      </c>
      <c r="H99" s="22" t="inlineStr">
        <is>
          <t>covered</t>
        </is>
      </c>
      <c r="I99" s="13" t="inlineStr">
        <is>
          <t>Verify the part forwards a non-Atom-owned data-prop-check marker in the live raw Data group or Inspector.</t>
        </is>
      </c>
      <c r="J99" s="13" t="inlineStr">
        <is>
          <t>Do not add a curated Native props row; the DOM data-prop-check marker is the evidence.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Styling hooks</t>
        </is>
      </c>
      <c r="C100" s="13" t="inlineStr">
        <is>
          <t>Viewport</t>
        </is>
      </c>
      <c r="D100" s="13" t="inlineStr">
        <is>
          <t>data-slot</t>
        </is>
      </c>
      <c r="E100" s="18" t="inlineStr">
        <is>
          <t>yes</t>
        </is>
      </c>
      <c r="F100" s="18" t="inlineStr">
        <is>
          <t>yes</t>
        </is>
      </c>
      <c r="G100" s="12" t="inlineStr">
        <is>
          <t>pass</t>
        </is>
      </c>
      <c r="H100" s="22" t="inlineStr">
        <is>
          <t>covered</t>
        </is>
      </c>
      <c r="I100" s="13" t="inlineStr">
        <is>
          <t>Select playground scenario; manually verified.</t>
        </is>
      </c>
      <c r="J100" s="13" t="inlineStr">
        <is>
          <t>Complete.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Public API</t>
        </is>
      </c>
      <c r="C101" s="13" t="inlineStr">
        <is>
          <t>Group</t>
        </is>
      </c>
      <c r="D101" s="13" t="inlineStr">
        <is>
          <t>renders group role</t>
        </is>
      </c>
      <c r="E101" s="18" t="inlineStr">
        <is>
          <t>yes</t>
        </is>
      </c>
      <c r="F101" s="18" t="inlineStr">
        <is>
          <t>yes</t>
        </is>
      </c>
      <c r="G101" s="12" t="inlineStr">
        <is>
          <t>pass</t>
        </is>
      </c>
      <c r="H101" s="22" t="inlineStr">
        <is>
          <t>covered</t>
        </is>
      </c>
      <c r="I101" s="13" t="inlineStr">
        <is>
          <t>Select playground scenario; manually verified.</t>
        </is>
      </c>
      <c r="J101" s="13" t="inlineStr">
        <is>
          <t>Complete.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Public API</t>
        </is>
      </c>
      <c r="C102" s="13" t="inlineStr">
        <is>
          <t>Group</t>
        </is>
      </c>
      <c r="D102" s="13" t="inlineStr">
        <is>
          <t>aria-labelledby matches Label</t>
        </is>
      </c>
      <c r="E102" s="18" t="inlineStr">
        <is>
          <t>yes</t>
        </is>
      </c>
      <c r="F102" s="18" t="inlineStr">
        <is>
          <t>yes</t>
        </is>
      </c>
      <c r="G102" s="12" t="inlineStr">
        <is>
          <t>pass</t>
        </is>
      </c>
      <c r="H102" s="22" t="inlineStr">
        <is>
          <t>covered</t>
        </is>
      </c>
      <c r="I102" s="13" t="inlineStr">
        <is>
          <t>Select playground scenario; manually verified.</t>
        </is>
      </c>
      <c r="J102" s="13" t="inlineStr">
        <is>
          <t>Complete.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Refs</t>
        </is>
      </c>
      <c r="C103" s="13" t="inlineStr">
        <is>
          <t>Group</t>
        </is>
      </c>
      <c r="D103" s="13" t="inlineStr">
        <is>
          <t>ref receives div</t>
        </is>
      </c>
      <c r="E103" s="18" t="inlineStr">
        <is>
          <t>yes</t>
        </is>
      </c>
      <c r="F103" s="18" t="inlineStr">
        <is>
          <t>yes</t>
        </is>
      </c>
      <c r="G103" s="12" t="inlineStr">
        <is>
          <t>pass</t>
        </is>
      </c>
      <c r="H103" s="22" t="inlineStr">
        <is>
          <t>covered</t>
        </is>
      </c>
      <c r="I103" s="13" t="inlineStr">
        <is>
          <t>Select playground scenario; manually verified.</t>
        </is>
      </c>
      <c r="J103" s="13" t="inlineStr">
        <is>
          <t>Complete.</t>
        </is>
      </c>
      <c r="K103" s="14">
        <f>IF(AND(E103="yes",F103="yes",H103="covered"),1,IF(H103="partial",0.5,0))</f>
        <v/>
      </c>
    </row>
    <row r="104" ht="45" customHeight="1" s="24">
      <c r="A104" s="12" t="n">
        <v>96</v>
      </c>
      <c r="B104" s="13" t="inlineStr">
        <is>
          <t>Props</t>
        </is>
      </c>
      <c r="C104" s="13" t="inlineStr">
        <is>
          <t>Group</t>
        </is>
      </c>
      <c r="D104" s="13" t="inlineStr">
        <is>
          <t>native div props passthrough</t>
        </is>
      </c>
      <c r="E104" s="18" t="inlineStr">
        <is>
          <t>yes</t>
        </is>
      </c>
      <c r="F104" s="18" t="inlineStr">
        <is>
          <t>yes</t>
        </is>
      </c>
      <c r="G104" s="12" t="inlineStr">
        <is>
          <t>pass</t>
        </is>
      </c>
      <c r="H104" s="22" t="inlineStr">
        <is>
          <t>covered</t>
        </is>
      </c>
      <c r="I104" s="13" t="inlineStr">
        <is>
          <t>Verify the part forwards a non-Atom-owned data-prop-check marker in the live raw Data group or Inspector.</t>
        </is>
      </c>
      <c r="J104" s="13" t="inlineStr">
        <is>
          <t>Do not add a curated Native props row; the DOM data-prop-check marker is the evidence.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Styling hooks</t>
        </is>
      </c>
      <c r="C105" s="13" t="inlineStr">
        <is>
          <t>Group</t>
        </is>
      </c>
      <c r="D105" s="13" t="inlineStr">
        <is>
          <t>data-slot</t>
        </is>
      </c>
      <c r="E105" s="18" t="inlineStr">
        <is>
          <t>yes</t>
        </is>
      </c>
      <c r="F105" s="18" t="inlineStr">
        <is>
          <t>yes</t>
        </is>
      </c>
      <c r="G105" s="12" t="inlineStr">
        <is>
          <t>pass</t>
        </is>
      </c>
      <c r="H105" s="22" t="inlineStr">
        <is>
          <t>covered</t>
        </is>
      </c>
      <c r="I105" s="13" t="inlineStr">
        <is>
          <t>Select playground scenario; manually verified.</t>
        </is>
      </c>
      <c r="J105" s="13" t="inlineStr">
        <is>
          <t>Complete.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Public API</t>
        </is>
      </c>
      <c r="C106" s="13" t="inlineStr">
        <is>
          <t>Label</t>
        </is>
      </c>
      <c r="D106" s="13" t="inlineStr">
        <is>
          <t>renders group label</t>
        </is>
      </c>
      <c r="E106" s="18" t="inlineStr">
        <is>
          <t>yes</t>
        </is>
      </c>
      <c r="F106" s="18" t="inlineStr">
        <is>
          <t>yes</t>
        </is>
      </c>
      <c r="G106" s="12" t="inlineStr">
        <is>
          <t>pass</t>
        </is>
      </c>
      <c r="H106" s="22" t="inlineStr">
        <is>
          <t>covered</t>
        </is>
      </c>
      <c r="I106" s="13" t="inlineStr">
        <is>
          <t>Select playground scenario; manually verified.</t>
        </is>
      </c>
      <c r="J106" s="13" t="inlineStr">
        <is>
          <t>Complete.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Public API</t>
        </is>
      </c>
      <c r="C107" s="13" t="inlineStr">
        <is>
          <t>Label</t>
        </is>
      </c>
      <c r="D107" s="13" t="inlineStr">
        <is>
          <t>id registration</t>
        </is>
      </c>
      <c r="E107" s="18" t="inlineStr">
        <is>
          <t>yes</t>
        </is>
      </c>
      <c r="F107" s="18" t="inlineStr">
        <is>
          <t>yes</t>
        </is>
      </c>
      <c r="G107" s="12" t="inlineStr">
        <is>
          <t>pass</t>
        </is>
      </c>
      <c r="H107" s="22" t="inlineStr">
        <is>
          <t>covered</t>
        </is>
      </c>
      <c r="I107" s="13" t="inlineStr">
        <is>
          <t>Select playground scenario; manually verified.</t>
        </is>
      </c>
      <c r="J107" s="13" t="inlineStr">
        <is>
          <t>Complete.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Refs</t>
        </is>
      </c>
      <c r="C108" s="13" t="inlineStr">
        <is>
          <t>Label</t>
        </is>
      </c>
      <c r="D108" s="13" t="inlineStr">
        <is>
          <t>ref receives div</t>
        </is>
      </c>
      <c r="E108" s="18" t="inlineStr">
        <is>
          <t>yes</t>
        </is>
      </c>
      <c r="F108" s="18" t="inlineStr">
        <is>
          <t>yes</t>
        </is>
      </c>
      <c r="G108" s="12" t="inlineStr">
        <is>
          <t>pass</t>
        </is>
      </c>
      <c r="H108" s="22" t="inlineStr">
        <is>
          <t>covered</t>
        </is>
      </c>
      <c r="I108" s="13" t="inlineStr">
        <is>
          <t>Select playground scenario; manually verified.</t>
        </is>
      </c>
      <c r="J108" s="13" t="inlineStr">
        <is>
          <t>Complete.</t>
        </is>
      </c>
      <c r="K108" s="14">
        <f>IF(AND(E108="yes",F108="yes",H108="covered"),1,IF(H108="partial",0.5,0))</f>
        <v/>
      </c>
    </row>
    <row r="109" ht="45" customHeight="1" s="24">
      <c r="A109" s="12" t="n">
        <v>101</v>
      </c>
      <c r="B109" s="13" t="inlineStr">
        <is>
          <t>Props</t>
        </is>
      </c>
      <c r="C109" s="13" t="inlineStr">
        <is>
          <t>Label</t>
        </is>
      </c>
      <c r="D109" s="13" t="inlineStr">
        <is>
          <t>native div props passthrough</t>
        </is>
      </c>
      <c r="E109" s="18" t="inlineStr">
        <is>
          <t>yes</t>
        </is>
      </c>
      <c r="F109" s="18" t="inlineStr">
        <is>
          <t>yes</t>
        </is>
      </c>
      <c r="G109" s="12" t="inlineStr">
        <is>
          <t>pass</t>
        </is>
      </c>
      <c r="H109" s="22" t="inlineStr">
        <is>
          <t>covered</t>
        </is>
      </c>
      <c r="I109" s="13" t="inlineStr">
        <is>
          <t>Verify the part forwards a non-Atom-owned data-prop-check marker in the live raw Data group or Inspector.</t>
        </is>
      </c>
      <c r="J109" s="13" t="inlineStr">
        <is>
          <t>Do not add a curated Native props row; the DOM data-prop-check marker is the evidence.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Styling hooks</t>
        </is>
      </c>
      <c r="C110" s="13" t="inlineStr">
        <is>
          <t>Label</t>
        </is>
      </c>
      <c r="D110" s="13" t="inlineStr">
        <is>
          <t>data-slot</t>
        </is>
      </c>
      <c r="E110" s="18" t="inlineStr">
        <is>
          <t>yes</t>
        </is>
      </c>
      <c r="F110" s="18" t="inlineStr">
        <is>
          <t>yes</t>
        </is>
      </c>
      <c r="G110" s="12" t="inlineStr">
        <is>
          <t>pass</t>
        </is>
      </c>
      <c r="H110" s="22" t="inlineStr">
        <is>
          <t>covered</t>
        </is>
      </c>
      <c r="I110" s="13" t="inlineStr">
        <is>
          <t>Select playground scenario; manually verified.</t>
        </is>
      </c>
      <c r="J110" s="13" t="inlineStr">
        <is>
          <t>Complete.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Public API</t>
        </is>
      </c>
      <c r="C111" s="13" t="inlineStr">
        <is>
          <t>Item</t>
        </is>
      </c>
      <c r="D111" s="13" t="inlineStr">
        <is>
          <t>renders option role</t>
        </is>
      </c>
      <c r="E111" s="18" t="inlineStr">
        <is>
          <t>yes</t>
        </is>
      </c>
      <c r="F111" s="18" t="inlineStr">
        <is>
          <t>yes</t>
        </is>
      </c>
      <c r="G111" s="12" t="inlineStr">
        <is>
          <t>pass</t>
        </is>
      </c>
      <c r="H111" s="22" t="inlineStr">
        <is>
          <t>covered</t>
        </is>
      </c>
      <c r="I111" s="13" t="inlineStr">
        <is>
          <t>Select playground scenario; manually verified.</t>
        </is>
      </c>
      <c r="J111" s="13" t="inlineStr">
        <is>
          <t>Complete.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Public API</t>
        </is>
      </c>
      <c r="C112" s="13" t="inlineStr">
        <is>
          <t>Item</t>
        </is>
      </c>
      <c r="D112" s="13" t="inlineStr">
        <is>
          <t>value is required identity</t>
        </is>
      </c>
      <c r="E112" s="18" t="inlineStr">
        <is>
          <t>yes</t>
        </is>
      </c>
      <c r="F112" s="18" t="inlineStr">
        <is>
          <t>yes</t>
        </is>
      </c>
      <c r="G112" s="12" t="inlineStr">
        <is>
          <t>pass</t>
        </is>
      </c>
      <c r="H112" s="22" t="inlineStr">
        <is>
          <t>covered</t>
        </is>
      </c>
      <c r="I112" s="13" t="inlineStr">
        <is>
          <t>Select playground scenario; manually verified.</t>
        </is>
      </c>
      <c r="J112" s="13" t="inlineStr">
        <is>
          <t>Complete.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Public API</t>
        </is>
      </c>
      <c r="C113" s="13" t="inlineStr">
        <is>
          <t>Item</t>
        </is>
      </c>
      <c r="D113" s="13" t="inlineStr">
        <is>
          <t>label prop controls typeahead/value display</t>
        </is>
      </c>
      <c r="E113" s="18" t="inlineStr">
        <is>
          <t>yes</t>
        </is>
      </c>
      <c r="F113" s="18" t="inlineStr">
        <is>
          <t>yes</t>
        </is>
      </c>
      <c r="G113" s="12" t="inlineStr">
        <is>
          <t>pass</t>
        </is>
      </c>
      <c r="H113" s="22" t="inlineStr">
        <is>
          <t>covered</t>
        </is>
      </c>
      <c r="I113" s="13" t="inlineStr">
        <is>
          <t>Select playground scenario; manually verified.</t>
        </is>
      </c>
      <c r="J113" s="13" t="inlineStr">
        <is>
          <t>Complete.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Public API</t>
        </is>
      </c>
      <c r="C114" s="13" t="inlineStr">
        <is>
          <t>Item</t>
        </is>
      </c>
      <c r="D114" s="13" t="inlineStr">
        <is>
          <t>selected item aria-selected</t>
        </is>
      </c>
      <c r="E114" s="18" t="inlineStr">
        <is>
          <t>yes</t>
        </is>
      </c>
      <c r="F114" s="18" t="inlineStr">
        <is>
          <t>yes</t>
        </is>
      </c>
      <c r="G114" s="12" t="inlineStr">
        <is>
          <t>pass</t>
        </is>
      </c>
      <c r="H114" s="22" t="inlineStr">
        <is>
          <t>covered</t>
        </is>
      </c>
      <c r="I114" s="13" t="inlineStr">
        <is>
          <t>Select playground scenario; manually verified.</t>
        </is>
      </c>
      <c r="J114" s="13" t="inlineStr">
        <is>
          <t>Complete.</t>
        </is>
      </c>
      <c r="K114" s="14">
        <f>IF(AND(E114="yes",F114="yes",H114="covered"),1,IF(H114="partial",0.5,0))</f>
        <v/>
      </c>
    </row>
    <row r="115" ht="15" customHeight="1" s="24">
      <c r="A115" s="12" t="n">
        <v>107</v>
      </c>
      <c r="B115" s="13" t="inlineStr">
        <is>
          <t>Public API</t>
        </is>
      </c>
      <c r="C115" s="13" t="inlineStr">
        <is>
          <t>Item</t>
        </is>
      </c>
      <c r="D115" s="13" t="inlineStr">
        <is>
          <t>data-state checked/unchecked</t>
        </is>
      </c>
      <c r="E115" s="18" t="inlineStr">
        <is>
          <t>yes</t>
        </is>
      </c>
      <c r="F115" s="18" t="inlineStr">
        <is>
          <t>yes</t>
        </is>
      </c>
      <c r="G115" s="12" t="inlineStr">
        <is>
          <t>pass</t>
        </is>
      </c>
      <c r="H115" s="22" t="inlineStr">
        <is>
          <t>covered</t>
        </is>
      </c>
      <c r="I115" s="13" t="inlineStr">
        <is>
          <t>Select playground scenario; manually verified.</t>
        </is>
      </c>
      <c r="J115" s="13" t="inlineStr">
        <is>
          <t>Complete.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Public API</t>
        </is>
      </c>
      <c r="C116" s="13" t="inlineStr">
        <is>
          <t>Item</t>
        </is>
      </c>
      <c r="D116" s="13" t="inlineStr">
        <is>
          <t>disabled item aria-disabled/data-disabled</t>
        </is>
      </c>
      <c r="E116" s="18" t="inlineStr">
        <is>
          <t>yes</t>
        </is>
      </c>
      <c r="F116" s="18" t="inlineStr">
        <is>
          <t>yes</t>
        </is>
      </c>
      <c r="G116" s="12" t="inlineStr">
        <is>
          <t>pass</t>
        </is>
      </c>
      <c r="H116" s="22" t="inlineStr">
        <is>
          <t>covered</t>
        </is>
      </c>
      <c r="I116" s="13" t="inlineStr">
        <is>
          <t>Select playground scenario; manually verified.</t>
        </is>
      </c>
      <c r="J116" s="13" t="inlineStr">
        <is>
          <t>Complete.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Accessibility</t>
        </is>
      </c>
      <c r="C117" s="13" t="inlineStr">
        <is>
          <t>Item</t>
        </is>
      </c>
      <c r="D117" s="13" t="inlineStr">
        <is>
          <t>aria-labelledby appears after ItemText</t>
        </is>
      </c>
      <c r="E117" s="18" t="inlineStr">
        <is>
          <t>yes</t>
        </is>
      </c>
      <c r="F117" s="18" t="inlineStr">
        <is>
          <t>yes</t>
        </is>
      </c>
      <c r="G117" s="12" t="inlineStr">
        <is>
          <t>pass</t>
        </is>
      </c>
      <c r="H117" s="22" t="inlineStr">
        <is>
          <t>covered</t>
        </is>
      </c>
      <c r="I117" s="13" t="inlineStr">
        <is>
          <t>Select playground scenario; manually verified.</t>
        </is>
      </c>
      <c r="J117" s="13" t="inlineStr">
        <is>
          <t>Complete.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Accessibility</t>
        </is>
      </c>
      <c r="C118" s="13" t="inlineStr">
        <is>
          <t>Item</t>
        </is>
      </c>
      <c r="D118" s="13" t="inlineStr">
        <is>
          <t>omits aria-labelledby without ItemText</t>
        </is>
      </c>
      <c r="E118" s="18" t="inlineStr">
        <is>
          <t>yes</t>
        </is>
      </c>
      <c r="F118" s="18" t="inlineStr">
        <is>
          <t>yes</t>
        </is>
      </c>
      <c r="G118" s="12" t="inlineStr">
        <is>
          <t>pass</t>
        </is>
      </c>
      <c r="H118" s="22" t="inlineStr">
        <is>
          <t>covered</t>
        </is>
      </c>
      <c r="I118" s="13" t="inlineStr">
        <is>
          <t>Select playground scenario; manually verified.</t>
        </is>
      </c>
      <c r="J118" s="13" t="inlineStr">
        <is>
          <t>Complete.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Interaction</t>
        </is>
      </c>
      <c r="C119" s="13" t="inlineStr">
        <is>
          <t>Item</t>
        </is>
      </c>
      <c r="D119" s="13" t="inlineStr">
        <is>
          <t>click selects item</t>
        </is>
      </c>
      <c r="E119" s="18" t="inlineStr">
        <is>
          <t>yes</t>
        </is>
      </c>
      <c r="F119" s="18" t="inlineStr">
        <is>
          <t>yes</t>
        </is>
      </c>
      <c r="G119" s="12" t="inlineStr">
        <is>
          <t>pass</t>
        </is>
      </c>
      <c r="H119" s="22" t="inlineStr">
        <is>
          <t>covered</t>
        </is>
      </c>
      <c r="I119" s="13" t="inlineStr">
        <is>
          <t>Select playground scenario; manually verified.</t>
        </is>
      </c>
      <c r="J119" s="13" t="inlineStr">
        <is>
          <t>Complete.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Interaction</t>
        </is>
      </c>
      <c r="C120" s="13" t="inlineStr">
        <is>
          <t>Item</t>
        </is>
      </c>
      <c r="D120" s="13" t="inlineStr">
        <is>
          <t>click closes listbox</t>
        </is>
      </c>
      <c r="E120" s="18" t="inlineStr">
        <is>
          <t>yes</t>
        </is>
      </c>
      <c r="F120" s="18" t="inlineStr">
        <is>
          <t>yes</t>
        </is>
      </c>
      <c r="G120" s="12" t="inlineStr">
        <is>
          <t>pass</t>
        </is>
      </c>
      <c r="H120" s="22" t="inlineStr">
        <is>
          <t>covered</t>
        </is>
      </c>
      <c r="I120" s="13" t="inlineStr">
        <is>
          <t>Select playground scenario; manually verified.</t>
        </is>
      </c>
      <c r="J120" s="13" t="inlineStr">
        <is>
          <t>Complete.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Interaction</t>
        </is>
      </c>
      <c r="C121" s="13" t="inlineStr">
        <is>
          <t>Item</t>
        </is>
      </c>
      <c r="D121" s="13" t="inlineStr">
        <is>
          <t>click restores focus to trigger</t>
        </is>
      </c>
      <c r="E121" s="18" t="inlineStr">
        <is>
          <t>yes</t>
        </is>
      </c>
      <c r="F121" s="18" t="inlineStr">
        <is>
          <t>yes</t>
        </is>
      </c>
      <c r="G121" s="12" t="inlineStr">
        <is>
          <t>pass</t>
        </is>
      </c>
      <c r="H121" s="22" t="inlineStr">
        <is>
          <t>covered</t>
        </is>
      </c>
      <c r="I121" s="13" t="inlineStr">
        <is>
          <t>Select playground scenario; manually verified.</t>
        </is>
      </c>
      <c r="J121" s="13" t="inlineStr">
        <is>
          <t>Complete.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Interaction</t>
        </is>
      </c>
      <c r="C122" s="13" t="inlineStr">
        <is>
          <t>Item</t>
        </is>
      </c>
      <c r="D122" s="13" t="inlineStr">
        <is>
          <t>disabled item click is ignored</t>
        </is>
      </c>
      <c r="E122" s="18" t="inlineStr">
        <is>
          <t>yes</t>
        </is>
      </c>
      <c r="F122" s="18" t="inlineStr">
        <is>
          <t>yes</t>
        </is>
      </c>
      <c r="G122" s="12" t="inlineStr">
        <is>
          <t>pass</t>
        </is>
      </c>
      <c r="H122" s="22" t="inlineStr">
        <is>
          <t>covered</t>
        </is>
      </c>
      <c r="I122" s="13" t="inlineStr">
        <is>
          <t>Select playground scenario; manually verified.</t>
        </is>
      </c>
      <c r="J122" s="13" t="inlineStr">
        <is>
          <t>Complete.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Interaction</t>
        </is>
      </c>
      <c r="C123" s="13" t="inlineStr">
        <is>
          <t>Item</t>
        </is>
      </c>
      <c r="D123" s="13" t="inlineStr">
        <is>
          <t>pointer move highlights enabled item</t>
        </is>
      </c>
      <c r="E123" s="18" t="inlineStr">
        <is>
          <t>yes</t>
        </is>
      </c>
      <c r="F123" s="18" t="inlineStr">
        <is>
          <t>yes</t>
        </is>
      </c>
      <c r="G123" s="12" t="inlineStr">
        <is>
          <t>pass</t>
        </is>
      </c>
      <c r="H123" s="22" t="inlineStr">
        <is>
          <t>covered</t>
        </is>
      </c>
      <c r="I123" s="13" t="inlineStr">
        <is>
          <t>Select playground scenario; manually verified.</t>
        </is>
      </c>
      <c r="J123" s="13" t="inlineStr">
        <is>
          <t>Complete.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Interaction</t>
        </is>
      </c>
      <c r="C124" s="13" t="inlineStr">
        <is>
          <t>Item</t>
        </is>
      </c>
      <c r="D124" s="13" t="inlineStr">
        <is>
          <t>pointer leave clears highlight</t>
        </is>
      </c>
      <c r="E124" s="18" t="inlineStr">
        <is>
          <t>yes</t>
        </is>
      </c>
      <c r="F124" s="18" t="inlineStr">
        <is>
          <t>yes</t>
        </is>
      </c>
      <c r="G124" s="12" t="inlineStr">
        <is>
          <t>pass</t>
        </is>
      </c>
      <c r="H124" s="22" t="inlineStr">
        <is>
          <t>covered</t>
        </is>
      </c>
      <c r="I124" s="13" t="inlineStr">
        <is>
          <t>Select playground scenario; manually verified.</t>
        </is>
      </c>
      <c r="J124" s="13" t="inlineStr">
        <is>
          <t>Complete.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Composition</t>
        </is>
      </c>
      <c r="C125" s="13" t="inlineStr">
        <is>
          <t>Item</t>
        </is>
      </c>
      <c r="D125" s="13" t="inlineStr">
        <is>
          <t>merged onClick</t>
        </is>
      </c>
      <c r="E125" s="18" t="inlineStr">
        <is>
          <t>yes</t>
        </is>
      </c>
      <c r="F125" s="18" t="inlineStr">
        <is>
          <t>yes</t>
        </is>
      </c>
      <c r="G125" s="12" t="inlineStr">
        <is>
          <t>pass</t>
        </is>
      </c>
      <c r="H125" s="22" t="inlineStr">
        <is>
          <t>covered</t>
        </is>
      </c>
      <c r="I125" s="13" t="inlineStr">
        <is>
          <t>Select playground scenario; manually verified.</t>
        </is>
      </c>
      <c r="J125" s="13" t="inlineStr">
        <is>
          <t>Complete.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Composition</t>
        </is>
      </c>
      <c r="C126" s="13" t="inlineStr">
        <is>
          <t>Item</t>
        </is>
      </c>
      <c r="D126" s="13" t="inlineStr">
        <is>
          <t>merged onPointerMove</t>
        </is>
      </c>
      <c r="E126" s="18" t="inlineStr">
        <is>
          <t>yes</t>
        </is>
      </c>
      <c r="F126" s="18" t="inlineStr">
        <is>
          <t>yes</t>
        </is>
      </c>
      <c r="G126" s="12" t="inlineStr">
        <is>
          <t>pass</t>
        </is>
      </c>
      <c r="H126" s="22" t="inlineStr">
        <is>
          <t>covered</t>
        </is>
      </c>
      <c r="I126" s="13" t="inlineStr">
        <is>
          <t>Select playground scenario; manually verified.</t>
        </is>
      </c>
      <c r="J126" s="13" t="inlineStr">
        <is>
          <t>Complete.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Composition</t>
        </is>
      </c>
      <c r="C127" s="13" t="inlineStr">
        <is>
          <t>Item</t>
        </is>
      </c>
      <c r="D127" s="13" t="inlineStr">
        <is>
          <t>merged onPointerLeave</t>
        </is>
      </c>
      <c r="E127" s="18" t="inlineStr">
        <is>
          <t>yes</t>
        </is>
      </c>
      <c r="F127" s="18" t="inlineStr">
        <is>
          <t>yes</t>
        </is>
      </c>
      <c r="G127" s="12" t="inlineStr">
        <is>
          <t>pass</t>
        </is>
      </c>
      <c r="H127" s="22" t="inlineStr">
        <is>
          <t>covered</t>
        </is>
      </c>
      <c r="I127" s="13" t="inlineStr">
        <is>
          <t>Select playground scenario; manually verified.</t>
        </is>
      </c>
      <c r="J127" s="13" t="inlineStr">
        <is>
          <t>Complete.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Refs</t>
        </is>
      </c>
      <c r="C128" s="13" t="inlineStr">
        <is>
          <t>Item</t>
        </is>
      </c>
      <c r="D128" s="13" t="inlineStr">
        <is>
          <t>ref receives div</t>
        </is>
      </c>
      <c r="E128" s="18" t="inlineStr">
        <is>
          <t>yes</t>
        </is>
      </c>
      <c r="F128" s="18" t="inlineStr">
        <is>
          <t>yes</t>
        </is>
      </c>
      <c r="G128" s="12" t="inlineStr">
        <is>
          <t>pass</t>
        </is>
      </c>
      <c r="H128" s="22" t="inlineStr">
        <is>
          <t>covered</t>
        </is>
      </c>
      <c r="I128" s="13" t="inlineStr">
        <is>
          <t>Select playground scenario; manually verified.</t>
        </is>
      </c>
      <c r="J128" s="13" t="inlineStr">
        <is>
          <t>Complete.</t>
        </is>
      </c>
      <c r="K128" s="14">
        <f>IF(AND(E128="yes",F128="yes",H128="covered"),1,IF(H128="partial",0.5,0))</f>
        <v/>
      </c>
    </row>
    <row r="129" ht="45" customHeight="1" s="24">
      <c r="A129" s="12" t="n">
        <v>121</v>
      </c>
      <c r="B129" s="13" t="inlineStr">
        <is>
          <t>Props</t>
        </is>
      </c>
      <c r="C129" s="13" t="inlineStr">
        <is>
          <t>Item</t>
        </is>
      </c>
      <c r="D129" s="13" t="inlineStr">
        <is>
          <t>native div props passthrough</t>
        </is>
      </c>
      <c r="E129" s="18" t="inlineStr">
        <is>
          <t>yes</t>
        </is>
      </c>
      <c r="F129" s="18" t="inlineStr">
        <is>
          <t>yes</t>
        </is>
      </c>
      <c r="G129" s="12" t="inlineStr">
        <is>
          <t>pass</t>
        </is>
      </c>
      <c r="H129" s="22" t="inlineStr">
        <is>
          <t>covered</t>
        </is>
      </c>
      <c r="I129" s="13" t="inlineStr">
        <is>
          <t>Verify the part forwards a non-Atom-owned data-prop-check marker in the live raw Data group or Inspector.</t>
        </is>
      </c>
      <c r="J129" s="13" t="inlineStr">
        <is>
          <t>Do not add a curated Native props row; the DOM data-prop-check marker is the evidence.</t>
        </is>
      </c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Styling hooks</t>
        </is>
      </c>
      <c r="C130" s="13" t="inlineStr">
        <is>
          <t>Item</t>
        </is>
      </c>
      <c r="D130" s="13" t="inlineStr">
        <is>
          <t>className passthrough</t>
        </is>
      </c>
      <c r="E130" s="18" t="inlineStr">
        <is>
          <t>yes</t>
        </is>
      </c>
      <c r="F130" s="18" t="inlineStr">
        <is>
          <t>yes</t>
        </is>
      </c>
      <c r="G130" s="12" t="inlineStr">
        <is>
          <t>pass</t>
        </is>
      </c>
      <c r="H130" s="22" t="inlineStr">
        <is>
          <t>covered</t>
        </is>
      </c>
      <c r="I130" s="13" t="inlineStr">
        <is>
          <t>Select playground scenario; manually verified.</t>
        </is>
      </c>
      <c r="J130" s="13" t="inlineStr">
        <is>
          <t>Complete.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Styling hooks</t>
        </is>
      </c>
      <c r="C131" s="13" t="inlineStr">
        <is>
          <t>Item</t>
        </is>
      </c>
      <c r="D131" s="13" t="inlineStr">
        <is>
          <t>data-highlighted</t>
        </is>
      </c>
      <c r="E131" s="18" t="inlineStr">
        <is>
          <t>yes</t>
        </is>
      </c>
      <c r="F131" s="18" t="inlineStr">
        <is>
          <t>yes</t>
        </is>
      </c>
      <c r="G131" s="12" t="inlineStr">
        <is>
          <t>pass</t>
        </is>
      </c>
      <c r="H131" s="22" t="inlineStr">
        <is>
          <t>covered</t>
        </is>
      </c>
      <c r="I131" s="13" t="inlineStr">
        <is>
          <t>Select playground scenario; manually verified.</t>
        </is>
      </c>
      <c r="J131" s="13" t="inlineStr">
        <is>
          <t>Complete.</t>
        </is>
      </c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Styling hooks</t>
        </is>
      </c>
      <c r="C132" s="13" t="inlineStr">
        <is>
          <t>Item</t>
        </is>
      </c>
      <c r="D132" s="13" t="inlineStr">
        <is>
          <t>data-value</t>
        </is>
      </c>
      <c r="E132" s="18" t="inlineStr">
        <is>
          <t>yes</t>
        </is>
      </c>
      <c r="F132" s="18" t="inlineStr">
        <is>
          <t>yes</t>
        </is>
      </c>
      <c r="G132" s="12" t="inlineStr">
        <is>
          <t>pass</t>
        </is>
      </c>
      <c r="H132" s="22" t="inlineStr">
        <is>
          <t>covered</t>
        </is>
      </c>
      <c r="I132" s="13" t="inlineStr">
        <is>
          <t>Select playground scenario; manually verified.</t>
        </is>
      </c>
      <c r="J132" s="13" t="inlineStr">
        <is>
          <t>Complete.</t>
        </is>
      </c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Styling hooks</t>
        </is>
      </c>
      <c r="C133" s="13" t="inlineStr">
        <is>
          <t>Item</t>
        </is>
      </c>
      <c r="D133" s="13" t="inlineStr">
        <is>
          <t>data-slot</t>
        </is>
      </c>
      <c r="E133" s="18" t="inlineStr">
        <is>
          <t>yes</t>
        </is>
      </c>
      <c r="F133" s="18" t="inlineStr">
        <is>
          <t>yes</t>
        </is>
      </c>
      <c r="G133" s="12" t="inlineStr">
        <is>
          <t>pass</t>
        </is>
      </c>
      <c r="H133" s="22" t="inlineStr">
        <is>
          <t>covered</t>
        </is>
      </c>
      <c r="I133" s="13" t="inlineStr">
        <is>
          <t>Select playground scenario; manually verified.</t>
        </is>
      </c>
      <c r="J133" s="13" t="inlineStr">
        <is>
          <t>Complete.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Public API</t>
        </is>
      </c>
      <c r="C134" s="13" t="inlineStr">
        <is>
          <t>ItemText</t>
        </is>
      </c>
      <c r="D134" s="13" t="inlineStr">
        <is>
          <t>registers item text</t>
        </is>
      </c>
      <c r="E134" s="18" t="inlineStr">
        <is>
          <t>yes</t>
        </is>
      </c>
      <c r="F134" s="18" t="inlineStr">
        <is>
          <t>yes</t>
        </is>
      </c>
      <c r="G134" s="12" t="inlineStr">
        <is>
          <t>pass</t>
        </is>
      </c>
      <c r="H134" s="22" t="inlineStr">
        <is>
          <t>covered</t>
        </is>
      </c>
      <c r="I134" s="13" t="inlineStr">
        <is>
          <t>Select playground scenario; manually verified.</t>
        </is>
      </c>
      <c r="J134" s="13" t="inlineStr">
        <is>
          <t>Complete.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Public API</t>
        </is>
      </c>
      <c r="C135" s="13" t="inlineStr">
        <is>
          <t>ItemText</t>
        </is>
      </c>
      <c r="D135" s="13" t="inlineStr">
        <is>
          <t>id used by item aria-labelledby</t>
        </is>
      </c>
      <c r="E135" s="18" t="inlineStr">
        <is>
          <t>yes</t>
        </is>
      </c>
      <c r="F135" s="18" t="inlineStr">
        <is>
          <t>yes</t>
        </is>
      </c>
      <c r="G135" s="12" t="inlineStr">
        <is>
          <t>pass</t>
        </is>
      </c>
      <c r="H135" s="22" t="inlineStr">
        <is>
          <t>covered</t>
        </is>
      </c>
      <c r="I135" s="13" t="inlineStr">
        <is>
          <t>Select playground scenario; manually verified.</t>
        </is>
      </c>
      <c r="J135" s="13" t="inlineStr">
        <is>
          <t>Complete.</t>
        </is>
      </c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Refs</t>
        </is>
      </c>
      <c r="C136" s="13" t="inlineStr">
        <is>
          <t>ItemText</t>
        </is>
      </c>
      <c r="D136" s="13" t="inlineStr">
        <is>
          <t>ref receives span</t>
        </is>
      </c>
      <c r="E136" s="18" t="inlineStr">
        <is>
          <t>yes</t>
        </is>
      </c>
      <c r="F136" s="18" t="inlineStr">
        <is>
          <t>yes</t>
        </is>
      </c>
      <c r="G136" s="12" t="inlineStr">
        <is>
          <t>pass</t>
        </is>
      </c>
      <c r="H136" s="22" t="inlineStr">
        <is>
          <t>covered</t>
        </is>
      </c>
      <c r="I136" s="13" t="inlineStr">
        <is>
          <t>Select playground scenario; manually verified.</t>
        </is>
      </c>
      <c r="J136" s="13" t="inlineStr">
        <is>
          <t>Complete.</t>
        </is>
      </c>
      <c r="K136" s="14">
        <f>IF(AND(E136="yes",F136="yes",H136="covered"),1,IF(H136="partial",0.5,0))</f>
        <v/>
      </c>
    </row>
    <row r="137" ht="45" customHeight="1" s="24">
      <c r="A137" s="12" t="n">
        <v>129</v>
      </c>
      <c r="B137" s="13" t="inlineStr">
        <is>
          <t>Props</t>
        </is>
      </c>
      <c r="C137" s="13" t="inlineStr">
        <is>
          <t>ItemText</t>
        </is>
      </c>
      <c r="D137" s="13" t="inlineStr">
        <is>
          <t>native span props passthrough</t>
        </is>
      </c>
      <c r="E137" s="18" t="inlineStr">
        <is>
          <t>yes</t>
        </is>
      </c>
      <c r="F137" s="18" t="inlineStr">
        <is>
          <t>yes</t>
        </is>
      </c>
      <c r="G137" s="12" t="inlineStr">
        <is>
          <t>pass</t>
        </is>
      </c>
      <c r="H137" s="22" t="inlineStr">
        <is>
          <t>covered</t>
        </is>
      </c>
      <c r="I137" s="13" t="inlineStr">
        <is>
          <t>Verify the part forwards a non-Atom-owned data-prop-check marker in the live raw Data group or Inspector.</t>
        </is>
      </c>
      <c r="J137" s="13" t="inlineStr">
        <is>
          <t>Do not add a curated Native props row; the DOM data-prop-check marker is the evidence.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Styling hooks</t>
        </is>
      </c>
      <c r="C138" s="13" t="inlineStr">
        <is>
          <t>ItemText</t>
        </is>
      </c>
      <c r="D138" s="13" t="inlineStr">
        <is>
          <t>data-slot</t>
        </is>
      </c>
      <c r="E138" s="18" t="inlineStr">
        <is>
          <t>yes</t>
        </is>
      </c>
      <c r="F138" s="18" t="inlineStr">
        <is>
          <t>yes</t>
        </is>
      </c>
      <c r="G138" s="12" t="inlineStr">
        <is>
          <t>pass</t>
        </is>
      </c>
      <c r="H138" s="22" t="inlineStr">
        <is>
          <t>covered</t>
        </is>
      </c>
      <c r="I138" s="13" t="inlineStr">
        <is>
          <t>Select playground scenario; manually verified.</t>
        </is>
      </c>
      <c r="J138" s="13" t="inlineStr">
        <is>
          <t>Complete.</t>
        </is>
      </c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Public API</t>
        </is>
      </c>
      <c r="C139" s="13" t="inlineStr">
        <is>
          <t>ItemIndicator</t>
        </is>
      </c>
      <c r="D139" s="13" t="inlineStr">
        <is>
          <t>renders only when selected by default</t>
        </is>
      </c>
      <c r="E139" s="18" t="inlineStr">
        <is>
          <t>yes</t>
        </is>
      </c>
      <c r="F139" s="18" t="inlineStr">
        <is>
          <t>yes</t>
        </is>
      </c>
      <c r="G139" s="12" t="inlineStr">
        <is>
          <t>pass</t>
        </is>
      </c>
      <c r="H139" s="22" t="inlineStr">
        <is>
          <t>covered</t>
        </is>
      </c>
      <c r="I139" s="13" t="inlineStr">
        <is>
          <t>Select playground scenario; manually verified.</t>
        </is>
      </c>
      <c r="J139" s="13" t="inlineStr">
        <is>
          <t>Complete.</t>
        </is>
      </c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Public API</t>
        </is>
      </c>
      <c r="C140" s="13" t="inlineStr">
        <is>
          <t>ItemIndicator</t>
        </is>
      </c>
      <c r="D140" s="13" t="inlineStr">
        <is>
          <t>forceMount renders unchecked indicator</t>
        </is>
      </c>
      <c r="E140" s="18" t="inlineStr">
        <is>
          <t>yes</t>
        </is>
      </c>
      <c r="F140" s="18" t="inlineStr">
        <is>
          <t>yes</t>
        </is>
      </c>
      <c r="G140" s="12" t="inlineStr">
        <is>
          <t>pass</t>
        </is>
      </c>
      <c r="H140" s="22" t="inlineStr">
        <is>
          <t>covered</t>
        </is>
      </c>
      <c r="I140" s="13" t="inlineStr">
        <is>
          <t>Select playground scenario; manually verified.</t>
        </is>
      </c>
      <c r="J140" s="13" t="inlineStr">
        <is>
          <t>Complete.</t>
        </is>
      </c>
      <c r="K140" s="14">
        <f>IF(AND(E140="yes",F140="yes",H140="covered"),1,IF(H140="partial",0.5,0))</f>
        <v/>
      </c>
    </row>
    <row r="141" ht="15" customHeight="1" s="24">
      <c r="A141" s="12" t="n">
        <v>133</v>
      </c>
      <c r="B141" s="13" t="inlineStr">
        <is>
          <t>Public API</t>
        </is>
      </c>
      <c r="C141" s="13" t="inlineStr">
        <is>
          <t>ItemIndicator</t>
        </is>
      </c>
      <c r="D141" s="13" t="inlineStr">
        <is>
          <t>data-state checked/unchecked</t>
        </is>
      </c>
      <c r="E141" s="18" t="inlineStr">
        <is>
          <t>yes</t>
        </is>
      </c>
      <c r="F141" s="18" t="inlineStr">
        <is>
          <t>yes</t>
        </is>
      </c>
      <c r="G141" s="12" t="inlineStr">
        <is>
          <t>pass</t>
        </is>
      </c>
      <c r="H141" s="22" t="inlineStr">
        <is>
          <t>covered</t>
        </is>
      </c>
      <c r="I141" s="13" t="inlineStr">
        <is>
          <t>Select playground scenario; manually verified.</t>
        </is>
      </c>
      <c r="J141" s="13" t="inlineStr">
        <is>
          <t>Complete.</t>
        </is>
      </c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Accessibility</t>
        </is>
      </c>
      <c r="C142" s="13" t="inlineStr">
        <is>
          <t>ItemIndicator</t>
        </is>
      </c>
      <c r="D142" s="13" t="inlineStr">
        <is>
          <t>aria-hidden</t>
        </is>
      </c>
      <c r="E142" s="18" t="inlineStr">
        <is>
          <t>yes</t>
        </is>
      </c>
      <c r="F142" s="18" t="inlineStr">
        <is>
          <t>yes</t>
        </is>
      </c>
      <c r="G142" s="12" t="inlineStr">
        <is>
          <t>pass</t>
        </is>
      </c>
      <c r="H142" s="22" t="inlineStr">
        <is>
          <t>covered</t>
        </is>
      </c>
      <c r="I142" s="13" t="inlineStr">
        <is>
          <t>Select playground scenario; manually verified.</t>
        </is>
      </c>
      <c r="J142" s="13" t="inlineStr">
        <is>
          <t>Complete.</t>
        </is>
      </c>
      <c r="K142" s="14">
        <f>IF(AND(E142="yes",F142="yes",H142="covered"),1,IF(H142="partial",0.5,0))</f>
        <v/>
      </c>
    </row>
    <row r="143" ht="15" customHeight="1" s="24">
      <c r="A143" s="12" t="n">
        <v>135</v>
      </c>
      <c r="B143" s="13" t="inlineStr">
        <is>
          <t>Refs</t>
        </is>
      </c>
      <c r="C143" s="13" t="inlineStr">
        <is>
          <t>ItemIndicator</t>
        </is>
      </c>
      <c r="D143" s="13" t="inlineStr">
        <is>
          <t>ref receives span</t>
        </is>
      </c>
      <c r="E143" s="18" t="inlineStr">
        <is>
          <t>yes</t>
        </is>
      </c>
      <c r="F143" s="18" t="inlineStr">
        <is>
          <t>yes</t>
        </is>
      </c>
      <c r="G143" s="12" t="inlineStr">
        <is>
          <t>pass</t>
        </is>
      </c>
      <c r="H143" s="22" t="inlineStr">
        <is>
          <t>covered</t>
        </is>
      </c>
      <c r="I143" s="13" t="inlineStr">
        <is>
          <t>Select playground scenario; manually verified.</t>
        </is>
      </c>
      <c r="J143" s="13" t="inlineStr">
        <is>
          <t>Complete.</t>
        </is>
      </c>
      <c r="K143" s="14">
        <f>IF(AND(E143="yes",F143="yes",H143="covered"),1,IF(H143="partial",0.5,0))</f>
        <v/>
      </c>
    </row>
    <row r="144" ht="45" customHeight="1" s="24">
      <c r="A144" s="12" t="n">
        <v>136</v>
      </c>
      <c r="B144" s="13" t="inlineStr">
        <is>
          <t>Props</t>
        </is>
      </c>
      <c r="C144" s="13" t="inlineStr">
        <is>
          <t>ItemIndicator</t>
        </is>
      </c>
      <c r="D144" s="13" t="inlineStr">
        <is>
          <t>native span props passthrough</t>
        </is>
      </c>
      <c r="E144" s="18" t="inlineStr">
        <is>
          <t>yes</t>
        </is>
      </c>
      <c r="F144" s="18" t="inlineStr">
        <is>
          <t>yes</t>
        </is>
      </c>
      <c r="G144" s="12" t="inlineStr">
        <is>
          <t>pass</t>
        </is>
      </c>
      <c r="H144" s="22" t="inlineStr">
        <is>
          <t>covered</t>
        </is>
      </c>
      <c r="I144" s="13" t="inlineStr">
        <is>
          <t>Verify the part forwards a non-Atom-owned data-prop-check marker in the live raw Data group or Inspector.</t>
        </is>
      </c>
      <c r="J144" s="13" t="inlineStr">
        <is>
          <t>Do not add a curated Native props row; the DOM data-prop-check marker is the evidence.</t>
        </is>
      </c>
      <c r="K144" s="14">
        <f>IF(AND(E144="yes",F144="yes",H144="covered"),1,IF(H144="partial",0.5,0))</f>
        <v/>
      </c>
    </row>
    <row r="145" ht="15" customHeight="1" s="24">
      <c r="A145" s="12" t="n">
        <v>137</v>
      </c>
      <c r="B145" s="13" t="inlineStr">
        <is>
          <t>Styling hooks</t>
        </is>
      </c>
      <c r="C145" s="13" t="inlineStr">
        <is>
          <t>ItemIndicator</t>
        </is>
      </c>
      <c r="D145" s="13" t="inlineStr">
        <is>
          <t>data-slot</t>
        </is>
      </c>
      <c r="E145" s="18" t="inlineStr">
        <is>
          <t>yes</t>
        </is>
      </c>
      <c r="F145" s="18" t="inlineStr">
        <is>
          <t>yes</t>
        </is>
      </c>
      <c r="G145" s="12" t="inlineStr">
        <is>
          <t>pass</t>
        </is>
      </c>
      <c r="H145" s="22" t="inlineStr">
        <is>
          <t>covered</t>
        </is>
      </c>
      <c r="I145" s="13" t="inlineStr">
        <is>
          <t>Select playground scenario; manually verified.</t>
        </is>
      </c>
      <c r="J145" s="13" t="inlineStr">
        <is>
          <t>Complete.</t>
        </is>
      </c>
      <c r="K145" s="14">
        <f>IF(AND(E145="yes",F145="yes",H145="covered"),1,IF(H145="partial",0.5,0))</f>
        <v/>
      </c>
    </row>
    <row r="146" ht="15" customHeight="1" s="24">
      <c r="A146" s="12" t="n">
        <v>138</v>
      </c>
      <c r="B146" s="13" t="inlineStr">
        <is>
          <t>Public API</t>
        </is>
      </c>
      <c r="C146" s="13" t="inlineStr">
        <is>
          <t>Separator</t>
        </is>
      </c>
      <c r="D146" s="13" t="inlineStr">
        <is>
          <t>renders separator role</t>
        </is>
      </c>
      <c r="E146" s="18" t="inlineStr">
        <is>
          <t>yes</t>
        </is>
      </c>
      <c r="F146" s="18" t="inlineStr">
        <is>
          <t>yes</t>
        </is>
      </c>
      <c r="G146" s="12" t="inlineStr">
        <is>
          <t>pass</t>
        </is>
      </c>
      <c r="H146" s="22" t="inlineStr">
        <is>
          <t>covered</t>
        </is>
      </c>
      <c r="I146" s="13" t="inlineStr">
        <is>
          <t>Select playground scenario; manually verified.</t>
        </is>
      </c>
      <c r="J146" s="13" t="inlineStr">
        <is>
          <t>Complete.</t>
        </is>
      </c>
      <c r="K146" s="14">
        <f>IF(AND(E146="yes",F146="yes",H146="covered"),1,IF(H146="partial",0.5,0))</f>
        <v/>
      </c>
    </row>
    <row r="147" ht="15" customHeight="1" s="24">
      <c r="A147" s="12" t="n">
        <v>139</v>
      </c>
      <c r="B147" s="13" t="inlineStr">
        <is>
          <t>Public API</t>
        </is>
      </c>
      <c r="C147" s="13" t="inlineStr">
        <is>
          <t>Separator</t>
        </is>
      </c>
      <c r="D147" s="13" t="inlineStr">
        <is>
          <t>aria-orientation horizontal</t>
        </is>
      </c>
      <c r="E147" s="18" t="inlineStr">
        <is>
          <t>yes</t>
        </is>
      </c>
      <c r="F147" s="18" t="inlineStr">
        <is>
          <t>yes</t>
        </is>
      </c>
      <c r="G147" s="12" t="inlineStr">
        <is>
          <t>pass</t>
        </is>
      </c>
      <c r="H147" s="22" t="inlineStr">
        <is>
          <t>covered</t>
        </is>
      </c>
      <c r="I147" s="13" t="inlineStr">
        <is>
          <t>Select playground scenario; manually verified.</t>
        </is>
      </c>
      <c r="J147" s="13" t="inlineStr">
        <is>
          <t>Complete.</t>
        </is>
      </c>
      <c r="K147" s="14">
        <f>IF(AND(E147="yes",F147="yes",H147="covered"),1,IF(H147="partial",0.5,0))</f>
        <v/>
      </c>
    </row>
    <row r="148" ht="15" customHeight="1" s="24">
      <c r="A148" s="12" t="n">
        <v>140</v>
      </c>
      <c r="B148" s="13" t="inlineStr">
        <is>
          <t>Refs</t>
        </is>
      </c>
      <c r="C148" s="13" t="inlineStr">
        <is>
          <t>Separator</t>
        </is>
      </c>
      <c r="D148" s="13" t="inlineStr">
        <is>
          <t>ref receives div</t>
        </is>
      </c>
      <c r="E148" s="18" t="inlineStr">
        <is>
          <t>yes</t>
        </is>
      </c>
      <c r="F148" s="18" t="inlineStr">
        <is>
          <t>yes</t>
        </is>
      </c>
      <c r="G148" s="12" t="inlineStr">
        <is>
          <t>pass</t>
        </is>
      </c>
      <c r="H148" s="22" t="inlineStr">
        <is>
          <t>covered</t>
        </is>
      </c>
      <c r="I148" s="13" t="inlineStr">
        <is>
          <t>Select playground scenario; manually verified.</t>
        </is>
      </c>
      <c r="J148" s="13" t="inlineStr">
        <is>
          <t>Complete.</t>
        </is>
      </c>
      <c r="K148" s="14">
        <f>IF(AND(E148="yes",F148="yes",H148="covered"),1,IF(H148="partial",0.5,0))</f>
        <v/>
      </c>
    </row>
    <row r="149" ht="45" customHeight="1" s="24">
      <c r="A149" s="12" t="n">
        <v>141</v>
      </c>
      <c r="B149" s="13" t="inlineStr">
        <is>
          <t>Props</t>
        </is>
      </c>
      <c r="C149" s="13" t="inlineStr">
        <is>
          <t>Separator</t>
        </is>
      </c>
      <c r="D149" s="13" t="inlineStr">
        <is>
          <t>native div props passthrough</t>
        </is>
      </c>
      <c r="E149" s="18" t="inlineStr">
        <is>
          <t>yes</t>
        </is>
      </c>
      <c r="F149" s="18" t="inlineStr">
        <is>
          <t>yes</t>
        </is>
      </c>
      <c r="G149" s="12" t="inlineStr">
        <is>
          <t>pass</t>
        </is>
      </c>
      <c r="H149" s="22" t="inlineStr">
        <is>
          <t>covered</t>
        </is>
      </c>
      <c r="I149" s="13" t="inlineStr">
        <is>
          <t>Verify the part forwards a non-Atom-owned data-prop-check marker in the live raw Data group or Inspector.</t>
        </is>
      </c>
      <c r="J149" s="13" t="inlineStr">
        <is>
          <t>Do not add a curated Native props row; the DOM data-prop-check marker is the evidence.</t>
        </is>
      </c>
      <c r="K149" s="14">
        <f>IF(AND(E149="yes",F149="yes",H149="covered"),1,IF(H149="partial",0.5,0))</f>
        <v/>
      </c>
    </row>
    <row r="150" ht="15" customHeight="1" s="24">
      <c r="A150" s="12" t="n">
        <v>142</v>
      </c>
      <c r="B150" s="13" t="inlineStr">
        <is>
          <t>Styling hooks</t>
        </is>
      </c>
      <c r="C150" s="13" t="inlineStr">
        <is>
          <t>Separator</t>
        </is>
      </c>
      <c r="D150" s="13" t="inlineStr">
        <is>
          <t>data-slot</t>
        </is>
      </c>
      <c r="E150" s="18" t="inlineStr">
        <is>
          <t>yes</t>
        </is>
      </c>
      <c r="F150" s="18" t="inlineStr">
        <is>
          <t>yes</t>
        </is>
      </c>
      <c r="G150" s="12" t="inlineStr">
        <is>
          <t>pass</t>
        </is>
      </c>
      <c r="H150" s="22" t="inlineStr">
        <is>
          <t>covered</t>
        </is>
      </c>
      <c r="I150" s="13" t="inlineStr">
        <is>
          <t>Select playground scenario; manually verified.</t>
        </is>
      </c>
      <c r="J150" s="13" t="inlineStr">
        <is>
          <t>Complete.</t>
        </is>
      </c>
      <c r="K150" s="14">
        <f>IF(AND(E150="yes",F150="yes",H150="covered"),1,IF(H150="partial",0.5,0))</f>
        <v/>
      </c>
    </row>
    <row r="151" ht="15" customHeight="1" s="24">
      <c r="A151" s="12" t="n">
        <v>143</v>
      </c>
      <c r="B151" s="13" t="inlineStr">
        <is>
          <t>Public API</t>
        </is>
      </c>
      <c r="C151" s="13" t="inlineStr">
        <is>
          <t>ScrollUpButton</t>
        </is>
      </c>
      <c r="D151" s="13" t="inlineStr">
        <is>
          <t>renders only when can scroll up</t>
        </is>
      </c>
      <c r="E151" s="18" t="inlineStr">
        <is>
          <t>yes</t>
        </is>
      </c>
      <c r="F151" s="18" t="inlineStr">
        <is>
          <t>yes</t>
        </is>
      </c>
      <c r="G151" s="12" t="inlineStr">
        <is>
          <t>pass</t>
        </is>
      </c>
      <c r="H151" s="22" t="inlineStr">
        <is>
          <t>covered</t>
        </is>
      </c>
      <c r="I151" s="13" t="inlineStr">
        <is>
          <t>Select playground scenario; manually verified.</t>
        </is>
      </c>
      <c r="J151" s="13" t="inlineStr">
        <is>
          <t>Complete.</t>
        </is>
      </c>
      <c r="K151" s="14">
        <f>IF(AND(E151="yes",F151="yes",H151="covered"),1,IF(H151="partial",0.5,0))</f>
        <v/>
      </c>
    </row>
    <row r="152" ht="15" customHeight="1" s="24">
      <c r="A152" s="12" t="n">
        <v>144</v>
      </c>
      <c r="B152" s="13" t="inlineStr">
        <is>
          <t>Public API</t>
        </is>
      </c>
      <c r="C152" s="13" t="inlineStr">
        <is>
          <t>ScrollDownButton</t>
        </is>
      </c>
      <c r="D152" s="13" t="inlineStr">
        <is>
          <t>renders only when can scroll down</t>
        </is>
      </c>
      <c r="E152" s="18" t="inlineStr">
        <is>
          <t>yes</t>
        </is>
      </c>
      <c r="F152" s="18" t="inlineStr">
        <is>
          <t>yes</t>
        </is>
      </c>
      <c r="G152" s="12" t="inlineStr">
        <is>
          <t>pass</t>
        </is>
      </c>
      <c r="H152" s="22" t="inlineStr">
        <is>
          <t>covered</t>
        </is>
      </c>
      <c r="I152" s="13" t="inlineStr">
        <is>
          <t>Select playground scenario; manually verified.</t>
        </is>
      </c>
      <c r="J152" s="13" t="inlineStr">
        <is>
          <t>Complete.</t>
        </is>
      </c>
      <c r="K152" s="14">
        <f>IF(AND(E152="yes",F152="yes",H152="covered"),1,IF(H152="partial",0.5,0))</f>
        <v/>
      </c>
    </row>
    <row r="153" ht="15" customHeight="1" s="24">
      <c r="A153" s="12" t="n">
        <v>145</v>
      </c>
      <c r="B153" s="13" t="inlineStr">
        <is>
          <t>Interaction</t>
        </is>
      </c>
      <c r="C153" s="13" t="inlineStr">
        <is>
          <t>Scroll buttons</t>
        </is>
      </c>
      <c r="D153" s="13" t="inlineStr">
        <is>
          <t>click scrolls viewport</t>
        </is>
      </c>
      <c r="E153" s="18" t="inlineStr">
        <is>
          <t>yes</t>
        </is>
      </c>
      <c r="F153" s="18" t="inlineStr">
        <is>
          <t>yes</t>
        </is>
      </c>
      <c r="G153" s="12" t="inlineStr">
        <is>
          <t>pass</t>
        </is>
      </c>
      <c r="H153" s="22" t="inlineStr">
        <is>
          <t>covered</t>
        </is>
      </c>
      <c r="I153" s="13" t="inlineStr">
        <is>
          <t>Select playground scenario; manually verified.</t>
        </is>
      </c>
      <c r="J153" s="13" t="inlineStr">
        <is>
          <t>Complete.</t>
        </is>
      </c>
      <c r="K153" s="14">
        <f>IF(AND(E153="yes",F153="yes",H153="covered"),1,IF(H153="partial",0.5,0))</f>
        <v/>
      </c>
    </row>
    <row r="154" ht="15" customHeight="1" s="24">
      <c r="A154" s="12" t="n">
        <v>146</v>
      </c>
      <c r="B154" s="13" t="inlineStr">
        <is>
          <t>Accessibility</t>
        </is>
      </c>
      <c r="C154" s="13" t="inlineStr">
        <is>
          <t>Scroll buttons</t>
        </is>
      </c>
      <c r="D154" s="13" t="inlineStr">
        <is>
          <t>aria-hidden and tabIndex -1</t>
        </is>
      </c>
      <c r="E154" s="18" t="inlineStr">
        <is>
          <t>yes</t>
        </is>
      </c>
      <c r="F154" s="18" t="inlineStr">
        <is>
          <t>yes</t>
        </is>
      </c>
      <c r="G154" s="12" t="inlineStr">
        <is>
          <t>pass</t>
        </is>
      </c>
      <c r="H154" s="22" t="inlineStr">
        <is>
          <t>covered</t>
        </is>
      </c>
      <c r="I154" s="13" t="inlineStr">
        <is>
          <t>Select playground scenario; manually verified.</t>
        </is>
      </c>
      <c r="J154" s="13" t="inlineStr">
        <is>
          <t>Complete.</t>
        </is>
      </c>
      <c r="K154" s="14">
        <f>IF(AND(E154="yes",F154="yes",H154="covered"),1,IF(H154="partial",0.5,0))</f>
        <v/>
      </c>
    </row>
    <row r="155" ht="15" customHeight="1" s="24">
      <c r="A155" s="12" t="n">
        <v>147</v>
      </c>
      <c r="B155" s="13" t="inlineStr">
        <is>
          <t>Composition</t>
        </is>
      </c>
      <c r="C155" s="13" t="inlineStr">
        <is>
          <t>Scroll buttons</t>
        </is>
      </c>
      <c r="D155" s="13" t="inlineStr">
        <is>
          <t>merged onClick</t>
        </is>
      </c>
      <c r="E155" s="18" t="inlineStr">
        <is>
          <t>yes</t>
        </is>
      </c>
      <c r="F155" s="18" t="inlineStr">
        <is>
          <t>yes</t>
        </is>
      </c>
      <c r="G155" s="12" t="inlineStr">
        <is>
          <t>pass</t>
        </is>
      </c>
      <c r="H155" s="22" t="inlineStr">
        <is>
          <t>covered</t>
        </is>
      </c>
      <c r="I155" s="13" t="inlineStr">
        <is>
          <t>Select playground scenario; manually verified.</t>
        </is>
      </c>
      <c r="J155" s="13" t="inlineStr">
        <is>
          <t>Complete.</t>
        </is>
      </c>
      <c r="K155" s="14">
        <f>IF(AND(E155="yes",F155="yes",H155="covered"),1,IF(H155="partial",0.5,0))</f>
        <v/>
      </c>
    </row>
    <row r="156" ht="15" customHeight="1" s="24">
      <c r="A156" s="12" t="n">
        <v>148</v>
      </c>
      <c r="B156" s="13" t="inlineStr">
        <is>
          <t>Refs</t>
        </is>
      </c>
      <c r="C156" s="13" t="inlineStr">
        <is>
          <t>Scroll buttons</t>
        </is>
      </c>
      <c r="D156" s="13" t="inlineStr">
        <is>
          <t>refs receive button</t>
        </is>
      </c>
      <c r="E156" s="18" t="inlineStr">
        <is>
          <t>yes</t>
        </is>
      </c>
      <c r="F156" s="18" t="inlineStr">
        <is>
          <t>yes</t>
        </is>
      </c>
      <c r="G156" s="12" t="inlineStr">
        <is>
          <t>pass</t>
        </is>
      </c>
      <c r="H156" s="22" t="inlineStr">
        <is>
          <t>covered</t>
        </is>
      </c>
      <c r="I156" s="13" t="inlineStr">
        <is>
          <t>Select playground scenario; manually verified.</t>
        </is>
      </c>
      <c r="J156" s="13" t="inlineStr">
        <is>
          <t>Complete.</t>
        </is>
      </c>
      <c r="K156" s="14">
        <f>IF(AND(E156="yes",F156="yes",H156="covered"),1,IF(H156="partial",0.5,0))</f>
        <v/>
      </c>
    </row>
    <row r="157" ht="45" customHeight="1" s="24">
      <c r="A157" s="12" t="n">
        <v>149</v>
      </c>
      <c r="B157" s="13" t="inlineStr">
        <is>
          <t>Props</t>
        </is>
      </c>
      <c r="C157" s="13" t="inlineStr">
        <is>
          <t>Scroll buttons</t>
        </is>
      </c>
      <c r="D157" s="13" t="inlineStr">
        <is>
          <t>native button props passthrough</t>
        </is>
      </c>
      <c r="E157" s="18" t="inlineStr">
        <is>
          <t>yes</t>
        </is>
      </c>
      <c r="F157" s="18" t="inlineStr">
        <is>
          <t>yes</t>
        </is>
      </c>
      <c r="G157" s="12" t="inlineStr">
        <is>
          <t>pass</t>
        </is>
      </c>
      <c r="H157" s="22" t="inlineStr">
        <is>
          <t>covered</t>
        </is>
      </c>
      <c r="I157" s="13" t="inlineStr">
        <is>
          <t>Verify the part forwards a non-Atom-owned data-prop-check marker in the live raw Data group or Inspector.</t>
        </is>
      </c>
      <c r="J157" s="13" t="inlineStr">
        <is>
          <t>Do not add a curated Native props row; the DOM data-prop-check marker is the evidence.</t>
        </is>
      </c>
      <c r="K157" s="14">
        <f>IF(AND(E157="yes",F157="yes",H157="covered"),1,IF(H157="partial",0.5,0))</f>
        <v/>
      </c>
    </row>
    <row r="158" ht="15" customHeight="1" s="24">
      <c r="A158" s="12" t="n">
        <v>150</v>
      </c>
      <c r="B158" s="13" t="inlineStr">
        <is>
          <t>Styling hooks</t>
        </is>
      </c>
      <c r="C158" s="13" t="inlineStr">
        <is>
          <t>Scroll buttons</t>
        </is>
      </c>
      <c r="D158" s="13" t="inlineStr">
        <is>
          <t>data-slot direction</t>
        </is>
      </c>
      <c r="E158" s="18" t="inlineStr">
        <is>
          <t>yes</t>
        </is>
      </c>
      <c r="F158" s="18" t="inlineStr">
        <is>
          <t>yes</t>
        </is>
      </c>
      <c r="G158" s="12" t="inlineStr">
        <is>
          <t>pass</t>
        </is>
      </c>
      <c r="H158" s="22" t="inlineStr">
        <is>
          <t>covered</t>
        </is>
      </c>
      <c r="I158" s="13" t="inlineStr">
        <is>
          <t>Select playground scenario; manually verified.</t>
        </is>
      </c>
      <c r="J158" s="13" t="inlineStr">
        <is>
          <t>Complete.</t>
        </is>
      </c>
      <c r="K158" s="14">
        <f>IF(AND(E158="yes",F158="yes",H158="covered"),1,IF(H158="partial",0.5,0))</f>
        <v/>
      </c>
    </row>
    <row r="159" ht="15" customHeight="1" s="24">
      <c r="A159" s="12" t="n">
        <v>151</v>
      </c>
      <c r="B159" s="13" t="inlineStr">
        <is>
          <t>Public API</t>
        </is>
      </c>
      <c r="C159" s="13" t="inlineStr">
        <is>
          <t>Arrow</t>
        </is>
      </c>
      <c r="D159" s="13" t="inlineStr">
        <is>
          <t>renders decorative arrow</t>
        </is>
      </c>
      <c r="E159" s="18" t="inlineStr">
        <is>
          <t>yes</t>
        </is>
      </c>
      <c r="F159" s="18" t="inlineStr">
        <is>
          <t>yes</t>
        </is>
      </c>
      <c r="G159" s="12" t="inlineStr">
        <is>
          <t>pass</t>
        </is>
      </c>
      <c r="H159" s="22" t="inlineStr">
        <is>
          <t>covered</t>
        </is>
      </c>
      <c r="I159" s="13" t="inlineStr">
        <is>
          <t>Select playground scenario; manually verified.</t>
        </is>
      </c>
      <c r="J159" s="13" t="inlineStr">
        <is>
          <t>Complete.</t>
        </is>
      </c>
      <c r="K159" s="14">
        <f>IF(AND(E159="yes",F159="yes",H159="covered"),1,IF(H159="partial",0.5,0))</f>
        <v/>
      </c>
    </row>
    <row r="160" ht="15" customHeight="1" s="24">
      <c r="A160" s="12" t="n">
        <v>152</v>
      </c>
      <c r="B160" s="13" t="inlineStr">
        <is>
          <t>Accessibility</t>
        </is>
      </c>
      <c r="C160" s="13" t="inlineStr">
        <is>
          <t>Arrow</t>
        </is>
      </c>
      <c r="D160" s="13" t="inlineStr">
        <is>
          <t>aria-hidden</t>
        </is>
      </c>
      <c r="E160" s="18" t="inlineStr">
        <is>
          <t>yes</t>
        </is>
      </c>
      <c r="F160" s="18" t="inlineStr">
        <is>
          <t>yes</t>
        </is>
      </c>
      <c r="G160" s="12" t="inlineStr">
        <is>
          <t>pass</t>
        </is>
      </c>
      <c r="H160" s="22" t="inlineStr">
        <is>
          <t>covered</t>
        </is>
      </c>
      <c r="I160" s="13" t="inlineStr">
        <is>
          <t>Select playground scenario; manually verified.</t>
        </is>
      </c>
      <c r="J160" s="13" t="inlineStr">
        <is>
          <t>Complete.</t>
        </is>
      </c>
      <c r="K160" s="14">
        <f>IF(AND(E160="yes",F160="yes",H160="covered"),1,IF(H160="partial",0.5,0))</f>
        <v/>
      </c>
    </row>
    <row r="161" ht="15" customHeight="1" s="24">
      <c r="A161" s="12" t="n">
        <v>153</v>
      </c>
      <c r="B161" s="13" t="inlineStr">
        <is>
          <t>Refs</t>
        </is>
      </c>
      <c r="C161" s="13" t="inlineStr">
        <is>
          <t>Arrow</t>
        </is>
      </c>
      <c r="D161" s="13" t="inlineStr">
        <is>
          <t>ref receives span</t>
        </is>
      </c>
      <c r="E161" s="18" t="inlineStr">
        <is>
          <t>yes</t>
        </is>
      </c>
      <c r="F161" s="18" t="inlineStr">
        <is>
          <t>yes</t>
        </is>
      </c>
      <c r="G161" s="12" t="inlineStr">
        <is>
          <t>pass</t>
        </is>
      </c>
      <c r="H161" s="22" t="inlineStr">
        <is>
          <t>covered</t>
        </is>
      </c>
      <c r="I161" s="13" t="inlineStr">
        <is>
          <t>Select playground scenario; manually verified.</t>
        </is>
      </c>
      <c r="J161" s="13" t="inlineStr">
        <is>
          <t>Complete.</t>
        </is>
      </c>
      <c r="K161" s="14">
        <f>IF(AND(E161="yes",F161="yes",H161="covered"),1,IF(H161="partial",0.5,0))</f>
        <v/>
      </c>
    </row>
    <row r="162" ht="45" customHeight="1" s="24">
      <c r="A162" s="12" t="n">
        <v>154</v>
      </c>
      <c r="B162" s="13" t="inlineStr">
        <is>
          <t>Props</t>
        </is>
      </c>
      <c r="C162" s="13" t="inlineStr">
        <is>
          <t>Arrow</t>
        </is>
      </c>
      <c r="D162" s="13" t="inlineStr">
        <is>
          <t>native span props passthrough</t>
        </is>
      </c>
      <c r="E162" s="18" t="inlineStr">
        <is>
          <t>yes</t>
        </is>
      </c>
      <c r="F162" s="18" t="inlineStr">
        <is>
          <t>yes</t>
        </is>
      </c>
      <c r="G162" s="12" t="inlineStr">
        <is>
          <t>pass</t>
        </is>
      </c>
      <c r="H162" s="22" t="inlineStr">
        <is>
          <t>covered</t>
        </is>
      </c>
      <c r="I162" s="13" t="inlineStr">
        <is>
          <t>Verify the part forwards a non-Atom-owned data-prop-check marker in the live raw Data group or Inspector.</t>
        </is>
      </c>
      <c r="J162" s="13" t="inlineStr">
        <is>
          <t>Do not add a curated Native props row; the DOM data-prop-check marker is the evidence.</t>
        </is>
      </c>
      <c r="K162" s="14">
        <f>IF(AND(E162="yes",F162="yes",H162="covered"),1,IF(H162="partial",0.5,0))</f>
        <v/>
      </c>
    </row>
    <row r="163" ht="15" customHeight="1" s="24">
      <c r="A163" s="12" t="n">
        <v>155</v>
      </c>
      <c r="B163" s="13" t="inlineStr">
        <is>
          <t>Styling hooks</t>
        </is>
      </c>
      <c r="C163" s="13" t="inlineStr">
        <is>
          <t>Arrow</t>
        </is>
      </c>
      <c r="D163" s="13" t="inlineStr">
        <is>
          <t>data-slot</t>
        </is>
      </c>
      <c r="E163" s="18" t="inlineStr">
        <is>
          <t>yes</t>
        </is>
      </c>
      <c r="F163" s="18" t="inlineStr">
        <is>
          <t>yes</t>
        </is>
      </c>
      <c r="G163" s="12" t="inlineStr">
        <is>
          <t>pass</t>
        </is>
      </c>
      <c r="H163" s="22" t="inlineStr">
        <is>
          <t>covered</t>
        </is>
      </c>
      <c r="I163" s="13" t="inlineStr">
        <is>
          <t>Select playground scenario; manually verified.</t>
        </is>
      </c>
      <c r="J163" s="13" t="inlineStr">
        <is>
          <t>Complete.</t>
        </is>
      </c>
      <c r="K163" s="14">
        <f>IF(AND(E163="yes",F163="yes",H163="covered"),1,IF(H163="partial",0.5,0))</f>
        <v/>
      </c>
    </row>
    <row r="164" ht="15" customHeight="1" s="24">
      <c r="A164" s="12" t="n">
        <v>156</v>
      </c>
      <c r="B164" s="13" t="inlineStr">
        <is>
          <t>Interaction</t>
        </is>
      </c>
      <c r="C164" s="13" t="inlineStr">
        <is>
          <t>Cycle</t>
        </is>
      </c>
      <c r="D164" s="13" t="inlineStr">
        <is>
          <t>multiple open/close cycles</t>
        </is>
      </c>
      <c r="E164" s="18" t="inlineStr">
        <is>
          <t>yes</t>
        </is>
      </c>
      <c r="F164" s="18" t="inlineStr">
        <is>
          <t>yes</t>
        </is>
      </c>
      <c r="G164" s="12" t="inlineStr">
        <is>
          <t>pass</t>
        </is>
      </c>
      <c r="H164" s="22" t="inlineStr">
        <is>
          <t>covered</t>
        </is>
      </c>
      <c r="I164" s="13" t="inlineStr">
        <is>
          <t>Select playground scenario; manually verified.</t>
        </is>
      </c>
      <c r="J164" s="13" t="inlineStr">
        <is>
          <t>Complete.</t>
        </is>
      </c>
      <c r="K164" s="14">
        <f>IF(AND(E164="yes",F164="yes",H164="covered"),1,IF(H164="partial",0.5,0))</f>
        <v/>
      </c>
    </row>
    <row r="165" ht="15" customHeight="1" s="24">
      <c r="A165" s="12" t="n">
        <v>157</v>
      </c>
      <c r="B165" s="13" t="inlineStr">
        <is>
          <t>Interaction</t>
        </is>
      </c>
      <c r="C165" s="13" t="inlineStr">
        <is>
          <t>Mobile</t>
        </is>
      </c>
      <c r="D165" s="13" t="inlineStr">
        <is>
          <t>tap trigger opens</t>
        </is>
      </c>
      <c r="E165" s="18" t="inlineStr">
        <is>
          <t>yes</t>
        </is>
      </c>
      <c r="F165" s="18" t="inlineStr">
        <is>
          <t>yes</t>
        </is>
      </c>
      <c r="G165" s="12" t="inlineStr">
        <is>
          <t>pass</t>
        </is>
      </c>
      <c r="H165" s="22" t="inlineStr">
        <is>
          <t>covered</t>
        </is>
      </c>
      <c r="I165" s="13" t="inlineStr">
        <is>
          <t>Select playground scenario; manually verified.</t>
        </is>
      </c>
      <c r="J165" s="13" t="inlineStr">
        <is>
          <t>Complete.</t>
        </is>
      </c>
      <c r="K165" s="14">
        <f>IF(AND(E165="yes",F165="yes",H165="covered"),1,IF(H165="partial",0.5,0))</f>
        <v/>
      </c>
    </row>
    <row r="166" ht="15" customHeight="1" s="24">
      <c r="A166" s="12" t="n">
        <v>158</v>
      </c>
      <c r="B166" s="13" t="inlineStr">
        <is>
          <t>Interaction</t>
        </is>
      </c>
      <c r="C166" s="13" t="inlineStr">
        <is>
          <t>Mobile</t>
        </is>
      </c>
      <c r="D166" s="13" t="inlineStr">
        <is>
          <t>tap item selects</t>
        </is>
      </c>
      <c r="E166" s="18" t="inlineStr">
        <is>
          <t>yes</t>
        </is>
      </c>
      <c r="F166" s="18" t="inlineStr">
        <is>
          <t>yes</t>
        </is>
      </c>
      <c r="G166" s="12" t="inlineStr">
        <is>
          <t>pass</t>
        </is>
      </c>
      <c r="H166" s="22" t="inlineStr">
        <is>
          <t>covered</t>
        </is>
      </c>
      <c r="I166" s="13" t="inlineStr">
        <is>
          <t>Select playground scenario; manually verified.</t>
        </is>
      </c>
      <c r="J166" s="13" t="inlineStr">
        <is>
          <t>Complete.</t>
        </is>
      </c>
      <c r="K166" s="14">
        <f>IF(AND(E166="yes",F166="yes",H166="covered"),1,IF(H166="partial",0.5,0))</f>
        <v/>
      </c>
    </row>
    <row r="167" ht="15" customHeight="1" s="24">
      <c r="A167" s="12" t="n">
        <v>159</v>
      </c>
      <c r="B167" s="13" t="inlineStr">
        <is>
          <t>Interaction</t>
        </is>
      </c>
      <c r="C167" s="13" t="inlineStr">
        <is>
          <t>Mobile</t>
        </is>
      </c>
      <c r="D167" s="13" t="inlineStr">
        <is>
          <t>tap outside closes</t>
        </is>
      </c>
      <c r="E167" s="18" t="inlineStr">
        <is>
          <t>yes</t>
        </is>
      </c>
      <c r="F167" s="18" t="inlineStr">
        <is>
          <t>yes</t>
        </is>
      </c>
      <c r="G167" s="12" t="inlineStr">
        <is>
          <t>pass</t>
        </is>
      </c>
      <c r="H167" s="22" t="inlineStr">
        <is>
          <t>covered</t>
        </is>
      </c>
      <c r="I167" s="13" t="inlineStr">
        <is>
          <t>Select playground scenario; manually verified.</t>
        </is>
      </c>
      <c r="J167" s="13" t="inlineStr">
        <is>
          <t>Complete.</t>
        </is>
      </c>
      <c r="K167" s="14">
        <f>IF(AND(E167="yes",F167="yes",H167="covered"),1,IF(H167="partial",0.5,0))</f>
        <v/>
      </c>
    </row>
    <row r="168" ht="15" customHeight="1" s="24">
      <c r="A168" s="12" t="n">
        <v>160</v>
      </c>
      <c r="B168" s="13" t="inlineStr">
        <is>
          <t>Interaction</t>
        </is>
      </c>
      <c r="C168" s="13" t="inlineStr">
        <is>
          <t>Mobile</t>
        </is>
      </c>
      <c r="D168" s="13" t="inlineStr">
        <is>
          <t>viewport fit and scroll</t>
        </is>
      </c>
      <c r="E168" s="18" t="inlineStr">
        <is>
          <t>yes</t>
        </is>
      </c>
      <c r="F168" s="18" t="inlineStr">
        <is>
          <t>yes</t>
        </is>
      </c>
      <c r="G168" s="12" t="inlineStr">
        <is>
          <t>pass</t>
        </is>
      </c>
      <c r="H168" s="22" t="inlineStr">
        <is>
          <t>covered</t>
        </is>
      </c>
      <c r="I168" s="13" t="inlineStr">
        <is>
          <t>Select playground scenario; manually verified.</t>
        </is>
      </c>
      <c r="J168" s="13" t="inlineStr">
        <is>
          <t>Complete.</t>
        </is>
      </c>
      <c r="K168" s="14">
        <f>IF(AND(E168="yes",F168="yes",H168="covered"),1,IF(H168="partial",0.5,0))</f>
        <v/>
      </c>
    </row>
    <row r="169" ht="30" customHeight="1" s="24">
      <c r="A169" s="12" t="n">
        <v>161</v>
      </c>
      <c r="B169" s="13" t="inlineStr">
        <is>
          <t>Keyboard</t>
        </is>
      </c>
      <c r="C169" s="13" t="inlineStr">
        <is>
          <t>Typeahead</t>
        </is>
      </c>
      <c r="D169" s="13" t="inlineStr">
        <is>
          <t>single-character typeahead cycles from current matching option after buffer reset</t>
        </is>
      </c>
      <c r="E169" s="18" t="inlineStr">
        <is>
          <t>yes</t>
        </is>
      </c>
      <c r="F169" s="18" t="inlineStr">
        <is>
          <t>yes</t>
        </is>
      </c>
      <c r="G169" s="12" t="inlineStr">
        <is>
          <t>pass</t>
        </is>
      </c>
      <c r="H169" s="22" t="inlineStr">
        <is>
          <t>covered</t>
        </is>
      </c>
      <c r="I169" s="13" t="inlineStr">
        <is>
          <t>Select typeahead cycle batch; manually verified.</t>
        </is>
      </c>
      <c r="J169" s="13" t="inlineStr">
        <is>
          <t>Complete.</t>
        </is>
      </c>
      <c r="K169" s="14">
        <f>IF(AND(E169="yes",F169="yes",H169="covered"),1,IF(H169="partial",0.5,0))</f>
        <v/>
      </c>
    </row>
  </sheetData>
  <autoFilter ref="A8:K169"/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Sidebar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IFERROR(SUM(K9:K96)/COUNT(K9:K96),0)</f>
        <v/>
      </c>
      <c r="C4" s="8" t="inlineStr">
        <is>
          <t>Covered</t>
        </is>
      </c>
      <c r="D4" s="10">
        <f>COUNTIFS(E9:E96,"yes",F9:F96,"yes",H9:H96,"covered")</f>
        <v/>
      </c>
      <c r="E4" s="8" t="inlineStr">
        <is>
          <t>Partial</t>
        </is>
      </c>
      <c r="F4" s="10">
        <f>COUNTIF(H9:H96,"partial")</f>
        <v/>
      </c>
      <c r="G4" s="8" t="inlineStr">
        <is>
          <t>Missing</t>
        </is>
      </c>
      <c r="H4" s="10">
        <f>COUNTIFS(E9:E96,"&lt;&gt;yes") + COUNTIFS(E9:E96,"yes",H9:H96,"missing")</f>
        <v/>
      </c>
      <c r="I4" s="8" t="inlineStr">
        <is>
          <t>Untested</t>
        </is>
      </c>
      <c r="J4" s="10">
        <f>COUNTIFS(E9:E96,"yes",F9:F96,"&lt;&gt;yes") + COUNTIFS(E9:E96,"yes",F9:F96,"yes",H9:H96,"untested")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Sidebar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Sidebar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Sidebar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Sidebar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Sidebar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Sidebar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Sidebar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Sidebar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Sidebar</t>
        </is>
      </c>
      <c r="D13" s="13" t="inlineStr">
        <is>
          <t>Supports controlled and uncontrolled sidebar state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Sidebar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Sidebar</t>
        </is>
      </c>
      <c r="D14" s="13" t="inlineStr">
        <is>
          <t>Supports `expanded`, `rail`, and `offcanvas` states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Sidebar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Sidebar</t>
        </is>
      </c>
      <c r="D15" s="13" t="inlineStr">
        <is>
          <t>Supports left and right sidebars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Sidebar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Sidebar</t>
        </is>
      </c>
      <c r="D16" s="13" t="inlineStr">
        <is>
          <t>Provides trigger, panel, and main content relationships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Sidebar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Sidebar</t>
        </is>
      </c>
      <c r="D17" s="13" t="inlineStr">
        <is>
          <t>Keeps layout and visual sizing in consumer styles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Sidebar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Sidebar</t>
        </is>
      </c>
      <c r="D18" s="13" t="inlineStr">
        <is>
          <t>Removes offcanvas panels from the accessibility tree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Sidebar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Sidebar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Sidebar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Sidebar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Sidebar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Sidebar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Sidebar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state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Sidebar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defaultState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Sidebar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onStateChange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Sidebar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collapsedState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Sidebar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Positioning</t>
        </is>
      </c>
      <c r="C29" s="13" t="inlineStr">
        <is>
          <t>Root</t>
        </is>
      </c>
      <c r="D29" s="13" t="inlineStr">
        <is>
          <t>side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Sidebar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disabled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Sidebar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[data-slot]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Sidebar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[data-state]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Sidebar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Positioning</t>
        </is>
      </c>
      <c r="C33" s="13" t="inlineStr">
        <is>
          <t>Root</t>
        </is>
      </c>
      <c r="D33" s="13" t="inlineStr">
        <is>
          <t>[data-side]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Sidebar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[data-collapsed-state]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Sidebar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Anatomy</t>
        </is>
      </c>
      <c r="C35" s="13" t="inlineStr">
        <is>
          <t>Trigger</t>
        </is>
      </c>
      <c r="D35" s="13" t="inlineStr">
        <is>
          <t>renders correct part when expected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Sidebar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Anatomy</t>
        </is>
      </c>
      <c r="C36" s="13" t="inlineStr">
        <is>
          <t>Trigger</t>
        </is>
      </c>
      <c r="D36" s="13" t="inlineStr">
        <is>
          <t>appears in documented order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Sidebar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Identity</t>
        </is>
      </c>
      <c r="C37" s="13" t="inlineStr">
        <is>
          <t>Trigger</t>
        </is>
      </c>
      <c r="D37" s="13" t="inlineStr">
        <is>
          <t>default tag is visible in Anatomy/Inspector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Sidebar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Identity</t>
        </is>
      </c>
      <c r="C38" s="13" t="inlineStr">
        <is>
          <t>Trigger</t>
        </is>
      </c>
      <c r="D38" s="13" t="inlineStr">
        <is>
          <t>data-slot is present and correct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Sidebar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30" customHeight="1" s="24">
      <c r="A39" s="12" t="n">
        <v>31</v>
      </c>
      <c r="B39" s="13" t="inlineStr">
        <is>
          <t>Props</t>
        </is>
      </c>
      <c r="C39" s="13" t="inlineStr">
        <is>
          <t>Trigger</t>
        </is>
      </c>
      <c r="D39" s="13" t="inlineStr">
        <is>
          <t>non-Atom native props pass through with data-prop-check marker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Sidebar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Refs</t>
        </is>
      </c>
      <c r="C40" s="13" t="inlineStr">
        <is>
          <t>Trigger</t>
        </is>
      </c>
      <c r="D40" s="13" t="inlineStr">
        <is>
          <t>consumer ref receives the rendered element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Sidebar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Trigger</t>
        </is>
      </c>
      <c r="D41" s="13" t="inlineStr">
        <is>
          <t>disabled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Sidebar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Composition</t>
        </is>
      </c>
      <c r="C42" s="13" t="inlineStr">
        <is>
          <t>Trigger</t>
        </is>
      </c>
      <c r="D42" s="13" t="inlineStr">
        <is>
          <t>asChild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Sidebar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Trigger</t>
        </is>
      </c>
      <c r="D43" s="13" t="inlineStr">
        <is>
          <t>render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Sidebar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Trigger</t>
        </is>
      </c>
      <c r="D44" s="13" t="inlineStr">
        <is>
          <t>[data-slot]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Sidebar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Public API</t>
        </is>
      </c>
      <c r="C45" s="13" t="inlineStr">
        <is>
          <t>Trigger</t>
        </is>
      </c>
      <c r="D45" s="13" t="inlineStr">
        <is>
          <t>[data-state]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Sidebar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Positioning</t>
        </is>
      </c>
      <c r="C46" s="13" t="inlineStr">
        <is>
          <t>Trigger</t>
        </is>
      </c>
      <c r="D46" s="13" t="inlineStr">
        <is>
          <t>[data-side] prop behavior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Sidebar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State</t>
        </is>
      </c>
      <c r="C47" s="13" t="inlineStr">
        <is>
          <t>Trigger</t>
        </is>
      </c>
      <c r="D47" s="13" t="inlineStr">
        <is>
          <t>[data-disabled]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Sidebar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Anatomy</t>
        </is>
      </c>
      <c r="C48" s="13" t="inlineStr">
        <is>
          <t>Main</t>
        </is>
      </c>
      <c r="D48" s="13" t="inlineStr">
        <is>
          <t>renders correct part when expected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Sidebar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Anatomy</t>
        </is>
      </c>
      <c r="C49" s="13" t="inlineStr">
        <is>
          <t>Main</t>
        </is>
      </c>
      <c r="D49" s="13" t="inlineStr">
        <is>
          <t>appears in documented order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Sidebar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Identity</t>
        </is>
      </c>
      <c r="C50" s="13" t="inlineStr">
        <is>
          <t>Main</t>
        </is>
      </c>
      <c r="D50" s="13" t="inlineStr">
        <is>
          <t>default tag is visible in Anatomy/Inspector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Sidebar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Identity</t>
        </is>
      </c>
      <c r="C51" s="13" t="inlineStr">
        <is>
          <t>Main</t>
        </is>
      </c>
      <c r="D51" s="13" t="inlineStr">
        <is>
          <t>data-slot is present and correct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Sidebar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30" customHeight="1" s="24">
      <c r="A52" s="12" t="n">
        <v>44</v>
      </c>
      <c r="B52" s="13" t="inlineStr">
        <is>
          <t>Props</t>
        </is>
      </c>
      <c r="C52" s="13" t="inlineStr">
        <is>
          <t>Main</t>
        </is>
      </c>
      <c r="D52" s="13" t="inlineStr">
        <is>
          <t>non-Atom native props pass through with data-prop-check marker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Sidebar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Refs</t>
        </is>
      </c>
      <c r="C53" s="13" t="inlineStr">
        <is>
          <t>Main</t>
        </is>
      </c>
      <c r="D53" s="13" t="inlineStr">
        <is>
          <t>consumer ref receives the rendered element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Sidebar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Main</t>
        </is>
      </c>
      <c r="D54" s="13" t="inlineStr">
        <is>
          <t>[data-slot]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Sidebar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Main</t>
        </is>
      </c>
      <c r="D55" s="13" t="inlineStr">
        <is>
          <t>[data-state]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Sidebar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Positioning</t>
        </is>
      </c>
      <c r="C56" s="13" t="inlineStr">
        <is>
          <t>Main</t>
        </is>
      </c>
      <c r="D56" s="13" t="inlineStr">
        <is>
          <t>[data-side]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Sidebar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Panel</t>
        </is>
      </c>
      <c r="D57" s="13" t="inlineStr">
        <is>
          <t>renders correct part when expected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Sidebar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Anatomy</t>
        </is>
      </c>
      <c r="C58" s="13" t="inlineStr">
        <is>
          <t>Panel</t>
        </is>
      </c>
      <c r="D58" s="13" t="inlineStr">
        <is>
          <t>appears in documented order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Sidebar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Panel</t>
        </is>
      </c>
      <c r="D59" s="13" t="inlineStr">
        <is>
          <t>default tag is visible in Anatomy/Inspector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Sidebar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Identity</t>
        </is>
      </c>
      <c r="C60" s="13" t="inlineStr">
        <is>
          <t>Panel</t>
        </is>
      </c>
      <c r="D60" s="13" t="inlineStr">
        <is>
          <t>data-slot is present and correct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Sidebar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30" customHeight="1" s="24">
      <c r="A61" s="12" t="n">
        <v>53</v>
      </c>
      <c r="B61" s="13" t="inlineStr">
        <is>
          <t>Props</t>
        </is>
      </c>
      <c r="C61" s="13" t="inlineStr">
        <is>
          <t>Panel</t>
        </is>
      </c>
      <c r="D61" s="13" t="inlineStr">
        <is>
          <t>non-Atom native props pass through with data-prop-check marker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Sidebar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Refs</t>
        </is>
      </c>
      <c r="C62" s="13" t="inlineStr">
        <is>
          <t>Panel</t>
        </is>
      </c>
      <c r="D62" s="13" t="inlineStr">
        <is>
          <t>consumer ref receives the rendered element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Sidebar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Composition</t>
        </is>
      </c>
      <c r="C63" s="13" t="inlineStr">
        <is>
          <t>Panel</t>
        </is>
      </c>
      <c r="D63" s="13" t="inlineStr">
        <is>
          <t>asChild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Sidebar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Composition</t>
        </is>
      </c>
      <c r="C64" s="13" t="inlineStr">
        <is>
          <t>Panel</t>
        </is>
      </c>
      <c r="D64" s="13" t="inlineStr">
        <is>
          <t>render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Sidebar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Public API</t>
        </is>
      </c>
      <c r="C65" s="13" t="inlineStr">
        <is>
          <t>Panel</t>
        </is>
      </c>
      <c r="D65" s="13" t="inlineStr">
        <is>
          <t>[data-slot]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Sidebar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Public API</t>
        </is>
      </c>
      <c r="C66" s="13" t="inlineStr">
        <is>
          <t>Panel</t>
        </is>
      </c>
      <c r="D66" s="13" t="inlineStr">
        <is>
          <t>[data-state]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Sidebar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Positioning</t>
        </is>
      </c>
      <c r="C67" s="13" t="inlineStr">
        <is>
          <t>Panel</t>
        </is>
      </c>
      <c r="D67" s="13" t="inlineStr">
        <is>
          <t>[data-side]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Sidebar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ARIA</t>
        </is>
      </c>
      <c r="C68" s="13" t="inlineStr">
        <is>
          <t>Live DOM</t>
        </is>
      </c>
      <c r="D68" s="13" t="inlineStr">
        <is>
          <t>aria-controls is present at the correct time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Sidebar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ARIA</t>
        </is>
      </c>
      <c r="C69" s="13" t="inlineStr">
        <is>
          <t>Live DOM</t>
        </is>
      </c>
      <c r="D69" s="13" t="inlineStr">
        <is>
          <t>aria-disabled is present at the correct time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Sidebar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ARIA</t>
        </is>
      </c>
      <c r="C70" s="13" t="inlineStr">
        <is>
          <t>Live DOM</t>
        </is>
      </c>
      <c r="D70" s="13" t="inlineStr">
        <is>
          <t>aria-expanded is present at the correct time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Sidebar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ARIA</t>
        </is>
      </c>
      <c r="C71" s="13" t="inlineStr">
        <is>
          <t>Live DOM</t>
        </is>
      </c>
      <c r="D71" s="13" t="inlineStr">
        <is>
          <t>aria-hidden is present at the correct time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Sidebar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ARIA</t>
        </is>
      </c>
      <c r="C72" s="13" t="inlineStr">
        <is>
          <t>Live DOM</t>
        </is>
      </c>
      <c r="D72" s="13" t="inlineStr">
        <is>
          <t>aria-label is present at the correct time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Sidebar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ARIA</t>
        </is>
      </c>
      <c r="C73" s="13" t="inlineStr">
        <is>
          <t>Live DOM</t>
        </is>
      </c>
      <c r="D73" s="13" t="inlineStr">
        <is>
          <t>aria-labelledby is present at the correct time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Sidebar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Data</t>
        </is>
      </c>
      <c r="C74" s="13" t="inlineStr">
        <is>
          <t>Live DOM</t>
        </is>
      </c>
      <c r="D74" s="13" t="inlineStr">
        <is>
          <t>data-collapsed-state is present at the correct time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Sidebar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Data</t>
        </is>
      </c>
      <c r="C75" s="13" t="inlineStr">
        <is>
          <t>Live DOM</t>
        </is>
      </c>
      <c r="D75" s="13" t="inlineStr">
        <is>
          <t>data-disabled is present at the correct time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Sidebar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Data</t>
        </is>
      </c>
      <c r="C76" s="13" t="inlineStr">
        <is>
          <t>Live DOM</t>
        </is>
      </c>
      <c r="D76" s="13" t="inlineStr">
        <is>
          <t>data-side is present at the correct time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Sidebar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Data</t>
        </is>
      </c>
      <c r="C77" s="13" t="inlineStr">
        <is>
          <t>Live DOM</t>
        </is>
      </c>
      <c r="D77" s="13" t="inlineStr">
        <is>
          <t>data-slot is present at the correct time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Sidebar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Data</t>
        </is>
      </c>
      <c r="C78" s="13" t="inlineStr">
        <is>
          <t>Live DOM</t>
        </is>
      </c>
      <c r="D78" s="13" t="inlineStr">
        <is>
          <t>data-state is present at the correct time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Sidebar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Data</t>
        </is>
      </c>
      <c r="C79" s="13" t="inlineStr">
        <is>
          <t>Live DOM</t>
        </is>
      </c>
      <c r="D79" s="13" t="inlineStr">
        <is>
          <t>data-target-state is present at the correct time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Sidebar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Composition</t>
        </is>
      </c>
      <c r="C80" s="13" t="inlineStr">
        <is>
          <t>Sidebar</t>
        </is>
      </c>
      <c r="D80" s="13" t="inlineStr">
        <is>
          <t>asChild preserves child content without double nesting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Sidebar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Composition</t>
        </is>
      </c>
      <c r="C81" s="13" t="inlineStr">
        <is>
          <t>Sidebar</t>
        </is>
      </c>
      <c r="D81" s="13" t="inlineStr">
        <is>
          <t>asChild merges Atom props and consumer props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Sidebar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Composition</t>
        </is>
      </c>
      <c r="C82" s="13" t="inlineStr">
        <is>
          <t>Sidebar</t>
        </is>
      </c>
      <c r="D82" s="13" t="inlineStr">
        <is>
          <t>asChild lets preventDefault block Atom behavior where supported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Sidebar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Composition</t>
        </is>
      </c>
      <c r="C83" s="13" t="inlineStr">
        <is>
          <t>Sidebar</t>
        </is>
      </c>
      <c r="D83" s="13" t="inlineStr">
        <is>
          <t>render prop renders custom element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Sidebar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Composition</t>
        </is>
      </c>
      <c r="C84" s="13" t="inlineStr">
        <is>
          <t>Sidebar</t>
        </is>
      </c>
      <c r="D84" s="13" t="inlineStr">
        <is>
          <t>render prop preserves refs and behavior props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Sidebar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State</t>
        </is>
      </c>
      <c r="C85" s="13" t="inlineStr">
        <is>
          <t>Root</t>
        </is>
      </c>
      <c r="D85" s="13" t="inlineStr">
        <is>
          <t>controlled state path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Sidebar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State</t>
        </is>
      </c>
      <c r="C86" s="13" t="inlineStr">
        <is>
          <t>Root</t>
        </is>
      </c>
      <c r="D86" s="13" t="inlineStr">
        <is>
          <t>uncontrolled default state path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Sidebar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State</t>
        </is>
      </c>
      <c r="C87" s="13" t="inlineStr">
        <is>
          <t>Root</t>
        </is>
      </c>
      <c r="D87" s="13" t="inlineStr">
        <is>
          <t>state change callback fires once with correct value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Sidebar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Interaction</t>
        </is>
      </c>
      <c r="C88" s="13" t="inlineStr">
        <is>
          <t>Trigger</t>
        </is>
      </c>
      <c r="D88" s="13" t="inlineStr">
        <is>
          <t>mouse click or pointer activation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Sidebar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Interaction</t>
        </is>
      </c>
      <c r="C89" s="13" t="inlineStr">
        <is>
          <t>Trigger</t>
        </is>
      </c>
      <c r="D89" s="13" t="inlineStr">
        <is>
          <t>Enter key activation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Sidebar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Interaction</t>
        </is>
      </c>
      <c r="C90" s="13" t="inlineStr">
        <is>
          <t>Trigger</t>
        </is>
      </c>
      <c r="D90" s="13" t="inlineStr">
        <is>
          <t>Space key activation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Sidebar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Interaction</t>
        </is>
      </c>
      <c r="C91" s="13" t="inlineStr">
        <is>
          <t>Trigger</t>
        </is>
      </c>
      <c r="D91" s="13" t="inlineStr">
        <is>
          <t>disabled trigger blocks pointer and keyboard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Sidebar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Focus</t>
        </is>
      </c>
      <c r="C92" s="13" t="inlineStr">
        <is>
          <t>Trigger</t>
        </is>
      </c>
      <c r="D92" s="13" t="inlineStr">
        <is>
          <t>focus ring and focus restoration are correct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Sidebar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Positioning</t>
        </is>
      </c>
      <c r="C93" s="13" t="inlineStr">
        <is>
          <t>Sidebar</t>
        </is>
      </c>
      <c r="D93" s="13" t="inlineStr">
        <is>
          <t>side options position content correctly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Sidebar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Positioning</t>
        </is>
      </c>
      <c r="C94" s="13" t="inlineStr">
        <is>
          <t>Sidebar</t>
        </is>
      </c>
      <c r="D94" s="13" t="inlineStr">
        <is>
          <t>align options position content correctly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Sidebar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Positioning</t>
        </is>
      </c>
      <c r="C95" s="13" t="inlineStr">
        <is>
          <t>Sidebar</t>
        </is>
      </c>
      <c r="D95" s="13" t="inlineStr">
        <is>
          <t>collision/flip/shift behavior stays in viewport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Sidebar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30" customHeight="1" s="24">
      <c r="A96" s="12" t="n">
        <v>88</v>
      </c>
      <c r="B96" s="13" t="inlineStr">
        <is>
          <t>Positioning</t>
        </is>
      </c>
      <c r="C96" s="13" t="inlineStr">
        <is>
          <t>Sidebar</t>
        </is>
      </c>
      <c r="D96" s="13" t="inlineStr">
        <is>
          <t>arrow or anchor geometry matches content where supported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Sidebar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</sheetData>
  <autoFilter ref="A8:K96"/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4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SkipLink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IFERROR(SUM(K9:K48)/COUNT(K9:K48),0)</f>
        <v/>
      </c>
      <c r="C4" s="8" t="inlineStr">
        <is>
          <t>Covered</t>
        </is>
      </c>
      <c r="D4" s="10">
        <f>COUNTIFS(E9:E48,"yes",F9:F48,"yes",H9:H48,"covered")</f>
        <v/>
      </c>
      <c r="E4" s="8" t="inlineStr">
        <is>
          <t>Partial</t>
        </is>
      </c>
      <c r="F4" s="10">
        <f>COUNTIF(H9:H48,"partial")</f>
        <v/>
      </c>
      <c r="G4" s="8" t="inlineStr">
        <is>
          <t>Missing</t>
        </is>
      </c>
      <c r="H4" s="10">
        <f>COUNTIFS(E9:E48,"&lt;&gt;yes") + COUNTIFS(E9:E48,"yes",H9:H48,"missing")</f>
        <v/>
      </c>
      <c r="I4" s="8" t="inlineStr">
        <is>
          <t>Untested</t>
        </is>
      </c>
      <c r="J4" s="10">
        <f>COUNTIFS(E9:E48,"yes",F9:F48,"&lt;&gt;yes") + COUNTIFS(E9:E48,"yes",F9:F48,"yes",H9:H48,"untested")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SkipLink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SkipLink playground scenario.</t>
        </is>
      </c>
      <c r="J9" s="13" t="inlineStr">
        <is>
          <t>Manual verification passed.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SkipLink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SkipLink playground scenario.</t>
        </is>
      </c>
      <c r="J10" s="13" t="inlineStr">
        <is>
          <t>Manual verification passed.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SkipLink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SkipLink playground scenario.</t>
        </is>
      </c>
      <c r="J11" s="13" t="inlineStr">
        <is>
          <t>Manual verification passed.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SkipLink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SkipLink playground scenario.</t>
        </is>
      </c>
      <c r="J12" s="13" t="inlineStr">
        <is>
          <t>Manual verification passed.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SkipLink</t>
        </is>
      </c>
      <c r="D13" s="13" t="inlineStr">
        <is>
          <t>Renders a native anchor for progressive enhancement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SkipLink playground scenario.</t>
        </is>
      </c>
      <c r="J13" s="13" t="inlineStr">
        <is>
          <t>Manual verification passed.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SkipLink</t>
        </is>
      </c>
      <c r="D14" s="13" t="inlineStr">
        <is>
          <t>Focuses and scrolls the hash target on activation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SkipLink playground scenario.</t>
        </is>
      </c>
      <c r="J14" s="13" t="inlineStr">
        <is>
          <t>Manual verification passed.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SkipLink</t>
        </is>
      </c>
      <c r="D15" s="13" t="inlineStr">
        <is>
          <t>Safely handles malformed hash encoding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SkipLink playground scenario.</t>
        </is>
      </c>
      <c r="J15" s="13" t="inlineStr">
        <is>
          <t>Manual verification passed.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SkipLink</t>
        </is>
      </c>
      <c r="D16" s="13" t="inlineStr">
        <is>
          <t>Provides a programmatically focusable target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SkipLink playground scenario.</t>
        </is>
      </c>
      <c r="J16" s="13" t="inlineStr">
        <is>
          <t>Manual verification passed.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SkipLink</t>
        </is>
      </c>
      <c r="D17" s="13" t="inlineStr">
        <is>
          <t>Supports `asChild` and `render` on both parts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SkipLink playground scenario.</t>
        </is>
      </c>
      <c r="J17" s="13" t="inlineStr">
        <is>
          <t>Manual verification passed.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SkipLink playground scenario.</t>
        </is>
      </c>
      <c r="J18" s="13" t="inlineStr">
        <is>
          <t>Manual verification passed.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SkipLink playground scenario.</t>
        </is>
      </c>
      <c r="J19" s="13" t="inlineStr">
        <is>
          <t>Manual verification passed.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SkipLink playground scenario.</t>
        </is>
      </c>
      <c r="J20" s="13" t="inlineStr">
        <is>
          <t>Manual verification passed.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SkipLink playground scenario.</t>
        </is>
      </c>
      <c r="J21" s="13" t="inlineStr">
        <is>
          <t>Manual verification passed.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SkipLink playground scenario.</t>
        </is>
      </c>
      <c r="J22" s="13" t="inlineStr">
        <is>
          <t>Manual verification passed.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SkipLink playground scenario.</t>
        </is>
      </c>
      <c r="J23" s="13" t="inlineStr">
        <is>
          <t>Manual verification passed.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SkipLink playground scenario.</t>
        </is>
      </c>
      <c r="J24" s="13" t="inlineStr">
        <is>
          <t>Manual verification passed.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SkipLink playground scenario.</t>
        </is>
      </c>
      <c r="J25" s="13" t="inlineStr">
        <is>
          <t>Manual verification passed.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href prop behavior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SkipLink playground scenario.</t>
        </is>
      </c>
      <c r="J26" s="13" t="inlineStr">
        <is>
          <t>Manual verification passed.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focusTarget prop behavior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SkipLink playground scenario.</t>
        </is>
      </c>
      <c r="J27" s="13" t="inlineStr">
        <is>
          <t>Manual verification passed.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onClick prop behavior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SkipLink playground scenario.</t>
        </is>
      </c>
      <c r="J28" s="13" t="inlineStr">
        <is>
          <t>Manual verification passed.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[data-slot] prop behavior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SkipLink playground scenario.</t>
        </is>
      </c>
      <c r="J29" s="13" t="inlineStr">
        <is>
          <t>Manual verification passed.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Anatomy</t>
        </is>
      </c>
      <c r="C30" s="13" t="inlineStr">
        <is>
          <t>Target</t>
        </is>
      </c>
      <c r="D30" s="13" t="inlineStr">
        <is>
          <t>renders correct part when expected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SkipLink playground scenario.</t>
        </is>
      </c>
      <c r="J30" s="13" t="inlineStr">
        <is>
          <t>Manual verification passed.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Anatomy</t>
        </is>
      </c>
      <c r="C31" s="13" t="inlineStr">
        <is>
          <t>Target</t>
        </is>
      </c>
      <c r="D31" s="13" t="inlineStr">
        <is>
          <t>appears in documented order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SkipLink playground scenario.</t>
        </is>
      </c>
      <c r="J31" s="13" t="inlineStr">
        <is>
          <t>Manual verification passed.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Identity</t>
        </is>
      </c>
      <c r="C32" s="13" t="inlineStr">
        <is>
          <t>Target</t>
        </is>
      </c>
      <c r="D32" s="13" t="inlineStr">
        <is>
          <t>default tag is visible in Anatomy/Inspector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SkipLink playground scenario.</t>
        </is>
      </c>
      <c r="J32" s="13" t="inlineStr">
        <is>
          <t>Manual verification passed.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Identity</t>
        </is>
      </c>
      <c r="C33" s="13" t="inlineStr">
        <is>
          <t>Target</t>
        </is>
      </c>
      <c r="D33" s="13" t="inlineStr">
        <is>
          <t>data-slot is present and correct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SkipLink playground scenario.</t>
        </is>
      </c>
      <c r="J33" s="13" t="inlineStr">
        <is>
          <t>Manual verification passed.</t>
        </is>
      </c>
      <c r="K33" s="14">
        <f>IF(AND(E33="yes",F33="yes",H33="covered"),1,IF(H33="partial",0.5,0))</f>
        <v/>
      </c>
    </row>
    <row r="34" ht="30" customHeight="1" s="24">
      <c r="A34" s="12" t="n">
        <v>26</v>
      </c>
      <c r="B34" s="13" t="inlineStr">
        <is>
          <t>Props</t>
        </is>
      </c>
      <c r="C34" s="13" t="inlineStr">
        <is>
          <t>Target</t>
        </is>
      </c>
      <c r="D34" s="13" t="inlineStr">
        <is>
          <t>non-Atom native props pass through with data-prop-check marker</t>
        </is>
      </c>
      <c r="E34" s="18" t="inlineStr">
        <is>
          <t>yes</t>
        </is>
      </c>
      <c r="F34" s="18" t="inlineStr">
        <is>
          <t>yes</t>
        </is>
      </c>
      <c r="G34" s="12" t="inlineStr">
        <is>
          <t>passed</t>
        </is>
      </c>
      <c r="H34" s="22" t="inlineStr">
        <is>
          <t>covered</t>
        </is>
      </c>
      <c r="I34" s="13" t="inlineStr">
        <is>
          <t>SkipLink playground scenario.</t>
        </is>
      </c>
      <c r="J34" s="13" t="inlineStr">
        <is>
          <t>Manual verification passed.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Refs</t>
        </is>
      </c>
      <c r="C35" s="13" t="inlineStr">
        <is>
          <t>Target</t>
        </is>
      </c>
      <c r="D35" s="13" t="inlineStr">
        <is>
          <t>consumer ref receives the rendered element</t>
        </is>
      </c>
      <c r="E35" s="18" t="inlineStr">
        <is>
          <t>yes</t>
        </is>
      </c>
      <c r="F35" s="18" t="inlineStr">
        <is>
          <t>yes</t>
        </is>
      </c>
      <c r="G35" s="12" t="inlineStr">
        <is>
          <t>passed</t>
        </is>
      </c>
      <c r="H35" s="22" t="inlineStr">
        <is>
          <t>covered</t>
        </is>
      </c>
      <c r="I35" s="13" t="inlineStr">
        <is>
          <t>SkipLink playground scenario.</t>
        </is>
      </c>
      <c r="J35" s="13" t="inlineStr">
        <is>
          <t>Manual verification passed.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Target</t>
        </is>
      </c>
      <c r="D36" s="13" t="inlineStr">
        <is>
          <t>asChild prop behavior</t>
        </is>
      </c>
      <c r="E36" s="18" t="inlineStr">
        <is>
          <t>yes</t>
        </is>
      </c>
      <c r="F36" s="18" t="inlineStr">
        <is>
          <t>yes</t>
        </is>
      </c>
      <c r="G36" s="12" t="inlineStr">
        <is>
          <t>passed</t>
        </is>
      </c>
      <c r="H36" s="22" t="inlineStr">
        <is>
          <t>covered</t>
        </is>
      </c>
      <c r="I36" s="13" t="inlineStr">
        <is>
          <t>SkipLink playground scenario.</t>
        </is>
      </c>
      <c r="J36" s="13" t="inlineStr">
        <is>
          <t>Manual verification passed.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Target</t>
        </is>
      </c>
      <c r="D37" s="13" t="inlineStr">
        <is>
          <t>render prop behavior</t>
        </is>
      </c>
      <c r="E37" s="18" t="inlineStr">
        <is>
          <t>yes</t>
        </is>
      </c>
      <c r="F37" s="18" t="inlineStr">
        <is>
          <t>yes</t>
        </is>
      </c>
      <c r="G37" s="12" t="inlineStr">
        <is>
          <t>passed</t>
        </is>
      </c>
      <c r="H37" s="22" t="inlineStr">
        <is>
          <t>covered</t>
        </is>
      </c>
      <c r="I37" s="13" t="inlineStr">
        <is>
          <t>SkipLink playground scenario.</t>
        </is>
      </c>
      <c r="J37" s="13" t="inlineStr">
        <is>
          <t>Manual verification passed.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Target</t>
        </is>
      </c>
      <c r="D38" s="13" t="inlineStr">
        <is>
          <t>id prop behavior</t>
        </is>
      </c>
      <c r="E38" s="18" t="inlineStr">
        <is>
          <t>yes</t>
        </is>
      </c>
      <c r="F38" s="18" t="inlineStr">
        <is>
          <t>yes</t>
        </is>
      </c>
      <c r="G38" s="12" t="inlineStr">
        <is>
          <t>passed</t>
        </is>
      </c>
      <c r="H38" s="22" t="inlineStr">
        <is>
          <t>covered</t>
        </is>
      </c>
      <c r="I38" s="13" t="inlineStr">
        <is>
          <t>SkipLink playground scenario.</t>
        </is>
      </c>
      <c r="J38" s="13" t="inlineStr">
        <is>
          <t>Manual verification passed.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Target</t>
        </is>
      </c>
      <c r="D39" s="13" t="inlineStr">
        <is>
          <t>tabIndex prop behavior</t>
        </is>
      </c>
      <c r="E39" s="18" t="inlineStr">
        <is>
          <t>yes</t>
        </is>
      </c>
      <c r="F39" s="18" t="inlineStr">
        <is>
          <t>yes</t>
        </is>
      </c>
      <c r="G39" s="12" t="inlineStr">
        <is>
          <t>passed</t>
        </is>
      </c>
      <c r="H39" s="22" t="inlineStr">
        <is>
          <t>covered</t>
        </is>
      </c>
      <c r="I39" s="13" t="inlineStr">
        <is>
          <t>SkipLink playground scenario.</t>
        </is>
      </c>
      <c r="J39" s="13" t="inlineStr">
        <is>
          <t>Manual verification passed.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Target</t>
        </is>
      </c>
      <c r="D40" s="13" t="inlineStr">
        <is>
          <t>[data-slot] prop behavior</t>
        </is>
      </c>
      <c r="E40" s="18" t="inlineStr">
        <is>
          <t>yes</t>
        </is>
      </c>
      <c r="F40" s="18" t="inlineStr">
        <is>
          <t>yes</t>
        </is>
      </c>
      <c r="G40" s="12" t="inlineStr">
        <is>
          <t>passed</t>
        </is>
      </c>
      <c r="H40" s="22" t="inlineStr">
        <is>
          <t>covered</t>
        </is>
      </c>
      <c r="I40" s="13" t="inlineStr">
        <is>
          <t>SkipLink playground scenario.</t>
        </is>
      </c>
      <c r="J40" s="13" t="inlineStr">
        <is>
          <t>Manual verification passed.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Data</t>
        </is>
      </c>
      <c r="C41" s="13" t="inlineStr">
        <is>
          <t>Live DOM</t>
        </is>
      </c>
      <c r="D41" s="13" t="inlineStr">
        <is>
          <t>data-slot is present at the correct time</t>
        </is>
      </c>
      <c r="E41" s="18" t="inlineStr">
        <is>
          <t>yes</t>
        </is>
      </c>
      <c r="F41" s="18" t="inlineStr">
        <is>
          <t>yes</t>
        </is>
      </c>
      <c r="G41" s="12" t="inlineStr">
        <is>
          <t>passed</t>
        </is>
      </c>
      <c r="H41" s="22" t="inlineStr">
        <is>
          <t>covered</t>
        </is>
      </c>
      <c r="I41" s="13" t="inlineStr">
        <is>
          <t>SkipLink playground scenario.</t>
        </is>
      </c>
      <c r="J41" s="13" t="inlineStr">
        <is>
          <t>Manual verification passed.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Composition</t>
        </is>
      </c>
      <c r="C42" s="13" t="inlineStr">
        <is>
          <t>SkipLink</t>
        </is>
      </c>
      <c r="D42" s="13" t="inlineStr">
        <is>
          <t>asChild preserves child content without double nesting</t>
        </is>
      </c>
      <c r="E42" s="18" t="inlineStr">
        <is>
          <t>yes</t>
        </is>
      </c>
      <c r="F42" s="18" t="inlineStr">
        <is>
          <t>yes</t>
        </is>
      </c>
      <c r="G42" s="12" t="inlineStr">
        <is>
          <t>passed</t>
        </is>
      </c>
      <c r="H42" s="22" t="inlineStr">
        <is>
          <t>covered</t>
        </is>
      </c>
      <c r="I42" s="13" t="inlineStr">
        <is>
          <t>SkipLink playground scenario.</t>
        </is>
      </c>
      <c r="J42" s="13" t="inlineStr">
        <is>
          <t>Manual verification passed.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Composition</t>
        </is>
      </c>
      <c r="C43" s="13" t="inlineStr">
        <is>
          <t>SkipLink</t>
        </is>
      </c>
      <c r="D43" s="13" t="inlineStr">
        <is>
          <t>asChild merges Atom props and consumer props</t>
        </is>
      </c>
      <c r="E43" s="18" t="inlineStr">
        <is>
          <t>yes</t>
        </is>
      </c>
      <c r="F43" s="18" t="inlineStr">
        <is>
          <t>yes</t>
        </is>
      </c>
      <c r="G43" s="12" t="inlineStr">
        <is>
          <t>passed</t>
        </is>
      </c>
      <c r="H43" s="22" t="inlineStr">
        <is>
          <t>covered</t>
        </is>
      </c>
      <c r="I43" s="13" t="inlineStr">
        <is>
          <t>SkipLink playground scenario.</t>
        </is>
      </c>
      <c r="J43" s="13" t="inlineStr">
        <is>
          <t>Manual verification passed.</t>
        </is>
      </c>
      <c r="K43" s="14">
        <f>IF(AND(E43="yes",F43="yes",H43="covered"),1,IF(H43="partial",0.5,0))</f>
        <v/>
      </c>
    </row>
    <row r="44" ht="30" customHeight="1" s="24">
      <c r="A44" s="12" t="n">
        <v>36</v>
      </c>
      <c r="B44" s="13" t="inlineStr">
        <is>
          <t>Composition</t>
        </is>
      </c>
      <c r="C44" s="13" t="inlineStr">
        <is>
          <t>SkipLink</t>
        </is>
      </c>
      <c r="D44" s="13" t="inlineStr">
        <is>
          <t>asChild lets preventDefault block Atom behavior where supported</t>
        </is>
      </c>
      <c r="E44" s="18" t="inlineStr">
        <is>
          <t>yes</t>
        </is>
      </c>
      <c r="F44" s="18" t="inlineStr">
        <is>
          <t>yes</t>
        </is>
      </c>
      <c r="G44" s="12" t="inlineStr">
        <is>
          <t>passed</t>
        </is>
      </c>
      <c r="H44" s="22" t="inlineStr">
        <is>
          <t>covered</t>
        </is>
      </c>
      <c r="I44" s="13" t="inlineStr">
        <is>
          <t>SkipLink playground scenario.</t>
        </is>
      </c>
      <c r="J44" s="13" t="inlineStr">
        <is>
          <t>Manual verification passed.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Composition</t>
        </is>
      </c>
      <c r="C45" s="13" t="inlineStr">
        <is>
          <t>SkipLink</t>
        </is>
      </c>
      <c r="D45" s="13" t="inlineStr">
        <is>
          <t>render prop renders custom element</t>
        </is>
      </c>
      <c r="E45" s="18" t="inlineStr">
        <is>
          <t>yes</t>
        </is>
      </c>
      <c r="F45" s="18" t="inlineStr">
        <is>
          <t>yes</t>
        </is>
      </c>
      <c r="G45" s="12" t="inlineStr">
        <is>
          <t>passed</t>
        </is>
      </c>
      <c r="H45" s="22" t="inlineStr">
        <is>
          <t>covered</t>
        </is>
      </c>
      <c r="I45" s="13" t="inlineStr">
        <is>
          <t>SkipLink playground scenario.</t>
        </is>
      </c>
      <c r="J45" s="13" t="inlineStr">
        <is>
          <t>Manual verification passed.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Composition</t>
        </is>
      </c>
      <c r="C46" s="13" t="inlineStr">
        <is>
          <t>SkipLink</t>
        </is>
      </c>
      <c r="D46" s="13" t="inlineStr">
        <is>
          <t>render prop preserves refs and behavior props</t>
        </is>
      </c>
      <c r="E46" s="18" t="inlineStr">
        <is>
          <t>yes</t>
        </is>
      </c>
      <c r="F46" s="18" t="inlineStr">
        <is>
          <t>yes</t>
        </is>
      </c>
      <c r="G46" s="12" t="inlineStr">
        <is>
          <t>passed</t>
        </is>
      </c>
      <c r="H46" s="22" t="inlineStr">
        <is>
          <t>covered</t>
        </is>
      </c>
      <c r="I46" s="13" t="inlineStr">
        <is>
          <t>SkipLink playground scenario.</t>
        </is>
      </c>
      <c r="J46" s="13" t="inlineStr">
        <is>
          <t>Manual verification passed.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Utility</t>
        </is>
      </c>
      <c r="C47" s="13" t="inlineStr">
        <is>
          <t>SkipLink</t>
        </is>
      </c>
      <c r="D47" s="13" t="inlineStr">
        <is>
          <t>skip link target receives programmatic focus</t>
        </is>
      </c>
      <c r="E47" s="18" t="inlineStr">
        <is>
          <t>yes</t>
        </is>
      </c>
      <c r="F47" s="18" t="inlineStr">
        <is>
          <t>yes</t>
        </is>
      </c>
      <c r="G47" s="12" t="inlineStr">
        <is>
          <t>passed</t>
        </is>
      </c>
      <c r="H47" s="22" t="inlineStr">
        <is>
          <t>covered</t>
        </is>
      </c>
      <c r="I47" s="13" t="inlineStr">
        <is>
          <t>SkipLink playground scenario.</t>
        </is>
      </c>
      <c r="J47" s="13" t="inlineStr">
        <is>
          <t>Manual verification passed.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Utility</t>
        </is>
      </c>
      <c r="C48" s="13" t="inlineStr">
        <is>
          <t>SkipLink</t>
        </is>
      </c>
      <c r="D48" s="13" t="inlineStr">
        <is>
          <t>malformed hashes do not break navigation</t>
        </is>
      </c>
      <c r="E48" s="18" t="inlineStr">
        <is>
          <t>yes</t>
        </is>
      </c>
      <c r="F48" s="18" t="inlineStr">
        <is>
          <t>yes</t>
        </is>
      </c>
      <c r="G48" s="12" t="inlineStr">
        <is>
          <t>passed</t>
        </is>
      </c>
      <c r="H48" s="22" t="inlineStr">
        <is>
          <t>covered</t>
        </is>
      </c>
      <c r="I48" s="13" t="inlineStr">
        <is>
          <t>SkipLink playground scenario.</t>
        </is>
      </c>
      <c r="J48" s="13" t="inlineStr">
        <is>
          <t>Manual verification passed.</t>
        </is>
      </c>
      <c r="K48" s="14">
        <f>IF(AND(E48="yes",F48="yes",H48="covered"),1,IF(H48="partial",0.5,0))</f>
        <v/>
      </c>
    </row>
  </sheetData>
  <autoFilter ref="A8:K48"/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Slider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IFERROR(SUM(K9:K110)/COUNT(K9:K110),0)</f>
        <v/>
      </c>
      <c r="C4" s="8" t="inlineStr">
        <is>
          <t>Covered</t>
        </is>
      </c>
      <c r="D4" s="10">
        <f>COUNTIFS(E9:E110,"yes",F9:F110,"yes",H9:H110,"covered")</f>
        <v/>
      </c>
      <c r="E4" s="8" t="inlineStr">
        <is>
          <t>Partial</t>
        </is>
      </c>
      <c r="F4" s="10">
        <f>COUNTIF(H9:H110,"partial")</f>
        <v/>
      </c>
      <c r="G4" s="8" t="inlineStr">
        <is>
          <t>Missing</t>
        </is>
      </c>
      <c r="H4" s="10">
        <f>COUNTIFS(E9:E110,"&lt;&gt;yes") + COUNTIFS(E9:E110,"yes",H9:H110,"missing")</f>
        <v/>
      </c>
      <c r="I4" s="8" t="inlineStr">
        <is>
          <t>Untested</t>
        </is>
      </c>
      <c r="J4" s="10">
        <f>COUNTIFS(E9:E110,"yes",F9:F110,"&lt;&gt;yes") + COUNTIFS(E9:E110,"yes",F9:F110,"yes",H9:H110,"untested")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Slider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Slider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Slider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Slider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Slider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Slider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Slider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Slider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Slider</t>
        </is>
      </c>
      <c r="D13" s="13" t="inlineStr">
        <is>
          <t>Supports single-value and multi-thumb range values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Slider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Slider</t>
        </is>
      </c>
      <c r="D14" s="13" t="inlineStr">
        <is>
          <t>Supports controlled and uncontrolled values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Slider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Slider</t>
        </is>
      </c>
      <c r="D15" s="13" t="inlineStr">
        <is>
          <t>Supports horizontal and vertical orientation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Slider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Slider</t>
        </is>
      </c>
      <c r="D16" s="13" t="inlineStr">
        <is>
          <t>Supports pointer dragging, keyboard changes, and commit callbacks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Slider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Slider</t>
        </is>
      </c>
      <c r="D17" s="13" t="inlineStr">
        <is>
          <t>Supports hidden form inputs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Slider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Slider</t>
        </is>
      </c>
      <c r="D18" s="13" t="inlineStr">
        <is>
          <t>Exposes geometry through data attributes and inline offset styles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Slider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Slider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Slider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Slider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Slider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Slider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Slider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Slider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Slider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Slider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onValueCommit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Slider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min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Slider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max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Slider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step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Slider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largeStep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Slider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minStepsBetweenThumbs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Slider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State</t>
        </is>
      </c>
      <c r="C34" s="13" t="inlineStr">
        <is>
          <t>Root</t>
        </is>
      </c>
      <c r="D34" s="13" t="inlineStr">
        <is>
          <t>disabled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Slider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orientation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Slider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name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Slider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form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Slider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Accessibility</t>
        </is>
      </c>
      <c r="C38" s="13" t="inlineStr">
        <is>
          <t>Root</t>
        </is>
      </c>
      <c r="D38" s="13" t="inlineStr">
        <is>
          <t>ariaLabel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Slider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Accessibility</t>
        </is>
      </c>
      <c r="C39" s="13" t="inlineStr">
        <is>
          <t>Root</t>
        </is>
      </c>
      <c r="D39" s="13" t="inlineStr">
        <is>
          <t>ariaValueText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Slider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Root</t>
        </is>
      </c>
      <c r="D40" s="13" t="inlineStr">
        <is>
          <t>[data-slot]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Slider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Root</t>
        </is>
      </c>
      <c r="D41" s="13" t="inlineStr">
        <is>
          <t>[data-orientation]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Slider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State</t>
        </is>
      </c>
      <c r="C42" s="13" t="inlineStr">
        <is>
          <t>Root</t>
        </is>
      </c>
      <c r="D42" s="13" t="inlineStr">
        <is>
          <t>[data-disabled]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Slider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Anatomy</t>
        </is>
      </c>
      <c r="C43" s="13" t="inlineStr">
        <is>
          <t>Range</t>
        </is>
      </c>
      <c r="D43" s="13" t="inlineStr">
        <is>
          <t>renders correct part when expected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Slider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Anatomy</t>
        </is>
      </c>
      <c r="C44" s="13" t="inlineStr">
        <is>
          <t>Range</t>
        </is>
      </c>
      <c r="D44" s="13" t="inlineStr">
        <is>
          <t>appears in documented order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Slider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Identity</t>
        </is>
      </c>
      <c r="C45" s="13" t="inlineStr">
        <is>
          <t>Range</t>
        </is>
      </c>
      <c r="D45" s="13" t="inlineStr">
        <is>
          <t>default tag is visible in Anatomy/Inspector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Slider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Identity</t>
        </is>
      </c>
      <c r="C46" s="13" t="inlineStr">
        <is>
          <t>Range</t>
        </is>
      </c>
      <c r="D46" s="13" t="inlineStr">
        <is>
          <t>data-slot is present and correct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Slider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30" customHeight="1" s="24">
      <c r="A47" s="12" t="n">
        <v>39</v>
      </c>
      <c r="B47" s="13" t="inlineStr">
        <is>
          <t>Props</t>
        </is>
      </c>
      <c r="C47" s="13" t="inlineStr">
        <is>
          <t>Range</t>
        </is>
      </c>
      <c r="D47" s="13" t="inlineStr">
        <is>
          <t>non-Atom native props pass through with data-prop-check marker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Slider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Refs</t>
        </is>
      </c>
      <c r="C48" s="13" t="inlineStr">
        <is>
          <t>Range</t>
        </is>
      </c>
      <c r="D48" s="13" t="inlineStr">
        <is>
          <t>consumer ref receives the rendered element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Slider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Range</t>
        </is>
      </c>
      <c r="D49" s="13" t="inlineStr">
        <is>
          <t>PageUp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Slider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Public API</t>
        </is>
      </c>
      <c r="C50" s="13" t="inlineStr">
        <is>
          <t>Range</t>
        </is>
      </c>
      <c r="D50" s="13" t="inlineStr">
        <is>
          <t>PageDown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Slider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Range</t>
        </is>
      </c>
      <c r="D51" s="13" t="inlineStr">
        <is>
          <t>Home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Slider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Range</t>
        </is>
      </c>
      <c r="D52" s="13" t="inlineStr">
        <is>
          <t>End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Slider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Anatomy</t>
        </is>
      </c>
      <c r="C53" s="13" t="inlineStr">
        <is>
          <t>Thumb</t>
        </is>
      </c>
      <c r="D53" s="13" t="inlineStr">
        <is>
          <t>renders correct part when expected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Slider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Anatomy</t>
        </is>
      </c>
      <c r="C54" s="13" t="inlineStr">
        <is>
          <t>Thumb</t>
        </is>
      </c>
      <c r="D54" s="13" t="inlineStr">
        <is>
          <t>appears in documented order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Slider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Identity</t>
        </is>
      </c>
      <c r="C55" s="13" t="inlineStr">
        <is>
          <t>Thumb</t>
        </is>
      </c>
      <c r="D55" s="13" t="inlineStr">
        <is>
          <t>default tag is visible in Anatomy/Inspector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Slider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Identity</t>
        </is>
      </c>
      <c r="C56" s="13" t="inlineStr">
        <is>
          <t>Thumb</t>
        </is>
      </c>
      <c r="D56" s="13" t="inlineStr">
        <is>
          <t>data-slot is present and correct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Slider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30" customHeight="1" s="24">
      <c r="A57" s="12" t="n">
        <v>49</v>
      </c>
      <c r="B57" s="13" t="inlineStr">
        <is>
          <t>Props</t>
        </is>
      </c>
      <c r="C57" s="13" t="inlineStr">
        <is>
          <t>Thumb</t>
        </is>
      </c>
      <c r="D57" s="13" t="inlineStr">
        <is>
          <t>non-Atom native props pass through with data-prop-check marker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Slider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Refs</t>
        </is>
      </c>
      <c r="C58" s="13" t="inlineStr">
        <is>
          <t>Thumb</t>
        </is>
      </c>
      <c r="D58" s="13" t="inlineStr">
        <is>
          <t>consumer ref receives the rendered element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Slider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Public API</t>
        </is>
      </c>
      <c r="C59" s="13" t="inlineStr">
        <is>
          <t>Thumb</t>
        </is>
      </c>
      <c r="D59" s="13" t="inlineStr">
        <is>
          <t>index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Slider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Composition</t>
        </is>
      </c>
      <c r="C60" s="13" t="inlineStr">
        <is>
          <t>Thumb</t>
        </is>
      </c>
      <c r="D60" s="13" t="inlineStr">
        <is>
          <t>asChild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Slider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Composition</t>
        </is>
      </c>
      <c r="C61" s="13" t="inlineStr">
        <is>
          <t>Thumb</t>
        </is>
      </c>
      <c r="D61" s="13" t="inlineStr">
        <is>
          <t>render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Slider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Thumb</t>
        </is>
      </c>
      <c r="D62" s="13" t="inlineStr">
        <is>
          <t>[data-slot]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Slider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State</t>
        </is>
      </c>
      <c r="C63" s="13" t="inlineStr">
        <is>
          <t>Thumb</t>
        </is>
      </c>
      <c r="D63" s="13" t="inlineStr">
        <is>
          <t>[data-value]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Slider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Thumb</t>
        </is>
      </c>
      <c r="D64" s="13" t="inlineStr">
        <is>
          <t>[data-percent]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Slider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Track</t>
        </is>
      </c>
      <c r="D65" s="13" t="inlineStr">
        <is>
          <t>renders correct part when expected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Slider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Anatomy</t>
        </is>
      </c>
      <c r="C66" s="13" t="inlineStr">
        <is>
          <t>Track</t>
        </is>
      </c>
      <c r="D66" s="13" t="inlineStr">
        <is>
          <t>appears in documented order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Slider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Track</t>
        </is>
      </c>
      <c r="D67" s="13" t="inlineStr">
        <is>
          <t>default tag is visible in Anatomy/Inspector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Slider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Identity</t>
        </is>
      </c>
      <c r="C68" s="13" t="inlineStr">
        <is>
          <t>Track</t>
        </is>
      </c>
      <c r="D68" s="13" t="inlineStr">
        <is>
          <t>data-slot is present and correct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Slider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30" customHeight="1" s="24">
      <c r="A69" s="12" t="n">
        <v>61</v>
      </c>
      <c r="B69" s="13" t="inlineStr">
        <is>
          <t>Props</t>
        </is>
      </c>
      <c r="C69" s="13" t="inlineStr">
        <is>
          <t>Track</t>
        </is>
      </c>
      <c r="D69" s="13" t="inlineStr">
        <is>
          <t>non-Atom native props pass through with data-prop-check marker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Slider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Refs</t>
        </is>
      </c>
      <c r="C70" s="13" t="inlineStr">
        <is>
          <t>Track</t>
        </is>
      </c>
      <c r="D70" s="13" t="inlineStr">
        <is>
          <t>consumer ref receives the rendered element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Slider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Composition</t>
        </is>
      </c>
      <c r="C71" s="13" t="inlineStr">
        <is>
          <t>Track</t>
        </is>
      </c>
      <c r="D71" s="13" t="inlineStr">
        <is>
          <t>asChild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Slider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Composition</t>
        </is>
      </c>
      <c r="C72" s="13" t="inlineStr">
        <is>
          <t>Track</t>
        </is>
      </c>
      <c r="D72" s="13" t="inlineStr">
        <is>
          <t>render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Slider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Public API</t>
        </is>
      </c>
      <c r="C73" s="13" t="inlineStr">
        <is>
          <t>Track</t>
        </is>
      </c>
      <c r="D73" s="13" t="inlineStr">
        <is>
          <t>[data-slot]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Slider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Public API</t>
        </is>
      </c>
      <c r="C74" s="13" t="inlineStr">
        <is>
          <t>Track</t>
        </is>
      </c>
      <c r="D74" s="13" t="inlineStr">
        <is>
          <t>[data-orientation]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Slider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State</t>
        </is>
      </c>
      <c r="C75" s="13" t="inlineStr">
        <is>
          <t>Track</t>
        </is>
      </c>
      <c r="D75" s="13" t="inlineStr">
        <is>
          <t>[data-disabled]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Slider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ARIA</t>
        </is>
      </c>
      <c r="C76" s="13" t="inlineStr">
        <is>
          <t>Live DOM</t>
        </is>
      </c>
      <c r="D76" s="13" t="inlineStr">
        <is>
          <t>aria-disabled is present at the correct time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Slider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ARIA</t>
        </is>
      </c>
      <c r="C77" s="13" t="inlineStr">
        <is>
          <t>Live DOM</t>
        </is>
      </c>
      <c r="D77" s="13" t="inlineStr">
        <is>
          <t>aria-hidden is present at the correct time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Slider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ARIA</t>
        </is>
      </c>
      <c r="C78" s="13" t="inlineStr">
        <is>
          <t>Live DOM</t>
        </is>
      </c>
      <c r="D78" s="13" t="inlineStr">
        <is>
          <t>aria-label is present at the correct time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Slider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ARIA</t>
        </is>
      </c>
      <c r="C79" s="13" t="inlineStr">
        <is>
          <t>Live DOM</t>
        </is>
      </c>
      <c r="D79" s="13" t="inlineStr">
        <is>
          <t>aria-orientation is present at the correct time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Slider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ARIA</t>
        </is>
      </c>
      <c r="C80" s="13" t="inlineStr">
        <is>
          <t>Live DOM</t>
        </is>
      </c>
      <c r="D80" s="13" t="inlineStr">
        <is>
          <t>aria-valuemax is present at the correct time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Slider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ARIA</t>
        </is>
      </c>
      <c r="C81" s="13" t="inlineStr">
        <is>
          <t>Live DOM</t>
        </is>
      </c>
      <c r="D81" s="13" t="inlineStr">
        <is>
          <t>aria-valuemin is present at the correct time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Slider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ARIA</t>
        </is>
      </c>
      <c r="C82" s="13" t="inlineStr">
        <is>
          <t>Live DOM</t>
        </is>
      </c>
      <c r="D82" s="13" t="inlineStr">
        <is>
          <t>aria-valuenow is present at the correct time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Slider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ARIA</t>
        </is>
      </c>
      <c r="C83" s="13" t="inlineStr">
        <is>
          <t>Live DOM</t>
        </is>
      </c>
      <c r="D83" s="13" t="inlineStr">
        <is>
          <t>aria-valuetext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Slider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Data</t>
        </is>
      </c>
      <c r="C84" s="13" t="inlineStr">
        <is>
          <t>Live DOM</t>
        </is>
      </c>
      <c r="D84" s="13" t="inlineStr">
        <is>
          <t>data-disabled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Slider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Data</t>
        </is>
      </c>
      <c r="C85" s="13" t="inlineStr">
        <is>
          <t>Live DOM</t>
        </is>
      </c>
      <c r="D85" s="13" t="inlineStr">
        <is>
          <t>data-end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Slider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Data</t>
        </is>
      </c>
      <c r="C86" s="13" t="inlineStr">
        <is>
          <t>Live DOM</t>
        </is>
      </c>
      <c r="D86" s="13" t="inlineStr">
        <is>
          <t>data-orientation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Slider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Data</t>
        </is>
      </c>
      <c r="C87" s="13" t="inlineStr">
        <is>
          <t>Live DOM</t>
        </is>
      </c>
      <c r="D87" s="13" t="inlineStr">
        <is>
          <t>data-percent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Slider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data-slot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Slider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Data</t>
        </is>
      </c>
      <c r="C89" s="13" t="inlineStr">
        <is>
          <t>Live DOM</t>
        </is>
      </c>
      <c r="D89" s="13" t="inlineStr">
        <is>
          <t>data-start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Slider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Data</t>
        </is>
      </c>
      <c r="C90" s="13" t="inlineStr">
        <is>
          <t>Live DOM</t>
        </is>
      </c>
      <c r="D90" s="13" t="inlineStr">
        <is>
          <t>data-value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Slider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Composition</t>
        </is>
      </c>
      <c r="C91" s="13" t="inlineStr">
        <is>
          <t>Slider</t>
        </is>
      </c>
      <c r="D91" s="13" t="inlineStr">
        <is>
          <t>asChild preserves child content without double nesting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Slider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Composition</t>
        </is>
      </c>
      <c r="C92" s="13" t="inlineStr">
        <is>
          <t>Slider</t>
        </is>
      </c>
      <c r="D92" s="13" t="inlineStr">
        <is>
          <t>asChild merges Atom props and consumer props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Slider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30" customHeight="1" s="24">
      <c r="A93" s="12" t="n">
        <v>85</v>
      </c>
      <c r="B93" s="13" t="inlineStr">
        <is>
          <t>Composition</t>
        </is>
      </c>
      <c r="C93" s="13" t="inlineStr">
        <is>
          <t>Slider</t>
        </is>
      </c>
      <c r="D93" s="13" t="inlineStr">
        <is>
          <t>asChild lets preventDefault block Atom behavior where supported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Slider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Composition</t>
        </is>
      </c>
      <c r="C94" s="13" t="inlineStr">
        <is>
          <t>Slider</t>
        </is>
      </c>
      <c r="D94" s="13" t="inlineStr">
        <is>
          <t>render prop renders custom element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Slider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Composition</t>
        </is>
      </c>
      <c r="C95" s="13" t="inlineStr">
        <is>
          <t>Slider</t>
        </is>
      </c>
      <c r="D95" s="13" t="inlineStr">
        <is>
          <t>render prop preserves refs and behavior props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Slider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State</t>
        </is>
      </c>
      <c r="C96" s="13" t="inlineStr">
        <is>
          <t>Root</t>
        </is>
      </c>
      <c r="D96" s="13" t="inlineStr">
        <is>
          <t>controlled state path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Slider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State</t>
        </is>
      </c>
      <c r="C97" s="13" t="inlineStr">
        <is>
          <t>Root</t>
        </is>
      </c>
      <c r="D97" s="13" t="inlineStr">
        <is>
          <t>uncontrolled default state path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Slider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State</t>
        </is>
      </c>
      <c r="C98" s="13" t="inlineStr">
        <is>
          <t>Root</t>
        </is>
      </c>
      <c r="D98" s="13" t="inlineStr">
        <is>
          <t>state change callback fires once with correct value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Slider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30" customHeight="1" s="24">
      <c r="A99" s="12" t="n">
        <v>91</v>
      </c>
      <c r="B99" s="13" t="inlineStr">
        <is>
          <t>State</t>
        </is>
      </c>
      <c r="C99" s="13" t="inlineStr">
        <is>
          <t>Slider</t>
        </is>
      </c>
      <c r="D99" s="13" t="inlineStr">
        <is>
          <t>disabled state blocks or exposes behavior correctly where supported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Slider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30" customHeight="1" s="24">
      <c r="A100" s="12" t="n">
        <v>92</v>
      </c>
      <c r="B100" s="13" t="inlineStr">
        <is>
          <t>State</t>
        </is>
      </c>
      <c r="C100" s="13" t="inlineStr">
        <is>
          <t>Slider</t>
        </is>
      </c>
      <c r="D100" s="13" t="inlineStr">
        <is>
          <t>readonly/readOnly state blocks or exposes behavior correctly where supported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Slider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30" customHeight="1" s="24">
      <c r="A101" s="12" t="n">
        <v>93</v>
      </c>
      <c r="B101" s="13" t="inlineStr">
        <is>
          <t>State</t>
        </is>
      </c>
      <c r="C101" s="13" t="inlineStr">
        <is>
          <t>Slider</t>
        </is>
      </c>
      <c r="D101" s="13" t="inlineStr">
        <is>
          <t>required state blocks or exposes behavior correctly where supported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Slider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30" customHeight="1" s="24">
      <c r="A102" s="12" t="n">
        <v>94</v>
      </c>
      <c r="B102" s="13" t="inlineStr">
        <is>
          <t>State</t>
        </is>
      </c>
      <c r="C102" s="13" t="inlineStr">
        <is>
          <t>Slider</t>
        </is>
      </c>
      <c r="D102" s="13" t="inlineStr">
        <is>
          <t>invalid state blocks or exposes behavior correctly where supported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Slider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Forms</t>
        </is>
      </c>
      <c r="C103" s="13" t="inlineStr">
        <is>
          <t>Slider</t>
        </is>
      </c>
      <c r="D103" s="13" t="inlineStr">
        <is>
          <t>form value participates correctly where supported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Slider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30" customHeight="1" s="24">
      <c r="A104" s="12" t="n">
        <v>96</v>
      </c>
      <c r="B104" s="13" t="inlineStr">
        <is>
          <t>Forms</t>
        </is>
      </c>
      <c r="C104" s="13" t="inlineStr">
        <is>
          <t>Slider</t>
        </is>
      </c>
      <c r="D104" s="13" t="inlineStr">
        <is>
          <t>hidden input mirrors value/checked/disabled where supported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Slider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Portal</t>
        </is>
      </c>
      <c r="C105" s="13" t="inlineStr">
        <is>
          <t>Slider</t>
        </is>
      </c>
      <c r="D105" s="13" t="inlineStr">
        <is>
          <t>portal renders in body by default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Slider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Portal</t>
        </is>
      </c>
      <c r="C106" s="13" t="inlineStr">
        <is>
          <t>Slider</t>
        </is>
      </c>
      <c r="D106" s="13" t="inlineStr">
        <is>
          <t>custom/disabled portal path works where supported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Slider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30" customHeight="1" s="24">
      <c r="A107" s="12" t="n">
        <v>99</v>
      </c>
      <c r="B107" s="13" t="inlineStr">
        <is>
          <t>Direction</t>
        </is>
      </c>
      <c r="C107" s="13" t="inlineStr">
        <is>
          <t>Root</t>
        </is>
      </c>
      <c r="D107" s="13" t="inlineStr">
        <is>
          <t>reads Direction.Provider context for horizontal slider math</t>
        </is>
      </c>
      <c r="E107" s="21" t="inlineStr">
        <is>
          <t>no</t>
        </is>
      </c>
      <c r="F107" s="19" t="inlineStr">
        <is>
          <t>no</t>
        </is>
      </c>
      <c r="G107" s="12" t="inlineStr">
        <is>
          <t>missing</t>
        </is>
      </c>
      <c r="H107" s="21" t="inlineStr">
        <is>
          <t>missing</t>
        </is>
      </c>
      <c r="I107" s="13" t="n"/>
      <c r="J107" s="13" t="inlineStr">
        <is>
          <t>Add Direction.Provider fallback before testing RTL slider behavior.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Direction</t>
        </is>
      </c>
      <c r="C108" s="13" t="inlineStr">
        <is>
          <t>Root</t>
        </is>
      </c>
      <c r="D108" s="13" t="inlineStr">
        <is>
          <t>RTL mirrors ArrowLeft and ArrowRight value changes</t>
        </is>
      </c>
      <c r="E108" s="21" t="inlineStr">
        <is>
          <t>no</t>
        </is>
      </c>
      <c r="F108" s="19" t="inlineStr">
        <is>
          <t>no</t>
        </is>
      </c>
      <c r="G108" s="12" t="inlineStr">
        <is>
          <t>missing</t>
        </is>
      </c>
      <c r="H108" s="21" t="inlineStr">
        <is>
          <t>missing</t>
        </is>
      </c>
      <c r="I108" s="13" t="n"/>
      <c r="J108" s="13" t="inlineStr">
        <is>
          <t>Implement and test RTL key mapping.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Direction</t>
        </is>
      </c>
      <c r="C109" s="13" t="inlineStr">
        <is>
          <t>Root</t>
        </is>
      </c>
      <c r="D109" s="13" t="inlineStr">
        <is>
          <t>RTL mirrors pointer math for horizontal value changes</t>
        </is>
      </c>
      <c r="E109" s="21" t="inlineStr">
        <is>
          <t>no</t>
        </is>
      </c>
      <c r="F109" s="19" t="inlineStr">
        <is>
          <t>no</t>
        </is>
      </c>
      <c r="G109" s="12" t="inlineStr">
        <is>
          <t>missing</t>
        </is>
      </c>
      <c r="H109" s="21" t="inlineStr">
        <is>
          <t>missing</t>
        </is>
      </c>
      <c r="I109" s="13" t="n"/>
      <c r="J109" s="13" t="inlineStr">
        <is>
          <t>Implement and test RTL pointer math.</t>
        </is>
      </c>
      <c r="K109" s="14">
        <f>IF(AND(E109="yes",F109="yes",H109="covered"),1,IF(H109="partial",0.5,0))</f>
        <v/>
      </c>
    </row>
    <row r="110" ht="30" customHeight="1" s="24">
      <c r="A110" s="12" t="n">
        <v>102</v>
      </c>
      <c r="B110" s="13" t="inlineStr">
        <is>
          <t>Playground</t>
        </is>
      </c>
      <c r="C110" s="13" t="inlineStr">
        <is>
          <t>Direction controls</t>
        </is>
      </c>
      <c r="D110" s="13" t="inlineStr">
        <is>
          <t>scenario exposes provider direction controls</t>
        </is>
      </c>
      <c r="E110" s="21" t="inlineStr">
        <is>
          <t>no</t>
        </is>
      </c>
      <c r="F110" s="19" t="inlineStr">
        <is>
          <t>no</t>
        </is>
      </c>
      <c r="G110" s="12" t="inlineStr">
        <is>
          <t>missing</t>
        </is>
      </c>
      <c r="H110" s="21" t="inlineStr">
        <is>
          <t>missing</t>
        </is>
      </c>
      <c r="I110" s="13" t="n"/>
      <c r="J110" s="13" t="inlineStr">
        <is>
          <t>Add provider direction controls to the playground scenario.</t>
        </is>
      </c>
      <c r="K110" s="14">
        <f>IF(AND(E110="yes",F110="yes",H110="covered"),1,IF(H110="partial",0.5,0))</f>
        <v/>
      </c>
    </row>
  </sheetData>
  <autoFilter ref="A8:K110"/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SwipeableItem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IFERROR(SUM(K9:K111)/COUNT(K9:K111),0)</f>
        <v/>
      </c>
      <c r="C4" s="8" t="inlineStr">
        <is>
          <t>Covered</t>
        </is>
      </c>
      <c r="D4" s="10">
        <f>COUNTIFS(E9:E111,"yes",F9:F111,"yes",H9:H111,"covered")</f>
        <v/>
      </c>
      <c r="E4" s="8" t="inlineStr">
        <is>
          <t>Partial</t>
        </is>
      </c>
      <c r="F4" s="10">
        <f>COUNTIF(H9:H111,"partial")</f>
        <v/>
      </c>
      <c r="G4" s="8" t="inlineStr">
        <is>
          <t>Missing</t>
        </is>
      </c>
      <c r="H4" s="10">
        <f>COUNTIFS(E9:E111,"&lt;&gt;yes") + COUNTIFS(E9:E111,"yes",H9:H111,"missing")</f>
        <v/>
      </c>
      <c r="I4" s="8" t="inlineStr">
        <is>
          <t>Untested</t>
        </is>
      </c>
      <c r="J4" s="10">
        <f>COUNTIFS(E9:E111,"yes",F9:F111,"&lt;&gt;yes") + COUNTIFS(E9:E111,"yes",F9:F111,"yes",H9:H111,"untested")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SwipeableItem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SwipeableItem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SwipeableItem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SwipeableItem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SwipeableItem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SwipeableItem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SwipeableItem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SwipeableItem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SwipeableItem</t>
        </is>
      </c>
      <c r="D13" s="13" t="inlineStr">
        <is>
          <t>Supports start and end action panels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SwipeableItem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SwipeableItem</t>
        </is>
      </c>
      <c r="D14" s="13" t="inlineStr">
        <is>
          <t>Supports pointer dragging and keyboard opening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SwipeableItem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SwipeableItem</t>
        </is>
      </c>
      <c r="D15" s="13" t="inlineStr">
        <is>
          <t>Supports controlled and uncontrolled open side state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SwipeableItem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SwipeableItem</t>
        </is>
      </c>
      <c r="D16" s="13" t="inlineStr">
        <is>
          <t>Supports left-to-right and right-to-left direction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SwipeableItem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SwipeableItem</t>
        </is>
      </c>
      <c r="D17" s="13" t="inlineStr">
        <is>
          <t>Supports optional full-swipe actions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SwipeableItem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SwipeableItem</t>
        </is>
      </c>
      <c r="D18" s="13" t="inlineStr">
        <is>
          <t>Supports `asChild` and `render` on every part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SwipeableItem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SwipeableItem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SwipeableItem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SwipeableItem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SwipeableItem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SwipeableItem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SwipeableItem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asChild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SwipeableItem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Composition</t>
        </is>
      </c>
      <c r="C26" s="13" t="inlineStr">
        <is>
          <t>Root</t>
        </is>
      </c>
      <c r="D26" s="13" t="inlineStr">
        <is>
          <t>render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SwipeableItem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openSide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SwipeableItem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defaultOpenSide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SwipeableItem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onOpenSideChange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SwipeableItem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onFullSwipe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SwipeableItem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disabled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SwipeableItem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readOnly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SwipeableItem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threshold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SwipeableItem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fullSwipeThreshold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SwipeableItem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dir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SwipeableItem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[data-slot]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SwipeableItem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[data-state]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SwipeableItem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Positioning</t>
        </is>
      </c>
      <c r="C38" s="13" t="inlineStr">
        <is>
          <t>Root</t>
        </is>
      </c>
      <c r="D38" s="13" t="inlineStr">
        <is>
          <t>[data-side]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SwipeableItem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Root</t>
        </is>
      </c>
      <c r="D39" s="13" t="inlineStr">
        <is>
          <t>[data-dragging]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SwipeableItem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Root</t>
        </is>
      </c>
      <c r="D40" s="13" t="inlineStr">
        <is>
          <t>[data-disabled]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SwipeableItem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[data-readonly]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SwipeableItem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Positioning</t>
        </is>
      </c>
      <c r="C42" s="13" t="inlineStr">
        <is>
          <t>Root</t>
        </is>
      </c>
      <c r="D42" s="13" t="inlineStr">
        <is>
          <t>--atom-swipeable-item-offset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SwipeableItem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Root</t>
        </is>
      </c>
      <c r="D43" s="13" t="inlineStr">
        <is>
          <t>--atom-swipeable-item-start-size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SwipeableItem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Root</t>
        </is>
      </c>
      <c r="D44" s="13" t="inlineStr">
        <is>
          <t>--atom-swipeable-item-end-size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SwipeableItem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Content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SwipeableItem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Content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SwipeableItem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Content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SwipeableItem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Content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SwipeableItem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Content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SwipeableItem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Content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SwipeableItem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Composition</t>
        </is>
      </c>
      <c r="C51" s="13" t="inlineStr">
        <is>
          <t>Content</t>
        </is>
      </c>
      <c r="D51" s="13" t="inlineStr">
        <is>
          <t>asChild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SwipeableItem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Composition</t>
        </is>
      </c>
      <c r="C52" s="13" t="inlineStr">
        <is>
          <t>Content</t>
        </is>
      </c>
      <c r="D52" s="13" t="inlineStr">
        <is>
          <t>render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SwipeableItem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Content</t>
        </is>
      </c>
      <c r="D53" s="13" t="inlineStr">
        <is>
          <t>tabIndex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SwipeableItem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Content</t>
        </is>
      </c>
      <c r="D54" s="13" t="inlineStr">
        <is>
          <t>[data-slot]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SwipeableItem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Content</t>
        </is>
      </c>
      <c r="D55" s="13" t="inlineStr">
        <is>
          <t>[data-state]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SwipeableItem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Positioning</t>
        </is>
      </c>
      <c r="C56" s="13" t="inlineStr">
        <is>
          <t>Content</t>
        </is>
      </c>
      <c r="D56" s="13" t="inlineStr">
        <is>
          <t>[data-side]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SwipeableItem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Public API</t>
        </is>
      </c>
      <c r="C57" s="13" t="inlineStr">
        <is>
          <t>Content</t>
        </is>
      </c>
      <c r="D57" s="13" t="inlineStr">
        <is>
          <t>[data-dragging]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SwipeableItem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State</t>
        </is>
      </c>
      <c r="C58" s="13" t="inlineStr">
        <is>
          <t>Content</t>
        </is>
      </c>
      <c r="D58" s="13" t="inlineStr">
        <is>
          <t>[data-disabled]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SwipeableItem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State</t>
        </is>
      </c>
      <c r="C59" s="13" t="inlineStr">
        <is>
          <t>Content</t>
        </is>
      </c>
      <c r="D59" s="13" t="inlineStr">
        <is>
          <t>[data-readonly]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SwipeableItem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Anatomy</t>
        </is>
      </c>
      <c r="C60" s="13" t="inlineStr">
        <is>
          <t>Actions</t>
        </is>
      </c>
      <c r="D60" s="13" t="inlineStr">
        <is>
          <t>renders correct part when expected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SwipeableItem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Anatomy</t>
        </is>
      </c>
      <c r="C61" s="13" t="inlineStr">
        <is>
          <t>Actions</t>
        </is>
      </c>
      <c r="D61" s="13" t="inlineStr">
        <is>
          <t>appears in documented order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SwipeableItem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Identity</t>
        </is>
      </c>
      <c r="C62" s="13" t="inlineStr">
        <is>
          <t>Actions</t>
        </is>
      </c>
      <c r="D62" s="13" t="inlineStr">
        <is>
          <t>default tag is visible in Anatomy/Inspector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SwipeableItem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Identity</t>
        </is>
      </c>
      <c r="C63" s="13" t="inlineStr">
        <is>
          <t>Actions</t>
        </is>
      </c>
      <c r="D63" s="13" t="inlineStr">
        <is>
          <t>data-slot is present and correct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SwipeableItem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30" customHeight="1" s="24">
      <c r="A64" s="12" t="n">
        <v>56</v>
      </c>
      <c r="B64" s="13" t="inlineStr">
        <is>
          <t>Props</t>
        </is>
      </c>
      <c r="C64" s="13" t="inlineStr">
        <is>
          <t>Actions</t>
        </is>
      </c>
      <c r="D64" s="13" t="inlineStr">
        <is>
          <t>non-Atom native props pass through with data-prop-check marker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SwipeableItem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Refs</t>
        </is>
      </c>
      <c r="C65" s="13" t="inlineStr">
        <is>
          <t>Actions</t>
        </is>
      </c>
      <c r="D65" s="13" t="inlineStr">
        <is>
          <t>consumer ref receives the rendered element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SwipeableItem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Composition</t>
        </is>
      </c>
      <c r="C66" s="13" t="inlineStr">
        <is>
          <t>Actions</t>
        </is>
      </c>
      <c r="D66" s="13" t="inlineStr">
        <is>
          <t>asChild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SwipeableItem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Composition</t>
        </is>
      </c>
      <c r="C67" s="13" t="inlineStr">
        <is>
          <t>Actions</t>
        </is>
      </c>
      <c r="D67" s="13" t="inlineStr">
        <is>
          <t>render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SwipeableItem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Positioning</t>
        </is>
      </c>
      <c r="C68" s="13" t="inlineStr">
        <is>
          <t>Actions</t>
        </is>
      </c>
      <c r="D68" s="13" t="inlineStr">
        <is>
          <t>side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SwipeableItem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Accessibility</t>
        </is>
      </c>
      <c r="C69" s="13" t="inlineStr">
        <is>
          <t>Actions</t>
        </is>
      </c>
      <c r="D69" s="13" t="inlineStr">
        <is>
          <t>aria-label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SwipeableItem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Actions</t>
        </is>
      </c>
      <c r="D70" s="13" t="inlineStr">
        <is>
          <t>[data-slot]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SwipeableItem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Positioning</t>
        </is>
      </c>
      <c r="C71" s="13" t="inlineStr">
        <is>
          <t>Actions</t>
        </is>
      </c>
      <c r="D71" s="13" t="inlineStr">
        <is>
          <t>[data-side]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SwipeableItem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Actions</t>
        </is>
      </c>
      <c r="D72" s="13" t="inlineStr">
        <is>
          <t>[data-state]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SwipeableItem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Anatomy</t>
        </is>
      </c>
      <c r="C73" s="13" t="inlineStr">
        <is>
          <t>ItemActions</t>
        </is>
      </c>
      <c r="D73" s="13" t="inlineStr">
        <is>
          <t>renders correct part when expected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SwipeableItem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Anatomy</t>
        </is>
      </c>
      <c r="C74" s="13" t="inlineStr">
        <is>
          <t>ItemActions</t>
        </is>
      </c>
      <c r="D74" s="13" t="inlineStr">
        <is>
          <t>appears in documented order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SwipeableItem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Identity</t>
        </is>
      </c>
      <c r="C75" s="13" t="inlineStr">
        <is>
          <t>ItemActions</t>
        </is>
      </c>
      <c r="D75" s="13" t="inlineStr">
        <is>
          <t>default tag is visible in Anatomy/Inspector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SwipeableItem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Identity</t>
        </is>
      </c>
      <c r="C76" s="13" t="inlineStr">
        <is>
          <t>ItemActions</t>
        </is>
      </c>
      <c r="D76" s="13" t="inlineStr">
        <is>
          <t>data-slot is present and correct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SwipeableItem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30" customHeight="1" s="24">
      <c r="A77" s="12" t="n">
        <v>69</v>
      </c>
      <c r="B77" s="13" t="inlineStr">
        <is>
          <t>Props</t>
        </is>
      </c>
      <c r="C77" s="13" t="inlineStr">
        <is>
          <t>ItemActions</t>
        </is>
      </c>
      <c r="D77" s="13" t="inlineStr">
        <is>
          <t>non-Atom native props pass through with data-prop-check marker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SwipeableItem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Refs</t>
        </is>
      </c>
      <c r="C78" s="13" t="inlineStr">
        <is>
          <t>ItemActions</t>
        </is>
      </c>
      <c r="D78" s="13" t="inlineStr">
        <is>
          <t>consumer ref receives the rendered element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SwipeableItem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Anatomy</t>
        </is>
      </c>
      <c r="C79" s="13" t="inlineStr">
        <is>
          <t>ItemContent</t>
        </is>
      </c>
      <c r="D79" s="13" t="inlineStr">
        <is>
          <t>renders correct part when expected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SwipeableItem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Anatomy</t>
        </is>
      </c>
      <c r="C80" s="13" t="inlineStr">
        <is>
          <t>ItemContent</t>
        </is>
      </c>
      <c r="D80" s="13" t="inlineStr">
        <is>
          <t>appears in documented order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SwipeableItem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Identity</t>
        </is>
      </c>
      <c r="C81" s="13" t="inlineStr">
        <is>
          <t>ItemContent</t>
        </is>
      </c>
      <c r="D81" s="13" t="inlineStr">
        <is>
          <t>default tag is visible in Anatomy/Inspector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SwipeableItem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Identity</t>
        </is>
      </c>
      <c r="C82" s="13" t="inlineStr">
        <is>
          <t>ItemContent</t>
        </is>
      </c>
      <c r="D82" s="13" t="inlineStr">
        <is>
          <t>data-slot is present and correct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SwipeableItem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30" customHeight="1" s="24">
      <c r="A83" s="12" t="n">
        <v>75</v>
      </c>
      <c r="B83" s="13" t="inlineStr">
        <is>
          <t>Props</t>
        </is>
      </c>
      <c r="C83" s="13" t="inlineStr">
        <is>
          <t>ItemContent</t>
        </is>
      </c>
      <c r="D83" s="13" t="inlineStr">
        <is>
          <t>non-Atom native props pass through with data-prop-check marker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SwipeableItem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Refs</t>
        </is>
      </c>
      <c r="C84" s="13" t="inlineStr">
        <is>
          <t>ItemContent</t>
        </is>
      </c>
      <c r="D84" s="13" t="inlineStr">
        <is>
          <t>consumer ref receives the rendered element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SwipeableItem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ARIA</t>
        </is>
      </c>
      <c r="C85" s="13" t="inlineStr">
        <is>
          <t>Live DOM</t>
        </is>
      </c>
      <c r="D85" s="13" t="inlineStr">
        <is>
          <t>aria-disabled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SwipeableItem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ARIA</t>
        </is>
      </c>
      <c r="C86" s="13" t="inlineStr">
        <is>
          <t>Live DOM</t>
        </is>
      </c>
      <c r="D86" s="13" t="inlineStr">
        <is>
          <t>aria-hidden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SwipeableItem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ARIA</t>
        </is>
      </c>
      <c r="C87" s="13" t="inlineStr">
        <is>
          <t>Live DOM</t>
        </is>
      </c>
      <c r="D87" s="13" t="inlineStr">
        <is>
          <t>aria-label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SwipeableItem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data-disabled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SwipeableItem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Data</t>
        </is>
      </c>
      <c r="C89" s="13" t="inlineStr">
        <is>
          <t>Live DOM</t>
        </is>
      </c>
      <c r="D89" s="13" t="inlineStr">
        <is>
          <t>data-dragging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SwipeableItem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Data</t>
        </is>
      </c>
      <c r="C90" s="13" t="inlineStr">
        <is>
          <t>Live DOM</t>
        </is>
      </c>
      <c r="D90" s="13" t="inlineStr">
        <is>
          <t>data-readonly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SwipeableItem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Data</t>
        </is>
      </c>
      <c r="C91" s="13" t="inlineStr">
        <is>
          <t>Live DOM</t>
        </is>
      </c>
      <c r="D91" s="13" t="inlineStr">
        <is>
          <t>data-side is present at the correct time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SwipeableItem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Data</t>
        </is>
      </c>
      <c r="C92" s="13" t="inlineStr">
        <is>
          <t>Live DOM</t>
        </is>
      </c>
      <c r="D92" s="13" t="inlineStr">
        <is>
          <t>data-slot is present at the correct time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SwipeableItem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Data</t>
        </is>
      </c>
      <c r="C93" s="13" t="inlineStr">
        <is>
          <t>Live DOM</t>
        </is>
      </c>
      <c r="D93" s="13" t="inlineStr">
        <is>
          <t>data-state is present at the correct time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SwipeableItem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Composition</t>
        </is>
      </c>
      <c r="C94" s="13" t="inlineStr">
        <is>
          <t>SwipeableItem</t>
        </is>
      </c>
      <c r="D94" s="13" t="inlineStr">
        <is>
          <t>asChild preserves child content without double nesting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SwipeableItem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Composition</t>
        </is>
      </c>
      <c r="C95" s="13" t="inlineStr">
        <is>
          <t>SwipeableItem</t>
        </is>
      </c>
      <c r="D95" s="13" t="inlineStr">
        <is>
          <t>asChild merges Atom props and consumer props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SwipeableItem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30" customHeight="1" s="24">
      <c r="A96" s="12" t="n">
        <v>88</v>
      </c>
      <c r="B96" s="13" t="inlineStr">
        <is>
          <t>Composition</t>
        </is>
      </c>
      <c r="C96" s="13" t="inlineStr">
        <is>
          <t>SwipeableItem</t>
        </is>
      </c>
      <c r="D96" s="13" t="inlineStr">
        <is>
          <t>asChild lets preventDefault block Atom behavior where supported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SwipeableItem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Composition</t>
        </is>
      </c>
      <c r="C97" s="13" t="inlineStr">
        <is>
          <t>SwipeableItem</t>
        </is>
      </c>
      <c r="D97" s="13" t="inlineStr">
        <is>
          <t>render prop renders custom element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SwipeableItem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Composition</t>
        </is>
      </c>
      <c r="C98" s="13" t="inlineStr">
        <is>
          <t>SwipeableItem</t>
        </is>
      </c>
      <c r="D98" s="13" t="inlineStr">
        <is>
          <t>render prop preserves refs and behavior props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SwipeableItem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State</t>
        </is>
      </c>
      <c r="C99" s="13" t="inlineStr">
        <is>
          <t>Root</t>
        </is>
      </c>
      <c r="D99" s="13" t="inlineStr">
        <is>
          <t>controlled state path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SwipeableItem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State</t>
        </is>
      </c>
      <c r="C100" s="13" t="inlineStr">
        <is>
          <t>Root</t>
        </is>
      </c>
      <c r="D100" s="13" t="inlineStr">
        <is>
          <t>uncontrolled default state path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SwipeableItem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State</t>
        </is>
      </c>
      <c r="C101" s="13" t="inlineStr">
        <is>
          <t>Root</t>
        </is>
      </c>
      <c r="D101" s="13" t="inlineStr">
        <is>
          <t>state change callback fires once with correct value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SwipeableItem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Keyboard</t>
        </is>
      </c>
      <c r="C102" s="13" t="inlineStr">
        <is>
          <t>SwipeableItem</t>
        </is>
      </c>
      <c r="D102" s="13" t="inlineStr">
        <is>
          <t>Escape behavior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SwipeableItem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Positioning</t>
        </is>
      </c>
      <c r="C103" s="13" t="inlineStr">
        <is>
          <t>SwipeableItem</t>
        </is>
      </c>
      <c r="D103" s="13" t="inlineStr">
        <is>
          <t>side options position content correctly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SwipeableItem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Positioning</t>
        </is>
      </c>
      <c r="C104" s="13" t="inlineStr">
        <is>
          <t>SwipeableItem</t>
        </is>
      </c>
      <c r="D104" s="13" t="inlineStr">
        <is>
          <t>align options position content correctly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SwipeableItem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Positioning</t>
        </is>
      </c>
      <c r="C105" s="13" t="inlineStr">
        <is>
          <t>SwipeableItem</t>
        </is>
      </c>
      <c r="D105" s="13" t="inlineStr">
        <is>
          <t>collision/flip/shift behavior stays in viewport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SwipeableItem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30" customHeight="1" s="24">
      <c r="A106" s="12" t="n">
        <v>98</v>
      </c>
      <c r="B106" s="13" t="inlineStr">
        <is>
          <t>Positioning</t>
        </is>
      </c>
      <c r="C106" s="13" t="inlineStr">
        <is>
          <t>SwipeableItem</t>
        </is>
      </c>
      <c r="D106" s="13" t="inlineStr">
        <is>
          <t>arrow or anchor geometry matches content where supported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SwipeableItem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30" customHeight="1" s="24">
      <c r="A107" s="12" t="n">
        <v>99</v>
      </c>
      <c r="B107" s="13" t="inlineStr">
        <is>
          <t>Direction</t>
        </is>
      </c>
      <c r="C107" s="13" t="inlineStr">
        <is>
          <t>Root</t>
        </is>
      </c>
      <c r="D107" s="13" t="inlineStr">
        <is>
          <t>reads Direction.Provider context before defaulting to ltr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Direction-sensitive behavior is supported by source; manual verification needed.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30" customHeight="1" s="24">
      <c r="A108" s="12" t="n">
        <v>100</v>
      </c>
      <c r="B108" s="13" t="inlineStr">
        <is>
          <t>Direction</t>
        </is>
      </c>
      <c r="C108" s="13" t="inlineStr">
        <is>
          <t>Root</t>
        </is>
      </c>
      <c r="D108" s="13" t="inlineStr">
        <is>
          <t>direct dir prop overrides provider direction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Direction-sensitive behavior is supported by source; manual verification needed.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30" customHeight="1" s="24">
      <c r="A109" s="12" t="n">
        <v>101</v>
      </c>
      <c r="B109" s="13" t="inlineStr">
        <is>
          <t>Direction</t>
        </is>
      </c>
      <c r="C109" s="13" t="inlineStr">
        <is>
          <t>Root</t>
        </is>
      </c>
      <c r="D109" s="13" t="inlineStr">
        <is>
          <t>RTL mirrors start and end swipe sides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Direction-sensitive behavior is supported by source; manual verification needed.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30" customHeight="1" s="24">
      <c r="A110" s="12" t="n">
        <v>102</v>
      </c>
      <c r="B110" s="13" t="inlineStr">
        <is>
          <t>Direction</t>
        </is>
      </c>
      <c r="C110" s="13" t="inlineStr">
        <is>
          <t>Root</t>
        </is>
      </c>
      <c r="D110" s="13" t="inlineStr">
        <is>
          <t>RTL mirrors ArrowLeft and ArrowRight open side behavior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Direction-sensitive behavior is supported by source; manual verification needed.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30" customHeight="1" s="24">
      <c r="A111" s="12" t="n">
        <v>103</v>
      </c>
      <c r="B111" s="13" t="inlineStr">
        <is>
          <t>Playground</t>
        </is>
      </c>
      <c r="C111" s="13" t="inlineStr">
        <is>
          <t>Direction controls</t>
        </is>
      </c>
      <c r="D111" s="13" t="inlineStr">
        <is>
          <t>scenario exposes provider direction and direct dir override separately</t>
        </is>
      </c>
      <c r="E111" s="21" t="inlineStr">
        <is>
          <t>no</t>
        </is>
      </c>
      <c r="F111" s="19" t="inlineStr">
        <is>
          <t>no</t>
        </is>
      </c>
      <c r="G111" s="12" t="inlineStr">
        <is>
          <t>missing</t>
        </is>
      </c>
      <c r="H111" s="21" t="inlineStr">
        <is>
          <t>missing</t>
        </is>
      </c>
      <c r="I111" s="13" t="n"/>
      <c r="J111" s="13" t="inlineStr">
        <is>
          <t>Add separate provider and direct override controls.</t>
        </is>
      </c>
      <c r="K111" s="14">
        <f>IF(AND(E111="yes",F111="yes",H111="covered"),1,IF(H111="partial",0.5,0))</f>
        <v/>
      </c>
    </row>
  </sheetData>
  <autoFilter ref="A8:K111"/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Switch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IFERROR(SUM(K9:K83)/COUNT(K9:K83),0)</f>
        <v/>
      </c>
      <c r="C4" s="8" t="inlineStr">
        <is>
          <t>Covered</t>
        </is>
      </c>
      <c r="D4" s="10">
        <f>COUNTIFS(E9:E83,"yes",F9:F83,"yes",H9:H83,"covered")</f>
        <v/>
      </c>
      <c r="E4" s="8" t="inlineStr">
        <is>
          <t>Partial</t>
        </is>
      </c>
      <c r="F4" s="10">
        <f>COUNTIF(H9:H83,"partial")</f>
        <v/>
      </c>
      <c r="G4" s="8" t="inlineStr">
        <is>
          <t>Missing</t>
        </is>
      </c>
      <c r="H4" s="10">
        <f>COUNTIFS(E9:E83,"&lt;&gt;yes") + COUNTIFS(E9:E83,"yes",H9:H83,"missing")</f>
        <v/>
      </c>
      <c r="I4" s="8" t="inlineStr">
        <is>
          <t>Untested</t>
        </is>
      </c>
      <c r="J4" s="10">
        <f>COUNTIFS(E9:E83,"yes",F9:F83,"&lt;&gt;yes") + COUNTIFS(E9:E83,"yes",F9:F83,"yes",H9:H83,"untested")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Switch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Switch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45" customHeight="1" s="24">
      <c r="A10" s="12" t="n">
        <v>2</v>
      </c>
      <c r="B10" s="13" t="inlineStr">
        <is>
          <t>Playground</t>
        </is>
      </c>
      <c r="C10" s="13" t="inlineStr">
        <is>
          <t>Switch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Switch playground page uses shared Canvas/Source, Anatomy, Inspector, and Log infrastructure.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Switch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Switch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Switch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Switch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Switch</t>
        </is>
      </c>
      <c r="D13" s="13" t="inlineStr">
        <is>
          <t>Renders a WAI-ARIA switch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Switch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Switch</t>
        </is>
      </c>
      <c r="D14" s="13" t="inlineStr">
        <is>
          <t>Can be controlled or uncontrolled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Switch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Switch</t>
        </is>
      </c>
      <c r="D15" s="13" t="inlineStr">
        <is>
          <t>Supports disabled, read-only, required, and invalid states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Switch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Switch</t>
        </is>
      </c>
      <c r="D16" s="13" t="inlineStr">
        <is>
          <t>Renders an optional hidden checkbox input for native form submission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Switch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Switch</t>
        </is>
      </c>
      <c r="D17" s="13" t="inlineStr">
        <is>
          <t>Includes a decorative thumb part that mirrors root state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Switch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Switch</t>
        </is>
      </c>
      <c r="D18" s="13" t="inlineStr">
        <is>
          <t>Supports `asChild` and `render`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Switch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Switch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Switch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Switch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Switch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Switch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4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Package tests/source review verify consumer ref plumbing for Switch; playground manual pass can inspect rendered DOM behavior.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checked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Switch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defaultChecked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Switch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onCheckedChange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Switch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disabled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Switch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readOnly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Switch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invalid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Switch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required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Switch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name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Switch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value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Switch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form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Switch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Accessibility</t>
        </is>
      </c>
      <c r="C35" s="13" t="inlineStr">
        <is>
          <t>Root</t>
        </is>
      </c>
      <c r="D35" s="13" t="inlineStr">
        <is>
          <t>ariaLabel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Switch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Root</t>
        </is>
      </c>
      <c r="D36" s="13" t="inlineStr">
        <is>
          <t>asChild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Switch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Root</t>
        </is>
      </c>
      <c r="D37" s="13" t="inlineStr">
        <is>
          <t>render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Switch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[data-slot]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Switch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Root</t>
        </is>
      </c>
      <c r="D39" s="13" t="inlineStr">
        <is>
          <t>[data-state]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Switch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Root</t>
        </is>
      </c>
      <c r="D40" s="13" t="inlineStr">
        <is>
          <t>[data-disabled]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Switch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[data-readonly]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Switch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State</t>
        </is>
      </c>
      <c r="C42" s="13" t="inlineStr">
        <is>
          <t>Root</t>
        </is>
      </c>
      <c r="D42" s="13" t="inlineStr">
        <is>
          <t>[data-required]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Switch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State</t>
        </is>
      </c>
      <c r="C43" s="13" t="inlineStr">
        <is>
          <t>Root</t>
        </is>
      </c>
      <c r="D43" s="13" t="inlineStr">
        <is>
          <t>[data-invalid]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Switch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Anatomy</t>
        </is>
      </c>
      <c r="C44" s="13" t="inlineStr">
        <is>
          <t>Thumb</t>
        </is>
      </c>
      <c r="D44" s="13" t="inlineStr">
        <is>
          <t>renders correct part when expected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Switch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Thumb</t>
        </is>
      </c>
      <c r="D45" s="13" t="inlineStr">
        <is>
          <t>appears in documented order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Switch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Identity</t>
        </is>
      </c>
      <c r="C46" s="13" t="inlineStr">
        <is>
          <t>Thumb</t>
        </is>
      </c>
      <c r="D46" s="13" t="inlineStr">
        <is>
          <t>default tag is visible in Anatomy/Inspector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Switch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Thumb</t>
        </is>
      </c>
      <c r="D47" s="13" t="inlineStr">
        <is>
          <t>data-slot is present and correct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Switch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30" customHeight="1" s="24">
      <c r="A48" s="12" t="n">
        <v>40</v>
      </c>
      <c r="B48" s="13" t="inlineStr">
        <is>
          <t>Props</t>
        </is>
      </c>
      <c r="C48" s="13" t="inlineStr">
        <is>
          <t>Thumb</t>
        </is>
      </c>
      <c r="D48" s="13" t="inlineStr">
        <is>
          <t>non-Atom native props pass through with data-prop-check marker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Switch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45" customHeight="1" s="24">
      <c r="A49" s="12" t="n">
        <v>41</v>
      </c>
      <c r="B49" s="13" t="inlineStr">
        <is>
          <t>Refs</t>
        </is>
      </c>
      <c r="C49" s="13" t="inlineStr">
        <is>
          <t>Thumb</t>
        </is>
      </c>
      <c r="D49" s="13" t="inlineStr">
        <is>
          <t>consumer ref receives the rendered element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Package tests/source review verify consumer ref plumbing for Switch; playground manual pass can inspect rendered DOM behavior.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Composition</t>
        </is>
      </c>
      <c r="C50" s="13" t="inlineStr">
        <is>
          <t>Thumb</t>
        </is>
      </c>
      <c r="D50" s="13" t="inlineStr">
        <is>
          <t>asChild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Switch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Composition</t>
        </is>
      </c>
      <c r="C51" s="13" t="inlineStr">
        <is>
          <t>Thumb</t>
        </is>
      </c>
      <c r="D51" s="13" t="inlineStr">
        <is>
          <t>render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Switch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Thumb</t>
        </is>
      </c>
      <c r="D52" s="13" t="inlineStr">
        <is>
          <t>[data-slot]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Switch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Thumb</t>
        </is>
      </c>
      <c r="D53" s="13" t="inlineStr">
        <is>
          <t>[data-state]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Switch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State</t>
        </is>
      </c>
      <c r="C54" s="13" t="inlineStr">
        <is>
          <t>Thumb</t>
        </is>
      </c>
      <c r="D54" s="13" t="inlineStr">
        <is>
          <t>[data-disabled]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Switch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State</t>
        </is>
      </c>
      <c r="C55" s="13" t="inlineStr">
        <is>
          <t>Thumb</t>
        </is>
      </c>
      <c r="D55" s="13" t="inlineStr">
        <is>
          <t>[data-readonly]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Switch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State</t>
        </is>
      </c>
      <c r="C56" s="13" t="inlineStr">
        <is>
          <t>Thumb</t>
        </is>
      </c>
      <c r="D56" s="13" t="inlineStr">
        <is>
          <t>[data-required]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Switch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State</t>
        </is>
      </c>
      <c r="C57" s="13" t="inlineStr">
        <is>
          <t>Thumb</t>
        </is>
      </c>
      <c r="D57" s="13" t="inlineStr">
        <is>
          <t>[data-invalid]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Switch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ARIA</t>
        </is>
      </c>
      <c r="C58" s="13" t="inlineStr">
        <is>
          <t>Live DOM</t>
        </is>
      </c>
      <c r="D58" s="13" t="inlineStr">
        <is>
          <t>aria-checked is present at the correct time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Switch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ARIA</t>
        </is>
      </c>
      <c r="C59" s="13" t="inlineStr">
        <is>
          <t>Live DOM</t>
        </is>
      </c>
      <c r="D59" s="13" t="inlineStr">
        <is>
          <t>aria-hidden is present at the correct time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Switch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ARIA</t>
        </is>
      </c>
      <c r="C60" s="13" t="inlineStr">
        <is>
          <t>Live DOM</t>
        </is>
      </c>
      <c r="D60" s="13" t="inlineStr">
        <is>
          <t>aria-invalid is present at the correct time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Switch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ARIA</t>
        </is>
      </c>
      <c r="C61" s="13" t="inlineStr">
        <is>
          <t>Live DOM</t>
        </is>
      </c>
      <c r="D61" s="13" t="inlineStr">
        <is>
          <t>aria-label is present at the correct time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Switch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ARIA</t>
        </is>
      </c>
      <c r="C62" s="13" t="inlineStr">
        <is>
          <t>Live DOM</t>
        </is>
      </c>
      <c r="D62" s="13" t="inlineStr">
        <is>
          <t>aria-readonly is present at the correct time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Switch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ARIA</t>
        </is>
      </c>
      <c r="C63" s="13" t="inlineStr">
        <is>
          <t>Live DOM</t>
        </is>
      </c>
      <c r="D63" s="13" t="inlineStr">
        <is>
          <t>aria-required is present at the correct time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Switch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Data</t>
        </is>
      </c>
      <c r="C64" s="13" t="inlineStr">
        <is>
          <t>Live DOM</t>
        </is>
      </c>
      <c r="D64" s="13" t="inlineStr">
        <is>
          <t>data-disabled is present at the correct time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Switch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Data</t>
        </is>
      </c>
      <c r="C65" s="13" t="inlineStr">
        <is>
          <t>Live DOM</t>
        </is>
      </c>
      <c r="D65" s="13" t="inlineStr">
        <is>
          <t>data-invalid is present at the correct time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Switch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Data</t>
        </is>
      </c>
      <c r="C66" s="13" t="inlineStr">
        <is>
          <t>Live DOM</t>
        </is>
      </c>
      <c r="D66" s="13" t="inlineStr">
        <is>
          <t>data-readonly is present at the correct time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Switch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Data</t>
        </is>
      </c>
      <c r="C67" s="13" t="inlineStr">
        <is>
          <t>Live DOM</t>
        </is>
      </c>
      <c r="D67" s="13" t="inlineStr">
        <is>
          <t>data-required is present at the correct time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Switch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Data</t>
        </is>
      </c>
      <c r="C68" s="13" t="inlineStr">
        <is>
          <t>Live DOM</t>
        </is>
      </c>
      <c r="D68" s="13" t="inlineStr">
        <is>
          <t>data-slot is present at the correct time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Switch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Data</t>
        </is>
      </c>
      <c r="C69" s="13" t="inlineStr">
        <is>
          <t>Live DOM</t>
        </is>
      </c>
      <c r="D69" s="13" t="inlineStr">
        <is>
          <t>data-state is present at the correct time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Switch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Composition</t>
        </is>
      </c>
      <c r="C70" s="13" t="inlineStr">
        <is>
          <t>Switch</t>
        </is>
      </c>
      <c r="D70" s="13" t="inlineStr">
        <is>
          <t>asChild preserves child content without double nesting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Switch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Composition</t>
        </is>
      </c>
      <c r="C71" s="13" t="inlineStr">
        <is>
          <t>Switch</t>
        </is>
      </c>
      <c r="D71" s="13" t="inlineStr">
        <is>
          <t>asChild merges Atom props and consumer props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Switch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30" customHeight="1" s="24">
      <c r="A72" s="12" t="n">
        <v>64</v>
      </c>
      <c r="B72" s="13" t="inlineStr">
        <is>
          <t>Composition</t>
        </is>
      </c>
      <c r="C72" s="13" t="inlineStr">
        <is>
          <t>Switch</t>
        </is>
      </c>
      <c r="D72" s="13" t="inlineStr">
        <is>
          <t>asChild lets preventDefault block Atom behavior where supported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Switch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Composition</t>
        </is>
      </c>
      <c r="C73" s="13" t="inlineStr">
        <is>
          <t>Switch</t>
        </is>
      </c>
      <c r="D73" s="13" t="inlineStr">
        <is>
          <t>render prop renders custom element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Switch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45" customHeight="1" s="24">
      <c r="A74" s="12" t="n">
        <v>66</v>
      </c>
      <c r="B74" s="13" t="inlineStr">
        <is>
          <t>Composition</t>
        </is>
      </c>
      <c r="C74" s="13" t="inlineStr">
        <is>
          <t>Switch</t>
        </is>
      </c>
      <c r="D74" s="13" t="inlineStr">
        <is>
          <t>render prop preserves refs and behavior props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Composition controls/package tests cover render/asChild behavior for Switch; ready for manual verification where exposed.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State</t>
        </is>
      </c>
      <c r="C75" s="13" t="inlineStr">
        <is>
          <t>Root</t>
        </is>
      </c>
      <c r="D75" s="13" t="inlineStr">
        <is>
          <t>controlled state path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Switch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State</t>
        </is>
      </c>
      <c r="C76" s="13" t="inlineStr">
        <is>
          <t>Root</t>
        </is>
      </c>
      <c r="D76" s="13" t="inlineStr">
        <is>
          <t>uncontrolled default state path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Switch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State</t>
        </is>
      </c>
      <c r="C77" s="13" t="inlineStr">
        <is>
          <t>Root</t>
        </is>
      </c>
      <c r="D77" s="13" t="inlineStr">
        <is>
          <t>state change callback fires once with correct value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Switch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30" customHeight="1" s="24">
      <c r="A78" s="12" t="n">
        <v>70</v>
      </c>
      <c r="B78" s="13" t="inlineStr">
        <is>
          <t>State</t>
        </is>
      </c>
      <c r="C78" s="13" t="inlineStr">
        <is>
          <t>Switch</t>
        </is>
      </c>
      <c r="D78" s="13" t="inlineStr">
        <is>
          <t>disabled state blocks or exposes behavior correctly where supported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Switch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30" customHeight="1" s="24">
      <c r="A79" s="12" t="n">
        <v>71</v>
      </c>
      <c r="B79" s="13" t="inlineStr">
        <is>
          <t>State</t>
        </is>
      </c>
      <c r="C79" s="13" t="inlineStr">
        <is>
          <t>Switch</t>
        </is>
      </c>
      <c r="D79" s="13" t="inlineStr">
        <is>
          <t>readonly/readOnly state blocks or exposes behavior correctly where supported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Switch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30" customHeight="1" s="24">
      <c r="A80" s="12" t="n">
        <v>72</v>
      </c>
      <c r="B80" s="13" t="inlineStr">
        <is>
          <t>State</t>
        </is>
      </c>
      <c r="C80" s="13" t="inlineStr">
        <is>
          <t>Switch</t>
        </is>
      </c>
      <c r="D80" s="13" t="inlineStr">
        <is>
          <t>required state blocks or exposes behavior correctly where supported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Switch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State</t>
        </is>
      </c>
      <c r="C81" s="13" t="inlineStr">
        <is>
          <t>Switch</t>
        </is>
      </c>
      <c r="D81" s="13" t="inlineStr">
        <is>
          <t>invalid state blocks or exposes behavior correctly where supported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Switch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Forms</t>
        </is>
      </c>
      <c r="C82" s="13" t="inlineStr">
        <is>
          <t>Switch</t>
        </is>
      </c>
      <c r="D82" s="13" t="inlineStr">
        <is>
          <t>form value participates correctly where supported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Switch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30" customHeight="1" s="24">
      <c r="A83" s="12" t="n">
        <v>75</v>
      </c>
      <c r="B83" s="13" t="inlineStr">
        <is>
          <t>Forms</t>
        </is>
      </c>
      <c r="C83" s="13" t="inlineStr">
        <is>
          <t>Switch</t>
        </is>
      </c>
      <c r="D83" s="13" t="inlineStr">
        <is>
          <t>hidden input mirrors value/checked/disabled where supported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Switch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</sheetData>
  <autoFilter ref="A8:K83"/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Table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IFERROR(SUM(K9:K84)/COUNT(K9:K84),0)</f>
        <v/>
      </c>
      <c r="C4" s="8" t="inlineStr">
        <is>
          <t>Covered</t>
        </is>
      </c>
      <c r="D4" s="10">
        <f>COUNTIFS(E9:E84,"yes",F9:F84,"yes",H9:H84,"covered")</f>
        <v/>
      </c>
      <c r="E4" s="8" t="inlineStr">
        <is>
          <t>Partial</t>
        </is>
      </c>
      <c r="F4" s="10">
        <f>COUNTIF(H9:H84,"partial")</f>
        <v/>
      </c>
      <c r="G4" s="8" t="inlineStr">
        <is>
          <t>Missing</t>
        </is>
      </c>
      <c r="H4" s="10">
        <f>COUNTIFS(E9:E84,"&lt;&gt;yes") + COUNTIFS(E9:E84,"yes",H9:H84,"missing")</f>
        <v/>
      </c>
      <c r="I4" s="8" t="inlineStr">
        <is>
          <t>Untested</t>
        </is>
      </c>
      <c r="J4" s="10">
        <f>COUNTIFS(E9:E84,"yes",F9:F84,"&lt;&gt;yes") + COUNTIFS(E9:E84,"yes",F9:F84,"yes",H9:H84,"untested")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Table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Table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Table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Table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Table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Table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Table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Table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Table</t>
        </is>
      </c>
      <c r="D13" s="13" t="inlineStr">
        <is>
          <t>Renders native table semantics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Table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Table</t>
        </is>
      </c>
      <c r="D14" s="13" t="inlineStr">
        <is>
          <t>Provides all standard table structural parts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Table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Table</t>
        </is>
      </c>
      <c r="D15" s="13" t="inlineStr">
        <is>
          <t>Supports `aria-sort` and `data-sort` on header cells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Table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Table</t>
        </is>
      </c>
      <c r="D16" s="13" t="inlineStr">
        <is>
          <t>Leaves sorting, filtering, selection, and keyboard grid behavior to higher-level primitives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Table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Table</t>
        </is>
      </c>
      <c r="D17" s="13" t="inlineStr">
        <is>
          <t>Stays server-safe with no client boundary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Table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Table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Table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Table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Table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Table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Table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asChild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Table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Composition</t>
        </is>
      </c>
      <c r="C25" s="13" t="inlineStr">
        <is>
          <t>Root</t>
        </is>
      </c>
      <c r="D25" s="13" t="inlineStr">
        <is>
          <t>render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Table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[data-slot]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Table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Anatomy</t>
        </is>
      </c>
      <c r="C27" s="13" t="inlineStr">
        <is>
          <t>Body</t>
        </is>
      </c>
      <c r="D27" s="13" t="inlineStr">
        <is>
          <t>renders correct part when expected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Table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Anatomy</t>
        </is>
      </c>
      <c r="C28" s="13" t="inlineStr">
        <is>
          <t>Body</t>
        </is>
      </c>
      <c r="D28" s="13" t="inlineStr">
        <is>
          <t>appears in documented order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Table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Identity</t>
        </is>
      </c>
      <c r="C29" s="13" t="inlineStr">
        <is>
          <t>Body</t>
        </is>
      </c>
      <c r="D29" s="13" t="inlineStr">
        <is>
          <t>default tag is visible in Anatomy/Inspector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Table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Identity</t>
        </is>
      </c>
      <c r="C30" s="13" t="inlineStr">
        <is>
          <t>Body</t>
        </is>
      </c>
      <c r="D30" s="13" t="inlineStr">
        <is>
          <t>data-slot is present and correct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Table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30" customHeight="1" s="24">
      <c r="A31" s="12" t="n">
        <v>23</v>
      </c>
      <c r="B31" s="13" t="inlineStr">
        <is>
          <t>Props</t>
        </is>
      </c>
      <c r="C31" s="13" t="inlineStr">
        <is>
          <t>Body</t>
        </is>
      </c>
      <c r="D31" s="13" t="inlineStr">
        <is>
          <t>non-Atom native props pass through with data-prop-check marker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Table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Refs</t>
        </is>
      </c>
      <c r="C32" s="13" t="inlineStr">
        <is>
          <t>Body</t>
        </is>
      </c>
      <c r="D32" s="13" t="inlineStr">
        <is>
          <t>consumer ref receives the rendered element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Table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Anatomy</t>
        </is>
      </c>
      <c r="C33" s="13" t="inlineStr">
        <is>
          <t>Caption</t>
        </is>
      </c>
      <c r="D33" s="13" t="inlineStr">
        <is>
          <t>renders correct part when expected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Table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Anatomy</t>
        </is>
      </c>
      <c r="C34" s="13" t="inlineStr">
        <is>
          <t>Caption</t>
        </is>
      </c>
      <c r="D34" s="13" t="inlineStr">
        <is>
          <t>appears in documented order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Table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Identity</t>
        </is>
      </c>
      <c r="C35" s="13" t="inlineStr">
        <is>
          <t>Caption</t>
        </is>
      </c>
      <c r="D35" s="13" t="inlineStr">
        <is>
          <t>default tag is visible in Anatomy/Inspector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Table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Identity</t>
        </is>
      </c>
      <c r="C36" s="13" t="inlineStr">
        <is>
          <t>Caption</t>
        </is>
      </c>
      <c r="D36" s="13" t="inlineStr">
        <is>
          <t>data-slot is present and correct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Table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30" customHeight="1" s="24">
      <c r="A37" s="12" t="n">
        <v>29</v>
      </c>
      <c r="B37" s="13" t="inlineStr">
        <is>
          <t>Props</t>
        </is>
      </c>
      <c r="C37" s="13" t="inlineStr">
        <is>
          <t>Caption</t>
        </is>
      </c>
      <c r="D37" s="13" t="inlineStr">
        <is>
          <t>non-Atom native props pass through with data-prop-check marker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Table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Refs</t>
        </is>
      </c>
      <c r="C38" s="13" t="inlineStr">
        <is>
          <t>Caption</t>
        </is>
      </c>
      <c r="D38" s="13" t="inlineStr">
        <is>
          <t>consumer ref receives the rendered element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Table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Anatomy</t>
        </is>
      </c>
      <c r="C39" s="13" t="inlineStr">
        <is>
          <t>Cell</t>
        </is>
      </c>
      <c r="D39" s="13" t="inlineStr">
        <is>
          <t>renders correct part when expected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Table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Anatomy</t>
        </is>
      </c>
      <c r="C40" s="13" t="inlineStr">
        <is>
          <t>Cell</t>
        </is>
      </c>
      <c r="D40" s="13" t="inlineStr">
        <is>
          <t>appears in documented order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Table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Identity</t>
        </is>
      </c>
      <c r="C41" s="13" t="inlineStr">
        <is>
          <t>Cell</t>
        </is>
      </c>
      <c r="D41" s="13" t="inlineStr">
        <is>
          <t>default tag is visible in Anatomy/Inspector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Table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Identity</t>
        </is>
      </c>
      <c r="C42" s="13" t="inlineStr">
        <is>
          <t>Cell</t>
        </is>
      </c>
      <c r="D42" s="13" t="inlineStr">
        <is>
          <t>data-slot is present and correct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Table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30" customHeight="1" s="24">
      <c r="A43" s="12" t="n">
        <v>35</v>
      </c>
      <c r="B43" s="13" t="inlineStr">
        <is>
          <t>Props</t>
        </is>
      </c>
      <c r="C43" s="13" t="inlineStr">
        <is>
          <t>Cell</t>
        </is>
      </c>
      <c r="D43" s="13" t="inlineStr">
        <is>
          <t>non-Atom native props pass through with data-prop-check marker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Table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Refs</t>
        </is>
      </c>
      <c r="C44" s="13" t="inlineStr">
        <is>
          <t>Cell</t>
        </is>
      </c>
      <c r="D44" s="13" t="inlineStr">
        <is>
          <t>consumer ref receives the rendered element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Table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Footer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Table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Footer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Table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Footer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Table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Footer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Table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Footer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Table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Footer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Table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Anatomy</t>
        </is>
      </c>
      <c r="C51" s="13" t="inlineStr">
        <is>
          <t>Head</t>
        </is>
      </c>
      <c r="D51" s="13" t="inlineStr">
        <is>
          <t>renders correct part when expected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Table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Anatomy</t>
        </is>
      </c>
      <c r="C52" s="13" t="inlineStr">
        <is>
          <t>Head</t>
        </is>
      </c>
      <c r="D52" s="13" t="inlineStr">
        <is>
          <t>appears in documented order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Table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Identity</t>
        </is>
      </c>
      <c r="C53" s="13" t="inlineStr">
        <is>
          <t>Head</t>
        </is>
      </c>
      <c r="D53" s="13" t="inlineStr">
        <is>
          <t>default tag is visible in Anatomy/Inspector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Table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Identity</t>
        </is>
      </c>
      <c r="C54" s="13" t="inlineStr">
        <is>
          <t>Head</t>
        </is>
      </c>
      <c r="D54" s="13" t="inlineStr">
        <is>
          <t>data-slot is present and correct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Table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30" customHeight="1" s="24">
      <c r="A55" s="12" t="n">
        <v>47</v>
      </c>
      <c r="B55" s="13" t="inlineStr">
        <is>
          <t>Props</t>
        </is>
      </c>
      <c r="C55" s="13" t="inlineStr">
        <is>
          <t>Head</t>
        </is>
      </c>
      <c r="D55" s="13" t="inlineStr">
        <is>
          <t>non-Atom native props pass through with data-prop-check marker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Table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Refs</t>
        </is>
      </c>
      <c r="C56" s="13" t="inlineStr">
        <is>
          <t>Head</t>
        </is>
      </c>
      <c r="D56" s="13" t="inlineStr">
        <is>
          <t>consumer ref receives the rendered element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Table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Public API</t>
        </is>
      </c>
      <c r="C57" s="13" t="inlineStr">
        <is>
          <t>Head</t>
        </is>
      </c>
      <c r="D57" s="13" t="inlineStr">
        <is>
          <t>scope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Table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Public API</t>
        </is>
      </c>
      <c r="C58" s="13" t="inlineStr">
        <is>
          <t>Head</t>
        </is>
      </c>
      <c r="D58" s="13" t="inlineStr">
        <is>
          <t>sortDirection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Table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Composition</t>
        </is>
      </c>
      <c r="C59" s="13" t="inlineStr">
        <is>
          <t>Head</t>
        </is>
      </c>
      <c r="D59" s="13" t="inlineStr">
        <is>
          <t>asChild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Table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Composition</t>
        </is>
      </c>
      <c r="C60" s="13" t="inlineStr">
        <is>
          <t>Head</t>
        </is>
      </c>
      <c r="D60" s="13" t="inlineStr">
        <is>
          <t>render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Table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Head</t>
        </is>
      </c>
      <c r="D61" s="13" t="inlineStr">
        <is>
          <t>[data-slot]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Table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Head</t>
        </is>
      </c>
      <c r="D62" s="13" t="inlineStr">
        <is>
          <t>[data-sort]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Table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Anatomy</t>
        </is>
      </c>
      <c r="C63" s="13" t="inlineStr">
        <is>
          <t>Header</t>
        </is>
      </c>
      <c r="D63" s="13" t="inlineStr">
        <is>
          <t>renders correct part when expected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Table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Header</t>
        </is>
      </c>
      <c r="D64" s="13" t="inlineStr">
        <is>
          <t>appears in documented order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Table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Identity</t>
        </is>
      </c>
      <c r="C65" s="13" t="inlineStr">
        <is>
          <t>Header</t>
        </is>
      </c>
      <c r="D65" s="13" t="inlineStr">
        <is>
          <t>default tag is visible in Anatomy/Inspector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Table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Header</t>
        </is>
      </c>
      <c r="D66" s="13" t="inlineStr">
        <is>
          <t>data-slot is present and correct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Table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30" customHeight="1" s="24">
      <c r="A67" s="12" t="n">
        <v>59</v>
      </c>
      <c r="B67" s="13" t="inlineStr">
        <is>
          <t>Props</t>
        </is>
      </c>
      <c r="C67" s="13" t="inlineStr">
        <is>
          <t>Header</t>
        </is>
      </c>
      <c r="D67" s="13" t="inlineStr">
        <is>
          <t>non-Atom native props pass through with data-prop-check marker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Table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Refs</t>
        </is>
      </c>
      <c r="C68" s="13" t="inlineStr">
        <is>
          <t>Header</t>
        </is>
      </c>
      <c r="D68" s="13" t="inlineStr">
        <is>
          <t>consumer ref receives the rendered element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Table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Anatomy</t>
        </is>
      </c>
      <c r="C69" s="13" t="inlineStr">
        <is>
          <t>Row</t>
        </is>
      </c>
      <c r="D69" s="13" t="inlineStr">
        <is>
          <t>renders correct part when expected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Table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Anatomy</t>
        </is>
      </c>
      <c r="C70" s="13" t="inlineStr">
        <is>
          <t>Row</t>
        </is>
      </c>
      <c r="D70" s="13" t="inlineStr">
        <is>
          <t>appears in documented order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Table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Identity</t>
        </is>
      </c>
      <c r="C71" s="13" t="inlineStr">
        <is>
          <t>Row</t>
        </is>
      </c>
      <c r="D71" s="13" t="inlineStr">
        <is>
          <t>default tag is visible in Anatomy/Inspector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Table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Identity</t>
        </is>
      </c>
      <c r="C72" s="13" t="inlineStr">
        <is>
          <t>Row</t>
        </is>
      </c>
      <c r="D72" s="13" t="inlineStr">
        <is>
          <t>data-slot is present and correct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Table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30" customHeight="1" s="24">
      <c r="A73" s="12" t="n">
        <v>65</v>
      </c>
      <c r="B73" s="13" t="inlineStr">
        <is>
          <t>Props</t>
        </is>
      </c>
      <c r="C73" s="13" t="inlineStr">
        <is>
          <t>Row</t>
        </is>
      </c>
      <c r="D73" s="13" t="inlineStr">
        <is>
          <t>non-Atom native props pass through with data-prop-check marker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Table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Refs</t>
        </is>
      </c>
      <c r="C74" s="13" t="inlineStr">
        <is>
          <t>Row</t>
        </is>
      </c>
      <c r="D74" s="13" t="inlineStr">
        <is>
          <t>consumer ref receives the rendered element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Table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ARIA</t>
        </is>
      </c>
      <c r="C75" s="13" t="inlineStr">
        <is>
          <t>Live DOM</t>
        </is>
      </c>
      <c r="D75" s="13" t="inlineStr">
        <is>
          <t>aria-label is present at the correct time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Table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ARIA</t>
        </is>
      </c>
      <c r="C76" s="13" t="inlineStr">
        <is>
          <t>Live DOM</t>
        </is>
      </c>
      <c r="D76" s="13" t="inlineStr">
        <is>
          <t>aria-labelledby is present at the correct time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Table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ARIA</t>
        </is>
      </c>
      <c r="C77" s="13" t="inlineStr">
        <is>
          <t>Live DOM</t>
        </is>
      </c>
      <c r="D77" s="13" t="inlineStr">
        <is>
          <t>aria-sort is present at the correct time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Table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Data</t>
        </is>
      </c>
      <c r="C78" s="13" t="inlineStr">
        <is>
          <t>Live DOM</t>
        </is>
      </c>
      <c r="D78" s="13" t="inlineStr">
        <is>
          <t>data-slot is present at the correct time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Table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Data</t>
        </is>
      </c>
      <c r="C79" s="13" t="inlineStr">
        <is>
          <t>Live DOM</t>
        </is>
      </c>
      <c r="D79" s="13" t="inlineStr">
        <is>
          <t>data-sort is present at the correct time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Table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Composition</t>
        </is>
      </c>
      <c r="C80" s="13" t="inlineStr">
        <is>
          <t>Table</t>
        </is>
      </c>
      <c r="D80" s="13" t="inlineStr">
        <is>
          <t>asChild preserves child content without double nesting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Table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Composition</t>
        </is>
      </c>
      <c r="C81" s="13" t="inlineStr">
        <is>
          <t>Table</t>
        </is>
      </c>
      <c r="D81" s="13" t="inlineStr">
        <is>
          <t>asChild merges Atom props and consumer props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Table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Composition</t>
        </is>
      </c>
      <c r="C82" s="13" t="inlineStr">
        <is>
          <t>Table</t>
        </is>
      </c>
      <c r="D82" s="13" t="inlineStr">
        <is>
          <t>asChild lets preventDefault block Atom behavior where supported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Table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Composition</t>
        </is>
      </c>
      <c r="C83" s="13" t="inlineStr">
        <is>
          <t>Table</t>
        </is>
      </c>
      <c r="D83" s="13" t="inlineStr">
        <is>
          <t>render prop renders custom element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Table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Composition</t>
        </is>
      </c>
      <c r="C84" s="13" t="inlineStr">
        <is>
          <t>Table</t>
        </is>
      </c>
      <c r="D84" s="13" t="inlineStr">
        <is>
          <t>render prop preserves refs and behavior props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Table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</sheetData>
  <autoFilter ref="A8:K84"/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Tabs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IFERROR(SUM(K9:K108)/COUNT(K9:K108),0)</f>
        <v/>
      </c>
      <c r="C4" s="8" t="inlineStr">
        <is>
          <t>Covered</t>
        </is>
      </c>
      <c r="D4" s="10">
        <f>COUNTIFS(E9:E108,"yes",F9:F108,"yes",H9:H108,"covered")</f>
        <v/>
      </c>
      <c r="E4" s="8" t="inlineStr">
        <is>
          <t>Partial</t>
        </is>
      </c>
      <c r="F4" s="10">
        <f>COUNTIF(H9:H108,"partial")</f>
        <v/>
      </c>
      <c r="G4" s="8" t="inlineStr">
        <is>
          <t>Missing</t>
        </is>
      </c>
      <c r="H4" s="10">
        <f>COUNTIFS(E9:E108,"&lt;&gt;yes") + COUNTIFS(E9:E108,"yes",H9:H108,"missing")</f>
        <v/>
      </c>
      <c r="I4" s="8" t="inlineStr">
        <is>
          <t>Untested</t>
        </is>
      </c>
      <c r="J4" s="10">
        <f>COUNTIFS(E9:E108,"yes",F9:F108,"&lt;&gt;yes") + COUNTIFS(E9:E108,"yes",F9:F108,"yes",H9:H108,"untested")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Tabs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Tabs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Tabs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Tabs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Tabs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Tabs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Tabs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Tabs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Tabs</t>
        </is>
      </c>
      <c r="D13" s="13" t="inlineStr">
        <is>
          <t>Implements linked tab and tabpanel ARIA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Tabs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Tabs</t>
        </is>
      </c>
      <c r="D14" s="13" t="inlineStr">
        <is>
          <t>Supports controlled and uncontrolled selected value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Tabs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Tabs</t>
        </is>
      </c>
      <c r="D15" s="13" t="inlineStr">
        <is>
          <t>Supports horizontal and vertical orientation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Tabs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Tabs</t>
        </is>
      </c>
      <c r="D16" s="13" t="inlineStr">
        <is>
          <t>Supports automatic or manual activation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Tabs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Tabs</t>
        </is>
      </c>
      <c r="D17" s="13" t="inlineStr">
        <is>
          <t>Supports disabled tabs, keep-mounted panels, focusable panels, and an optional indicator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Tabs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renders correct part when expected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Tabs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appears in documented order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Tabs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default tag is visible in Anatomy/Inspector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Tabs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data-slot is present and correct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Tabs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Root</t>
        </is>
      </c>
      <c r="D22" s="13" t="inlineStr">
        <is>
          <t>non-Atom native props pass through with data-prop-check marker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Tabs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Refs</t>
        </is>
      </c>
      <c r="C23" s="13" t="inlineStr">
        <is>
          <t>Root</t>
        </is>
      </c>
      <c r="D23" s="13" t="inlineStr">
        <is>
          <t>consumer ref receives the rendered element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Tabs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State</t>
        </is>
      </c>
      <c r="C24" s="13" t="inlineStr">
        <is>
          <t>Root</t>
        </is>
      </c>
      <c r="D24" s="13" t="inlineStr">
        <is>
          <t>value prop behavior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Tabs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defaultValue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Tabs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onValueChange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Tabs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orientation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Tabs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activationMode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Tabs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loop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Tabs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[data-slot]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Tabs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[data-orientation]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Tabs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Anatomy</t>
        </is>
      </c>
      <c r="C32" s="13" t="inlineStr">
        <is>
          <t>Trigger</t>
        </is>
      </c>
      <c r="D32" s="13" t="inlineStr">
        <is>
          <t>renders correct part when expected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Tabs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Anatomy</t>
        </is>
      </c>
      <c r="C33" s="13" t="inlineStr">
        <is>
          <t>Trigger</t>
        </is>
      </c>
      <c r="D33" s="13" t="inlineStr">
        <is>
          <t>appears in documented order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Tabs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Identity</t>
        </is>
      </c>
      <c r="C34" s="13" t="inlineStr">
        <is>
          <t>Trigger</t>
        </is>
      </c>
      <c r="D34" s="13" t="inlineStr">
        <is>
          <t>default tag is visible in Anatomy/Inspector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Tabs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Identity</t>
        </is>
      </c>
      <c r="C35" s="13" t="inlineStr">
        <is>
          <t>Trigger</t>
        </is>
      </c>
      <c r="D35" s="13" t="inlineStr">
        <is>
          <t>data-slot is present and correct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Tabs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30" customHeight="1" s="24">
      <c r="A36" s="12" t="n">
        <v>28</v>
      </c>
      <c r="B36" s="13" t="inlineStr">
        <is>
          <t>Props</t>
        </is>
      </c>
      <c r="C36" s="13" t="inlineStr">
        <is>
          <t>Trigger</t>
        </is>
      </c>
      <c r="D36" s="13" t="inlineStr">
        <is>
          <t>non-Atom native props pass through with data-prop-check marker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Tabs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Refs</t>
        </is>
      </c>
      <c r="C37" s="13" t="inlineStr">
        <is>
          <t>Trigger</t>
        </is>
      </c>
      <c r="D37" s="13" t="inlineStr">
        <is>
          <t>consumer ref receives the rendered element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Tabs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State</t>
        </is>
      </c>
      <c r="C38" s="13" t="inlineStr">
        <is>
          <t>Trigger</t>
        </is>
      </c>
      <c r="D38" s="13" t="inlineStr">
        <is>
          <t>value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Tabs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Trigger</t>
        </is>
      </c>
      <c r="D39" s="13" t="inlineStr">
        <is>
          <t>disabled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Tabs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Composition</t>
        </is>
      </c>
      <c r="C40" s="13" t="inlineStr">
        <is>
          <t>Trigger</t>
        </is>
      </c>
      <c r="D40" s="13" t="inlineStr">
        <is>
          <t>asChild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Tabs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Composition</t>
        </is>
      </c>
      <c r="C41" s="13" t="inlineStr">
        <is>
          <t>Trigger</t>
        </is>
      </c>
      <c r="D41" s="13" t="inlineStr">
        <is>
          <t>render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Tabs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Trigger</t>
        </is>
      </c>
      <c r="D42" s="13" t="inlineStr">
        <is>
          <t>[data-slot]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Tabs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Trigger</t>
        </is>
      </c>
      <c r="D43" s="13" t="inlineStr">
        <is>
          <t>[data-state]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Tabs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State</t>
        </is>
      </c>
      <c r="C44" s="13" t="inlineStr">
        <is>
          <t>Trigger</t>
        </is>
      </c>
      <c r="D44" s="13" t="inlineStr">
        <is>
          <t>[data-disabled]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Tabs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Content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Tabs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Content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Tabs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Content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Tabs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Content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Tabs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Content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Tabs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Content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Tabs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State</t>
        </is>
      </c>
      <c r="C51" s="13" t="inlineStr">
        <is>
          <t>Content</t>
        </is>
      </c>
      <c r="D51" s="13" t="inlineStr">
        <is>
          <t>value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Tabs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Content</t>
        </is>
      </c>
      <c r="D52" s="13" t="inlineStr">
        <is>
          <t>forceMount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Tabs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Content</t>
        </is>
      </c>
      <c r="D53" s="13" t="inlineStr">
        <is>
          <t>focusable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Tabs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Content</t>
        </is>
      </c>
      <c r="D54" s="13" t="inlineStr">
        <is>
          <t>[data-slot]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Tabs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Content</t>
        </is>
      </c>
      <c r="D55" s="13" t="inlineStr">
        <is>
          <t>[data-state]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Tabs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List</t>
        </is>
      </c>
      <c r="D56" s="13" t="inlineStr">
        <is>
          <t>renders correct part when expected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Tabs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List</t>
        </is>
      </c>
      <c r="D57" s="13" t="inlineStr">
        <is>
          <t>appears in documented order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Tabs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List</t>
        </is>
      </c>
      <c r="D58" s="13" t="inlineStr">
        <is>
          <t>default tag is visible in Anatomy/Inspector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Tabs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List</t>
        </is>
      </c>
      <c r="D59" s="13" t="inlineStr">
        <is>
          <t>data-slot is present and correct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Tabs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Props</t>
        </is>
      </c>
      <c r="C60" s="13" t="inlineStr">
        <is>
          <t>List</t>
        </is>
      </c>
      <c r="D60" s="13" t="inlineStr">
        <is>
          <t>non-Atom native props pass through with data-prop-check marker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Tabs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Refs</t>
        </is>
      </c>
      <c r="C61" s="13" t="inlineStr">
        <is>
          <t>List</t>
        </is>
      </c>
      <c r="D61" s="13" t="inlineStr">
        <is>
          <t>consumer ref receives the rendered element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Tabs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List</t>
        </is>
      </c>
      <c r="D62" s="13" t="inlineStr">
        <is>
          <t>[data-slot]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Tabs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Public API</t>
        </is>
      </c>
      <c r="C63" s="13" t="inlineStr">
        <is>
          <t>List</t>
        </is>
      </c>
      <c r="D63" s="13" t="inlineStr">
        <is>
          <t>[data-orientation]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Tabs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Indicator</t>
        </is>
      </c>
      <c r="D64" s="13" t="inlineStr">
        <is>
          <t>renders correct part when expected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Tabs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Anatomy</t>
        </is>
      </c>
      <c r="C65" s="13" t="inlineStr">
        <is>
          <t>Indicator</t>
        </is>
      </c>
      <c r="D65" s="13" t="inlineStr">
        <is>
          <t>appears in documented order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Tabs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Indicator</t>
        </is>
      </c>
      <c r="D66" s="13" t="inlineStr">
        <is>
          <t>default tag is visible in Anatomy/Inspector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Tabs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Identity</t>
        </is>
      </c>
      <c r="C67" s="13" t="inlineStr">
        <is>
          <t>Indicator</t>
        </is>
      </c>
      <c r="D67" s="13" t="inlineStr">
        <is>
          <t>data-slot is present and correct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Tabs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30" customHeight="1" s="24">
      <c r="A68" s="12" t="n">
        <v>60</v>
      </c>
      <c r="B68" s="13" t="inlineStr">
        <is>
          <t>Props</t>
        </is>
      </c>
      <c r="C68" s="13" t="inlineStr">
        <is>
          <t>Indicator</t>
        </is>
      </c>
      <c r="D68" s="13" t="inlineStr">
        <is>
          <t>non-Atom native props pass through with data-prop-check marker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Tabs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Refs</t>
        </is>
      </c>
      <c r="C69" s="13" t="inlineStr">
        <is>
          <t>Indicator</t>
        </is>
      </c>
      <c r="D69" s="13" t="inlineStr">
        <is>
          <t>consumer ref receives the rendered element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Tabs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Indicator</t>
        </is>
      </c>
      <c r="D70" s="13" t="inlineStr">
        <is>
          <t>forceMount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Tabs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Public API</t>
        </is>
      </c>
      <c r="C71" s="13" t="inlineStr">
        <is>
          <t>Indicator</t>
        </is>
      </c>
      <c r="D71" s="13" t="inlineStr">
        <is>
          <t>[data-slot]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Tabs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Indicator</t>
        </is>
      </c>
      <c r="D72" s="13" t="inlineStr">
        <is>
          <t>[data-state]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Tabs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ARIA</t>
        </is>
      </c>
      <c r="C73" s="13" t="inlineStr">
        <is>
          <t>Live DOM</t>
        </is>
      </c>
      <c r="D73" s="13" t="inlineStr">
        <is>
          <t>aria-controls is present at the correct time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Tabs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ARIA</t>
        </is>
      </c>
      <c r="C74" s="13" t="inlineStr">
        <is>
          <t>Live DOM</t>
        </is>
      </c>
      <c r="D74" s="13" t="inlineStr">
        <is>
          <t>aria-disabled is present at the correct time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Tabs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ARIA</t>
        </is>
      </c>
      <c r="C75" s="13" t="inlineStr">
        <is>
          <t>Live DOM</t>
        </is>
      </c>
      <c r="D75" s="13" t="inlineStr">
        <is>
          <t>aria-label is present at the correct time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Tabs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ARIA</t>
        </is>
      </c>
      <c r="C76" s="13" t="inlineStr">
        <is>
          <t>Live DOM</t>
        </is>
      </c>
      <c r="D76" s="13" t="inlineStr">
        <is>
          <t>aria-labelledby is present at the correct time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Tabs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ARIA</t>
        </is>
      </c>
      <c r="C77" s="13" t="inlineStr">
        <is>
          <t>Live DOM</t>
        </is>
      </c>
      <c r="D77" s="13" t="inlineStr">
        <is>
          <t>aria-orientation is present at the correct time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Tabs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ARIA</t>
        </is>
      </c>
      <c r="C78" s="13" t="inlineStr">
        <is>
          <t>Live DOM</t>
        </is>
      </c>
      <c r="D78" s="13" t="inlineStr">
        <is>
          <t>aria-selected is present at the correct time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Tabs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Data</t>
        </is>
      </c>
      <c r="C79" s="13" t="inlineStr">
        <is>
          <t>Live DOM</t>
        </is>
      </c>
      <c r="D79" s="13" t="inlineStr">
        <is>
          <t>data-disabled is present at the correct time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Tabs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Data</t>
        </is>
      </c>
      <c r="C80" s="13" t="inlineStr">
        <is>
          <t>Live DOM</t>
        </is>
      </c>
      <c r="D80" s="13" t="inlineStr">
        <is>
          <t>data-orientation is present at the correct time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Tabs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Data</t>
        </is>
      </c>
      <c r="C81" s="13" t="inlineStr">
        <is>
          <t>Live DOM</t>
        </is>
      </c>
      <c r="D81" s="13" t="inlineStr">
        <is>
          <t>data-slot is present at the correct time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Tabs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Data</t>
        </is>
      </c>
      <c r="C82" s="13" t="inlineStr">
        <is>
          <t>Live DOM</t>
        </is>
      </c>
      <c r="D82" s="13" t="inlineStr">
        <is>
          <t>data-state is present at the correct time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Tabs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Data</t>
        </is>
      </c>
      <c r="C83" s="13" t="inlineStr">
        <is>
          <t>Live DOM</t>
        </is>
      </c>
      <c r="D83" s="13" t="inlineStr">
        <is>
          <t>data-value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Tabs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Composition</t>
        </is>
      </c>
      <c r="C84" s="13" t="inlineStr">
        <is>
          <t>Tabs</t>
        </is>
      </c>
      <c r="D84" s="13" t="inlineStr">
        <is>
          <t>asChild preserves child content without double nesting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Tabs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Composition</t>
        </is>
      </c>
      <c r="C85" s="13" t="inlineStr">
        <is>
          <t>Tabs</t>
        </is>
      </c>
      <c r="D85" s="13" t="inlineStr">
        <is>
          <t>asChild merges Atom props and consumer props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Tabs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30" customHeight="1" s="24">
      <c r="A86" s="12" t="n">
        <v>78</v>
      </c>
      <c r="B86" s="13" t="inlineStr">
        <is>
          <t>Composition</t>
        </is>
      </c>
      <c r="C86" s="13" t="inlineStr">
        <is>
          <t>Tabs</t>
        </is>
      </c>
      <c r="D86" s="13" t="inlineStr">
        <is>
          <t>asChild lets preventDefault block Atom behavior where supported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Tabs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Composition</t>
        </is>
      </c>
      <c r="C87" s="13" t="inlineStr">
        <is>
          <t>Tabs</t>
        </is>
      </c>
      <c r="D87" s="13" t="inlineStr">
        <is>
          <t>render prop renders custom element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Tabs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Composition</t>
        </is>
      </c>
      <c r="C88" s="13" t="inlineStr">
        <is>
          <t>Tabs</t>
        </is>
      </c>
      <c r="D88" s="13" t="inlineStr">
        <is>
          <t>render prop preserves refs and behavior props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Tabs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State</t>
        </is>
      </c>
      <c r="C89" s="13" t="inlineStr">
        <is>
          <t>Root</t>
        </is>
      </c>
      <c r="D89" s="13" t="inlineStr">
        <is>
          <t>controlled state path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Tabs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State</t>
        </is>
      </c>
      <c r="C90" s="13" t="inlineStr">
        <is>
          <t>Root</t>
        </is>
      </c>
      <c r="D90" s="13" t="inlineStr">
        <is>
          <t>uncontrolled default state path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Tabs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State</t>
        </is>
      </c>
      <c r="C91" s="13" t="inlineStr">
        <is>
          <t>Root</t>
        </is>
      </c>
      <c r="D91" s="13" t="inlineStr">
        <is>
          <t>state change callback fires once with correct value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Tabs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Interaction</t>
        </is>
      </c>
      <c r="C92" s="13" t="inlineStr">
        <is>
          <t>Trigger</t>
        </is>
      </c>
      <c r="D92" s="13" t="inlineStr">
        <is>
          <t>mouse click or pointer activation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Tabs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Interaction</t>
        </is>
      </c>
      <c r="C93" s="13" t="inlineStr">
        <is>
          <t>Trigger</t>
        </is>
      </c>
      <c r="D93" s="13" t="inlineStr">
        <is>
          <t>Enter key activation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Tabs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Interaction</t>
        </is>
      </c>
      <c r="C94" s="13" t="inlineStr">
        <is>
          <t>Trigger</t>
        </is>
      </c>
      <c r="D94" s="13" t="inlineStr">
        <is>
          <t>Space key activation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Tabs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Interaction</t>
        </is>
      </c>
      <c r="C95" s="13" t="inlineStr">
        <is>
          <t>Trigger</t>
        </is>
      </c>
      <c r="D95" s="13" t="inlineStr">
        <is>
          <t>disabled trigger blocks pointer and keyboard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Tabs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Focus</t>
        </is>
      </c>
      <c r="C96" s="13" t="inlineStr">
        <is>
          <t>Trigger</t>
        </is>
      </c>
      <c r="D96" s="13" t="inlineStr">
        <is>
          <t>focus ring and focus restoration are correct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Tabs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Keyboard</t>
        </is>
      </c>
      <c r="C97" s="13" t="inlineStr">
        <is>
          <t>Tabs</t>
        </is>
      </c>
      <c r="D97" s="13" t="inlineStr">
        <is>
          <t xml:space="preserve">  behavior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Tabs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Keyboard</t>
        </is>
      </c>
      <c r="C98" s="13" t="inlineStr">
        <is>
          <t>Tabs</t>
        </is>
      </c>
      <c r="D98" s="13" t="inlineStr">
        <is>
          <t>End behavior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Tabs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Keyboard</t>
        </is>
      </c>
      <c r="C99" s="13" t="inlineStr">
        <is>
          <t>Tabs</t>
        </is>
      </c>
      <c r="D99" s="13" t="inlineStr">
        <is>
          <t>Enter behavior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Tabs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Keyboard</t>
        </is>
      </c>
      <c r="C100" s="13" t="inlineStr">
        <is>
          <t>Tabs</t>
        </is>
      </c>
      <c r="D100" s="13" t="inlineStr">
        <is>
          <t>Home behavior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Tabs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Keyboard</t>
        </is>
      </c>
      <c r="C101" s="13" t="inlineStr">
        <is>
          <t>Tabs</t>
        </is>
      </c>
      <c r="D101" s="13" t="inlineStr">
        <is>
          <t>Arrow key navigation follows documented orientation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Tabs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Keyboard</t>
        </is>
      </c>
      <c r="C102" s="13" t="inlineStr">
        <is>
          <t>Tabs</t>
        </is>
      </c>
      <c r="D102" s="13" t="inlineStr">
        <is>
          <t>Home and End navigation where supported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Tabs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Keyboard</t>
        </is>
      </c>
      <c r="C103" s="13" t="inlineStr">
        <is>
          <t>Tabs</t>
        </is>
      </c>
      <c r="D103" s="13" t="inlineStr">
        <is>
          <t>disabled items are skipped or exposed according to pattern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Tabs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Keyboard</t>
        </is>
      </c>
      <c r="C104" s="13" t="inlineStr">
        <is>
          <t>Tabs</t>
        </is>
      </c>
      <c r="D104" s="13" t="inlineStr">
        <is>
          <t>typeahead/search behavior where supported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Tabs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Focus</t>
        </is>
      </c>
      <c r="C105" s="13" t="inlineStr">
        <is>
          <t>Tabs</t>
        </is>
      </c>
      <c r="D105" s="13" t="inlineStr">
        <is>
          <t>roving focus or active descendant state is visible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Tabs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30" customHeight="1" s="24">
      <c r="A106" s="12" t="n">
        <v>98</v>
      </c>
      <c r="B106" s="13" t="inlineStr">
        <is>
          <t>Direction</t>
        </is>
      </c>
      <c r="C106" s="13" t="inlineStr">
        <is>
          <t>List</t>
        </is>
      </c>
      <c r="D106" s="13" t="inlineStr">
        <is>
          <t>reads Direction.Provider context for horizontal keyboard navigation</t>
        </is>
      </c>
      <c r="E106" s="21" t="inlineStr">
        <is>
          <t>no</t>
        </is>
      </c>
      <c r="F106" s="19" t="inlineStr">
        <is>
          <t>no</t>
        </is>
      </c>
      <c r="G106" s="12" t="inlineStr">
        <is>
          <t>missing</t>
        </is>
      </c>
      <c r="H106" s="21" t="inlineStr">
        <is>
          <t>missing</t>
        </is>
      </c>
      <c r="I106" s="13" t="n"/>
      <c r="J106" s="13" t="inlineStr">
        <is>
          <t>Add Direction.Provider fallback before testing horizontal RTL arrows.</t>
        </is>
      </c>
      <c r="K106" s="14">
        <f>IF(AND(E106="yes",F106="yes",H106="covered"),1,IF(H106="partial",0.5,0))</f>
        <v/>
      </c>
    </row>
    <row r="107" ht="30" customHeight="1" s="24">
      <c r="A107" s="12" t="n">
        <v>99</v>
      </c>
      <c r="B107" s="13" t="inlineStr">
        <is>
          <t>Direction</t>
        </is>
      </c>
      <c r="C107" s="13" t="inlineStr">
        <is>
          <t>List</t>
        </is>
      </c>
      <c r="D107" s="13" t="inlineStr">
        <is>
          <t>RTL mirrors horizontal ArrowLeft and ArrowRight navigation</t>
        </is>
      </c>
      <c r="E107" s="21" t="inlineStr">
        <is>
          <t>no</t>
        </is>
      </c>
      <c r="F107" s="19" t="inlineStr">
        <is>
          <t>no</t>
        </is>
      </c>
      <c r="G107" s="12" t="inlineStr">
        <is>
          <t>missing</t>
        </is>
      </c>
      <c r="H107" s="21" t="inlineStr">
        <is>
          <t>missing</t>
        </is>
      </c>
      <c r="I107" s="13" t="n"/>
      <c r="J107" s="13" t="inlineStr">
        <is>
          <t>Implement and test horizontal RTL arrow mapping.</t>
        </is>
      </c>
      <c r="K107" s="14">
        <f>IF(AND(E107="yes",F107="yes",H107="covered"),1,IF(H107="partial",0.5,0))</f>
        <v/>
      </c>
    </row>
    <row r="108" ht="30" customHeight="1" s="24">
      <c r="A108" s="12" t="n">
        <v>100</v>
      </c>
      <c r="B108" s="13" t="inlineStr">
        <is>
          <t>Playground</t>
        </is>
      </c>
      <c r="C108" s="13" t="inlineStr">
        <is>
          <t>Direction controls</t>
        </is>
      </c>
      <c r="D108" s="13" t="inlineStr">
        <is>
          <t>scenario exposes provider direction controls</t>
        </is>
      </c>
      <c r="E108" s="21" t="inlineStr">
        <is>
          <t>no</t>
        </is>
      </c>
      <c r="F108" s="19" t="inlineStr">
        <is>
          <t>no</t>
        </is>
      </c>
      <c r="G108" s="12" t="inlineStr">
        <is>
          <t>missing</t>
        </is>
      </c>
      <c r="H108" s="21" t="inlineStr">
        <is>
          <t>missing</t>
        </is>
      </c>
      <c r="I108" s="13" t="n"/>
      <c r="J108" s="13" t="inlineStr">
        <is>
          <t>Add provider direction controls to the playground scenario.</t>
        </is>
      </c>
      <c r="K108" s="14">
        <f>IF(AND(E108="yes",F108="yes",H108="covered"),1,IF(H108="partial",0.5,0))</f>
        <v/>
      </c>
    </row>
  </sheetData>
  <autoFilter ref="A8:K108"/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Textarea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IFERROR(SUM(K9:K85)/COUNT(K9:K85),0)</f>
        <v/>
      </c>
      <c r="C4" s="8" t="inlineStr">
        <is>
          <t>Covered</t>
        </is>
      </c>
      <c r="D4" s="10">
        <f>COUNTIFS(E9:E85,"yes",F9:F85,"yes",H9:H85,"covered")</f>
        <v/>
      </c>
      <c r="E4" s="8" t="inlineStr">
        <is>
          <t>Partial</t>
        </is>
      </c>
      <c r="F4" s="10">
        <f>COUNTIF(H9:H85,"partial")</f>
        <v/>
      </c>
      <c r="G4" s="8" t="inlineStr">
        <is>
          <t>Missing</t>
        </is>
      </c>
      <c r="H4" s="10">
        <f>COUNTIFS(E9:E85,"&lt;&gt;yes") + COUNTIFS(E9:E85,"yes",H9:H85,"missing")</f>
        <v/>
      </c>
      <c r="I4" s="8" t="inlineStr">
        <is>
          <t>Untested</t>
        </is>
      </c>
      <c r="J4" s="10">
        <f>COUNTIFS(E9:E85,"yes",F9:F85,"&lt;&gt;yes") + COUNTIFS(E9:E85,"yes",F9:F85,"yes",H9:H85,"untested")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Textarea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Textarea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Textarea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Textarea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45" customHeight="1" s="24">
      <c r="A11" s="12" t="n">
        <v>3</v>
      </c>
      <c r="B11" s="13" t="inlineStr">
        <is>
          <t>Playground</t>
        </is>
      </c>
      <c r="C11" s="13" t="inlineStr">
        <is>
          <t>Textarea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Textarea playground page uses shared Canvas/Source, Anatomy, Inspector, and Log infrastructure.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Textarea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Textarea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Textarea</t>
        </is>
      </c>
      <c r="D13" s="13" t="inlineStr">
        <is>
          <t>Renders a native `&lt;textarea&gt;`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Textarea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Textarea</t>
        </is>
      </c>
      <c r="D14" s="13" t="inlineStr">
        <is>
          <t>Supports controlled and uncontrolled value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Textarea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30" customHeight="1" s="24">
      <c r="A15" s="12" t="n">
        <v>7</v>
      </c>
      <c r="B15" s="13" t="inlineStr">
        <is>
          <t>Feature</t>
        </is>
      </c>
      <c r="C15" s="13" t="inlineStr">
        <is>
          <t>Textarea</t>
        </is>
      </c>
      <c r="D15" s="13" t="inlineStr">
        <is>
          <t>Integrates with `Field.Root` for IDs, descriptions, errors, and state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Textarea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Textarea</t>
        </is>
      </c>
      <c r="D16" s="13" t="inlineStr">
        <is>
          <t>Supports optional auto-resize with `minRows` and `maxRows`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Textarea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Textarea</t>
        </is>
      </c>
      <c r="D17" s="13" t="inlineStr">
        <is>
          <t>Includes an optional character count part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Textarea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Textarea</t>
        </is>
      </c>
      <c r="D18" s="13" t="inlineStr">
        <is>
          <t>Exposes filled, focused, disabled, readonly, invalid, and over-limit state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Textarea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Textarea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4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Textarea form-field playground page exposes this part/prop in Anatomy, Inspector, Source, or toolbar controls.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4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Textarea source/anatomy documents whether Root renders DOM; Inspector verifies rendered descendants.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Textarea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Textarea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Textarea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Textarea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Textarea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Textarea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autoResize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Textarea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minRows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Textarea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maxRows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Textarea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State</t>
        </is>
      </c>
      <c r="C31" s="13" t="inlineStr">
        <is>
          <t>Root</t>
        </is>
      </c>
      <c r="D31" s="13" t="inlineStr">
        <is>
          <t>disabled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Textarea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required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Textarea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readOnly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Textarea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State</t>
        </is>
      </c>
      <c r="C34" s="13" t="inlineStr">
        <is>
          <t>Root</t>
        </is>
      </c>
      <c r="D34" s="13" t="inlineStr">
        <is>
          <t>invalid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Textarea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4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id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Textarea form-field playground page exposes this part/prop in Anatomy, Inspector, Source, or toolbar controls.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Root</t>
        </is>
      </c>
      <c r="D36" s="13" t="inlineStr">
        <is>
          <t>asChild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Textarea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Root</t>
        </is>
      </c>
      <c r="D37" s="13" t="inlineStr">
        <is>
          <t>render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Textarea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[data-slot]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Textarea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45" customHeight="1" s="24">
      <c r="A39" s="12" t="n">
        <v>31</v>
      </c>
      <c r="B39" s="13" t="inlineStr">
        <is>
          <t>Public API</t>
        </is>
      </c>
      <c r="C39" s="13" t="inlineStr">
        <is>
          <t>Root</t>
        </is>
      </c>
      <c r="D39" s="13" t="inlineStr">
        <is>
          <t>[data-filled]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Textarea form-field playground page exposes this part/prop in Anatomy, Inspector, Source, or toolbar controls.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45" customHeight="1" s="24">
      <c r="A40" s="12" t="n">
        <v>32</v>
      </c>
      <c r="B40" s="13" t="inlineStr">
        <is>
          <t>Public API</t>
        </is>
      </c>
      <c r="C40" s="13" t="inlineStr">
        <is>
          <t>Root</t>
        </is>
      </c>
      <c r="D40" s="13" t="inlineStr">
        <is>
          <t>[data-focused]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Textarea form-field playground page exposes this part/prop in Anatomy, Inspector, Source, or toolbar controls.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State</t>
        </is>
      </c>
      <c r="C41" s="13" t="inlineStr">
        <is>
          <t>Root</t>
        </is>
      </c>
      <c r="D41" s="13" t="inlineStr">
        <is>
          <t>[data-disabled]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Textarea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State</t>
        </is>
      </c>
      <c r="C42" s="13" t="inlineStr">
        <is>
          <t>Root</t>
        </is>
      </c>
      <c r="D42" s="13" t="inlineStr">
        <is>
          <t>[data-readonly]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Textarea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State</t>
        </is>
      </c>
      <c r="C43" s="13" t="inlineStr">
        <is>
          <t>Root</t>
        </is>
      </c>
      <c r="D43" s="13" t="inlineStr">
        <is>
          <t>[data-invalid]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Textarea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Root</t>
        </is>
      </c>
      <c r="D44" s="13" t="inlineStr">
        <is>
          <t>[data-autoresize]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Textarea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Count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Textarea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45" customHeight="1" s="24">
      <c r="A46" s="12" t="n">
        <v>38</v>
      </c>
      <c r="B46" s="13" t="inlineStr">
        <is>
          <t>Anatomy</t>
        </is>
      </c>
      <c r="C46" s="13" t="inlineStr">
        <is>
          <t>Count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Textarea form-field playground page exposes this part/prop in Anatomy, Inspector, Source, or toolbar controls.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45" customHeight="1" s="24">
      <c r="A47" s="12" t="n">
        <v>39</v>
      </c>
      <c r="B47" s="13" t="inlineStr">
        <is>
          <t>Identity</t>
        </is>
      </c>
      <c r="C47" s="13" t="inlineStr">
        <is>
          <t>Count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Textarea form-field playground page exposes this part/prop in Anatomy, Inspector, Source, or toolbar controls.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Count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Textarea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Count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Textarea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Count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Textarea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Composition</t>
        </is>
      </c>
      <c r="C51" s="13" t="inlineStr">
        <is>
          <t>Count</t>
        </is>
      </c>
      <c r="D51" s="13" t="inlineStr">
        <is>
          <t>asChild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Textarea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Composition</t>
        </is>
      </c>
      <c r="C52" s="13" t="inlineStr">
        <is>
          <t>Count</t>
        </is>
      </c>
      <c r="D52" s="13" t="inlineStr">
        <is>
          <t>render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Textarea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Count</t>
        </is>
      </c>
      <c r="D53" s="13" t="inlineStr">
        <is>
          <t>[data-slot]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Textarea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Count</t>
        </is>
      </c>
      <c r="D54" s="13" t="inlineStr">
        <is>
          <t>[data-count]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Textarea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Count</t>
        </is>
      </c>
      <c r="D55" s="13" t="inlineStr">
        <is>
          <t>[data-max]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Textarea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45" customHeight="1" s="24">
      <c r="A56" s="12" t="n">
        <v>48</v>
      </c>
      <c r="B56" s="13" t="inlineStr">
        <is>
          <t>Public API</t>
        </is>
      </c>
      <c r="C56" s="13" t="inlineStr">
        <is>
          <t>Count</t>
        </is>
      </c>
      <c r="D56" s="13" t="inlineStr">
        <is>
          <t>[data-over-limit]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Textarea form-field playground page exposes this part/prop in Anatomy, Inspector, Source, or toolbar controls.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30" customHeight="1" s="24">
      <c r="A57" s="12" t="n">
        <v>49</v>
      </c>
      <c r="B57" s="13" t="inlineStr">
        <is>
          <t>ARIA</t>
        </is>
      </c>
      <c r="C57" s="13" t="inlineStr">
        <is>
          <t>Live DOM</t>
        </is>
      </c>
      <c r="D57" s="13" t="inlineStr">
        <is>
          <t>aria-describedby is present at the correct time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Shared Anatomy/Inspector expose live ARIA/data attributes for Textarea when the part is rendered.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ARIA</t>
        </is>
      </c>
      <c r="C58" s="13" t="inlineStr">
        <is>
          <t>Live DOM</t>
        </is>
      </c>
      <c r="D58" s="13" t="inlineStr">
        <is>
          <t>aria-invalid is present at the correct time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Textarea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ARIA</t>
        </is>
      </c>
      <c r="C59" s="13" t="inlineStr">
        <is>
          <t>Live DOM</t>
        </is>
      </c>
      <c r="D59" s="13" t="inlineStr">
        <is>
          <t>aria-live is present at the correct time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Textarea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ARIA</t>
        </is>
      </c>
      <c r="C60" s="13" t="inlineStr">
        <is>
          <t>Live DOM</t>
        </is>
      </c>
      <c r="D60" s="13" t="inlineStr">
        <is>
          <t>aria-readonly is present at the correct time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Textarea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ARIA</t>
        </is>
      </c>
      <c r="C61" s="13" t="inlineStr">
        <is>
          <t>Live DOM</t>
        </is>
      </c>
      <c r="D61" s="13" t="inlineStr">
        <is>
          <t>aria-required is present at the correct time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Textarea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Data</t>
        </is>
      </c>
      <c r="C62" s="13" t="inlineStr">
        <is>
          <t>Live DOM</t>
        </is>
      </c>
      <c r="D62" s="13" t="inlineStr">
        <is>
          <t>data-autoresize is present at the correct time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Textarea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Data</t>
        </is>
      </c>
      <c r="C63" s="13" t="inlineStr">
        <is>
          <t>Live DOM</t>
        </is>
      </c>
      <c r="D63" s="13" t="inlineStr">
        <is>
          <t>data-count is present at the correct time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Textarea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Data</t>
        </is>
      </c>
      <c r="C64" s="13" t="inlineStr">
        <is>
          <t>Live DOM</t>
        </is>
      </c>
      <c r="D64" s="13" t="inlineStr">
        <is>
          <t>data-disabled is present at the correct time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Textarea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30" customHeight="1" s="24">
      <c r="A65" s="12" t="n">
        <v>57</v>
      </c>
      <c r="B65" s="13" t="inlineStr">
        <is>
          <t>Data</t>
        </is>
      </c>
      <c r="C65" s="13" t="inlineStr">
        <is>
          <t>Live DOM</t>
        </is>
      </c>
      <c r="D65" s="13" t="inlineStr">
        <is>
          <t>data-filled is present at the correct time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Shared Anatomy/Inspector expose live ARIA/data attributes for Textarea when the part is rendered.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30" customHeight="1" s="24">
      <c r="A66" s="12" t="n">
        <v>58</v>
      </c>
      <c r="B66" s="13" t="inlineStr">
        <is>
          <t>Data</t>
        </is>
      </c>
      <c r="C66" s="13" t="inlineStr">
        <is>
          <t>Live DOM</t>
        </is>
      </c>
      <c r="D66" s="13" t="inlineStr">
        <is>
          <t>data-focused is present at the correct time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Shared Anatomy/Inspector expose live ARIA/data attributes for Textarea when the part is rendered.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Data</t>
        </is>
      </c>
      <c r="C67" s="13" t="inlineStr">
        <is>
          <t>Live DOM</t>
        </is>
      </c>
      <c r="D67" s="13" t="inlineStr">
        <is>
          <t>data-invalid is present at the correct time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Textarea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Data</t>
        </is>
      </c>
      <c r="C68" s="13" t="inlineStr">
        <is>
          <t>Live DOM</t>
        </is>
      </c>
      <c r="D68" s="13" t="inlineStr">
        <is>
          <t>data-max is present at the correct time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Textarea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30" customHeight="1" s="24">
      <c r="A69" s="12" t="n">
        <v>61</v>
      </c>
      <c r="B69" s="13" t="inlineStr">
        <is>
          <t>Data</t>
        </is>
      </c>
      <c r="C69" s="13" t="inlineStr">
        <is>
          <t>Live DOM</t>
        </is>
      </c>
      <c r="D69" s="13" t="inlineStr">
        <is>
          <t>data-over-limit is present at the correct time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Shared Anatomy/Inspector expose live ARIA/data attributes for Textarea when the part is rendered.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Data</t>
        </is>
      </c>
      <c r="C70" s="13" t="inlineStr">
        <is>
          <t>Live DOM</t>
        </is>
      </c>
      <c r="D70" s="13" t="inlineStr">
        <is>
          <t>data-readonly is present at the correct time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Textarea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Data</t>
        </is>
      </c>
      <c r="C71" s="13" t="inlineStr">
        <is>
          <t>Live DOM</t>
        </is>
      </c>
      <c r="D71" s="13" t="inlineStr">
        <is>
          <t>data-slot is present at the correct time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Textarea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Composition</t>
        </is>
      </c>
      <c r="C72" s="13" t="inlineStr">
        <is>
          <t>Textarea</t>
        </is>
      </c>
      <c r="D72" s="13" t="inlineStr">
        <is>
          <t>asChild preserves child content without double nesting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Textarea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Composition</t>
        </is>
      </c>
      <c r="C73" s="13" t="inlineStr">
        <is>
          <t>Textarea</t>
        </is>
      </c>
      <c r="D73" s="13" t="inlineStr">
        <is>
          <t>asChild merges Atom props and consumer props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Textarea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30" customHeight="1" s="24">
      <c r="A74" s="12" t="n">
        <v>66</v>
      </c>
      <c r="B74" s="13" t="inlineStr">
        <is>
          <t>Composition</t>
        </is>
      </c>
      <c r="C74" s="13" t="inlineStr">
        <is>
          <t>Textarea</t>
        </is>
      </c>
      <c r="D74" s="13" t="inlineStr">
        <is>
          <t>asChild lets preventDefault block Atom behavior where supported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Textarea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Composition</t>
        </is>
      </c>
      <c r="C75" s="13" t="inlineStr">
        <is>
          <t>Textarea</t>
        </is>
      </c>
      <c r="D75" s="13" t="inlineStr">
        <is>
          <t>render prop renders custom element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Textarea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Composition</t>
        </is>
      </c>
      <c r="C76" s="13" t="inlineStr">
        <is>
          <t>Textarea</t>
        </is>
      </c>
      <c r="D76" s="13" t="inlineStr">
        <is>
          <t>render prop preserves refs and behavior props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Textarea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State</t>
        </is>
      </c>
      <c r="C77" s="13" t="inlineStr">
        <is>
          <t>Root</t>
        </is>
      </c>
      <c r="D77" s="13" t="inlineStr">
        <is>
          <t>controlled state path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Textarea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State</t>
        </is>
      </c>
      <c r="C78" s="13" t="inlineStr">
        <is>
          <t>Root</t>
        </is>
      </c>
      <c r="D78" s="13" t="inlineStr">
        <is>
          <t>uncontrolled default state path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Textarea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State</t>
        </is>
      </c>
      <c r="C79" s="13" t="inlineStr">
        <is>
          <t>Root</t>
        </is>
      </c>
      <c r="D79" s="13" t="inlineStr">
        <is>
          <t>state change callback fires once with correct value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Textarea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30" customHeight="1" s="24">
      <c r="A80" s="12" t="n">
        <v>72</v>
      </c>
      <c r="B80" s="13" t="inlineStr">
        <is>
          <t>State</t>
        </is>
      </c>
      <c r="C80" s="13" t="inlineStr">
        <is>
          <t>Textarea</t>
        </is>
      </c>
      <c r="D80" s="13" t="inlineStr">
        <is>
          <t>disabled state blocks or exposes behavior correctly where supported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Textarea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State</t>
        </is>
      </c>
      <c r="C81" s="13" t="inlineStr">
        <is>
          <t>Textarea</t>
        </is>
      </c>
      <c r="D81" s="13" t="inlineStr">
        <is>
          <t>readonly/readOnly state blocks or exposes behavior correctly where supported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Textarea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30" customHeight="1" s="24">
      <c r="A82" s="12" t="n">
        <v>74</v>
      </c>
      <c r="B82" s="13" t="inlineStr">
        <is>
          <t>State</t>
        </is>
      </c>
      <c r="C82" s="13" t="inlineStr">
        <is>
          <t>Textarea</t>
        </is>
      </c>
      <c r="D82" s="13" t="inlineStr">
        <is>
          <t>required state blocks or exposes behavior correctly where supported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Textarea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30" customHeight="1" s="24">
      <c r="A83" s="12" t="n">
        <v>75</v>
      </c>
      <c r="B83" s="13" t="inlineStr">
        <is>
          <t>State</t>
        </is>
      </c>
      <c r="C83" s="13" t="inlineStr">
        <is>
          <t>Textarea</t>
        </is>
      </c>
      <c r="D83" s="13" t="inlineStr">
        <is>
          <t>invalid state blocks or exposes behavior correctly where supported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Textarea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Forms</t>
        </is>
      </c>
      <c r="C84" s="13" t="inlineStr">
        <is>
          <t>Textarea</t>
        </is>
      </c>
      <c r="D84" s="13" t="inlineStr">
        <is>
          <t>form value participates correctly where supported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Textarea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30" customHeight="1" s="24">
      <c r="A85" s="12" t="n">
        <v>77</v>
      </c>
      <c r="B85" s="13" t="inlineStr">
        <is>
          <t>Forms</t>
        </is>
      </c>
      <c r="C85" s="13" t="inlineStr">
        <is>
          <t>Textarea</t>
        </is>
      </c>
      <c r="D85" s="13" t="inlineStr">
        <is>
          <t>hidden input mirrors value/checked/disabled where supported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Textarea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</sheetData>
  <autoFilter ref="A8:K85"/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Toast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IFERROR(SUM(K9:K142)/COUNT(K9:K142),0)</f>
        <v/>
      </c>
      <c r="C4" s="8" t="inlineStr">
        <is>
          <t>Covered</t>
        </is>
      </c>
      <c r="D4" s="10">
        <f>COUNTIFS(E9:E142,"yes",F9:F142,"yes",H9:H142,"covered")</f>
        <v/>
      </c>
      <c r="E4" s="8" t="inlineStr">
        <is>
          <t>Partial</t>
        </is>
      </c>
      <c r="F4" s="10">
        <f>COUNTIF(H9:H142,"partial")</f>
        <v/>
      </c>
      <c r="G4" s="8" t="inlineStr">
        <is>
          <t>Missing</t>
        </is>
      </c>
      <c r="H4" s="10">
        <f>COUNTIFS(E9:E142,"&lt;&gt;yes") + COUNTIFS(E9:E142,"yes",H9:H142,"missing")</f>
        <v/>
      </c>
      <c r="I4" s="8" t="inlineStr">
        <is>
          <t>Untested</t>
        </is>
      </c>
      <c r="J4" s="10">
        <f>COUNTIFS(E9:E142,"yes",F9:F142,"&lt;&gt;yes") + COUNTIFS(E9:E142,"yes",F9:F142,"yes",H9:H142,"untested")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Toast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Toast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Toast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Toast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Toast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Toast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Toast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Toast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Toast</t>
        </is>
      </c>
      <c r="D13" s="13" t="inlineStr">
        <is>
          <t>Supports declarative and imperative toast rendering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Toast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Toast</t>
        </is>
      </c>
      <c r="D14" s="13" t="inlineStr">
        <is>
          <t>Includes a global toast store and `toast.*` helpers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Toast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Toast</t>
        </is>
      </c>
      <c r="D15" s="13" t="inlineStr">
        <is>
          <t>Supports queueing with a maximum visible count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Toast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30" customHeight="1" s="24">
      <c r="A16" s="12" t="n">
        <v>8</v>
      </c>
      <c r="B16" s="13" t="inlineStr">
        <is>
          <t>Feature</t>
        </is>
      </c>
      <c r="C16" s="13" t="inlineStr">
        <is>
          <t>Toast</t>
        </is>
      </c>
      <c r="D16" s="13" t="inlineStr">
        <is>
          <t>Announces toast titles/descriptions through persistent live regions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Toast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Toast</t>
        </is>
      </c>
      <c r="D17" s="13" t="inlineStr">
        <is>
          <t>Supports hover/focus-loss pause behavior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Toast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Toast</t>
        </is>
      </c>
      <c r="D18" s="13" t="inlineStr">
        <is>
          <t>Supports custom viewport rendering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Toast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Feature</t>
        </is>
      </c>
      <c r="C19" s="13" t="inlineStr">
        <is>
          <t>Toast</t>
        </is>
      </c>
      <c r="D19" s="13" t="inlineStr">
        <is>
          <t>Supports `asChild` and `render` on visual parts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Toast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renders correct part when expected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Toast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Anatomy</t>
        </is>
      </c>
      <c r="C21" s="13" t="inlineStr">
        <is>
          <t>Root</t>
        </is>
      </c>
      <c r="D21" s="13" t="inlineStr">
        <is>
          <t>appears in documented order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Toast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default tag is visible in Anatomy/Inspector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Toast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Identity</t>
        </is>
      </c>
      <c r="C23" s="13" t="inlineStr">
        <is>
          <t>Root</t>
        </is>
      </c>
      <c r="D23" s="13" t="inlineStr">
        <is>
          <t>data-slot is present and correct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Toast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30" customHeight="1" s="24">
      <c r="A24" s="12" t="n">
        <v>16</v>
      </c>
      <c r="B24" s="13" t="inlineStr">
        <is>
          <t>Props</t>
        </is>
      </c>
      <c r="C24" s="13" t="inlineStr">
        <is>
          <t>Root</t>
        </is>
      </c>
      <c r="D24" s="13" t="inlineStr">
        <is>
          <t>non-Atom native props pass through with data-prop-check marker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Toast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Refs</t>
        </is>
      </c>
      <c r="C25" s="13" t="inlineStr">
        <is>
          <t>Root</t>
        </is>
      </c>
      <c r="D25" s="13" t="inlineStr">
        <is>
          <t>consumer ref receives the rendered element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Toast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Composition</t>
        </is>
      </c>
      <c r="C26" s="13" t="inlineStr">
        <is>
          <t>Root</t>
        </is>
      </c>
      <c r="D26" s="13" t="inlineStr">
        <is>
          <t>asChild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Toast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Composition</t>
        </is>
      </c>
      <c r="C27" s="13" t="inlineStr">
        <is>
          <t>Root</t>
        </is>
      </c>
      <c r="D27" s="13" t="inlineStr">
        <is>
          <t>render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Toast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toast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Toast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type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Toast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duration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Toast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paused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Toast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Public API</t>
        </is>
      </c>
      <c r="C32" s="13" t="inlineStr">
        <is>
          <t>Root</t>
        </is>
      </c>
      <c r="D32" s="13" t="inlineStr">
        <is>
          <t>dismissible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Toast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Public API</t>
        </is>
      </c>
      <c r="C33" s="13" t="inlineStr">
        <is>
          <t>Root</t>
        </is>
      </c>
      <c r="D33" s="13" t="inlineStr">
        <is>
          <t>closeButton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Toast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Public API</t>
        </is>
      </c>
      <c r="C34" s="13" t="inlineStr">
        <is>
          <t>Root</t>
        </is>
      </c>
      <c r="D34" s="13" t="inlineStr">
        <is>
          <t>index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Toast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Public API</t>
        </is>
      </c>
      <c r="C35" s="13" t="inlineStr">
        <is>
          <t>Root</t>
        </is>
      </c>
      <c r="D35" s="13" t="inlineStr">
        <is>
          <t>expanded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Toast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removeDelay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Toast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forceMount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Toast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State</t>
        </is>
      </c>
      <c r="C38" s="13" t="inlineStr">
        <is>
          <t>Root</t>
        </is>
      </c>
      <c r="D38" s="13" t="inlineStr">
        <is>
          <t>onAutoClose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Toast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State</t>
        </is>
      </c>
      <c r="C39" s="13" t="inlineStr">
        <is>
          <t>Root</t>
        </is>
      </c>
      <c r="D39" s="13" t="inlineStr">
        <is>
          <t>onDismiss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Toast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Public API</t>
        </is>
      </c>
      <c r="C40" s="13" t="inlineStr">
        <is>
          <t>Root</t>
        </is>
      </c>
      <c r="D40" s="13" t="inlineStr">
        <is>
          <t>[data-slot]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Toast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Public API</t>
        </is>
      </c>
      <c r="C41" s="13" t="inlineStr">
        <is>
          <t>Root</t>
        </is>
      </c>
      <c r="D41" s="13" t="inlineStr">
        <is>
          <t>[data-state] prop behavior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Toast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Public API</t>
        </is>
      </c>
      <c r="C42" s="13" t="inlineStr">
        <is>
          <t>Root</t>
        </is>
      </c>
      <c r="D42" s="13" t="inlineStr">
        <is>
          <t>[data-type] prop behavior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Toast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Public API</t>
        </is>
      </c>
      <c r="C43" s="13" t="inlineStr">
        <is>
          <t>Root</t>
        </is>
      </c>
      <c r="D43" s="13" t="inlineStr">
        <is>
          <t>[data-index] prop behavior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Toast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Root</t>
        </is>
      </c>
      <c r="D44" s="13" t="inlineStr">
        <is>
          <t>[data-expanded]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Toast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Provider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Toast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Provider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Toast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Provider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Toast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Provider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Toast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Provider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Toast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Provider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Toast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Public API</t>
        </is>
      </c>
      <c r="C51" s="13" t="inlineStr">
        <is>
          <t>Provider</t>
        </is>
      </c>
      <c r="D51" s="13" t="inlineStr">
        <is>
          <t>maxVisible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Toast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Provider</t>
        </is>
      </c>
      <c r="D52" s="13" t="inlineStr">
        <is>
          <t>expandOnHover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Toast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Public API</t>
        </is>
      </c>
      <c r="C53" s="13" t="inlineStr">
        <is>
          <t>Provider</t>
        </is>
      </c>
      <c r="D53" s="13" t="inlineStr">
        <is>
          <t>closeButton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Toast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Provider</t>
        </is>
      </c>
      <c r="D54" s="13" t="inlineStr">
        <is>
          <t>pauseOnHover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Toast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Provider</t>
        </is>
      </c>
      <c r="D55" s="13" t="inlineStr">
        <is>
          <t>pauseOnFocusLoss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Toast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Viewport</t>
        </is>
      </c>
      <c r="D56" s="13" t="inlineStr">
        <is>
          <t>renders correct part when expected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Toast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Viewport</t>
        </is>
      </c>
      <c r="D57" s="13" t="inlineStr">
        <is>
          <t>appears in documented order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Toast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Viewport</t>
        </is>
      </c>
      <c r="D58" s="13" t="inlineStr">
        <is>
          <t>default tag is visible in Anatomy/Inspector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Toast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Viewport</t>
        </is>
      </c>
      <c r="D59" s="13" t="inlineStr">
        <is>
          <t>data-slot is present and correct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Toast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Props</t>
        </is>
      </c>
      <c r="C60" s="13" t="inlineStr">
        <is>
          <t>Viewport</t>
        </is>
      </c>
      <c r="D60" s="13" t="inlineStr">
        <is>
          <t>non-Atom native props pass through with data-prop-check marker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Toast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Refs</t>
        </is>
      </c>
      <c r="C61" s="13" t="inlineStr">
        <is>
          <t>Viewport</t>
        </is>
      </c>
      <c r="D61" s="13" t="inlineStr">
        <is>
          <t>consumer ref receives the rendered element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Toast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Composition</t>
        </is>
      </c>
      <c r="C62" s="13" t="inlineStr">
        <is>
          <t>Viewport</t>
        </is>
      </c>
      <c r="D62" s="13" t="inlineStr">
        <is>
          <t>asChild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Toast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Composition</t>
        </is>
      </c>
      <c r="C63" s="13" t="inlineStr">
        <is>
          <t>Viewport</t>
        </is>
      </c>
      <c r="D63" s="13" t="inlineStr">
        <is>
          <t>render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Toast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Public API</t>
        </is>
      </c>
      <c r="C64" s="13" t="inlineStr">
        <is>
          <t>Viewport</t>
        </is>
      </c>
      <c r="D64" s="13" t="inlineStr">
        <is>
          <t>position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Toast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Positioning</t>
        </is>
      </c>
      <c r="C65" s="13" t="inlineStr">
        <is>
          <t>Viewport</t>
        </is>
      </c>
      <c r="D65" s="13" t="inlineStr">
        <is>
          <t>container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Toast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Positioning</t>
        </is>
      </c>
      <c r="C66" s="13" t="inlineStr">
        <is>
          <t>Viewport</t>
        </is>
      </c>
      <c r="D66" s="13" t="inlineStr">
        <is>
          <t>portalDisabled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Toast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Public API</t>
        </is>
      </c>
      <c r="C67" s="13" t="inlineStr">
        <is>
          <t>Viewport</t>
        </is>
      </c>
      <c r="D67" s="13" t="inlineStr">
        <is>
          <t>renderToast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Toast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Public API</t>
        </is>
      </c>
      <c r="C68" s="13" t="inlineStr">
        <is>
          <t>Viewport</t>
        </is>
      </c>
      <c r="D68" s="13" t="inlineStr">
        <is>
          <t>[data-slot]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Toast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Public API</t>
        </is>
      </c>
      <c r="C69" s="13" t="inlineStr">
        <is>
          <t>Viewport</t>
        </is>
      </c>
      <c r="D69" s="13" t="inlineStr">
        <is>
          <t>[data-position]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Toast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Viewport</t>
        </is>
      </c>
      <c r="D70" s="13" t="inlineStr">
        <is>
          <t>[data-expanded]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Toast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Public API</t>
        </is>
      </c>
      <c r="C71" s="13" t="inlineStr">
        <is>
          <t>Viewport</t>
        </is>
      </c>
      <c r="D71" s="13" t="inlineStr">
        <is>
          <t>[data-slot="toast-announcer-polite"]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Toast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Public API</t>
        </is>
      </c>
      <c r="C72" s="13" t="inlineStr">
        <is>
          <t>Viewport</t>
        </is>
      </c>
      <c r="D72" s="13" t="inlineStr">
        <is>
          <t>[data-slot="toast-announcer-assertive"]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Toast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Anatomy</t>
        </is>
      </c>
      <c r="C73" s="13" t="inlineStr">
        <is>
          <t>Title</t>
        </is>
      </c>
      <c r="D73" s="13" t="inlineStr">
        <is>
          <t>renders correct part when expected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Toast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Anatomy</t>
        </is>
      </c>
      <c r="C74" s="13" t="inlineStr">
        <is>
          <t>Title</t>
        </is>
      </c>
      <c r="D74" s="13" t="inlineStr">
        <is>
          <t>appears in documented order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Toast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Identity</t>
        </is>
      </c>
      <c r="C75" s="13" t="inlineStr">
        <is>
          <t>Title</t>
        </is>
      </c>
      <c r="D75" s="13" t="inlineStr">
        <is>
          <t>default tag is visible in Anatomy/Inspector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Toast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Identity</t>
        </is>
      </c>
      <c r="C76" s="13" t="inlineStr">
        <is>
          <t>Title</t>
        </is>
      </c>
      <c r="D76" s="13" t="inlineStr">
        <is>
          <t>data-slot is present and correct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Toast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30" customHeight="1" s="24">
      <c r="A77" s="12" t="n">
        <v>69</v>
      </c>
      <c r="B77" s="13" t="inlineStr">
        <is>
          <t>Props</t>
        </is>
      </c>
      <c r="C77" s="13" t="inlineStr">
        <is>
          <t>Title</t>
        </is>
      </c>
      <c r="D77" s="13" t="inlineStr">
        <is>
          <t>non-Atom native props pass through with data-prop-check marker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Toast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Refs</t>
        </is>
      </c>
      <c r="C78" s="13" t="inlineStr">
        <is>
          <t>Title</t>
        </is>
      </c>
      <c r="D78" s="13" t="inlineStr">
        <is>
          <t>consumer ref receives the rendered element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Toast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Composition</t>
        </is>
      </c>
      <c r="C79" s="13" t="inlineStr">
        <is>
          <t>Title</t>
        </is>
      </c>
      <c r="D79" s="13" t="inlineStr">
        <is>
          <t>asChild prop behavior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Toast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Composition</t>
        </is>
      </c>
      <c r="C80" s="13" t="inlineStr">
        <is>
          <t>Title</t>
        </is>
      </c>
      <c r="D80" s="13" t="inlineStr">
        <is>
          <t>render prop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Toast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Public API</t>
        </is>
      </c>
      <c r="C81" s="13" t="inlineStr">
        <is>
          <t>Title</t>
        </is>
      </c>
      <c r="D81" s="13" t="inlineStr">
        <is>
          <t>[data-slot] prop behavior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Toast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Anatomy</t>
        </is>
      </c>
      <c r="C82" s="13" t="inlineStr">
        <is>
          <t>Description</t>
        </is>
      </c>
      <c r="D82" s="13" t="inlineStr">
        <is>
          <t>renders correct part when expected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Toast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Anatomy</t>
        </is>
      </c>
      <c r="C83" s="13" t="inlineStr">
        <is>
          <t>Description</t>
        </is>
      </c>
      <c r="D83" s="13" t="inlineStr">
        <is>
          <t>appears in documented order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Toast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Identity</t>
        </is>
      </c>
      <c r="C84" s="13" t="inlineStr">
        <is>
          <t>Description</t>
        </is>
      </c>
      <c r="D84" s="13" t="inlineStr">
        <is>
          <t>default tag is visible in Anatomy/Inspector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Toast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Identity</t>
        </is>
      </c>
      <c r="C85" s="13" t="inlineStr">
        <is>
          <t>Description</t>
        </is>
      </c>
      <c r="D85" s="13" t="inlineStr">
        <is>
          <t>data-slot is present and correct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Toast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30" customHeight="1" s="24">
      <c r="A86" s="12" t="n">
        <v>78</v>
      </c>
      <c r="B86" s="13" t="inlineStr">
        <is>
          <t>Props</t>
        </is>
      </c>
      <c r="C86" s="13" t="inlineStr">
        <is>
          <t>Description</t>
        </is>
      </c>
      <c r="D86" s="13" t="inlineStr">
        <is>
          <t>non-Atom native props pass through with data-prop-check marker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Toast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Refs</t>
        </is>
      </c>
      <c r="C87" s="13" t="inlineStr">
        <is>
          <t>Description</t>
        </is>
      </c>
      <c r="D87" s="13" t="inlineStr">
        <is>
          <t>consumer ref receives the rendered element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Toast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Composition</t>
        </is>
      </c>
      <c r="C88" s="13" t="inlineStr">
        <is>
          <t>Description</t>
        </is>
      </c>
      <c r="D88" s="13" t="inlineStr">
        <is>
          <t>asChild prop behavior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Toast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Composition</t>
        </is>
      </c>
      <c r="C89" s="13" t="inlineStr">
        <is>
          <t>Description</t>
        </is>
      </c>
      <c r="D89" s="13" t="inlineStr">
        <is>
          <t>render prop behavior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Toast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Public API</t>
        </is>
      </c>
      <c r="C90" s="13" t="inlineStr">
        <is>
          <t>Description</t>
        </is>
      </c>
      <c r="D90" s="13" t="inlineStr">
        <is>
          <t>[data-slot] prop behavior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Toast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Anatomy</t>
        </is>
      </c>
      <c r="C91" s="13" t="inlineStr">
        <is>
          <t>Close</t>
        </is>
      </c>
      <c r="D91" s="13" t="inlineStr">
        <is>
          <t>renders correct part when expected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Toast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Anatomy</t>
        </is>
      </c>
      <c r="C92" s="13" t="inlineStr">
        <is>
          <t>Close</t>
        </is>
      </c>
      <c r="D92" s="13" t="inlineStr">
        <is>
          <t>appears in documented order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Toast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Identity</t>
        </is>
      </c>
      <c r="C93" s="13" t="inlineStr">
        <is>
          <t>Close</t>
        </is>
      </c>
      <c r="D93" s="13" t="inlineStr">
        <is>
          <t>default tag is visible in Anatomy/Inspector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Toast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Identity</t>
        </is>
      </c>
      <c r="C94" s="13" t="inlineStr">
        <is>
          <t>Close</t>
        </is>
      </c>
      <c r="D94" s="13" t="inlineStr">
        <is>
          <t>data-slot is present and correct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Toast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30" customHeight="1" s="24">
      <c r="A95" s="12" t="n">
        <v>87</v>
      </c>
      <c r="B95" s="13" t="inlineStr">
        <is>
          <t>Props</t>
        </is>
      </c>
      <c r="C95" s="13" t="inlineStr">
        <is>
          <t>Close</t>
        </is>
      </c>
      <c r="D95" s="13" t="inlineStr">
        <is>
          <t>non-Atom native props pass through with data-prop-check marker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Toast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Refs</t>
        </is>
      </c>
      <c r="C96" s="13" t="inlineStr">
        <is>
          <t>Close</t>
        </is>
      </c>
      <c r="D96" s="13" t="inlineStr">
        <is>
          <t>consumer ref receives the rendered element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Toast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Composition</t>
        </is>
      </c>
      <c r="C97" s="13" t="inlineStr">
        <is>
          <t>Close</t>
        </is>
      </c>
      <c r="D97" s="13" t="inlineStr">
        <is>
          <t>asChild prop behavior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Toast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Composition</t>
        </is>
      </c>
      <c r="C98" s="13" t="inlineStr">
        <is>
          <t>Close</t>
        </is>
      </c>
      <c r="D98" s="13" t="inlineStr">
        <is>
          <t>render prop behavior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Toast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Accessibility</t>
        </is>
      </c>
      <c r="C99" s="13" t="inlineStr">
        <is>
          <t>Close</t>
        </is>
      </c>
      <c r="D99" s="13" t="inlineStr">
        <is>
          <t>aria-label prop behavior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Toast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Public API</t>
        </is>
      </c>
      <c r="C100" s="13" t="inlineStr">
        <is>
          <t>Close</t>
        </is>
      </c>
      <c r="D100" s="13" t="inlineStr">
        <is>
          <t>[data-slot] prop behavior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Toast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Anatomy</t>
        </is>
      </c>
      <c r="C101" s="13" t="inlineStr">
        <is>
          <t>Action</t>
        </is>
      </c>
      <c r="D101" s="13" t="inlineStr">
        <is>
          <t>renders correct part when expected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Toast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Anatomy</t>
        </is>
      </c>
      <c r="C102" s="13" t="inlineStr">
        <is>
          <t>Action</t>
        </is>
      </c>
      <c r="D102" s="13" t="inlineStr">
        <is>
          <t>appears in documented order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Toast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Identity</t>
        </is>
      </c>
      <c r="C103" s="13" t="inlineStr">
        <is>
          <t>Action</t>
        </is>
      </c>
      <c r="D103" s="13" t="inlineStr">
        <is>
          <t>default tag is visible in Anatomy/Inspector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Toast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Identity</t>
        </is>
      </c>
      <c r="C104" s="13" t="inlineStr">
        <is>
          <t>Action</t>
        </is>
      </c>
      <c r="D104" s="13" t="inlineStr">
        <is>
          <t>data-slot is present and correct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Toast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30" customHeight="1" s="24">
      <c r="A105" s="12" t="n">
        <v>97</v>
      </c>
      <c r="B105" s="13" t="inlineStr">
        <is>
          <t>Props</t>
        </is>
      </c>
      <c r="C105" s="13" t="inlineStr">
        <is>
          <t>Action</t>
        </is>
      </c>
      <c r="D105" s="13" t="inlineStr">
        <is>
          <t>non-Atom native props pass through with data-prop-check marker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Toast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Refs</t>
        </is>
      </c>
      <c r="C106" s="13" t="inlineStr">
        <is>
          <t>Action</t>
        </is>
      </c>
      <c r="D106" s="13" t="inlineStr">
        <is>
          <t>consumer ref receives the rendered element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Toast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Composition</t>
        </is>
      </c>
      <c r="C107" s="13" t="inlineStr">
        <is>
          <t>Action</t>
        </is>
      </c>
      <c r="D107" s="13" t="inlineStr">
        <is>
          <t>asChild prop behavior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Toast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Composition</t>
        </is>
      </c>
      <c r="C108" s="13" t="inlineStr">
        <is>
          <t>Action</t>
        </is>
      </c>
      <c r="D108" s="13" t="inlineStr">
        <is>
          <t>render prop behavior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Toast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Public API</t>
        </is>
      </c>
      <c r="C109" s="13" t="inlineStr">
        <is>
          <t>Action</t>
        </is>
      </c>
      <c r="D109" s="13" t="inlineStr">
        <is>
          <t>altText prop behavior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Toast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Public API</t>
        </is>
      </c>
      <c r="C110" s="13" t="inlineStr">
        <is>
          <t>Action</t>
        </is>
      </c>
      <c r="D110" s="13" t="inlineStr">
        <is>
          <t>[data-slot] prop behavior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Toast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Anatomy</t>
        </is>
      </c>
      <c r="C111" s="13" t="inlineStr">
        <is>
          <t>Cancel</t>
        </is>
      </c>
      <c r="D111" s="13" t="inlineStr">
        <is>
          <t>renders correct part when expected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Toast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Anatomy</t>
        </is>
      </c>
      <c r="C112" s="13" t="inlineStr">
        <is>
          <t>Cancel</t>
        </is>
      </c>
      <c r="D112" s="13" t="inlineStr">
        <is>
          <t>appears in documented order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Toast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Identity</t>
        </is>
      </c>
      <c r="C113" s="13" t="inlineStr">
        <is>
          <t>Cancel</t>
        </is>
      </c>
      <c r="D113" s="13" t="inlineStr">
        <is>
          <t>default tag is visible in Anatomy/Inspector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Toast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Identity</t>
        </is>
      </c>
      <c r="C114" s="13" t="inlineStr">
        <is>
          <t>Cancel</t>
        </is>
      </c>
      <c r="D114" s="13" t="inlineStr">
        <is>
          <t>data-slot is present and correct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Toast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30" customHeight="1" s="24">
      <c r="A115" s="12" t="n">
        <v>107</v>
      </c>
      <c r="B115" s="13" t="inlineStr">
        <is>
          <t>Props</t>
        </is>
      </c>
      <c r="C115" s="13" t="inlineStr">
        <is>
          <t>Cancel</t>
        </is>
      </c>
      <c r="D115" s="13" t="inlineStr">
        <is>
          <t>non-Atom native props pass through with data-prop-check marker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Toast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Refs</t>
        </is>
      </c>
      <c r="C116" s="13" t="inlineStr">
        <is>
          <t>Cancel</t>
        </is>
      </c>
      <c r="D116" s="13" t="inlineStr">
        <is>
          <t>consumer ref receives the rendered element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Toast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Composition</t>
        </is>
      </c>
      <c r="C117" s="13" t="inlineStr">
        <is>
          <t>Cancel</t>
        </is>
      </c>
      <c r="D117" s="13" t="inlineStr">
        <is>
          <t>asChild prop behavior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Toast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Composition</t>
        </is>
      </c>
      <c r="C118" s="13" t="inlineStr">
        <is>
          <t>Cancel</t>
        </is>
      </c>
      <c r="D118" s="13" t="inlineStr">
        <is>
          <t>render prop behavior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Toast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Public API</t>
        </is>
      </c>
      <c r="C119" s="13" t="inlineStr">
        <is>
          <t>Cancel</t>
        </is>
      </c>
      <c r="D119" s="13" t="inlineStr">
        <is>
          <t>altText prop behavior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Toast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Public API</t>
        </is>
      </c>
      <c r="C120" s="13" t="inlineStr">
        <is>
          <t>Cancel</t>
        </is>
      </c>
      <c r="D120" s="13" t="inlineStr">
        <is>
          <t>[data-slot] prop behavior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Toast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15" customHeight="1" s="24">
      <c r="A121" s="12" t="n">
        <v>113</v>
      </c>
      <c r="B121" s="13" t="inlineStr">
        <is>
          <t>ARIA</t>
        </is>
      </c>
      <c r="C121" s="13" t="inlineStr">
        <is>
          <t>Live DOM</t>
        </is>
      </c>
      <c r="D121" s="13" t="inlineStr">
        <is>
          <t>aria-atomic is present at the correct time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Toast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ARIA</t>
        </is>
      </c>
      <c r="C122" s="13" t="inlineStr">
        <is>
          <t>Live DOM</t>
        </is>
      </c>
      <c r="D122" s="13" t="inlineStr">
        <is>
          <t>aria-label is present at the correct time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Toast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ARIA</t>
        </is>
      </c>
      <c r="C123" s="13" t="inlineStr">
        <is>
          <t>Live DOM</t>
        </is>
      </c>
      <c r="D123" s="13" t="inlineStr">
        <is>
          <t>aria-live is present at the correct time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Toast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Data</t>
        </is>
      </c>
      <c r="C124" s="13" t="inlineStr">
        <is>
          <t>Live DOM</t>
        </is>
      </c>
      <c r="D124" s="13" t="inlineStr">
        <is>
          <t>data-expanded is present at the correct time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Toast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Data</t>
        </is>
      </c>
      <c r="C125" s="13" t="inlineStr">
        <is>
          <t>Live DOM</t>
        </is>
      </c>
      <c r="D125" s="13" t="inlineStr">
        <is>
          <t>data-index is present at the correct time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Toast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Data</t>
        </is>
      </c>
      <c r="C126" s="13" t="inlineStr">
        <is>
          <t>Live DOM</t>
        </is>
      </c>
      <c r="D126" s="13" t="inlineStr">
        <is>
          <t>data-position is present at the correct time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Toast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15" customHeight="1" s="24">
      <c r="A127" s="12" t="n">
        <v>119</v>
      </c>
      <c r="B127" s="13" t="inlineStr">
        <is>
          <t>Data</t>
        </is>
      </c>
      <c r="C127" s="13" t="inlineStr">
        <is>
          <t>Live DOM</t>
        </is>
      </c>
      <c r="D127" s="13" t="inlineStr">
        <is>
          <t>data-slot is present at the correct time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Toast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Data</t>
        </is>
      </c>
      <c r="C128" s="13" t="inlineStr">
        <is>
          <t>Live DOM</t>
        </is>
      </c>
      <c r="D128" s="13" t="inlineStr">
        <is>
          <t>data-state is present at the correct time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Toast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Data</t>
        </is>
      </c>
      <c r="C129" s="13" t="inlineStr">
        <is>
          <t>Live DOM</t>
        </is>
      </c>
      <c r="D129" s="13" t="inlineStr">
        <is>
          <t>data-type is present at the correct time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Toast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Composition</t>
        </is>
      </c>
      <c r="C130" s="13" t="inlineStr">
        <is>
          <t>Toast</t>
        </is>
      </c>
      <c r="D130" s="13" t="inlineStr">
        <is>
          <t>asChild preserves child content without double nesting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Toast playground scenario.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Composition</t>
        </is>
      </c>
      <c r="C131" s="13" t="inlineStr">
        <is>
          <t>Toast</t>
        </is>
      </c>
      <c r="D131" s="13" t="inlineStr">
        <is>
          <t>asChild merges Atom props and consumer props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Toast playground scenario.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30" customHeight="1" s="24">
      <c r="A132" s="12" t="n">
        <v>124</v>
      </c>
      <c r="B132" s="13" t="inlineStr">
        <is>
          <t>Composition</t>
        </is>
      </c>
      <c r="C132" s="13" t="inlineStr">
        <is>
          <t>Toast</t>
        </is>
      </c>
      <c r="D132" s="13" t="inlineStr">
        <is>
          <t>asChild lets preventDefault block Atom behavior where supported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Toast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Composition</t>
        </is>
      </c>
      <c r="C133" s="13" t="inlineStr">
        <is>
          <t>Toast</t>
        </is>
      </c>
      <c r="D133" s="13" t="inlineStr">
        <is>
          <t>render prop renders custom element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Toast playground scenario.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Composition</t>
        </is>
      </c>
      <c r="C134" s="13" t="inlineStr">
        <is>
          <t>Toast</t>
        </is>
      </c>
      <c r="D134" s="13" t="inlineStr">
        <is>
          <t>render prop preserves refs and behavior props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Toast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Dismiss</t>
        </is>
      </c>
      <c r="C135" s="13" t="inlineStr">
        <is>
          <t>Toast</t>
        </is>
      </c>
      <c r="D135" s="13" t="inlineStr">
        <is>
          <t>Escape closes only the topmost active layer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Toast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Dismiss</t>
        </is>
      </c>
      <c r="C136" s="13" t="inlineStr">
        <is>
          <t>Toast</t>
        </is>
      </c>
      <c r="D136" s="13" t="inlineStr">
        <is>
          <t>outside click/interact closes when enabled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Toast playground scenario.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Dismiss</t>
        </is>
      </c>
      <c r="C137" s="13" t="inlineStr">
        <is>
          <t>Toast</t>
        </is>
      </c>
      <c r="D137" s="13" t="inlineStr">
        <is>
          <t>outside click/interact is blocked when disabled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Toast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Focus</t>
        </is>
      </c>
      <c r="C138" s="13" t="inlineStr">
        <is>
          <t>Toast</t>
        </is>
      </c>
      <c r="D138" s="13" t="inlineStr">
        <is>
          <t>focus returns to the correct trigger/anchor after close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Toast playground scenario.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Focus</t>
        </is>
      </c>
      <c r="C139" s="13" t="inlineStr">
        <is>
          <t>Toast</t>
        </is>
      </c>
      <c r="D139" s="13" t="inlineStr">
        <is>
          <t>nested overlays keep focus and Escape order correct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Toast playground scenario.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Mobile</t>
        </is>
      </c>
      <c r="C140" s="13" t="inlineStr">
        <is>
          <t>Toast</t>
        </is>
      </c>
      <c r="D140" s="13" t="inlineStr">
        <is>
          <t>mobile viewport/touch behavior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Toast playground scenario.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15" customHeight="1" s="24">
      <c r="A141" s="12" t="n">
        <v>133</v>
      </c>
      <c r="B141" s="13" t="inlineStr">
        <is>
          <t>Portal</t>
        </is>
      </c>
      <c r="C141" s="13" t="inlineStr">
        <is>
          <t>Toast</t>
        </is>
      </c>
      <c r="D141" s="13" t="inlineStr">
        <is>
          <t>portal renders in body by default</t>
        </is>
      </c>
      <c r="E141" s="18" t="inlineStr">
        <is>
          <t>yes</t>
        </is>
      </c>
      <c r="F141" s="19" t="inlineStr">
        <is>
          <t>no</t>
        </is>
      </c>
      <c r="G141" s="12" t="inlineStr">
        <is>
          <t>ready for manual test</t>
        </is>
      </c>
      <c r="H141" s="20" t="inlineStr">
        <is>
          <t>untested</t>
        </is>
      </c>
      <c r="I141" s="13" t="inlineStr">
        <is>
          <t>Toast playground scenario.</t>
        </is>
      </c>
      <c r="J141" s="13" t="inlineStr">
        <is>
          <t>Manual verification needed.</t>
        </is>
      </c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Portal</t>
        </is>
      </c>
      <c r="C142" s="13" t="inlineStr">
        <is>
          <t>Toast</t>
        </is>
      </c>
      <c r="D142" s="13" t="inlineStr">
        <is>
          <t>custom/disabled portal path works where supported</t>
        </is>
      </c>
      <c r="E142" s="18" t="inlineStr">
        <is>
          <t>yes</t>
        </is>
      </c>
      <c r="F142" s="19" t="inlineStr">
        <is>
          <t>no</t>
        </is>
      </c>
      <c r="G142" s="12" t="inlineStr">
        <is>
          <t>ready for manual test</t>
        </is>
      </c>
      <c r="H142" s="20" t="inlineStr">
        <is>
          <t>untested</t>
        </is>
      </c>
      <c r="I142" s="13" t="inlineStr">
        <is>
          <t>Toast playground scenario.</t>
        </is>
      </c>
      <c r="J142" s="13" t="inlineStr">
        <is>
          <t>Manual verification needed.</t>
        </is>
      </c>
      <c r="K142" s="14">
        <f>IF(AND(E142="yes",F142="yes",H142="covered"),1,IF(H142="partial",0.5,0))</f>
        <v/>
      </c>
    </row>
  </sheetData>
  <autoFilter ref="A8:K142"/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Toggle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IFERROR(SUM(K9:K43)/COUNT(K9:K43),0)</f>
        <v/>
      </c>
      <c r="C4" s="8" t="inlineStr">
        <is>
          <t>Covered</t>
        </is>
      </c>
      <c r="D4" s="10">
        <f>COUNTIFS(E9:E43,"yes",F9:F43,"yes",H9:H43,"covered")</f>
        <v/>
      </c>
      <c r="E4" s="8" t="inlineStr">
        <is>
          <t>Partial</t>
        </is>
      </c>
      <c r="F4" s="10">
        <f>COUNTIF(H9:H43,"partial")</f>
        <v/>
      </c>
      <c r="G4" s="8" t="inlineStr">
        <is>
          <t>Missing</t>
        </is>
      </c>
      <c r="H4" s="10">
        <f>COUNTIFS(E9:E43,"&lt;&gt;yes") + COUNTIFS(E9:E43,"yes",H9:H43,"missing")</f>
        <v/>
      </c>
      <c r="I4" s="8" t="inlineStr">
        <is>
          <t>Untested</t>
        </is>
      </c>
      <c r="J4" s="10">
        <f>COUNTIFS(E9:E43,"yes",F9:F43,"&lt;&gt;yes") + COUNTIFS(E9:E43,"yes",F9:F43,"yes",H9:H43,"untested")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Toggle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yes</t>
        </is>
      </c>
      <c r="G9" s="12" t="inlineStr">
        <is>
          <t>pass</t>
        </is>
      </c>
      <c r="H9" s="20" t="inlineStr">
        <is>
          <t>covered</t>
        </is>
      </c>
      <c r="I9" s="13" t="inlineStr">
        <is>
          <t>Toggle playground manual verification.</t>
        </is>
      </c>
      <c r="J9" s="13" t="inlineStr"/>
      <c r="K9" s="14">
        <f>IF(AND(E9="yes",F9="yes",H9="covered"),1,IF(H9="partial",0.5,0))</f>
        <v/>
      </c>
    </row>
    <row r="10" ht="45" customHeight="1" s="24">
      <c r="A10" s="12" t="n">
        <v>2</v>
      </c>
      <c r="B10" s="13" t="inlineStr">
        <is>
          <t>Playground</t>
        </is>
      </c>
      <c r="C10" s="13" t="inlineStr">
        <is>
          <t>Toggle</t>
        </is>
      </c>
      <c r="D10" s="13" t="inlineStr">
        <is>
          <t>canvas source reflects controlled, pressed, disabled, events, and composition</t>
        </is>
      </c>
      <c r="E10" s="18" t="inlineStr">
        <is>
          <t>yes</t>
        </is>
      </c>
      <c r="F10" s="19" t="inlineStr">
        <is>
          <t>yes</t>
        </is>
      </c>
      <c r="G10" s="12" t="inlineStr">
        <is>
          <t>pass</t>
        </is>
      </c>
      <c r="H10" s="20" t="inlineStr">
        <is>
          <t>covered</t>
        </is>
      </c>
      <c r="I10" s="13" t="inlineStr">
        <is>
          <t>Toggle playground manual verification.</t>
        </is>
      </c>
      <c r="J10" s="13" t="inlineStr"/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Toggle</t>
        </is>
      </c>
      <c r="D11" s="13" t="inlineStr">
        <is>
          <t>anatomy uses live DOM attributes, ARIA, data, text, and ref evidence</t>
        </is>
      </c>
      <c r="E11" s="18" t="inlineStr">
        <is>
          <t>yes</t>
        </is>
      </c>
      <c r="F11" s="19" t="inlineStr">
        <is>
          <t>yes</t>
        </is>
      </c>
      <c r="G11" s="12" t="inlineStr">
        <is>
          <t>pass</t>
        </is>
      </c>
      <c r="H11" s="20" t="inlineStr">
        <is>
          <t>covered</t>
        </is>
      </c>
      <c r="I11" s="13" t="inlineStr">
        <is>
          <t>Toggle playground manual verification.</t>
        </is>
      </c>
      <c r="J11" s="13" t="inlineStr"/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Toggle</t>
        </is>
      </c>
      <c r="D12" s="13" t="inlineStr">
        <is>
          <t>inspector selected/focused/logs update for this scenario</t>
        </is>
      </c>
      <c r="E12" s="18" t="inlineStr">
        <is>
          <t>yes</t>
        </is>
      </c>
      <c r="F12" s="19" t="inlineStr">
        <is>
          <t>yes</t>
        </is>
      </c>
      <c r="G12" s="12" t="inlineStr">
        <is>
          <t>pass</t>
        </is>
      </c>
      <c r="H12" s="20" t="inlineStr">
        <is>
          <t>covered</t>
        </is>
      </c>
      <c r="I12" s="13" t="inlineStr">
        <is>
          <t>Toggle playground manual verification.</t>
        </is>
      </c>
      <c r="J12" s="13" t="inlineStr"/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Anatomy</t>
        </is>
      </c>
      <c r="C13" s="13" t="inlineStr">
        <is>
          <t>Root</t>
        </is>
      </c>
      <c r="D13" s="13" t="inlineStr">
        <is>
          <t>Root is the only anatomy part</t>
        </is>
      </c>
      <c r="E13" s="18" t="inlineStr">
        <is>
          <t>yes</t>
        </is>
      </c>
      <c r="F13" s="19" t="inlineStr">
        <is>
          <t>yes</t>
        </is>
      </c>
      <c r="G13" s="12" t="inlineStr">
        <is>
          <t>pass</t>
        </is>
      </c>
      <c r="H13" s="20" t="inlineStr">
        <is>
          <t>covered</t>
        </is>
      </c>
      <c r="I13" s="13" t="inlineStr">
        <is>
          <t>Toggle playground manual verification.</t>
        </is>
      </c>
      <c r="J13" s="13" t="inlineStr"/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Anatomy</t>
        </is>
      </c>
      <c r="C14" s="13" t="inlineStr">
        <is>
          <t>Root</t>
        </is>
      </c>
      <c r="D14" s="13" t="inlineStr">
        <is>
          <t>Root summary follows data-state on/off</t>
        </is>
      </c>
      <c r="E14" s="18" t="inlineStr">
        <is>
          <t>yes</t>
        </is>
      </c>
      <c r="F14" s="19" t="inlineStr">
        <is>
          <t>yes</t>
        </is>
      </c>
      <c r="G14" s="12" t="inlineStr">
        <is>
          <t>pass</t>
        </is>
      </c>
      <c r="H14" s="20" t="inlineStr">
        <is>
          <t>covered</t>
        </is>
      </c>
      <c r="I14" s="13" t="inlineStr">
        <is>
          <t>Toggle playground manual verification.</t>
        </is>
      </c>
      <c r="J14" s="13" t="inlineStr"/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Identity</t>
        </is>
      </c>
      <c r="C15" s="13" t="inlineStr">
        <is>
          <t>Root</t>
        </is>
      </c>
      <c r="D15" s="13" t="inlineStr">
        <is>
          <t>default render is native button</t>
        </is>
      </c>
      <c r="E15" s="18" t="inlineStr">
        <is>
          <t>yes</t>
        </is>
      </c>
      <c r="F15" s="19" t="inlineStr">
        <is>
          <t>yes</t>
        </is>
      </c>
      <c r="G15" s="12" t="inlineStr">
        <is>
          <t>pass</t>
        </is>
      </c>
      <c r="H15" s="20" t="inlineStr">
        <is>
          <t>covered</t>
        </is>
      </c>
      <c r="I15" s="13" t="inlineStr">
        <is>
          <t>Toggle playground manual verification.</t>
        </is>
      </c>
      <c r="J15" s="13" t="inlineStr"/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Identity</t>
        </is>
      </c>
      <c r="C16" s="13" t="inlineStr">
        <is>
          <t>Root</t>
        </is>
      </c>
      <c r="D16" s="13" t="inlineStr">
        <is>
          <t>consumer ref receives rendered element</t>
        </is>
      </c>
      <c r="E16" s="18" t="inlineStr">
        <is>
          <t>yes</t>
        </is>
      </c>
      <c r="F16" s="19" t="inlineStr">
        <is>
          <t>yes</t>
        </is>
      </c>
      <c r="G16" s="12" t="inlineStr">
        <is>
          <t>pass</t>
        </is>
      </c>
      <c r="H16" s="20" t="inlineStr">
        <is>
          <t>covered</t>
        </is>
      </c>
      <c r="I16" s="13" t="inlineStr">
        <is>
          <t>Toggle playground manual verification.</t>
        </is>
      </c>
      <c r="J16" s="13" t="inlineStr"/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Identity</t>
        </is>
      </c>
      <c r="C17" s="13" t="inlineStr">
        <is>
          <t>Root</t>
        </is>
      </c>
      <c r="D17" s="13" t="inlineStr">
        <is>
          <t>visible text is Bold</t>
        </is>
      </c>
      <c r="E17" s="18" t="inlineStr">
        <is>
          <t>yes</t>
        </is>
      </c>
      <c r="F17" s="19" t="inlineStr">
        <is>
          <t>yes</t>
        </is>
      </c>
      <c r="G17" s="12" t="inlineStr">
        <is>
          <t>pass</t>
        </is>
      </c>
      <c r="H17" s="20" t="inlineStr">
        <is>
          <t>covered</t>
        </is>
      </c>
      <c r="I17" s="13" t="inlineStr">
        <is>
          <t>Toggle playground manual verification.</t>
        </is>
      </c>
      <c r="J17" s="13" t="inlineStr"/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Props</t>
        </is>
      </c>
      <c r="C18" s="13" t="inlineStr">
        <is>
          <t>Root</t>
        </is>
      </c>
      <c r="D18" s="13" t="inlineStr">
        <is>
          <t>non-Atom native/data props pass through with data-prop-check marker</t>
        </is>
      </c>
      <c r="E18" s="18" t="inlineStr">
        <is>
          <t>yes</t>
        </is>
      </c>
      <c r="F18" s="19" t="inlineStr">
        <is>
          <t>yes</t>
        </is>
      </c>
      <c r="G18" s="12" t="inlineStr">
        <is>
          <t>pass</t>
        </is>
      </c>
      <c r="H18" s="20" t="inlineStr">
        <is>
          <t>covered</t>
        </is>
      </c>
      <c r="I18" s="13" t="inlineStr">
        <is>
          <t>Toggle playground manual verification.</t>
        </is>
      </c>
      <c r="J18" s="13" t="inlineStr"/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Props</t>
        </is>
      </c>
      <c r="C19" s="13" t="inlineStr">
        <is>
          <t>Root</t>
        </is>
      </c>
      <c r="D19" s="13" t="inlineStr">
        <is>
          <t>value prop appears as data-value</t>
        </is>
      </c>
      <c r="E19" s="18" t="inlineStr">
        <is>
          <t>yes</t>
        </is>
      </c>
      <c r="F19" s="19" t="inlineStr">
        <is>
          <t>yes</t>
        </is>
      </c>
      <c r="G19" s="12" t="inlineStr">
        <is>
          <t>pass</t>
        </is>
      </c>
      <c r="H19" s="20" t="inlineStr">
        <is>
          <t>covered</t>
        </is>
      </c>
      <c r="I19" s="13" t="inlineStr">
        <is>
          <t>Toggle playground manual verification.</t>
        </is>
      </c>
      <c r="J19" s="13" t="inlineStr"/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Accessibility</t>
        </is>
      </c>
      <c r="C20" s="13" t="inlineStr">
        <is>
          <t>Root</t>
        </is>
      </c>
      <c r="D20" s="13" t="inlineStr">
        <is>
          <t>aria-label comes from ariaLabel</t>
        </is>
      </c>
      <c r="E20" s="18" t="inlineStr">
        <is>
          <t>yes</t>
        </is>
      </c>
      <c r="F20" s="19" t="inlineStr">
        <is>
          <t>yes</t>
        </is>
      </c>
      <c r="G20" s="12" t="inlineStr">
        <is>
          <t>pass</t>
        </is>
      </c>
      <c r="H20" s="20" t="inlineStr">
        <is>
          <t>covered</t>
        </is>
      </c>
      <c r="I20" s="13" t="inlineStr">
        <is>
          <t>Toggle playground manual verification.</t>
        </is>
      </c>
      <c r="J20" s="13" t="inlineStr"/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Accessibility</t>
        </is>
      </c>
      <c r="C21" s="13" t="inlineStr">
        <is>
          <t>Root</t>
        </is>
      </c>
      <c r="D21" s="13" t="inlineStr">
        <is>
          <t>aria-pressed reflects pressed state</t>
        </is>
      </c>
      <c r="E21" s="18" t="inlineStr">
        <is>
          <t>yes</t>
        </is>
      </c>
      <c r="F21" s="19" t="inlineStr">
        <is>
          <t>yes</t>
        </is>
      </c>
      <c r="G21" s="12" t="inlineStr">
        <is>
          <t>pass</t>
        </is>
      </c>
      <c r="H21" s="20" t="inlineStr">
        <is>
          <t>covered</t>
        </is>
      </c>
      <c r="I21" s="13" t="inlineStr">
        <is>
          <t>Toggle playground manual verification.</t>
        </is>
      </c>
      <c r="J21" s="13" t="inlineStr"/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State</t>
        </is>
      </c>
      <c r="C22" s="13" t="inlineStr">
        <is>
          <t>Root</t>
        </is>
      </c>
      <c r="D22" s="13" t="inlineStr">
        <is>
          <t>uncontrolled defaultPressed path starts from toolbar state</t>
        </is>
      </c>
      <c r="E22" s="18" t="inlineStr">
        <is>
          <t>yes</t>
        </is>
      </c>
      <c r="F22" s="19" t="inlineStr">
        <is>
          <t>yes</t>
        </is>
      </c>
      <c r="G22" s="12" t="inlineStr">
        <is>
          <t>pass</t>
        </is>
      </c>
      <c r="H22" s="20" t="inlineStr">
        <is>
          <t>covered</t>
        </is>
      </c>
      <c r="I22" s="13" t="inlineStr">
        <is>
          <t>Toggle playground manual verification.</t>
        </is>
      </c>
      <c r="J22" s="13" t="inlineStr"/>
      <c r="K22" s="14">
        <f>IF(AND(E22="yes",F22="yes",H22="covered"),1,IF(H22="partial",0.5,0))</f>
        <v/>
      </c>
    </row>
    <row r="23" ht="45" customHeight="1" s="24">
      <c r="A23" s="12" t="n">
        <v>15</v>
      </c>
      <c r="B23" s="13" t="inlineStr">
        <is>
          <t>State</t>
        </is>
      </c>
      <c r="C23" s="13" t="inlineStr">
        <is>
          <t>Root</t>
        </is>
      </c>
      <c r="D23" s="13" t="inlineStr">
        <is>
          <t>controlled pressed path follows toolbar state</t>
        </is>
      </c>
      <c r="E23" s="18" t="inlineStr">
        <is>
          <t>yes</t>
        </is>
      </c>
      <c r="F23" s="19" t="inlineStr">
        <is>
          <t>yes</t>
        </is>
      </c>
      <c r="G23" s="12" t="inlineStr">
        <is>
          <t>pass</t>
        </is>
      </c>
      <c r="H23" s="20" t="inlineStr">
        <is>
          <t>covered</t>
        </is>
      </c>
      <c r="I23" s="13" t="inlineStr">
        <is>
          <t>Toggle playground manual verification.</t>
        </is>
      </c>
      <c r="J23" s="13" t="inlineStr"/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State</t>
        </is>
      </c>
      <c r="C24" s="13" t="inlineStr">
        <is>
          <t>Root</t>
        </is>
      </c>
      <c r="D24" s="13" t="inlineStr">
        <is>
          <t>click toggles pressed state</t>
        </is>
      </c>
      <c r="E24" s="18" t="inlineStr">
        <is>
          <t>yes</t>
        </is>
      </c>
      <c r="F24" s="19" t="inlineStr">
        <is>
          <t>yes</t>
        </is>
      </c>
      <c r="G24" s="12" t="inlineStr">
        <is>
          <t>pass</t>
        </is>
      </c>
      <c r="H24" s="20" t="inlineStr">
        <is>
          <t>covered</t>
        </is>
      </c>
      <c r="I24" s="13" t="inlineStr">
        <is>
          <t>Toggle playground manual verification.</t>
        </is>
      </c>
      <c r="J24" s="13" t="inlineStr"/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Enter toggles pressed state</t>
        </is>
      </c>
      <c r="E25" s="18" t="inlineStr">
        <is>
          <t>yes</t>
        </is>
      </c>
      <c r="F25" s="19" t="inlineStr">
        <is>
          <t>yes</t>
        </is>
      </c>
      <c r="G25" s="12" t="inlineStr">
        <is>
          <t>pass</t>
        </is>
      </c>
      <c r="H25" s="20" t="inlineStr">
        <is>
          <t>covered</t>
        </is>
      </c>
      <c r="I25" s="13" t="inlineStr">
        <is>
          <t>Toggle playground manual verification.</t>
        </is>
      </c>
      <c r="J25" s="13" t="inlineStr"/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Space toggles pressed state</t>
        </is>
      </c>
      <c r="E26" s="18" t="inlineStr">
        <is>
          <t>yes</t>
        </is>
      </c>
      <c r="F26" s="19" t="inlineStr">
        <is>
          <t>yes</t>
        </is>
      </c>
      <c r="G26" s="12" t="inlineStr">
        <is>
          <t>pass</t>
        </is>
      </c>
      <c r="H26" s="20" t="inlineStr">
        <is>
          <t>covered</t>
        </is>
      </c>
      <c r="I26" s="13" t="inlineStr">
        <is>
          <t>Toggle playground manual verification.</t>
        </is>
      </c>
      <c r="J26" s="13" t="inlineStr"/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onPressedChange fires with the next value</t>
        </is>
      </c>
      <c r="E27" s="18" t="inlineStr">
        <is>
          <t>yes</t>
        </is>
      </c>
      <c r="F27" s="19" t="inlineStr">
        <is>
          <t>yes</t>
        </is>
      </c>
      <c r="G27" s="12" t="inlineStr">
        <is>
          <t>pass</t>
        </is>
      </c>
      <c r="H27" s="20" t="inlineStr">
        <is>
          <t>covered</t>
        </is>
      </c>
      <c r="I27" s="13" t="inlineStr">
        <is>
          <t>Toggle playground manual verification.</t>
        </is>
      </c>
      <c r="J27" s="13" t="inlineStr"/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disabled blocks click and keyboard toggling</t>
        </is>
      </c>
      <c r="E28" s="18" t="inlineStr">
        <is>
          <t>yes</t>
        </is>
      </c>
      <c r="F28" s="19" t="inlineStr">
        <is>
          <t>yes</t>
        </is>
      </c>
      <c r="G28" s="12" t="inlineStr">
        <is>
          <t>pass</t>
        </is>
      </c>
      <c r="H28" s="20" t="inlineStr">
        <is>
          <t>covered</t>
        </is>
      </c>
      <c r="I28" s="13" t="inlineStr">
        <is>
          <t>Toggle playground manual verification.</t>
        </is>
      </c>
      <c r="J28" s="13" t="inlineStr"/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Attributes</t>
        </is>
      </c>
      <c r="C29" s="13" t="inlineStr">
        <is>
          <t>Root</t>
        </is>
      </c>
      <c r="D29" s="13" t="inlineStr">
        <is>
          <t>type button is present for native button</t>
        </is>
      </c>
      <c r="E29" s="18" t="inlineStr">
        <is>
          <t>yes</t>
        </is>
      </c>
      <c r="F29" s="19" t="inlineStr">
        <is>
          <t>yes</t>
        </is>
      </c>
      <c r="G29" s="12" t="inlineStr">
        <is>
          <t>pass</t>
        </is>
      </c>
      <c r="H29" s="20" t="inlineStr">
        <is>
          <t>covered</t>
        </is>
      </c>
      <c r="I29" s="13" t="inlineStr">
        <is>
          <t>Toggle playground manual verification.</t>
        </is>
      </c>
      <c r="J29" s="13" t="inlineStr"/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Attributes</t>
        </is>
      </c>
      <c r="C30" s="13" t="inlineStr">
        <is>
          <t>Root</t>
        </is>
      </c>
      <c r="D30" s="13" t="inlineStr">
        <is>
          <t>native disabled attribute appears when disabled</t>
        </is>
      </c>
      <c r="E30" s="18" t="inlineStr">
        <is>
          <t>yes</t>
        </is>
      </c>
      <c r="F30" s="19" t="inlineStr">
        <is>
          <t>yes</t>
        </is>
      </c>
      <c r="G30" s="12" t="inlineStr">
        <is>
          <t>pass</t>
        </is>
      </c>
      <c r="H30" s="20" t="inlineStr">
        <is>
          <t>covered</t>
        </is>
      </c>
      <c r="I30" s="13" t="inlineStr">
        <is>
          <t>Toggle playground manual verification.</t>
        </is>
      </c>
      <c r="J30" s="13" t="inlineStr"/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Data</t>
        </is>
      </c>
      <c r="C31" s="13" t="inlineStr">
        <is>
          <t>Root</t>
        </is>
      </c>
      <c r="D31" s="13" t="inlineStr">
        <is>
          <t>data-slot is toggle</t>
        </is>
      </c>
      <c r="E31" s="18" t="inlineStr">
        <is>
          <t>yes</t>
        </is>
      </c>
      <c r="F31" s="19" t="inlineStr">
        <is>
          <t>yes</t>
        </is>
      </c>
      <c r="G31" s="12" t="inlineStr">
        <is>
          <t>pass</t>
        </is>
      </c>
      <c r="H31" s="20" t="inlineStr">
        <is>
          <t>covered</t>
        </is>
      </c>
      <c r="I31" s="13" t="inlineStr">
        <is>
          <t>Toggle playground manual verification.</t>
        </is>
      </c>
      <c r="J31" s="13" t="inlineStr"/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Data</t>
        </is>
      </c>
      <c r="C32" s="13" t="inlineStr">
        <is>
          <t>Root</t>
        </is>
      </c>
      <c r="D32" s="13" t="inlineStr">
        <is>
          <t>data-state is on or off</t>
        </is>
      </c>
      <c r="E32" s="18" t="inlineStr">
        <is>
          <t>yes</t>
        </is>
      </c>
      <c r="F32" s="19" t="inlineStr">
        <is>
          <t>yes</t>
        </is>
      </c>
      <c r="G32" s="12" t="inlineStr">
        <is>
          <t>pass</t>
        </is>
      </c>
      <c r="H32" s="20" t="inlineStr">
        <is>
          <t>covered</t>
        </is>
      </c>
      <c r="I32" s="13" t="inlineStr">
        <is>
          <t>Toggle playground manual verification.</t>
        </is>
      </c>
      <c r="J32" s="13" t="inlineStr"/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Data</t>
        </is>
      </c>
      <c r="C33" s="13" t="inlineStr">
        <is>
          <t>Root</t>
        </is>
      </c>
      <c r="D33" s="13" t="inlineStr">
        <is>
          <t>data-disabled appears only when disabled</t>
        </is>
      </c>
      <c r="E33" s="18" t="inlineStr">
        <is>
          <t>yes</t>
        </is>
      </c>
      <c r="F33" s="19" t="inlineStr">
        <is>
          <t>yes</t>
        </is>
      </c>
      <c r="G33" s="12" t="inlineStr">
        <is>
          <t>pass</t>
        </is>
      </c>
      <c r="H33" s="20" t="inlineStr">
        <is>
          <t>covered</t>
        </is>
      </c>
      <c r="I33" s="13" t="inlineStr">
        <is>
          <t>Toggle playground manual verification.</t>
        </is>
      </c>
      <c r="J33" s="13" t="inlineStr"/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Data</t>
        </is>
      </c>
      <c r="C34" s="13" t="inlineStr">
        <is>
          <t>Root</t>
        </is>
      </c>
      <c r="D34" s="13" t="inlineStr">
        <is>
          <t>data-value is bold</t>
        </is>
      </c>
      <c r="E34" s="18" t="inlineStr">
        <is>
          <t>yes</t>
        </is>
      </c>
      <c r="F34" s="19" t="inlineStr">
        <is>
          <t>yes</t>
        </is>
      </c>
      <c r="G34" s="12" t="inlineStr">
        <is>
          <t>pass</t>
        </is>
      </c>
      <c r="H34" s="20" t="inlineStr">
        <is>
          <t>covered</t>
        </is>
      </c>
      <c r="I34" s="13" t="inlineStr">
        <is>
          <t>Toggle playground manual verification.</t>
        </is>
      </c>
      <c r="J34" s="13" t="inlineStr"/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Composition</t>
        </is>
      </c>
      <c r="C35" s="13" t="inlineStr">
        <is>
          <t>Root</t>
        </is>
      </c>
      <c r="D35" s="13" t="inlineStr">
        <is>
          <t>asChild renders the provided child element</t>
        </is>
      </c>
      <c r="E35" s="18" t="inlineStr">
        <is>
          <t>yes</t>
        </is>
      </c>
      <c r="F35" s="19" t="inlineStr">
        <is>
          <t>yes</t>
        </is>
      </c>
      <c r="G35" s="12" t="inlineStr">
        <is>
          <t>pass</t>
        </is>
      </c>
      <c r="H35" s="20" t="inlineStr">
        <is>
          <t>covered</t>
        </is>
      </c>
      <c r="I35" s="13" t="inlineStr">
        <is>
          <t>Toggle playground manual verification.</t>
        </is>
      </c>
      <c r="J35" s="13" t="inlineStr"/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Composition</t>
        </is>
      </c>
      <c r="C36" s="13" t="inlineStr">
        <is>
          <t>Root</t>
        </is>
      </c>
      <c r="D36" s="13" t="inlineStr">
        <is>
          <t>asChild keeps behavior, ARIA, data, and text</t>
        </is>
      </c>
      <c r="E36" s="18" t="inlineStr">
        <is>
          <t>yes</t>
        </is>
      </c>
      <c r="F36" s="19" t="inlineStr">
        <is>
          <t>yes</t>
        </is>
      </c>
      <c r="G36" s="12" t="inlineStr">
        <is>
          <t>pass</t>
        </is>
      </c>
      <c r="H36" s="20" t="inlineStr">
        <is>
          <t>covered</t>
        </is>
      </c>
      <c r="I36" s="13" t="inlineStr">
        <is>
          <t>Toggle playground manual verification.</t>
        </is>
      </c>
      <c r="J36" s="13" t="inlineStr"/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Composition</t>
        </is>
      </c>
      <c r="C37" s="13" t="inlineStr">
        <is>
          <t>Root</t>
        </is>
      </c>
      <c r="D37" s="13" t="inlineStr">
        <is>
          <t>render renders the custom element</t>
        </is>
      </c>
      <c r="E37" s="18" t="inlineStr">
        <is>
          <t>yes</t>
        </is>
      </c>
      <c r="F37" s="19" t="inlineStr">
        <is>
          <t>yes</t>
        </is>
      </c>
      <c r="G37" s="12" t="inlineStr">
        <is>
          <t>pass</t>
        </is>
      </c>
      <c r="H37" s="20" t="inlineStr">
        <is>
          <t>covered</t>
        </is>
      </c>
      <c r="I37" s="13" t="inlineStr">
        <is>
          <t>Toggle playground manual verification.</t>
        </is>
      </c>
      <c r="J37" s="13" t="inlineStr"/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Composition</t>
        </is>
      </c>
      <c r="C38" s="13" t="inlineStr">
        <is>
          <t>Root</t>
        </is>
      </c>
      <c r="D38" s="13" t="inlineStr">
        <is>
          <t>render keeps behavior, ARIA, data, and text</t>
        </is>
      </c>
      <c r="E38" s="18" t="inlineStr">
        <is>
          <t>yes</t>
        </is>
      </c>
      <c r="F38" s="19" t="inlineStr">
        <is>
          <t>yes</t>
        </is>
      </c>
      <c r="G38" s="12" t="inlineStr">
        <is>
          <t>pass</t>
        </is>
      </c>
      <c r="H38" s="20" t="inlineStr">
        <is>
          <t>covered</t>
        </is>
      </c>
      <c r="I38" s="13" t="inlineStr">
        <is>
          <t>Toggle playground manual verification.</t>
        </is>
      </c>
      <c r="J38" s="13" t="inlineStr"/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Events</t>
        </is>
      </c>
      <c r="C39" s="13" t="inlineStr">
        <is>
          <t>Root</t>
        </is>
      </c>
      <c r="D39" s="13" t="inlineStr">
        <is>
          <t>consumer onClick logs before Atom state change</t>
        </is>
      </c>
      <c r="E39" s="18" t="inlineStr">
        <is>
          <t>yes</t>
        </is>
      </c>
      <c r="F39" s="19" t="inlineStr">
        <is>
          <t>yes</t>
        </is>
      </c>
      <c r="G39" s="12" t="inlineStr">
        <is>
          <t>pass</t>
        </is>
      </c>
      <c r="H39" s="20" t="inlineStr">
        <is>
          <t>covered</t>
        </is>
      </c>
      <c r="I39" s="13" t="inlineStr">
        <is>
          <t>Toggle playground manual verification.</t>
        </is>
      </c>
      <c r="J39" s="13" t="inlineStr"/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Events</t>
        </is>
      </c>
      <c r="C40" s="13" t="inlineStr">
        <is>
          <t>Root</t>
        </is>
      </c>
      <c r="D40" s="13" t="inlineStr">
        <is>
          <t>consumer onKeyDown logs Enter and Space</t>
        </is>
      </c>
      <c r="E40" s="18" t="inlineStr">
        <is>
          <t>yes</t>
        </is>
      </c>
      <c r="F40" s="19" t="inlineStr">
        <is>
          <t>yes</t>
        </is>
      </c>
      <c r="G40" s="12" t="inlineStr">
        <is>
          <t>pass</t>
        </is>
      </c>
      <c r="H40" s="20" t="inlineStr">
        <is>
          <t>covered</t>
        </is>
      </c>
      <c r="I40" s="13" t="inlineStr">
        <is>
          <t>Toggle playground manual verification.</t>
        </is>
      </c>
      <c r="J40" s="13" t="inlineStr"/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Events</t>
        </is>
      </c>
      <c r="C41" s="13" t="inlineStr">
        <is>
          <t>Root</t>
        </is>
      </c>
      <c r="D41" s="13" t="inlineStr">
        <is>
          <t>preventDefault on click blocks Atom toggle</t>
        </is>
      </c>
      <c r="E41" s="18" t="inlineStr">
        <is>
          <t>yes</t>
        </is>
      </c>
      <c r="F41" s="19" t="inlineStr">
        <is>
          <t>yes</t>
        </is>
      </c>
      <c r="G41" s="12" t="inlineStr">
        <is>
          <t>pass</t>
        </is>
      </c>
      <c r="H41" s="20" t="inlineStr">
        <is>
          <t>covered</t>
        </is>
      </c>
      <c r="I41" s="13" t="inlineStr">
        <is>
          <t>Toggle playground manual verification.</t>
        </is>
      </c>
      <c r="J41" s="13" t="inlineStr"/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Events</t>
        </is>
      </c>
      <c r="C42" s="13" t="inlineStr">
        <is>
          <t>Root</t>
        </is>
      </c>
      <c r="D42" s="13" t="inlineStr">
        <is>
          <t>preventDefault on keyboard blocks Atom toggle</t>
        </is>
      </c>
      <c r="E42" s="18" t="inlineStr">
        <is>
          <t>yes</t>
        </is>
      </c>
      <c r="F42" s="19" t="inlineStr">
        <is>
          <t>yes</t>
        </is>
      </c>
      <c r="G42" s="12" t="inlineStr">
        <is>
          <t>pass</t>
        </is>
      </c>
      <c r="H42" s="20" t="inlineStr">
        <is>
          <t>covered</t>
        </is>
      </c>
      <c r="I42" s="13" t="inlineStr">
        <is>
          <t>Toggle playground manual verification.</t>
        </is>
      </c>
      <c r="J42" s="13" t="inlineStr"/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Source</t>
        </is>
      </c>
      <c r="C43" s="13" t="inlineStr">
        <is>
          <t>Root</t>
        </is>
      </c>
      <c r="D43" s="13" t="inlineStr">
        <is>
          <t>Source hides false booleans and uses shorthand true booleans</t>
        </is>
      </c>
      <c r="E43" s="18" t="inlineStr">
        <is>
          <t>yes</t>
        </is>
      </c>
      <c r="F43" s="19" t="inlineStr">
        <is>
          <t>yes</t>
        </is>
      </c>
      <c r="G43" s="12" t="inlineStr">
        <is>
          <t>pass</t>
        </is>
      </c>
      <c r="H43" s="20" t="inlineStr">
        <is>
          <t>covered</t>
        </is>
      </c>
      <c r="I43" s="13" t="inlineStr">
        <is>
          <t>Toggle playground manual verification.</t>
        </is>
      </c>
      <c r="J43" s="13" t="inlineStr"/>
      <c r="K43" s="14">
        <f>IF(AND(E43="yes",F43="yes",H43="covered"),1,IF(H43="partial",0.5,0))</f>
        <v/>
      </c>
    </row>
    <row r="44" ht="15" customHeight="1" s="24"/>
    <row r="45" ht="30" customHeight="1" s="24"/>
    <row r="46" ht="15" customHeight="1" s="24"/>
    <row r="47" ht="45" customHeight="1" s="24"/>
    <row r="48" ht="15" customHeight="1" s="24"/>
    <row r="49" ht="15" customHeight="1" s="24"/>
    <row r="50" ht="15" customHeight="1" s="24"/>
    <row r="51" ht="30" customHeight="1" s="24"/>
    <row r="52" ht="30" customHeight="1" s="24"/>
    <row r="53" ht="30" customHeight="1" s="24"/>
    <row r="54" ht="30" customHeight="1" s="24"/>
    <row r="55" ht="15" customHeight="1" s="24"/>
    <row r="56" ht="30" customHeight="1" s="24"/>
  </sheetData>
  <autoFilter ref="A8:K56"/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ToggleGroup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>
      <c r="A4" s="8" t="inlineStr">
        <is>
          <t>Coverage</t>
        </is>
      </c>
      <c r="B4" s="9">
        <f>IFERROR(SUM(K9:K60)/COUNT(K9:K60),0)</f>
        <v/>
      </c>
      <c r="C4" s="8" t="inlineStr">
        <is>
          <t>Covered</t>
        </is>
      </c>
      <c r="D4" s="10">
        <f>COUNTIFS(E9:E60,"yes",F9:F60,"yes",H9:H60,"covered")</f>
        <v/>
      </c>
      <c r="E4" s="8" t="inlineStr">
        <is>
          <t>Partial</t>
        </is>
      </c>
      <c r="F4" s="10">
        <f>COUNTIF(H9:H60,"partial")</f>
        <v/>
      </c>
      <c r="G4" s="8" t="inlineStr">
        <is>
          <t>Missing</t>
        </is>
      </c>
      <c r="H4" s="10">
        <f>COUNTIFS(E9:E60,"&lt;&gt;yes") + COUNTIFS(E9:E60,"yes",H9:H60,"missing")</f>
        <v/>
      </c>
      <c r="I4" s="8" t="inlineStr">
        <is>
          <t>Untested</t>
        </is>
      </c>
      <c r="J4" s="10">
        <f>COUNTIFS(E9:E60,"yes",F9:F60,"&lt;&gt;yes") + COUNTIFS(E9:E60,"yes",F9:F60,"yes",H9:H60,"untested")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>
      <c r="A9" s="12" t="n">
        <v>1</v>
      </c>
      <c r="B9" s="13" t="inlineStr">
        <is>
          <t>Playground</t>
        </is>
      </c>
      <c r="C9" s="13" t="inlineStr">
        <is>
          <t>ToggleGroup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yes</t>
        </is>
      </c>
      <c r="G9" s="12" t="inlineStr">
        <is>
          <t>passed</t>
        </is>
      </c>
      <c r="H9" s="20" t="inlineStr">
        <is>
          <t>covered</t>
        </is>
      </c>
      <c r="I9" s="13" t="inlineStr">
        <is>
          <t>ToggleGroup playground scenario.</t>
        </is>
      </c>
      <c r="J9" s="13" t="inlineStr"/>
      <c r="K9" s="14">
        <f>IF(AND(E9="yes",F9="yes",H9="covered"),1,IF(H9="partial",0.5,0))</f>
        <v/>
      </c>
    </row>
    <row r="10">
      <c r="A10" s="12" t="n">
        <v>2</v>
      </c>
      <c r="B10" s="13" t="inlineStr">
        <is>
          <t>Playground</t>
        </is>
      </c>
      <c r="C10" s="13" t="inlineStr">
        <is>
          <t>ToggleGroup</t>
        </is>
      </c>
      <c r="D10" s="13" t="inlineStr">
        <is>
          <t>canvas source reflects current state, direction, and composition</t>
        </is>
      </c>
      <c r="E10" s="18" t="inlineStr">
        <is>
          <t>yes</t>
        </is>
      </c>
      <c r="F10" s="19" t="inlineStr">
        <is>
          <t>yes</t>
        </is>
      </c>
      <c r="G10" s="12" t="inlineStr">
        <is>
          <t>passed</t>
        </is>
      </c>
      <c r="H10" s="20" t="inlineStr">
        <is>
          <t>covered</t>
        </is>
      </c>
      <c r="I10" s="13" t="inlineStr">
        <is>
          <t>ToggleGroup playground scenario.</t>
        </is>
      </c>
      <c r="J10" s="13" t="inlineStr"/>
      <c r="K10" s="14">
        <f>IF(AND(E10="yes",F10="yes",H10="covered"),1,IF(H10="partial",0.5,0))</f>
        <v/>
      </c>
    </row>
    <row r="11">
      <c r="A11" s="12" t="n">
        <v>3</v>
      </c>
      <c r="B11" s="13" t="inlineStr">
        <is>
          <t>Playground</t>
        </is>
      </c>
      <c r="C11" s="13" t="inlineStr">
        <is>
          <t>ToggleGroup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yes</t>
        </is>
      </c>
      <c r="G11" s="12" t="inlineStr">
        <is>
          <t>passed</t>
        </is>
      </c>
      <c r="H11" s="20" t="inlineStr">
        <is>
          <t>covered</t>
        </is>
      </c>
      <c r="I11" s="13" t="inlineStr">
        <is>
          <t>ToggleGroup playground scenario.</t>
        </is>
      </c>
      <c r="J11" s="13" t="inlineStr"/>
      <c r="K11" s="14">
        <f>IF(AND(E11="yes",F11="yes",H11="covered"),1,IF(H11="partial",0.5,0))</f>
        <v/>
      </c>
    </row>
    <row r="12">
      <c r="A12" s="12" t="n">
        <v>4</v>
      </c>
      <c r="B12" s="13" t="inlineStr">
        <is>
          <t>Playground</t>
        </is>
      </c>
      <c r="C12" s="13" t="inlineStr">
        <is>
          <t>ToggleGroup</t>
        </is>
      </c>
      <c r="D12" s="13" t="inlineStr">
        <is>
          <t>inspector selected, focused, and logs work for this scenario</t>
        </is>
      </c>
      <c r="E12" s="18" t="inlineStr">
        <is>
          <t>yes</t>
        </is>
      </c>
      <c r="F12" s="19" t="inlineStr">
        <is>
          <t>yes</t>
        </is>
      </c>
      <c r="G12" s="12" t="inlineStr">
        <is>
          <t>passed</t>
        </is>
      </c>
      <c r="H12" s="20" t="inlineStr">
        <is>
          <t>covered</t>
        </is>
      </c>
      <c r="I12" s="13" t="inlineStr">
        <is>
          <t>ToggleGroup playground scenario.</t>
        </is>
      </c>
      <c r="J12" s="13" t="inlineStr"/>
      <c r="K12" s="14">
        <f>IF(AND(E12="yes",F12="yes",H12="covered"),1,IF(H12="partial",0.5,0))</f>
        <v/>
      </c>
    </row>
    <row r="13">
      <c r="A13" s="12" t="n">
        <v>5</v>
      </c>
      <c r="B13" s="13" t="inlineStr">
        <is>
          <t>Anatomy</t>
        </is>
      </c>
      <c r="C13" s="13" t="inlineStr">
        <is>
          <t>Root</t>
        </is>
      </c>
      <c r="D13" s="13" t="inlineStr">
        <is>
          <t>Root appears before Item sections</t>
        </is>
      </c>
      <c r="E13" s="18" t="inlineStr">
        <is>
          <t>yes</t>
        </is>
      </c>
      <c r="F13" s="19" t="inlineStr">
        <is>
          <t>yes</t>
        </is>
      </c>
      <c r="G13" s="12" t="inlineStr">
        <is>
          <t>passed</t>
        </is>
      </c>
      <c r="H13" s="20" t="inlineStr">
        <is>
          <t>covered</t>
        </is>
      </c>
      <c r="I13" s="13" t="inlineStr">
        <is>
          <t>ToggleGroup playground scenario.</t>
        </is>
      </c>
      <c r="J13" s="13" t="inlineStr"/>
      <c r="K13" s="14">
        <f>IF(AND(E13="yes",F13="yes",H13="covered"),1,IF(H13="partial",0.5,0))</f>
        <v/>
      </c>
    </row>
    <row r="14">
      <c r="A14" s="12" t="n">
        <v>6</v>
      </c>
      <c r="B14" s="13" t="inlineStr">
        <is>
          <t>Anatomy</t>
        </is>
      </c>
      <c r="C14" s="13" t="inlineStr">
        <is>
          <t>Item</t>
        </is>
      </c>
      <c r="D14" s="13" t="inlineStr">
        <is>
          <t>Bold, Italic, and Underline items are inspectable separately</t>
        </is>
      </c>
      <c r="E14" s="18" t="inlineStr">
        <is>
          <t>yes</t>
        </is>
      </c>
      <c r="F14" s="19" t="inlineStr">
        <is>
          <t>yes</t>
        </is>
      </c>
      <c r="G14" s="12" t="inlineStr">
        <is>
          <t>passed</t>
        </is>
      </c>
      <c r="H14" s="20" t="inlineStr">
        <is>
          <t>covered</t>
        </is>
      </c>
      <c r="I14" s="13" t="inlineStr">
        <is>
          <t>ToggleGroup playground scenario.</t>
        </is>
      </c>
      <c r="J14" s="13" t="inlineStr"/>
      <c r="K14" s="14">
        <f>IF(AND(E14="yes",F14="yes",H14="covered"),1,IF(H14="partial",0.5,0))</f>
        <v/>
      </c>
    </row>
    <row r="15">
      <c r="A15" s="12" t="n">
        <v>7</v>
      </c>
      <c r="B15" s="13" t="inlineStr">
        <is>
          <t>Identity</t>
        </is>
      </c>
      <c r="C15" s="13" t="inlineStr">
        <is>
          <t>Root</t>
        </is>
      </c>
      <c r="D15" s="13" t="inlineStr">
        <is>
          <t>default tag is div and ref target matches rendered element</t>
        </is>
      </c>
      <c r="E15" s="18" t="inlineStr">
        <is>
          <t>yes</t>
        </is>
      </c>
      <c r="F15" s="19" t="inlineStr">
        <is>
          <t>yes</t>
        </is>
      </c>
      <c r="G15" s="12" t="inlineStr">
        <is>
          <t>passed</t>
        </is>
      </c>
      <c r="H15" s="20" t="inlineStr">
        <is>
          <t>covered</t>
        </is>
      </c>
      <c r="I15" s="13" t="inlineStr">
        <is>
          <t>ToggleGroup playground scenario.</t>
        </is>
      </c>
      <c r="J15" s="13" t="inlineStr"/>
      <c r="K15" s="14">
        <f>IF(AND(E15="yes",F15="yes",H15="covered"),1,IF(H15="partial",0.5,0))</f>
        <v/>
      </c>
    </row>
    <row r="16">
      <c r="A16" s="12" t="n">
        <v>8</v>
      </c>
      <c r="B16" s="13" t="inlineStr">
        <is>
          <t>Identity</t>
        </is>
      </c>
      <c r="C16" s="13" t="inlineStr">
        <is>
          <t>Root</t>
        </is>
      </c>
      <c r="D16" s="13" t="inlineStr">
        <is>
          <t>role group and aria-label are present</t>
        </is>
      </c>
      <c r="E16" s="18" t="inlineStr">
        <is>
          <t>yes</t>
        </is>
      </c>
      <c r="F16" s="19" t="inlineStr">
        <is>
          <t>yes</t>
        </is>
      </c>
      <c r="G16" s="12" t="inlineStr">
        <is>
          <t>passed</t>
        </is>
      </c>
      <c r="H16" s="20" t="inlineStr">
        <is>
          <t>covered</t>
        </is>
      </c>
      <c r="I16" s="13" t="inlineStr">
        <is>
          <t>ToggleGroup playground scenario.</t>
        </is>
      </c>
      <c r="J16" s="13" t="inlineStr"/>
      <c r="K16" s="14">
        <f>IF(AND(E16="yes",F16="yes",H16="covered"),1,IF(H16="partial",0.5,0))</f>
        <v/>
      </c>
    </row>
    <row r="17">
      <c r="A17" s="12" t="n">
        <v>9</v>
      </c>
      <c r="B17" s="13" t="inlineStr">
        <is>
          <t>Identity</t>
        </is>
      </c>
      <c r="C17" s="13" t="inlineStr">
        <is>
          <t>Root</t>
        </is>
      </c>
      <c r="D17" s="13" t="inlineStr">
        <is>
          <t>data-slot is toggle-group</t>
        </is>
      </c>
      <c r="E17" s="18" t="inlineStr">
        <is>
          <t>yes</t>
        </is>
      </c>
      <c r="F17" s="19" t="inlineStr">
        <is>
          <t>yes</t>
        </is>
      </c>
      <c r="G17" s="12" t="inlineStr">
        <is>
          <t>passed</t>
        </is>
      </c>
      <c r="H17" s="20" t="inlineStr">
        <is>
          <t>covered</t>
        </is>
      </c>
      <c r="I17" s="13" t="inlineStr">
        <is>
          <t>ToggleGroup playground scenario.</t>
        </is>
      </c>
      <c r="J17" s="13" t="inlineStr"/>
      <c r="K17" s="14">
        <f>IF(AND(E17="yes",F17="yes",H17="covered"),1,IF(H17="partial",0.5,0))</f>
        <v/>
      </c>
    </row>
    <row r="18">
      <c r="A18" s="12" t="n">
        <v>10</v>
      </c>
      <c r="B18" s="13" t="inlineStr">
        <is>
          <t>Props</t>
        </is>
      </c>
      <c r="C18" s="13" t="inlineStr">
        <is>
          <t>Root</t>
        </is>
      </c>
      <c r="D18" s="13" t="inlineStr">
        <is>
          <t>data-prop-check marker passes through</t>
        </is>
      </c>
      <c r="E18" s="18" t="inlineStr">
        <is>
          <t>yes</t>
        </is>
      </c>
      <c r="F18" s="19" t="inlineStr">
        <is>
          <t>yes</t>
        </is>
      </c>
      <c r="G18" s="12" t="inlineStr">
        <is>
          <t>passed</t>
        </is>
      </c>
      <c r="H18" s="20" t="inlineStr">
        <is>
          <t>covered</t>
        </is>
      </c>
      <c r="I18" s="13" t="inlineStr">
        <is>
          <t>ToggleGroup playground scenario.</t>
        </is>
      </c>
      <c r="J18" s="13" t="inlineStr"/>
      <c r="K18" s="14">
        <f>IF(AND(E18="yes",F18="yes",H18="covered"),1,IF(H18="partial",0.5,0))</f>
        <v/>
      </c>
    </row>
    <row r="19">
      <c r="A19" s="12" t="n">
        <v>11</v>
      </c>
      <c r="B19" s="13" t="inlineStr">
        <is>
          <t>State</t>
        </is>
      </c>
      <c r="C19" s="13" t="inlineStr">
        <is>
          <t>Root</t>
        </is>
      </c>
      <c r="D19" s="13" t="inlineStr">
        <is>
          <t>single type toggles one selected value</t>
        </is>
      </c>
      <c r="E19" s="18" t="inlineStr">
        <is>
          <t>yes</t>
        </is>
      </c>
      <c r="F19" s="19" t="inlineStr">
        <is>
          <t>yes</t>
        </is>
      </c>
      <c r="G19" s="12" t="inlineStr">
        <is>
          <t>passed</t>
        </is>
      </c>
      <c r="H19" s="20" t="inlineStr">
        <is>
          <t>covered</t>
        </is>
      </c>
      <c r="I19" s="13" t="inlineStr">
        <is>
          <t>ToggleGroup playground scenario.</t>
        </is>
      </c>
      <c r="J19" s="13" t="inlineStr"/>
      <c r="K19" s="14">
        <f>IF(AND(E19="yes",F19="yes",H19="covered"),1,IF(H19="partial",0.5,0))</f>
        <v/>
      </c>
    </row>
    <row r="20">
      <c r="A20" s="12" t="n">
        <v>12</v>
      </c>
      <c r="B20" s="13" t="inlineStr">
        <is>
          <t>State</t>
        </is>
      </c>
      <c r="C20" s="13" t="inlineStr">
        <is>
          <t>Root</t>
        </is>
      </c>
      <c r="D20" s="13" t="inlineStr">
        <is>
          <t>multiple type toggles multiple selected values</t>
        </is>
      </c>
      <c r="E20" s="18" t="inlineStr">
        <is>
          <t>yes</t>
        </is>
      </c>
      <c r="F20" s="19" t="inlineStr">
        <is>
          <t>yes</t>
        </is>
      </c>
      <c r="G20" s="12" t="inlineStr">
        <is>
          <t>passed</t>
        </is>
      </c>
      <c r="H20" s="20" t="inlineStr">
        <is>
          <t>covered</t>
        </is>
      </c>
      <c r="I20" s="13" t="inlineStr">
        <is>
          <t>ToggleGroup playground scenario.</t>
        </is>
      </c>
      <c r="J20" s="13" t="inlineStr"/>
      <c r="K20" s="14">
        <f>IF(AND(E20="yes",F20="yes",H20="covered"),1,IF(H20="partial",0.5,0))</f>
        <v/>
      </c>
    </row>
    <row r="21">
      <c r="A21" s="12" t="n">
        <v>13</v>
      </c>
      <c r="B21" s="13" t="inlineStr">
        <is>
          <t>State</t>
        </is>
      </c>
      <c r="C21" s="13" t="inlineStr">
        <is>
          <t>Root</t>
        </is>
      </c>
      <c r="D21" s="13" t="inlineStr">
        <is>
          <t>controlled value path updates from toolbar and item press</t>
        </is>
      </c>
      <c r="E21" s="18" t="inlineStr">
        <is>
          <t>yes</t>
        </is>
      </c>
      <c r="F21" s="19" t="inlineStr">
        <is>
          <t>yes</t>
        </is>
      </c>
      <c r="G21" s="12" t="inlineStr">
        <is>
          <t>passed</t>
        </is>
      </c>
      <c r="H21" s="20" t="inlineStr">
        <is>
          <t>covered</t>
        </is>
      </c>
      <c r="I21" s="13" t="inlineStr">
        <is>
          <t>ToggleGroup playground scenario.</t>
        </is>
      </c>
      <c r="J21" s="13" t="inlineStr"/>
      <c r="K21" s="14">
        <f>IF(AND(E21="yes",F21="yes",H21="covered"),1,IF(H21="partial",0.5,0))</f>
        <v/>
      </c>
    </row>
    <row r="22">
      <c r="A22" s="12" t="n">
        <v>14</v>
      </c>
      <c r="B22" s="13" t="inlineStr">
        <is>
          <t>State</t>
        </is>
      </c>
      <c r="C22" s="13" t="inlineStr">
        <is>
          <t>Root</t>
        </is>
      </c>
      <c r="D22" s="13" t="inlineStr">
        <is>
          <t>uncontrolled defaultValue path updates from item press</t>
        </is>
      </c>
      <c r="E22" s="18" t="inlineStr">
        <is>
          <t>yes</t>
        </is>
      </c>
      <c r="F22" s="19" t="inlineStr">
        <is>
          <t>yes</t>
        </is>
      </c>
      <c r="G22" s="12" t="inlineStr">
        <is>
          <t>passed</t>
        </is>
      </c>
      <c r="H22" s="20" t="inlineStr">
        <is>
          <t>covered</t>
        </is>
      </c>
      <c r="I22" s="13" t="inlineStr">
        <is>
          <t>ToggleGroup playground scenario.</t>
        </is>
      </c>
      <c r="J22" s="13" t="inlineStr"/>
      <c r="K22" s="14">
        <f>IF(AND(E22="yes",F22="yes",H22="covered"),1,IF(H22="partial",0.5,0))</f>
        <v/>
      </c>
    </row>
    <row r="23">
      <c r="A23" s="12" t="n">
        <v>15</v>
      </c>
      <c r="B23" s="13" t="inlineStr">
        <is>
          <t>State</t>
        </is>
      </c>
      <c r="C23" s="13" t="inlineStr">
        <is>
          <t>Root</t>
        </is>
      </c>
      <c r="D23" s="13" t="inlineStr">
        <is>
          <t>onValueChange logs the next value exactly once per change</t>
        </is>
      </c>
      <c r="E23" s="18" t="inlineStr">
        <is>
          <t>yes</t>
        </is>
      </c>
      <c r="F23" s="19" t="inlineStr">
        <is>
          <t>yes</t>
        </is>
      </c>
      <c r="G23" s="12" t="inlineStr">
        <is>
          <t>passed</t>
        </is>
      </c>
      <c r="H23" s="20" t="inlineStr">
        <is>
          <t>covered</t>
        </is>
      </c>
      <c r="I23" s="13" t="inlineStr">
        <is>
          <t>ToggleGroup playground scenario.</t>
        </is>
      </c>
      <c r="J23" s="13" t="inlineStr"/>
      <c r="K23" s="14">
        <f>IF(AND(E23="yes",F23="yes",H23="covered"),1,IF(H23="partial",0.5,0))</f>
        <v/>
      </c>
    </row>
    <row r="24">
      <c r="A24" s="12" t="n">
        <v>16</v>
      </c>
      <c r="B24" s="13" t="inlineStr">
        <is>
          <t>State</t>
        </is>
      </c>
      <c r="C24" s="13" t="inlineStr">
        <is>
          <t>Root</t>
        </is>
      </c>
      <c r="D24" s="13" t="inlineStr">
        <is>
          <t>disabled disables every item and blocks value changes</t>
        </is>
      </c>
      <c r="E24" s="18" t="inlineStr">
        <is>
          <t>yes</t>
        </is>
      </c>
      <c r="F24" s="19" t="inlineStr">
        <is>
          <t>yes</t>
        </is>
      </c>
      <c r="G24" s="12" t="inlineStr">
        <is>
          <t>passed</t>
        </is>
      </c>
      <c r="H24" s="20" t="inlineStr">
        <is>
          <t>covered</t>
        </is>
      </c>
      <c r="I24" s="13" t="inlineStr">
        <is>
          <t>ToggleGroup playground scenario.</t>
        </is>
      </c>
      <c r="J24" s="13" t="inlineStr"/>
      <c r="K24" s="14">
        <f>IF(AND(E24="yes",F24="yes",H24="covered"),1,IF(H24="partial",0.5,0))</f>
        <v/>
      </c>
    </row>
    <row r="25">
      <c r="A25" s="12" t="n">
        <v>17</v>
      </c>
      <c r="B25" s="13" t="inlineStr">
        <is>
          <t>Behavior</t>
        </is>
      </c>
      <c r="C25" s="13" t="inlineStr">
        <is>
          <t>Root</t>
        </is>
      </c>
      <c r="D25" s="13" t="inlineStr">
        <is>
          <t>loop true wraps arrow focus</t>
        </is>
      </c>
      <c r="E25" s="18" t="inlineStr">
        <is>
          <t>yes</t>
        </is>
      </c>
      <c r="F25" s="19" t="inlineStr">
        <is>
          <t>yes</t>
        </is>
      </c>
      <c r="G25" s="12" t="inlineStr">
        <is>
          <t>passed</t>
        </is>
      </c>
      <c r="H25" s="20" t="inlineStr">
        <is>
          <t>covered</t>
        </is>
      </c>
      <c r="I25" s="13" t="inlineStr">
        <is>
          <t>ToggleGroup playground scenario.</t>
        </is>
      </c>
      <c r="J25" s="13" t="inlineStr"/>
      <c r="K25" s="14">
        <f>IF(AND(E25="yes",F25="yes",H25="covered"),1,IF(H25="partial",0.5,0))</f>
        <v/>
      </c>
    </row>
    <row r="26">
      <c r="A26" s="12" t="n">
        <v>18</v>
      </c>
      <c r="B26" s="13" t="inlineStr">
        <is>
          <t>Behavior</t>
        </is>
      </c>
      <c r="C26" s="13" t="inlineStr">
        <is>
          <t>Root</t>
        </is>
      </c>
      <c r="D26" s="13" t="inlineStr">
        <is>
          <t>loop false stops arrow focus at edges</t>
        </is>
      </c>
      <c r="E26" s="18" t="inlineStr">
        <is>
          <t>yes</t>
        </is>
      </c>
      <c r="F26" s="19" t="inlineStr">
        <is>
          <t>yes</t>
        </is>
      </c>
      <c r="G26" s="12" t="inlineStr">
        <is>
          <t>passed</t>
        </is>
      </c>
      <c r="H26" s="20" t="inlineStr">
        <is>
          <t>covered</t>
        </is>
      </c>
      <c r="I26" s="13" t="inlineStr">
        <is>
          <t>ToggleGroup playground scenario.</t>
        </is>
      </c>
      <c r="J26" s="13" t="inlineStr"/>
      <c r="K26" s="14">
        <f>IF(AND(E26="yes",F26="yes",H26="covered"),1,IF(H26="partial",0.5,0))</f>
        <v/>
      </c>
    </row>
    <row r="27">
      <c r="A27" s="12" t="n">
        <v>19</v>
      </c>
      <c r="B27" s="13" t="inlineStr">
        <is>
          <t>Behavior</t>
        </is>
      </c>
      <c r="C27" s="13" t="inlineStr">
        <is>
          <t>Root</t>
        </is>
      </c>
      <c r="D27" s="13" t="inlineStr">
        <is>
          <t>horizontal orientation uses ArrowLeft and ArrowRight</t>
        </is>
      </c>
      <c r="E27" s="18" t="inlineStr">
        <is>
          <t>yes</t>
        </is>
      </c>
      <c r="F27" s="19" t="inlineStr">
        <is>
          <t>yes</t>
        </is>
      </c>
      <c r="G27" s="12" t="inlineStr">
        <is>
          <t>passed</t>
        </is>
      </c>
      <c r="H27" s="20" t="inlineStr">
        <is>
          <t>covered</t>
        </is>
      </c>
      <c r="I27" s="13" t="inlineStr">
        <is>
          <t>ToggleGroup playground scenario.</t>
        </is>
      </c>
      <c r="J27" s="13" t="inlineStr"/>
      <c r="K27" s="14">
        <f>IF(AND(E27="yes",F27="yes",H27="covered"),1,IF(H27="partial",0.5,0))</f>
        <v/>
      </c>
    </row>
    <row r="28">
      <c r="A28" s="12" t="n">
        <v>20</v>
      </c>
      <c r="B28" s="13" t="inlineStr">
        <is>
          <t>Behavior</t>
        </is>
      </c>
      <c r="C28" s="13" t="inlineStr">
        <is>
          <t>Root</t>
        </is>
      </c>
      <c r="D28" s="13" t="inlineStr">
        <is>
          <t>vertical orientation uses ArrowUp and ArrowDown</t>
        </is>
      </c>
      <c r="E28" s="18" t="inlineStr">
        <is>
          <t>yes</t>
        </is>
      </c>
      <c r="F28" s="19" t="inlineStr">
        <is>
          <t>yes</t>
        </is>
      </c>
      <c r="G28" s="12" t="inlineStr">
        <is>
          <t>passed</t>
        </is>
      </c>
      <c r="H28" s="20" t="inlineStr">
        <is>
          <t>covered</t>
        </is>
      </c>
      <c r="I28" s="13" t="inlineStr">
        <is>
          <t>ToggleGroup playground scenario.</t>
        </is>
      </c>
      <c r="J28" s="13" t="inlineStr"/>
      <c r="K28" s="14">
        <f>IF(AND(E28="yes",F28="yes",H28="covered"),1,IF(H28="partial",0.5,0))</f>
        <v/>
      </c>
    </row>
    <row r="29">
      <c r="A29" s="12" t="n">
        <v>21</v>
      </c>
      <c r="B29" s="13" t="inlineStr">
        <is>
          <t>Direction</t>
        </is>
      </c>
      <c r="C29" s="13" t="inlineStr">
        <is>
          <t>Root</t>
        </is>
      </c>
      <c r="D29" s="13" t="inlineStr">
        <is>
          <t>LTR horizontal ArrowRight moves forward and ArrowLeft moves backward</t>
        </is>
      </c>
      <c r="E29" s="18" t="inlineStr">
        <is>
          <t>yes</t>
        </is>
      </c>
      <c r="F29" s="19" t="inlineStr">
        <is>
          <t>yes</t>
        </is>
      </c>
      <c r="G29" s="12" t="inlineStr">
        <is>
          <t>passed</t>
        </is>
      </c>
      <c r="H29" s="20" t="inlineStr">
        <is>
          <t>covered</t>
        </is>
      </c>
      <c r="I29" s="13" t="inlineStr">
        <is>
          <t>ToggleGroup playground scenario.</t>
        </is>
      </c>
      <c r="J29" s="13" t="inlineStr"/>
      <c r="K29" s="14">
        <f>IF(AND(E29="yes",F29="yes",H29="covered"),1,IF(H29="partial",0.5,0))</f>
        <v/>
      </c>
    </row>
    <row r="30">
      <c r="A30" s="12" t="n">
        <v>22</v>
      </c>
      <c r="B30" s="13" t="inlineStr">
        <is>
          <t>Direction</t>
        </is>
      </c>
      <c r="C30" s="13" t="inlineStr">
        <is>
          <t>Root</t>
        </is>
      </c>
      <c r="D30" s="13" t="inlineStr">
        <is>
          <t>RTL horizontal ArrowRight moves backward and ArrowLeft moves forward</t>
        </is>
      </c>
      <c r="E30" s="18" t="inlineStr">
        <is>
          <t>yes</t>
        </is>
      </c>
      <c r="F30" s="19" t="inlineStr">
        <is>
          <t>yes</t>
        </is>
      </c>
      <c r="G30" s="12" t="inlineStr">
        <is>
          <t>passed</t>
        </is>
      </c>
      <c r="H30" s="20" t="inlineStr">
        <is>
          <t>covered</t>
        </is>
      </c>
      <c r="I30" s="13" t="inlineStr">
        <is>
          <t>ToggleGroup playground scenario.</t>
        </is>
      </c>
      <c r="J30" s="13" t="inlineStr"/>
      <c r="K30" s="14">
        <f>IF(AND(E30="yes",F30="yes",H30="covered"),1,IF(H30="partial",0.5,0))</f>
        <v/>
      </c>
    </row>
    <row r="31">
      <c r="A31" s="12" t="n">
        <v>23</v>
      </c>
      <c r="B31" s="13" t="inlineStr">
        <is>
          <t>Keyboard</t>
        </is>
      </c>
      <c r="C31" s="13" t="inlineStr">
        <is>
          <t>Root</t>
        </is>
      </c>
      <c r="D31" s="13" t="inlineStr">
        <is>
          <t>Home focuses the first enabled item</t>
        </is>
      </c>
      <c r="E31" s="18" t="inlineStr">
        <is>
          <t>yes</t>
        </is>
      </c>
      <c r="F31" s="19" t="inlineStr">
        <is>
          <t>yes</t>
        </is>
      </c>
      <c r="G31" s="12" t="inlineStr">
        <is>
          <t>passed</t>
        </is>
      </c>
      <c r="H31" s="20" t="inlineStr">
        <is>
          <t>covered</t>
        </is>
      </c>
      <c r="I31" s="13" t="inlineStr">
        <is>
          <t>ToggleGroup playground scenario.</t>
        </is>
      </c>
      <c r="J31" s="13" t="inlineStr"/>
      <c r="K31" s="14">
        <f>IF(AND(E31="yes",F31="yes",H31="covered"),1,IF(H31="partial",0.5,0))</f>
        <v/>
      </c>
    </row>
    <row r="32">
      <c r="A32" s="12" t="n">
        <v>24</v>
      </c>
      <c r="B32" s="13" t="inlineStr">
        <is>
          <t>Keyboard</t>
        </is>
      </c>
      <c r="C32" s="13" t="inlineStr">
        <is>
          <t>Root</t>
        </is>
      </c>
      <c r="D32" s="13" t="inlineStr">
        <is>
          <t>End focuses the last enabled item</t>
        </is>
      </c>
      <c r="E32" s="18" t="inlineStr">
        <is>
          <t>yes</t>
        </is>
      </c>
      <c r="F32" s="19" t="inlineStr">
        <is>
          <t>yes</t>
        </is>
      </c>
      <c r="G32" s="12" t="inlineStr">
        <is>
          <t>passed</t>
        </is>
      </c>
      <c r="H32" s="20" t="inlineStr">
        <is>
          <t>covered</t>
        </is>
      </c>
      <c r="I32" s="13" t="inlineStr">
        <is>
          <t>ToggleGroup playground scenario.</t>
        </is>
      </c>
      <c r="J32" s="13" t="inlineStr"/>
      <c r="K32" s="14">
        <f>IF(AND(E32="yes",F32="yes",H32="covered"),1,IF(H32="partial",0.5,0))</f>
        <v/>
      </c>
    </row>
    <row r="33">
      <c r="A33" s="12" t="n">
        <v>25</v>
      </c>
      <c r="B33" s="13" t="inlineStr">
        <is>
          <t>Keyboard</t>
        </is>
      </c>
      <c r="C33" s="13" t="inlineStr">
        <is>
          <t>Root</t>
        </is>
      </c>
      <c r="D33" s="13" t="inlineStr">
        <is>
          <t>disabled items are skipped during keyboard navigation</t>
        </is>
      </c>
      <c r="E33" s="18" t="inlineStr">
        <is>
          <t>yes</t>
        </is>
      </c>
      <c r="F33" s="19" t="inlineStr">
        <is>
          <t>yes</t>
        </is>
      </c>
      <c r="G33" s="12" t="inlineStr">
        <is>
          <t>passed</t>
        </is>
      </c>
      <c r="H33" s="20" t="inlineStr">
        <is>
          <t>covered</t>
        </is>
      </c>
      <c r="I33" s="13" t="inlineStr">
        <is>
          <t>ToggleGroup playground scenario.</t>
        </is>
      </c>
      <c r="J33" s="13" t="inlineStr"/>
      <c r="K33" s="14">
        <f>IF(AND(E33="yes",F33="yes",H33="covered"),1,IF(H33="partial",0.5,0))</f>
        <v/>
      </c>
    </row>
    <row r="34">
      <c r="A34" s="12" t="n">
        <v>26</v>
      </c>
      <c r="B34" s="13" t="inlineStr">
        <is>
          <t>Focus</t>
        </is>
      </c>
      <c r="C34" s="13" t="inlineStr">
        <is>
          <t>Root</t>
        </is>
      </c>
      <c r="D34" s="13" t="inlineStr">
        <is>
          <t>roving tab stop follows selected item or first enabled item</t>
        </is>
      </c>
      <c r="E34" s="18" t="inlineStr">
        <is>
          <t>yes</t>
        </is>
      </c>
      <c r="F34" s="19" t="inlineStr">
        <is>
          <t>yes</t>
        </is>
      </c>
      <c r="G34" s="12" t="inlineStr">
        <is>
          <t>passed</t>
        </is>
      </c>
      <c r="H34" s="20" t="inlineStr">
        <is>
          <t>covered</t>
        </is>
      </c>
      <c r="I34" s="13" t="inlineStr">
        <is>
          <t>ToggleGroup playground scenario.</t>
        </is>
      </c>
      <c r="J34" s="13" t="inlineStr"/>
      <c r="K34" s="14">
        <f>IF(AND(E34="yes",F34="yes",H34="covered"),1,IF(H34="partial",0.5,0))</f>
        <v/>
      </c>
    </row>
    <row r="35">
      <c r="A35" s="12" t="n">
        <v>27</v>
      </c>
      <c r="B35" s="13" t="inlineStr">
        <is>
          <t>Data</t>
        </is>
      </c>
      <c r="C35" s="13" t="inlineStr">
        <is>
          <t>Root</t>
        </is>
      </c>
      <c r="D35" s="13" t="inlineStr">
        <is>
          <t>data-orientation changes with orientation</t>
        </is>
      </c>
      <c r="E35" s="18" t="inlineStr">
        <is>
          <t>yes</t>
        </is>
      </c>
      <c r="F35" s="19" t="inlineStr">
        <is>
          <t>yes</t>
        </is>
      </c>
      <c r="G35" s="12" t="inlineStr">
        <is>
          <t>passed</t>
        </is>
      </c>
      <c r="H35" s="20" t="inlineStr">
        <is>
          <t>covered</t>
        </is>
      </c>
      <c r="I35" s="13" t="inlineStr">
        <is>
          <t>ToggleGroup playground scenario.</t>
        </is>
      </c>
      <c r="J35" s="13" t="inlineStr"/>
      <c r="K35" s="14">
        <f>IF(AND(E35="yes",F35="yes",H35="covered"),1,IF(H35="partial",0.5,0))</f>
        <v/>
      </c>
    </row>
    <row r="36">
      <c r="A36" s="12" t="n">
        <v>28</v>
      </c>
      <c r="B36" s="13" t="inlineStr">
        <is>
          <t>Data</t>
        </is>
      </c>
      <c r="C36" s="13" t="inlineStr">
        <is>
          <t>Root</t>
        </is>
      </c>
      <c r="D36" s="13" t="inlineStr">
        <is>
          <t>data-disabled appears only when root is disabled</t>
        </is>
      </c>
      <c r="E36" s="18" t="inlineStr">
        <is>
          <t>yes</t>
        </is>
      </c>
      <c r="F36" s="19" t="inlineStr">
        <is>
          <t>yes</t>
        </is>
      </c>
      <c r="G36" s="12" t="inlineStr">
        <is>
          <t>passed</t>
        </is>
      </c>
      <c r="H36" s="20" t="inlineStr">
        <is>
          <t>covered</t>
        </is>
      </c>
      <c r="I36" s="13" t="inlineStr">
        <is>
          <t>ToggleGroup playground scenario.</t>
        </is>
      </c>
      <c r="J36" s="13" t="inlineStr"/>
      <c r="K36" s="14">
        <f>IF(AND(E36="yes",F36="yes",H36="covered"),1,IF(H36="partial",0.5,0))</f>
        <v/>
      </c>
    </row>
    <row r="37">
      <c r="A37" s="12" t="n">
        <v>29</v>
      </c>
      <c r="B37" s="13" t="inlineStr">
        <is>
          <t>Composition</t>
        </is>
      </c>
      <c r="C37" s="13" t="inlineStr">
        <is>
          <t>Root</t>
        </is>
      </c>
      <c r="D37" s="13" t="inlineStr">
        <is>
          <t>asChild renders section without double nesting</t>
        </is>
      </c>
      <c r="E37" s="18" t="inlineStr">
        <is>
          <t>yes</t>
        </is>
      </c>
      <c r="F37" s="19" t="inlineStr">
        <is>
          <t>yes</t>
        </is>
      </c>
      <c r="G37" s="12" t="inlineStr">
        <is>
          <t>passed</t>
        </is>
      </c>
      <c r="H37" s="20" t="inlineStr">
        <is>
          <t>covered</t>
        </is>
      </c>
      <c r="I37" s="13" t="inlineStr">
        <is>
          <t>ToggleGroup playground scenario.</t>
        </is>
      </c>
      <c r="J37" s="13" t="inlineStr"/>
      <c r="K37" s="14">
        <f>IF(AND(E37="yes",F37="yes",H37="covered"),1,IF(H37="partial",0.5,0))</f>
        <v/>
      </c>
    </row>
    <row r="38">
      <c r="A38" s="12" t="n">
        <v>30</v>
      </c>
      <c r="B38" s="13" t="inlineStr">
        <is>
          <t>Composition</t>
        </is>
      </c>
      <c r="C38" s="13" t="inlineStr">
        <is>
          <t>Root</t>
        </is>
      </c>
      <c r="D38" s="13" t="inlineStr">
        <is>
          <t>render renders section and preserves children</t>
        </is>
      </c>
      <c r="E38" s="18" t="inlineStr">
        <is>
          <t>yes</t>
        </is>
      </c>
      <c r="F38" s="19" t="inlineStr">
        <is>
          <t>yes</t>
        </is>
      </c>
      <c r="G38" s="12" t="inlineStr">
        <is>
          <t>passed</t>
        </is>
      </c>
      <c r="H38" s="20" t="inlineStr">
        <is>
          <t>covered</t>
        </is>
      </c>
      <c r="I38" s="13" t="inlineStr">
        <is>
          <t>ToggleGroup playground scenario.</t>
        </is>
      </c>
      <c r="J38" s="13" t="inlineStr"/>
      <c r="K38" s="14">
        <f>IF(AND(E38="yes",F38="yes",H38="covered"),1,IF(H38="partial",0.5,0))</f>
        <v/>
      </c>
    </row>
    <row r="39">
      <c r="A39" s="12" t="n">
        <v>31</v>
      </c>
      <c r="B39" s="13" t="inlineStr">
        <is>
          <t>Identity</t>
        </is>
      </c>
      <c r="C39" s="13" t="inlineStr">
        <is>
          <t>Item</t>
        </is>
      </c>
      <c r="D39" s="13" t="inlineStr">
        <is>
          <t>default tag is button and ref target matches rendered element</t>
        </is>
      </c>
      <c r="E39" s="18" t="inlineStr">
        <is>
          <t>yes</t>
        </is>
      </c>
      <c r="F39" s="19" t="inlineStr">
        <is>
          <t>yes</t>
        </is>
      </c>
      <c r="G39" s="12" t="inlineStr">
        <is>
          <t>passed</t>
        </is>
      </c>
      <c r="H39" s="20" t="inlineStr">
        <is>
          <t>covered</t>
        </is>
      </c>
      <c r="I39" s="13" t="inlineStr">
        <is>
          <t>ToggleGroup playground scenario.</t>
        </is>
      </c>
      <c r="J39" s="13" t="inlineStr"/>
      <c r="K39" s="14">
        <f>IF(AND(E39="yes",F39="yes",H39="covered"),1,IF(H39="partial",0.5,0))</f>
        <v/>
      </c>
    </row>
    <row r="40">
      <c r="A40" s="12" t="n">
        <v>32</v>
      </c>
      <c r="B40" s="13" t="inlineStr">
        <is>
          <t>Identity</t>
        </is>
      </c>
      <c r="C40" s="13" t="inlineStr">
        <is>
          <t>Item</t>
        </is>
      </c>
      <c r="D40" s="13" t="inlineStr">
        <is>
          <t>item text and value are visible</t>
        </is>
      </c>
      <c r="E40" s="18" t="inlineStr">
        <is>
          <t>yes</t>
        </is>
      </c>
      <c r="F40" s="19" t="inlineStr">
        <is>
          <t>yes</t>
        </is>
      </c>
      <c r="G40" s="12" t="inlineStr">
        <is>
          <t>passed</t>
        </is>
      </c>
      <c r="H40" s="20" t="inlineStr">
        <is>
          <t>covered</t>
        </is>
      </c>
      <c r="I40" s="13" t="inlineStr">
        <is>
          <t>ToggleGroup playground scenario.</t>
        </is>
      </c>
      <c r="J40" s="13" t="inlineStr"/>
      <c r="K40" s="14">
        <f>IF(AND(E40="yes",F40="yes",H40="covered"),1,IF(H40="partial",0.5,0))</f>
        <v/>
      </c>
    </row>
    <row r="41">
      <c r="A41" s="12" t="n">
        <v>33</v>
      </c>
      <c r="B41" s="13" t="inlineStr">
        <is>
          <t>Accessibility</t>
        </is>
      </c>
      <c r="C41" s="13" t="inlineStr">
        <is>
          <t>Item</t>
        </is>
      </c>
      <c r="D41" s="13" t="inlineStr">
        <is>
          <t>aria-label is present for item labels</t>
        </is>
      </c>
      <c r="E41" s="18" t="inlineStr">
        <is>
          <t>yes</t>
        </is>
      </c>
      <c r="F41" s="19" t="inlineStr">
        <is>
          <t>yes</t>
        </is>
      </c>
      <c r="G41" s="12" t="inlineStr">
        <is>
          <t>passed</t>
        </is>
      </c>
      <c r="H41" s="20" t="inlineStr">
        <is>
          <t>covered</t>
        </is>
      </c>
      <c r="I41" s="13" t="inlineStr">
        <is>
          <t>ToggleGroup playground scenario.</t>
        </is>
      </c>
      <c r="J41" s="13" t="inlineStr"/>
      <c r="K41" s="14">
        <f>IF(AND(E41="yes",F41="yes",H41="covered"),1,IF(H41="partial",0.5,0))</f>
        <v/>
      </c>
    </row>
    <row r="42">
      <c r="A42" s="12" t="n">
        <v>34</v>
      </c>
      <c r="B42" s="13" t="inlineStr">
        <is>
          <t>Accessibility</t>
        </is>
      </c>
      <c r="C42" s="13" t="inlineStr">
        <is>
          <t>Item</t>
        </is>
      </c>
      <c r="D42" s="13" t="inlineStr">
        <is>
          <t>aria-pressed tracks on and off states</t>
        </is>
      </c>
      <c r="E42" s="18" t="inlineStr">
        <is>
          <t>yes</t>
        </is>
      </c>
      <c r="F42" s="19" t="inlineStr">
        <is>
          <t>yes</t>
        </is>
      </c>
      <c r="G42" s="12" t="inlineStr">
        <is>
          <t>passed</t>
        </is>
      </c>
      <c r="H42" s="20" t="inlineStr">
        <is>
          <t>covered</t>
        </is>
      </c>
      <c r="I42" s="13" t="inlineStr">
        <is>
          <t>ToggleGroup playground scenario.</t>
        </is>
      </c>
      <c r="J42" s="13" t="inlineStr"/>
      <c r="K42" s="14">
        <f>IF(AND(E42="yes",F42="yes",H42="covered"),1,IF(H42="partial",0.5,0))</f>
        <v/>
      </c>
    </row>
    <row r="43">
      <c r="A43" s="12" t="n">
        <v>35</v>
      </c>
      <c r="B43" s="13" t="inlineStr">
        <is>
          <t>Accessibility</t>
        </is>
      </c>
      <c r="C43" s="13" t="inlineStr">
        <is>
          <t>Item</t>
        </is>
      </c>
      <c r="D43" s="13" t="inlineStr">
        <is>
          <t>native disabled item does not add redundant aria-disabled</t>
        </is>
      </c>
      <c r="E43" s="18" t="inlineStr">
        <is>
          <t>yes</t>
        </is>
      </c>
      <c r="F43" s="19" t="inlineStr">
        <is>
          <t>yes</t>
        </is>
      </c>
      <c r="G43" s="12" t="inlineStr">
        <is>
          <t>passed</t>
        </is>
      </c>
      <c r="H43" s="20" t="inlineStr">
        <is>
          <t>covered</t>
        </is>
      </c>
      <c r="I43" s="13" t="inlineStr">
        <is>
          <t>ToggleGroup playground scenario.</t>
        </is>
      </c>
      <c r="J43" s="13" t="inlineStr"/>
      <c r="K43" s="14">
        <f>IF(AND(E43="yes",F43="yes",H43="covered"),1,IF(H43="partial",0.5,0))</f>
        <v/>
      </c>
    </row>
    <row r="44">
      <c r="A44" s="12" t="n">
        <v>36</v>
      </c>
      <c r="B44" s="13" t="inlineStr">
        <is>
          <t>Accessibility</t>
        </is>
      </c>
      <c r="C44" s="13" t="inlineStr">
        <is>
          <t>Item</t>
        </is>
      </c>
      <c r="D44" s="13" t="inlineStr">
        <is>
          <t>non-native disabled item receives aria-disabled</t>
        </is>
      </c>
      <c r="E44" s="18" t="inlineStr">
        <is>
          <t>yes</t>
        </is>
      </c>
      <c r="F44" s="19" t="inlineStr">
        <is>
          <t>yes</t>
        </is>
      </c>
      <c r="G44" s="12" t="inlineStr">
        <is>
          <t>passed</t>
        </is>
      </c>
      <c r="H44" s="20" t="inlineStr">
        <is>
          <t>covered</t>
        </is>
      </c>
      <c r="I44" s="13" t="inlineStr">
        <is>
          <t>ToggleGroup playground scenario.</t>
        </is>
      </c>
      <c r="J44" s="13" t="inlineStr"/>
      <c r="K44" s="14">
        <f>IF(AND(E44="yes",F44="yes",H44="covered"),1,IF(H44="partial",0.5,0))</f>
        <v/>
      </c>
    </row>
    <row r="45">
      <c r="A45" s="12" t="n">
        <v>37</v>
      </c>
      <c r="B45" s="13" t="inlineStr">
        <is>
          <t>State</t>
        </is>
      </c>
      <c r="C45" s="13" t="inlineStr">
        <is>
          <t>Item</t>
        </is>
      </c>
      <c r="D45" s="13" t="inlineStr">
        <is>
          <t>item press toggles selected state in multiple mode</t>
        </is>
      </c>
      <c r="E45" s="18" t="inlineStr">
        <is>
          <t>yes</t>
        </is>
      </c>
      <c r="F45" s="19" t="inlineStr">
        <is>
          <t>yes</t>
        </is>
      </c>
      <c r="G45" s="12" t="inlineStr">
        <is>
          <t>passed</t>
        </is>
      </c>
      <c r="H45" s="20" t="inlineStr">
        <is>
          <t>covered</t>
        </is>
      </c>
      <c r="I45" s="13" t="inlineStr">
        <is>
          <t>ToggleGroup playground scenario.</t>
        </is>
      </c>
      <c r="J45" s="13" t="inlineStr"/>
      <c r="K45" s="14">
        <f>IF(AND(E45="yes",F45="yes",H45="covered"),1,IF(H45="partial",0.5,0))</f>
        <v/>
      </c>
    </row>
    <row r="46">
      <c r="A46" s="12" t="n">
        <v>38</v>
      </c>
      <c r="B46" s="13" t="inlineStr">
        <is>
          <t>State</t>
        </is>
      </c>
      <c r="C46" s="13" t="inlineStr">
        <is>
          <t>Item</t>
        </is>
      </c>
      <c r="D46" s="13" t="inlineStr">
        <is>
          <t>item press replaces selected state in single mode</t>
        </is>
      </c>
      <c r="E46" s="18" t="inlineStr">
        <is>
          <t>yes</t>
        </is>
      </c>
      <c r="F46" s="19" t="inlineStr">
        <is>
          <t>yes</t>
        </is>
      </c>
      <c r="G46" s="12" t="inlineStr">
        <is>
          <t>passed</t>
        </is>
      </c>
      <c r="H46" s="20" t="inlineStr">
        <is>
          <t>covered</t>
        </is>
      </c>
      <c r="I46" s="13" t="inlineStr">
        <is>
          <t>ToggleGroup playground scenario.</t>
        </is>
      </c>
      <c r="J46" s="13" t="inlineStr"/>
      <c r="K46" s="14">
        <f>IF(AND(E46="yes",F46="yes",H46="covered"),1,IF(H46="partial",0.5,0))</f>
        <v/>
      </c>
    </row>
    <row r="47">
      <c r="A47" s="12" t="n">
        <v>39</v>
      </c>
      <c r="B47" s="13" t="inlineStr">
        <is>
          <t>State</t>
        </is>
      </c>
      <c r="C47" s="13" t="inlineStr">
        <is>
          <t>Item</t>
        </is>
      </c>
      <c r="D47" s="13" t="inlineStr">
        <is>
          <t>disabled item cannot be toggled</t>
        </is>
      </c>
      <c r="E47" s="18" t="inlineStr">
        <is>
          <t>yes</t>
        </is>
      </c>
      <c r="F47" s="19" t="inlineStr">
        <is>
          <t>yes</t>
        </is>
      </c>
      <c r="G47" s="12" t="inlineStr">
        <is>
          <t>passed</t>
        </is>
      </c>
      <c r="H47" s="20" t="inlineStr">
        <is>
          <t>covered</t>
        </is>
      </c>
      <c r="I47" s="13" t="inlineStr">
        <is>
          <t>ToggleGroup playground scenario.</t>
        </is>
      </c>
      <c r="J47" s="13" t="inlineStr"/>
      <c r="K47" s="14">
        <f>IF(AND(E47="yes",F47="yes",H47="covered"),1,IF(H47="partial",0.5,0))</f>
        <v/>
      </c>
    </row>
    <row r="48">
      <c r="A48" s="12" t="n">
        <v>40</v>
      </c>
      <c r="B48" s="13" t="inlineStr">
        <is>
          <t>Data</t>
        </is>
      </c>
      <c r="C48" s="13" t="inlineStr">
        <is>
          <t>Item</t>
        </is>
      </c>
      <c r="D48" s="13" t="inlineStr">
        <is>
          <t>data-slot is toggle-group-item</t>
        </is>
      </c>
      <c r="E48" s="18" t="inlineStr">
        <is>
          <t>yes</t>
        </is>
      </c>
      <c r="F48" s="19" t="inlineStr">
        <is>
          <t>yes</t>
        </is>
      </c>
      <c r="G48" s="12" t="inlineStr">
        <is>
          <t>passed</t>
        </is>
      </c>
      <c r="H48" s="20" t="inlineStr">
        <is>
          <t>covered</t>
        </is>
      </c>
      <c r="I48" s="13" t="inlineStr">
        <is>
          <t>ToggleGroup playground scenario.</t>
        </is>
      </c>
      <c r="J48" s="13" t="inlineStr"/>
      <c r="K48" s="14">
        <f>IF(AND(E48="yes",F48="yes",H48="covered"),1,IF(H48="partial",0.5,0))</f>
        <v/>
      </c>
    </row>
    <row r="49">
      <c r="A49" s="12" t="n">
        <v>41</v>
      </c>
      <c r="B49" s="13" t="inlineStr">
        <is>
          <t>Data</t>
        </is>
      </c>
      <c r="C49" s="13" t="inlineStr">
        <is>
          <t>Item</t>
        </is>
      </c>
      <c r="D49" s="13" t="inlineStr">
        <is>
          <t>data-state is on or off</t>
        </is>
      </c>
      <c r="E49" s="18" t="inlineStr">
        <is>
          <t>yes</t>
        </is>
      </c>
      <c r="F49" s="19" t="inlineStr">
        <is>
          <t>yes</t>
        </is>
      </c>
      <c r="G49" s="12" t="inlineStr">
        <is>
          <t>passed</t>
        </is>
      </c>
      <c r="H49" s="20" t="inlineStr">
        <is>
          <t>covered</t>
        </is>
      </c>
      <c r="I49" s="13" t="inlineStr">
        <is>
          <t>ToggleGroup playground scenario.</t>
        </is>
      </c>
      <c r="J49" s="13" t="inlineStr"/>
      <c r="K49" s="14">
        <f>IF(AND(E49="yes",F49="yes",H49="covered"),1,IF(H49="partial",0.5,0))</f>
        <v/>
      </c>
    </row>
    <row r="50">
      <c r="A50" s="12" t="n">
        <v>42</v>
      </c>
      <c r="B50" s="13" t="inlineStr">
        <is>
          <t>Data</t>
        </is>
      </c>
      <c r="C50" s="13" t="inlineStr">
        <is>
          <t>Item</t>
        </is>
      </c>
      <c r="D50" s="13" t="inlineStr">
        <is>
          <t>data-value matches public value</t>
        </is>
      </c>
      <c r="E50" s="18" t="inlineStr">
        <is>
          <t>yes</t>
        </is>
      </c>
      <c r="F50" s="19" t="inlineStr">
        <is>
          <t>yes</t>
        </is>
      </c>
      <c r="G50" s="12" t="inlineStr">
        <is>
          <t>passed</t>
        </is>
      </c>
      <c r="H50" s="20" t="inlineStr">
        <is>
          <t>covered</t>
        </is>
      </c>
      <c r="I50" s="13" t="inlineStr">
        <is>
          <t>ToggleGroup playground scenario.</t>
        </is>
      </c>
      <c r="J50" s="13" t="inlineStr"/>
      <c r="K50" s="14">
        <f>IF(AND(E50="yes",F50="yes",H50="covered"),1,IF(H50="partial",0.5,0))</f>
        <v/>
      </c>
    </row>
    <row r="51">
      <c r="A51" s="12" t="n">
        <v>43</v>
      </c>
      <c r="B51" s="13" t="inlineStr">
        <is>
          <t>Data</t>
        </is>
      </c>
      <c r="C51" s="13" t="inlineStr">
        <is>
          <t>Item</t>
        </is>
      </c>
      <c r="D51" s="13" t="inlineStr">
        <is>
          <t>data-disabled appears only for disabled item</t>
        </is>
      </c>
      <c r="E51" s="18" t="inlineStr">
        <is>
          <t>yes</t>
        </is>
      </c>
      <c r="F51" s="19" t="inlineStr">
        <is>
          <t>yes</t>
        </is>
      </c>
      <c r="G51" s="12" t="inlineStr">
        <is>
          <t>passed</t>
        </is>
      </c>
      <c r="H51" s="20" t="inlineStr">
        <is>
          <t>covered</t>
        </is>
      </c>
      <c r="I51" s="13" t="inlineStr">
        <is>
          <t>ToggleGroup playground scenario.</t>
        </is>
      </c>
      <c r="J51" s="13" t="inlineStr"/>
      <c r="K51" s="14">
        <f>IF(AND(E51="yes",F51="yes",H51="covered"),1,IF(H51="partial",0.5,0))</f>
        <v/>
      </c>
    </row>
    <row r="52">
      <c r="A52" s="12" t="n">
        <v>44</v>
      </c>
      <c r="B52" s="13" t="inlineStr">
        <is>
          <t>Composition</t>
        </is>
      </c>
      <c r="C52" s="13" t="inlineStr">
        <is>
          <t>Item</t>
        </is>
      </c>
      <c r="D52" s="13" t="inlineStr">
        <is>
          <t>asChild renders span and preserves behavior props</t>
        </is>
      </c>
      <c r="E52" s="18" t="inlineStr">
        <is>
          <t>yes</t>
        </is>
      </c>
      <c r="F52" s="19" t="inlineStr">
        <is>
          <t>yes</t>
        </is>
      </c>
      <c r="G52" s="12" t="inlineStr">
        <is>
          <t>passed</t>
        </is>
      </c>
      <c r="H52" s="20" t="inlineStr">
        <is>
          <t>covered</t>
        </is>
      </c>
      <c r="I52" s="13" t="inlineStr">
        <is>
          <t>ToggleGroup playground scenario.</t>
        </is>
      </c>
      <c r="J52" s="13" t="inlineStr"/>
      <c r="K52" s="14">
        <f>IF(AND(E52="yes",F52="yes",H52="covered"),1,IF(H52="partial",0.5,0))</f>
        <v/>
      </c>
    </row>
    <row r="53">
      <c r="A53" s="12" t="n">
        <v>45</v>
      </c>
      <c r="B53" s="13" t="inlineStr">
        <is>
          <t>Composition</t>
        </is>
      </c>
      <c r="C53" s="13" t="inlineStr">
        <is>
          <t>Item</t>
        </is>
      </c>
      <c r="D53" s="13" t="inlineStr">
        <is>
          <t>render renders span and preserves behavior props</t>
        </is>
      </c>
      <c r="E53" s="18" t="inlineStr">
        <is>
          <t>yes</t>
        </is>
      </c>
      <c r="F53" s="19" t="inlineStr">
        <is>
          <t>yes</t>
        </is>
      </c>
      <c r="G53" s="12" t="inlineStr">
        <is>
          <t>passed</t>
        </is>
      </c>
      <c r="H53" s="20" t="inlineStr">
        <is>
          <t>covered</t>
        </is>
      </c>
      <c r="I53" s="13" t="inlineStr">
        <is>
          <t>ToggleGroup playground scenario.</t>
        </is>
      </c>
      <c r="J53" s="13" t="inlineStr"/>
      <c r="K53" s="14">
        <f>IF(AND(E53="yes",F53="yes",H53="covered"),1,IF(H53="partial",0.5,0))</f>
        <v/>
      </c>
    </row>
    <row r="54">
      <c r="A54" s="12" t="n">
        <v>46</v>
      </c>
      <c r="B54" s="13" t="inlineStr">
        <is>
          <t>Events</t>
        </is>
      </c>
      <c r="C54" s="13" t="inlineStr">
        <is>
          <t>Item</t>
        </is>
      </c>
      <c r="D54" s="13" t="inlineStr">
        <is>
          <t>preventDefault on item click blocks Atom toggle behavior</t>
        </is>
      </c>
      <c r="E54" s="18" t="inlineStr">
        <is>
          <t>yes</t>
        </is>
      </c>
      <c r="F54" s="19" t="inlineStr">
        <is>
          <t>yes</t>
        </is>
      </c>
      <c r="G54" s="12" t="inlineStr">
        <is>
          <t>passed</t>
        </is>
      </c>
      <c r="H54" s="20" t="inlineStr">
        <is>
          <t>covered</t>
        </is>
      </c>
      <c r="I54" s="13" t="inlineStr">
        <is>
          <t>ToggleGroup playground scenario.</t>
        </is>
      </c>
      <c r="J54" s="13" t="inlineStr"/>
      <c r="K54" s="14">
        <f>IF(AND(E54="yes",F54="yes",H54="covered"),1,IF(H54="partial",0.5,0))</f>
        <v/>
      </c>
    </row>
    <row r="55">
      <c r="A55" s="12" t="n">
        <v>47</v>
      </c>
      <c r="B55" s="13" t="inlineStr">
        <is>
          <t>Events</t>
        </is>
      </c>
      <c r="C55" s="13" t="inlineStr">
        <is>
          <t>Item</t>
        </is>
      </c>
      <c r="D55" s="13" t="inlineStr">
        <is>
          <t>preventDefault on Enter or Space blocks Atom toggle behavior</t>
        </is>
      </c>
      <c r="E55" s="18" t="inlineStr">
        <is>
          <t>yes</t>
        </is>
      </c>
      <c r="F55" s="19" t="inlineStr">
        <is>
          <t>yes</t>
        </is>
      </c>
      <c r="G55" s="12" t="inlineStr">
        <is>
          <t>passed</t>
        </is>
      </c>
      <c r="H55" s="20" t="inlineStr">
        <is>
          <t>covered</t>
        </is>
      </c>
      <c r="I55" s="13" t="inlineStr">
        <is>
          <t>ToggleGroup playground scenario.</t>
        </is>
      </c>
      <c r="J55" s="13" t="inlineStr"/>
      <c r="K55" s="14">
        <f>IF(AND(E55="yes",F55="yes",H55="covered"),1,IF(H55="partial",0.5,0))</f>
        <v/>
      </c>
    </row>
    <row r="56">
      <c r="A56" s="12" t="n">
        <v>48</v>
      </c>
      <c r="B56" s="13" t="inlineStr">
        <is>
          <t>Keyboard</t>
        </is>
      </c>
      <c r="C56" s="13" t="inlineStr">
        <is>
          <t>Item</t>
        </is>
      </c>
      <c r="D56" s="13" t="inlineStr">
        <is>
          <t>Enter toggles the focused item</t>
        </is>
      </c>
      <c r="E56" s="18" t="inlineStr">
        <is>
          <t>yes</t>
        </is>
      </c>
      <c r="F56" s="19" t="inlineStr">
        <is>
          <t>yes</t>
        </is>
      </c>
      <c r="G56" s="12" t="inlineStr">
        <is>
          <t>passed</t>
        </is>
      </c>
      <c r="H56" s="20" t="inlineStr">
        <is>
          <t>covered</t>
        </is>
      </c>
      <c r="I56" s="13" t="inlineStr">
        <is>
          <t>ToggleGroup playground scenario.</t>
        </is>
      </c>
      <c r="J56" s="13" t="inlineStr"/>
      <c r="K56" s="14">
        <f>IF(AND(E56="yes",F56="yes",H56="covered"),1,IF(H56="partial",0.5,0))</f>
        <v/>
      </c>
    </row>
    <row r="57">
      <c r="A57" s="12" t="n">
        <v>49</v>
      </c>
      <c r="B57" s="13" t="inlineStr">
        <is>
          <t>Keyboard</t>
        </is>
      </c>
      <c r="C57" s="13" t="inlineStr">
        <is>
          <t>Item</t>
        </is>
      </c>
      <c r="D57" s="13" t="inlineStr">
        <is>
          <t>Space toggles the focused item</t>
        </is>
      </c>
      <c r="E57" s="18" t="inlineStr">
        <is>
          <t>yes</t>
        </is>
      </c>
      <c r="F57" s="19" t="inlineStr">
        <is>
          <t>yes</t>
        </is>
      </c>
      <c r="G57" s="12" t="inlineStr">
        <is>
          <t>passed</t>
        </is>
      </c>
      <c r="H57" s="20" t="inlineStr">
        <is>
          <t>covered</t>
        </is>
      </c>
      <c r="I57" s="13" t="inlineStr">
        <is>
          <t>ToggleGroup playground scenario.</t>
        </is>
      </c>
      <c r="J57" s="13" t="inlineStr"/>
      <c r="K57" s="14">
        <f>IF(AND(E57="yes",F57="yes",H57="covered"),1,IF(H57="partial",0.5,0))</f>
        <v/>
      </c>
    </row>
    <row r="58">
      <c r="A58" s="12" t="n">
        <v>50</v>
      </c>
      <c r="B58" s="13" t="inlineStr">
        <is>
          <t>Source</t>
        </is>
      </c>
      <c r="C58" s="13" t="inlineStr">
        <is>
          <t>ToggleGroup</t>
        </is>
      </c>
      <c r="D58" s="13" t="inlineStr">
        <is>
          <t>source omits false boolean props and shows disabled shorthand</t>
        </is>
      </c>
      <c r="E58" s="18" t="inlineStr">
        <is>
          <t>yes</t>
        </is>
      </c>
      <c r="F58" s="19" t="inlineStr">
        <is>
          <t>yes</t>
        </is>
      </c>
      <c r="G58" s="12" t="inlineStr">
        <is>
          <t>passed</t>
        </is>
      </c>
      <c r="H58" s="20" t="inlineStr">
        <is>
          <t>covered</t>
        </is>
      </c>
      <c r="I58" s="13" t="inlineStr">
        <is>
          <t>ToggleGroup playground scenario.</t>
        </is>
      </c>
      <c r="J58" s="13" t="inlineStr"/>
      <c r="K58" s="14">
        <f>IF(AND(E58="yes",F58="yes",H58="covered"),1,IF(H58="partial",0.5,0))</f>
        <v/>
      </c>
    </row>
    <row r="59">
      <c r="A59" s="12" t="n">
        <v>51</v>
      </c>
      <c r="B59" s="13" t="inlineStr">
        <is>
          <t>Source</t>
        </is>
      </c>
      <c r="C59" s="13" t="inlineStr">
        <is>
          <t>ToggleGroup</t>
        </is>
      </c>
      <c r="D59" s="13" t="inlineStr">
        <is>
          <t>source shows Direction.Provider only for rtl</t>
        </is>
      </c>
      <c r="E59" s="18" t="inlineStr">
        <is>
          <t>yes</t>
        </is>
      </c>
      <c r="F59" s="19" t="inlineStr">
        <is>
          <t>yes</t>
        </is>
      </c>
      <c r="G59" s="12" t="inlineStr">
        <is>
          <t>passed</t>
        </is>
      </c>
      <c r="H59" s="20" t="inlineStr">
        <is>
          <t>covered</t>
        </is>
      </c>
      <c r="I59" s="13" t="inlineStr">
        <is>
          <t>ToggleGroup playground scenario.</t>
        </is>
      </c>
      <c r="J59" s="13" t="inlineStr"/>
      <c r="K59" s="14">
        <f>IF(AND(E59="yes",F59="yes",H59="covered"),1,IF(H59="partial",0.5,0))</f>
        <v/>
      </c>
    </row>
    <row r="60">
      <c r="A60" s="12" t="n">
        <v>52</v>
      </c>
      <c r="B60" s="13" t="inlineStr">
        <is>
          <t>Logs</t>
        </is>
      </c>
      <c r="C60" s="13" t="inlineStr">
        <is>
          <t>ToggleGroup</t>
        </is>
      </c>
      <c r="D60" s="13" t="inlineStr">
        <is>
          <t>value changes, item events, and root keyboard events are useful and not spammy</t>
        </is>
      </c>
      <c r="E60" s="18" t="inlineStr">
        <is>
          <t>yes</t>
        </is>
      </c>
      <c r="F60" s="19" t="inlineStr">
        <is>
          <t>yes</t>
        </is>
      </c>
      <c r="G60" s="12" t="inlineStr">
        <is>
          <t>passed</t>
        </is>
      </c>
      <c r="H60" s="20" t="inlineStr">
        <is>
          <t>covered</t>
        </is>
      </c>
      <c r="I60" s="13" t="inlineStr">
        <is>
          <t>ToggleGroup playground scenario.</t>
        </is>
      </c>
      <c r="J60" s="13" t="inlineStr"/>
      <c r="K60" s="14">
        <f>IF(AND(E60="yes",F60="yes",H60="covered"),1,IF(H60="partial",0.5,0))</f>
        <v/>
      </c>
    </row>
  </sheetData>
  <autoFilter ref="A8:K60"/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Toolbar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IFERROR(SUM(K9:K116)/COUNT(K9:K116),0)</f>
        <v/>
      </c>
      <c r="C4" s="8" t="inlineStr">
        <is>
          <t>Covered</t>
        </is>
      </c>
      <c r="D4" s="10">
        <f>COUNTIFS(E9:E116,"yes",F9:F116,"yes",H9:H116,"covered")</f>
        <v/>
      </c>
      <c r="E4" s="8" t="inlineStr">
        <is>
          <t>Partial</t>
        </is>
      </c>
      <c r="F4" s="10">
        <f>COUNTIF(H9:H116,"partial")</f>
        <v/>
      </c>
      <c r="G4" s="8" t="inlineStr">
        <is>
          <t>Missing</t>
        </is>
      </c>
      <c r="H4" s="10">
        <f>COUNTIFS(E9:E116,"&lt;&gt;yes") + COUNTIFS(E9:E116,"yes",H9:H116,"missing")</f>
        <v/>
      </c>
      <c r="I4" s="8" t="inlineStr">
        <is>
          <t>Untested</t>
        </is>
      </c>
      <c r="J4" s="10">
        <f>COUNTIFS(E9:E116,"yes",F9:F116,"&lt;&gt;yes") + COUNTIFS(E9:E116,"yes",F9:F116,"yes",H9:H116,"untested")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Toolbar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Scenario is registered in the playground top menu.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Toolbar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Worksheet planned from source/docs inventory.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45" customHeight="1" s="24">
      <c r="A11" s="12" t="n">
        <v>3</v>
      </c>
      <c r="B11" s="13" t="inlineStr">
        <is>
          <t>Playground</t>
        </is>
      </c>
      <c r="C11" s="13" t="inlineStr">
        <is>
          <t>Toolbar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Toolbar playground page uses shared Canvas/Source, Anatomy, Inspector, and Log infrastructure.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45" customHeight="1" s="24">
      <c r="A12" s="12" t="n">
        <v>4</v>
      </c>
      <c r="B12" s="13" t="inlineStr">
        <is>
          <t>Playground</t>
        </is>
      </c>
      <c r="C12" s="13" t="inlineStr">
        <is>
          <t>Toolbar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Toolbar playground page uses shared Canvas/Source, Anatomy, Inspector, and Log infrastructure.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Toolbar</t>
        </is>
      </c>
      <c r="D13" s="13" t="inlineStr">
        <is>
          <t>Renders `role="toolbar"` with orientation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Worksheet planned from source/docs inventory.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Toolbar</t>
        </is>
      </c>
      <c r="D14" s="13" t="inlineStr">
        <is>
          <t>Supports horizontal and vertical arrow-key navigation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Worksheet planned from source/docs inventory.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Toolbar</t>
        </is>
      </c>
      <c r="D15" s="13" t="inlineStr">
        <is>
          <t>Supports left-to-right and right-to-left direction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Worksheet planned from source/docs inventory.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Toolbar</t>
        </is>
      </c>
      <c r="D16" s="13" t="inlineStr">
        <is>
          <t>Supports buttons, links, separators, and toggle groups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Worksheet planned from source/docs inventory.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45" customHeight="1" s="24">
      <c r="A17" s="12" t="n">
        <v>9</v>
      </c>
      <c r="B17" s="13" t="inlineStr">
        <is>
          <t>Feature</t>
        </is>
      </c>
      <c r="C17" s="13" t="inlineStr">
        <is>
          <t>Toolbar</t>
        </is>
      </c>
      <c r="D17" s="13" t="inlineStr">
        <is>
          <t>Registers toolbar items in DOM order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Toolbar playground uses real Toolbar collection/navigation behavior and exposes keyboard/manual verification paths.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45" customHeight="1" s="24">
      <c r="A18" s="12" t="n">
        <v>10</v>
      </c>
      <c r="B18" s="13" t="inlineStr">
        <is>
          <t>Feature</t>
        </is>
      </c>
      <c r="C18" s="13" t="inlineStr">
        <is>
          <t>Toolbar</t>
        </is>
      </c>
      <c r="D18" s="13" t="inlineStr">
        <is>
          <t>Keeps styling, icons, and visual grouping outside the primitive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Toolbar playground uses real Toolbar collection/navigation behavior and exposes keyboard/manual verification paths.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Worksheet planned from source/docs inventory.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Worksheet planned from source/docs inventory.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Worksheet planned from source/docs inventory.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Worksheet planned from source/docs inventory.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Worksheet planned from source/docs inventory.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Worksheet planned from source/docs inventory.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orientation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Worksheet planned from source/docs inventory.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Public API</t>
        </is>
      </c>
      <c r="C26" s="13" t="inlineStr">
        <is>
          <t>Root</t>
        </is>
      </c>
      <c r="D26" s="13" t="inlineStr">
        <is>
          <t>dir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Worksheet planned from source/docs inventory.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Public API</t>
        </is>
      </c>
      <c r="C27" s="13" t="inlineStr">
        <is>
          <t>Root</t>
        </is>
      </c>
      <c r="D27" s="13" t="inlineStr">
        <is>
          <t>loop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Worksheet planned from source/docs inventory.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Accessibility</t>
        </is>
      </c>
      <c r="C28" s="13" t="inlineStr">
        <is>
          <t>Root</t>
        </is>
      </c>
      <c r="D28" s="13" t="inlineStr">
        <is>
          <t>ariaLabel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Worksheet planned from source/docs inventory.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Public API</t>
        </is>
      </c>
      <c r="C29" s="13" t="inlineStr">
        <is>
          <t>Root</t>
        </is>
      </c>
      <c r="D29" s="13" t="inlineStr">
        <is>
          <t>[data-slot]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Worksheet planned from source/docs inventory.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Public API</t>
        </is>
      </c>
      <c r="C30" s="13" t="inlineStr">
        <is>
          <t>Root</t>
        </is>
      </c>
      <c r="D30" s="13" t="inlineStr">
        <is>
          <t>[data-orientation]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Worksheet planned from source/docs inventory.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Anatomy</t>
        </is>
      </c>
      <c r="C31" s="13" t="inlineStr">
        <is>
          <t>Button</t>
        </is>
      </c>
      <c r="D31" s="13" t="inlineStr">
        <is>
          <t>renders correct part when expected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Worksheet planned from source/docs inventory.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Anatomy</t>
        </is>
      </c>
      <c r="C32" s="13" t="inlineStr">
        <is>
          <t>Button</t>
        </is>
      </c>
      <c r="D32" s="13" t="inlineStr">
        <is>
          <t>appears in documented order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Worksheet planned from source/docs inventory.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Identity</t>
        </is>
      </c>
      <c r="C33" s="13" t="inlineStr">
        <is>
          <t>Button</t>
        </is>
      </c>
      <c r="D33" s="13" t="inlineStr">
        <is>
          <t>default tag is visible in Anatomy/Inspector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Worksheet planned from source/docs inventory.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Identity</t>
        </is>
      </c>
      <c r="C34" s="13" t="inlineStr">
        <is>
          <t>Button</t>
        </is>
      </c>
      <c r="D34" s="13" t="inlineStr">
        <is>
          <t>data-slot is present and correct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Worksheet planned from source/docs inventory.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30" customHeight="1" s="24">
      <c r="A35" s="12" t="n">
        <v>27</v>
      </c>
      <c r="B35" s="13" t="inlineStr">
        <is>
          <t>Props</t>
        </is>
      </c>
      <c r="C35" s="13" t="inlineStr">
        <is>
          <t>Button</t>
        </is>
      </c>
      <c r="D35" s="13" t="inlineStr">
        <is>
          <t>non-Atom native props pass through with data-prop-check marker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Worksheet planned from source/docs inventory.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Refs</t>
        </is>
      </c>
      <c r="C36" s="13" t="inlineStr">
        <is>
          <t>Button</t>
        </is>
      </c>
      <c r="D36" s="13" t="inlineStr">
        <is>
          <t>consumer ref receives the rendered element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Worksheet planned from source/docs inventory.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State</t>
        </is>
      </c>
      <c r="C37" s="13" t="inlineStr">
        <is>
          <t>Button</t>
        </is>
      </c>
      <c r="D37" s="13" t="inlineStr">
        <is>
          <t>disabled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Worksheet planned from source/docs inventory.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Accessibility</t>
        </is>
      </c>
      <c r="C38" s="13" t="inlineStr">
        <is>
          <t>Button</t>
        </is>
      </c>
      <c r="D38" s="13" t="inlineStr">
        <is>
          <t>ariaLabel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Worksheet planned from source/docs inventory.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Public API</t>
        </is>
      </c>
      <c r="C39" s="13" t="inlineStr">
        <is>
          <t>Button</t>
        </is>
      </c>
      <c r="D39" s="13" t="inlineStr">
        <is>
          <t>[data-slot] prop behavior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Worksheet planned from source/docs inventory.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State</t>
        </is>
      </c>
      <c r="C40" s="13" t="inlineStr">
        <is>
          <t>Button</t>
        </is>
      </c>
      <c r="D40" s="13" t="inlineStr">
        <is>
          <t>[data-disabled] prop behavior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Worksheet planned from source/docs inventory.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Anatomy</t>
        </is>
      </c>
      <c r="C41" s="13" t="inlineStr">
        <is>
          <t>Link</t>
        </is>
      </c>
      <c r="D41" s="13" t="inlineStr">
        <is>
          <t>renders correct part when expected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Worksheet planned from source/docs inventory.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Anatomy</t>
        </is>
      </c>
      <c r="C42" s="13" t="inlineStr">
        <is>
          <t>Link</t>
        </is>
      </c>
      <c r="D42" s="13" t="inlineStr">
        <is>
          <t>appears in documented order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Worksheet planned from source/docs inventory.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Identity</t>
        </is>
      </c>
      <c r="C43" s="13" t="inlineStr">
        <is>
          <t>Link</t>
        </is>
      </c>
      <c r="D43" s="13" t="inlineStr">
        <is>
          <t>default tag is visible in Anatomy/Inspector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Worksheet planned from source/docs inventory.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Identity</t>
        </is>
      </c>
      <c r="C44" s="13" t="inlineStr">
        <is>
          <t>Link</t>
        </is>
      </c>
      <c r="D44" s="13" t="inlineStr">
        <is>
          <t>data-slot is present and correct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Worksheet planned from source/docs inventory.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30" customHeight="1" s="24">
      <c r="A45" s="12" t="n">
        <v>37</v>
      </c>
      <c r="B45" s="13" t="inlineStr">
        <is>
          <t>Props</t>
        </is>
      </c>
      <c r="C45" s="13" t="inlineStr">
        <is>
          <t>Link</t>
        </is>
      </c>
      <c r="D45" s="13" t="inlineStr">
        <is>
          <t>non-Atom native props pass through with data-prop-check marker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Worksheet planned from source/docs inventory.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Refs</t>
        </is>
      </c>
      <c r="C46" s="13" t="inlineStr">
        <is>
          <t>Link</t>
        </is>
      </c>
      <c r="D46" s="13" t="inlineStr">
        <is>
          <t>consumer ref receives the rendered element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Worksheet planned from source/docs inventory.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Public API</t>
        </is>
      </c>
      <c r="C47" s="13" t="inlineStr">
        <is>
          <t>Link</t>
        </is>
      </c>
      <c r="D47" s="13" t="inlineStr">
        <is>
          <t>href prop behavior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Worksheet planned from source/docs inventory.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Public API</t>
        </is>
      </c>
      <c r="C48" s="13" t="inlineStr">
        <is>
          <t>Link</t>
        </is>
      </c>
      <c r="D48" s="13" t="inlineStr">
        <is>
          <t>target prop behavior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Worksheet planned from source/docs inventory.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Public API</t>
        </is>
      </c>
      <c r="C49" s="13" t="inlineStr">
        <is>
          <t>Link</t>
        </is>
      </c>
      <c r="D49" s="13" t="inlineStr">
        <is>
          <t>rel prop behavior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Worksheet planned from source/docs inventory.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State</t>
        </is>
      </c>
      <c r="C50" s="13" t="inlineStr">
        <is>
          <t>Link</t>
        </is>
      </c>
      <c r="D50" s="13" t="inlineStr">
        <is>
          <t>disabled prop behavior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Worksheet planned from source/docs inventory.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Accessibility</t>
        </is>
      </c>
      <c r="C51" s="13" t="inlineStr">
        <is>
          <t>Link</t>
        </is>
      </c>
      <c r="D51" s="13" t="inlineStr">
        <is>
          <t>ariaLabel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Worksheet planned from source/docs inventory.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Link</t>
        </is>
      </c>
      <c r="D52" s="13" t="inlineStr">
        <is>
          <t>[data-slot]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Worksheet planned from source/docs inventory.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State</t>
        </is>
      </c>
      <c r="C53" s="13" t="inlineStr">
        <is>
          <t>Link</t>
        </is>
      </c>
      <c r="D53" s="13" t="inlineStr">
        <is>
          <t>[data-disabled]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Worksheet planned from source/docs inventory.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Anatomy</t>
        </is>
      </c>
      <c r="C54" s="13" t="inlineStr">
        <is>
          <t>Separator</t>
        </is>
      </c>
      <c r="D54" s="13" t="inlineStr">
        <is>
          <t>renders correct part when expected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Worksheet planned from source/docs inventory.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Anatomy</t>
        </is>
      </c>
      <c r="C55" s="13" t="inlineStr">
        <is>
          <t>Separator</t>
        </is>
      </c>
      <c r="D55" s="13" t="inlineStr">
        <is>
          <t>appears in documented order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Worksheet planned from source/docs inventory.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Identity</t>
        </is>
      </c>
      <c r="C56" s="13" t="inlineStr">
        <is>
          <t>Separator</t>
        </is>
      </c>
      <c r="D56" s="13" t="inlineStr">
        <is>
          <t>default tag is visible in Anatomy/Inspector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Worksheet planned from source/docs inventory.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Identity</t>
        </is>
      </c>
      <c r="C57" s="13" t="inlineStr">
        <is>
          <t>Separator</t>
        </is>
      </c>
      <c r="D57" s="13" t="inlineStr">
        <is>
          <t>data-slot is present and correct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Worksheet planned from source/docs inventory.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30" customHeight="1" s="24">
      <c r="A58" s="12" t="n">
        <v>50</v>
      </c>
      <c r="B58" s="13" t="inlineStr">
        <is>
          <t>Props</t>
        </is>
      </c>
      <c r="C58" s="13" t="inlineStr">
        <is>
          <t>Separator</t>
        </is>
      </c>
      <c r="D58" s="13" t="inlineStr">
        <is>
          <t>non-Atom native props pass through with data-prop-check marker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Worksheet planned from source/docs inventory.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Refs</t>
        </is>
      </c>
      <c r="C59" s="13" t="inlineStr">
        <is>
          <t>Separator</t>
        </is>
      </c>
      <c r="D59" s="13" t="inlineStr">
        <is>
          <t>consumer ref receives the rendered element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Worksheet planned from source/docs inventory.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Separator</t>
        </is>
      </c>
      <c r="D60" s="13" t="inlineStr">
        <is>
          <t>orientation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Worksheet planned from source/docs inventory.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Public API</t>
        </is>
      </c>
      <c r="C61" s="13" t="inlineStr">
        <is>
          <t>Separator</t>
        </is>
      </c>
      <c r="D61" s="13" t="inlineStr">
        <is>
          <t>[data-slot]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Worksheet planned from source/docs inventory.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Public API</t>
        </is>
      </c>
      <c r="C62" s="13" t="inlineStr">
        <is>
          <t>Separator</t>
        </is>
      </c>
      <c r="D62" s="13" t="inlineStr">
        <is>
          <t>[data-orientation]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Worksheet planned from source/docs inventory.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Anatomy</t>
        </is>
      </c>
      <c r="C63" s="13" t="inlineStr">
        <is>
          <t>ToggleGroup</t>
        </is>
      </c>
      <c r="D63" s="13" t="inlineStr">
        <is>
          <t>renders correct part when expected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Worksheet planned from source/docs inventory.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ToggleGroup</t>
        </is>
      </c>
      <c r="D64" s="13" t="inlineStr">
        <is>
          <t>appears in documented order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Worksheet planned from source/docs inventory.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Identity</t>
        </is>
      </c>
      <c r="C65" s="13" t="inlineStr">
        <is>
          <t>ToggleGroup</t>
        </is>
      </c>
      <c r="D65" s="13" t="inlineStr">
        <is>
          <t>default tag is visible in Anatomy/Inspector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Worksheet planned from source/docs inventory.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ToggleGroup</t>
        </is>
      </c>
      <c r="D66" s="13" t="inlineStr">
        <is>
          <t>data-slot is present and correct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Worksheet planned from source/docs inventory.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30" customHeight="1" s="24">
      <c r="A67" s="12" t="n">
        <v>59</v>
      </c>
      <c r="B67" s="13" t="inlineStr">
        <is>
          <t>Props</t>
        </is>
      </c>
      <c r="C67" s="13" t="inlineStr">
        <is>
          <t>ToggleGroup</t>
        </is>
      </c>
      <c r="D67" s="13" t="inlineStr">
        <is>
          <t>non-Atom native props pass through with data-prop-check marker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Worksheet planned from source/docs inventory.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Refs</t>
        </is>
      </c>
      <c r="C68" s="13" t="inlineStr">
        <is>
          <t>ToggleGroup</t>
        </is>
      </c>
      <c r="D68" s="13" t="inlineStr">
        <is>
          <t>consumer ref receives the rendered element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Worksheet planned from source/docs inventory.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Public API</t>
        </is>
      </c>
      <c r="C69" s="13" t="inlineStr">
        <is>
          <t>ToggleGroup</t>
        </is>
      </c>
      <c r="D69" s="13" t="inlineStr">
        <is>
          <t>type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Worksheet planned from source/docs inventory.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State</t>
        </is>
      </c>
      <c r="C70" s="13" t="inlineStr">
        <is>
          <t>ToggleGroup</t>
        </is>
      </c>
      <c r="D70" s="13" t="inlineStr">
        <is>
          <t>value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Worksheet planned from source/docs inventory.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State</t>
        </is>
      </c>
      <c r="C71" s="13" t="inlineStr">
        <is>
          <t>ToggleGroup</t>
        </is>
      </c>
      <c r="D71" s="13" t="inlineStr">
        <is>
          <t>defaultValue prop behavior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Worksheet planned from source/docs inventory.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State</t>
        </is>
      </c>
      <c r="C72" s="13" t="inlineStr">
        <is>
          <t>ToggleGroup</t>
        </is>
      </c>
      <c r="D72" s="13" t="inlineStr">
        <is>
          <t>onValueChange prop behavior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Worksheet planned from source/docs inventory.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State</t>
        </is>
      </c>
      <c r="C73" s="13" t="inlineStr">
        <is>
          <t>ToggleGroup</t>
        </is>
      </c>
      <c r="D73" s="13" t="inlineStr">
        <is>
          <t>disabled prop behavior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Worksheet planned from source/docs inventory.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Accessibility</t>
        </is>
      </c>
      <c r="C74" s="13" t="inlineStr">
        <is>
          <t>ToggleGroup</t>
        </is>
      </c>
      <c r="D74" s="13" t="inlineStr">
        <is>
          <t>ariaLabel prop behavior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Worksheet planned from source/docs inventory.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Public API</t>
        </is>
      </c>
      <c r="C75" s="13" t="inlineStr">
        <is>
          <t>ToggleGroup</t>
        </is>
      </c>
      <c r="D75" s="13" t="inlineStr">
        <is>
          <t>[data-slot] prop behavior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Worksheet planned from source/docs inventory.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State</t>
        </is>
      </c>
      <c r="C76" s="13" t="inlineStr">
        <is>
          <t>ToggleGroup</t>
        </is>
      </c>
      <c r="D76" s="13" t="inlineStr">
        <is>
          <t>[data-disabled] prop behavior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Worksheet planned from source/docs inventory.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Anatomy</t>
        </is>
      </c>
      <c r="C77" s="13" t="inlineStr">
        <is>
          <t>ToggleItem</t>
        </is>
      </c>
      <c r="D77" s="13" t="inlineStr">
        <is>
          <t>renders correct part when expected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Worksheet planned from source/docs inventory.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Anatomy</t>
        </is>
      </c>
      <c r="C78" s="13" t="inlineStr">
        <is>
          <t>ToggleItem</t>
        </is>
      </c>
      <c r="D78" s="13" t="inlineStr">
        <is>
          <t>appears in documented order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Worksheet planned from source/docs inventory.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Identity</t>
        </is>
      </c>
      <c r="C79" s="13" t="inlineStr">
        <is>
          <t>ToggleItem</t>
        </is>
      </c>
      <c r="D79" s="13" t="inlineStr">
        <is>
          <t>default tag is visible in Anatomy/Inspector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Worksheet planned from source/docs inventory.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Identity</t>
        </is>
      </c>
      <c r="C80" s="13" t="inlineStr">
        <is>
          <t>ToggleItem</t>
        </is>
      </c>
      <c r="D80" s="13" t="inlineStr">
        <is>
          <t>data-slot is present and correct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Worksheet planned from source/docs inventory.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30" customHeight="1" s="24">
      <c r="A81" s="12" t="n">
        <v>73</v>
      </c>
      <c r="B81" s="13" t="inlineStr">
        <is>
          <t>Props</t>
        </is>
      </c>
      <c r="C81" s="13" t="inlineStr">
        <is>
          <t>ToggleItem</t>
        </is>
      </c>
      <c r="D81" s="13" t="inlineStr">
        <is>
          <t>non-Atom native props pass through with data-prop-check marker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Worksheet planned from source/docs inventory.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Refs</t>
        </is>
      </c>
      <c r="C82" s="13" t="inlineStr">
        <is>
          <t>ToggleItem</t>
        </is>
      </c>
      <c r="D82" s="13" t="inlineStr">
        <is>
          <t>consumer ref receives the rendered element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Worksheet planned from source/docs inventory.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State</t>
        </is>
      </c>
      <c r="C83" s="13" t="inlineStr">
        <is>
          <t>ToggleItem</t>
        </is>
      </c>
      <c r="D83" s="13" t="inlineStr">
        <is>
          <t>value prop behavior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Worksheet planned from source/docs inventory.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State</t>
        </is>
      </c>
      <c r="C84" s="13" t="inlineStr">
        <is>
          <t>ToggleItem</t>
        </is>
      </c>
      <c r="D84" s="13" t="inlineStr">
        <is>
          <t>disabled prop behavior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Worksheet planned from source/docs inventory.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Accessibility</t>
        </is>
      </c>
      <c r="C85" s="13" t="inlineStr">
        <is>
          <t>ToggleItem</t>
        </is>
      </c>
      <c r="D85" s="13" t="inlineStr">
        <is>
          <t>ariaLabel prop behavior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Worksheet planned from source/docs inventory.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Public API</t>
        </is>
      </c>
      <c r="C86" s="13" t="inlineStr">
        <is>
          <t>ToggleItem</t>
        </is>
      </c>
      <c r="D86" s="13" t="inlineStr">
        <is>
          <t>[data-slot] prop behavior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Worksheet planned from source/docs inventory.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Public API</t>
        </is>
      </c>
      <c r="C87" s="13" t="inlineStr">
        <is>
          <t>ToggleItem</t>
        </is>
      </c>
      <c r="D87" s="13" t="inlineStr">
        <is>
          <t>[data-state] prop behavior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Worksheet planned from source/docs inventory.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State</t>
        </is>
      </c>
      <c r="C88" s="13" t="inlineStr">
        <is>
          <t>ToggleItem</t>
        </is>
      </c>
      <c r="D88" s="13" t="inlineStr">
        <is>
          <t>[data-value] prop behavior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Worksheet planned from source/docs inventory.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State</t>
        </is>
      </c>
      <c r="C89" s="13" t="inlineStr">
        <is>
          <t>ToggleItem</t>
        </is>
      </c>
      <c r="D89" s="13" t="inlineStr">
        <is>
          <t>[data-disabled] prop behavior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Worksheet planned from source/docs inventory.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ARIA</t>
        </is>
      </c>
      <c r="C90" s="13" t="inlineStr">
        <is>
          <t>Live DOM</t>
        </is>
      </c>
      <c r="D90" s="13" t="inlineStr">
        <is>
          <t>aria-disabled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Worksheet planned from source/docs inventory.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30" customHeight="1" s="24">
      <c r="A91" s="12" t="n">
        <v>83</v>
      </c>
      <c r="B91" s="13" t="inlineStr">
        <is>
          <t>ARIA</t>
        </is>
      </c>
      <c r="C91" s="13" t="inlineStr">
        <is>
          <t>Live DOM</t>
        </is>
      </c>
      <c r="D91" s="13" t="inlineStr">
        <is>
          <t>aria-label is present at the correct time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Shared Anatomy/Inspector expose live ARIA/data attributes for Toolbar when the part is rendered.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ARIA</t>
        </is>
      </c>
      <c r="C92" s="13" t="inlineStr">
        <is>
          <t>Live DOM</t>
        </is>
      </c>
      <c r="D92" s="13" t="inlineStr">
        <is>
          <t>aria-orientation is present at the correct time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Worksheet planned from source/docs inventory.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30" customHeight="1" s="24">
      <c r="A93" s="12" t="n">
        <v>85</v>
      </c>
      <c r="B93" s="13" t="inlineStr">
        <is>
          <t>ARIA</t>
        </is>
      </c>
      <c r="C93" s="13" t="inlineStr">
        <is>
          <t>Live DOM</t>
        </is>
      </c>
      <c r="D93" s="13" t="inlineStr">
        <is>
          <t>aria-pressed is present at the correct time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Shared Anatomy/Inspector expose live ARIA/data attributes for Toolbar when the part is rendered.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Data</t>
        </is>
      </c>
      <c r="C94" s="13" t="inlineStr">
        <is>
          <t>Live DOM</t>
        </is>
      </c>
      <c r="D94" s="13" t="inlineStr">
        <is>
          <t>data-disabled is present at the correct time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Worksheet planned from source/docs inventory.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Data</t>
        </is>
      </c>
      <c r="C95" s="13" t="inlineStr">
        <is>
          <t>Live DOM</t>
        </is>
      </c>
      <c r="D95" s="13" t="inlineStr">
        <is>
          <t>data-orientation is present at the correct time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Worksheet planned from source/docs inventory.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30" customHeight="1" s="24">
      <c r="A96" s="12" t="n">
        <v>88</v>
      </c>
      <c r="B96" s="13" t="inlineStr">
        <is>
          <t>Data</t>
        </is>
      </c>
      <c r="C96" s="13" t="inlineStr">
        <is>
          <t>Live DOM</t>
        </is>
      </c>
      <c r="D96" s="13" t="inlineStr">
        <is>
          <t>data-slot is present at the correct time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Shared Anatomy/Inspector expose live ARIA/data attributes for Toolbar when the part is rendered.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30" customHeight="1" s="24">
      <c r="A97" s="12" t="n">
        <v>89</v>
      </c>
      <c r="B97" s="13" t="inlineStr">
        <is>
          <t>Data</t>
        </is>
      </c>
      <c r="C97" s="13" t="inlineStr">
        <is>
          <t>Live DOM</t>
        </is>
      </c>
      <c r="D97" s="13" t="inlineStr">
        <is>
          <t>data-state is present at the correct time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Shared Anatomy/Inspector expose live ARIA/data attributes for Toolbar when the part is rendered.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30" customHeight="1" s="24">
      <c r="A98" s="12" t="n">
        <v>90</v>
      </c>
      <c r="B98" s="13" t="inlineStr">
        <is>
          <t>Data</t>
        </is>
      </c>
      <c r="C98" s="13" t="inlineStr">
        <is>
          <t>Live DOM</t>
        </is>
      </c>
      <c r="D98" s="13" t="inlineStr">
        <is>
          <t>data-value is present at the correct time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Shared Anatomy/Inspector expose live ARIA/data attributes for Toolbar when the part is rendered.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State</t>
        </is>
      </c>
      <c r="C99" s="13" t="inlineStr">
        <is>
          <t>Root</t>
        </is>
      </c>
      <c r="D99" s="13" t="inlineStr">
        <is>
          <t>controlled state path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Worksheet planned from source/docs inventory.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State</t>
        </is>
      </c>
      <c r="C100" s="13" t="inlineStr">
        <is>
          <t>Root</t>
        </is>
      </c>
      <c r="D100" s="13" t="inlineStr">
        <is>
          <t>uncontrolled default state path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Worksheet planned from source/docs inventory.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State</t>
        </is>
      </c>
      <c r="C101" s="13" t="inlineStr">
        <is>
          <t>Root</t>
        </is>
      </c>
      <c r="D101" s="13" t="inlineStr">
        <is>
          <t>state change callback fires once with correct value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Worksheet planned from source/docs inventory.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Keyboard</t>
        </is>
      </c>
      <c r="C102" s="13" t="inlineStr">
        <is>
          <t>Toolbar</t>
        </is>
      </c>
      <c r="D102" s="13" t="inlineStr">
        <is>
          <t>ArrowDown behavior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Worksheet planned from source/docs inventory.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Keyboard</t>
        </is>
      </c>
      <c r="C103" s="13" t="inlineStr">
        <is>
          <t>Toolbar</t>
        </is>
      </c>
      <c r="D103" s="13" t="inlineStr">
        <is>
          <t>ArrowLeft behavior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Worksheet planned from source/docs inventory.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Keyboard</t>
        </is>
      </c>
      <c r="C104" s="13" t="inlineStr">
        <is>
          <t>Toolbar</t>
        </is>
      </c>
      <c r="D104" s="13" t="inlineStr">
        <is>
          <t>ArrowRight behavior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Worksheet planned from source/docs inventory.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Keyboard</t>
        </is>
      </c>
      <c r="C105" s="13" t="inlineStr">
        <is>
          <t>Toolbar</t>
        </is>
      </c>
      <c r="D105" s="13" t="inlineStr">
        <is>
          <t>ArrowUp behavior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Worksheet planned from source/docs inventory.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Keyboard</t>
        </is>
      </c>
      <c r="C106" s="13" t="inlineStr">
        <is>
          <t>Toolbar</t>
        </is>
      </c>
      <c r="D106" s="13" t="inlineStr">
        <is>
          <t>End behavior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Worksheet planned from source/docs inventory.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Keyboard</t>
        </is>
      </c>
      <c r="C107" s="13" t="inlineStr">
        <is>
          <t>Toolbar</t>
        </is>
      </c>
      <c r="D107" s="13" t="inlineStr">
        <is>
          <t>Home behavior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Worksheet planned from source/docs inventory.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Keyboard</t>
        </is>
      </c>
      <c r="C108" s="13" t="inlineStr">
        <is>
          <t>Toolbar</t>
        </is>
      </c>
      <c r="D108" s="13" t="inlineStr">
        <is>
          <t>Arrow key navigation follows documented orientation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Worksheet planned from source/docs inventory.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Keyboard</t>
        </is>
      </c>
      <c r="C109" s="13" t="inlineStr">
        <is>
          <t>Toolbar</t>
        </is>
      </c>
      <c r="D109" s="13" t="inlineStr">
        <is>
          <t>Home and End navigation where supported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Worksheet planned from source/docs inventory.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Keyboard</t>
        </is>
      </c>
      <c r="C110" s="13" t="inlineStr">
        <is>
          <t>Toolbar</t>
        </is>
      </c>
      <c r="D110" s="13" t="inlineStr">
        <is>
          <t>disabled items are skipped or exposed according to pattern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Worksheet planned from source/docs inventory.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45" customHeight="1" s="24">
      <c r="A111" s="12" t="n">
        <v>103</v>
      </c>
      <c r="B111" s="13" t="inlineStr">
        <is>
          <t>Keyboard</t>
        </is>
      </c>
      <c r="C111" s="13" t="inlineStr">
        <is>
          <t>Toolbar</t>
        </is>
      </c>
      <c r="D111" s="13" t="inlineStr">
        <is>
          <t>typeahead/search behavior where supported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Toolbar playground uses real Toolbar collection/navigation behavior and exposes keyboard/manual verification paths.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Focus</t>
        </is>
      </c>
      <c r="C112" s="13" t="inlineStr">
        <is>
          <t>Toolbar</t>
        </is>
      </c>
      <c r="D112" s="13" t="inlineStr">
        <is>
          <t>roving focus or active descendant state is visible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Worksheet planned from source/docs inventory.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30" customHeight="1" s="24">
      <c r="A113" s="12" t="n">
        <v>105</v>
      </c>
      <c r="B113" s="13" t="inlineStr">
        <is>
          <t>Direction</t>
        </is>
      </c>
      <c r="C113" s="13" t="inlineStr">
        <is>
          <t>Root</t>
        </is>
      </c>
      <c r="D113" s="13" t="inlineStr">
        <is>
          <t>reads Direction.Provider context before defaulting to ltr</t>
        </is>
      </c>
      <c r="E113" s="21" t="inlineStr">
        <is>
          <t>no</t>
        </is>
      </c>
      <c r="F113" s="19" t="inlineStr">
        <is>
          <t>no</t>
        </is>
      </c>
      <c r="G113" s="12" t="inlineStr">
        <is>
          <t>missing</t>
        </is>
      </c>
      <c r="H113" s="21" t="inlineStr">
        <is>
          <t>missing</t>
        </is>
      </c>
      <c r="I113" s="13" t="n"/>
      <c r="J113" s="13" t="inlineStr">
        <is>
          <t>Toolbar currently exposes a local dir prop only.</t>
        </is>
      </c>
      <c r="K113" s="14">
        <f>IF(AND(E113="yes",F113="yes",H113="covered"),1,IF(H113="partial",0.5,0))</f>
        <v/>
      </c>
    </row>
    <row r="114" ht="30" customHeight="1" s="24">
      <c r="A114" s="12" t="n">
        <v>106</v>
      </c>
      <c r="B114" s="13" t="inlineStr">
        <is>
          <t>Direction</t>
        </is>
      </c>
      <c r="C114" s="13" t="inlineStr">
        <is>
          <t>Root</t>
        </is>
      </c>
      <c r="D114" s="13" t="inlineStr">
        <is>
          <t>direct dir prop overrides provider direction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Direction-sensitive behavior is supported by source; manual verification needed.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30" customHeight="1" s="24">
      <c r="A115" s="12" t="n">
        <v>107</v>
      </c>
      <c r="B115" s="13" t="inlineStr">
        <is>
          <t>Direction</t>
        </is>
      </c>
      <c r="C115" s="13" t="inlineStr">
        <is>
          <t>Root</t>
        </is>
      </c>
      <c r="D115" s="13" t="inlineStr">
        <is>
          <t>RTL mirrors horizontal ArrowLeft and ArrowRight navigation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Direction-sensitive behavior is supported by source; manual verification needed.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30" customHeight="1" s="24">
      <c r="A116" s="12" t="n">
        <v>108</v>
      </c>
      <c r="B116" s="13" t="inlineStr">
        <is>
          <t>Playground</t>
        </is>
      </c>
      <c r="C116" s="13" t="inlineStr">
        <is>
          <t>Direction controls</t>
        </is>
      </c>
      <c r="D116" s="13" t="inlineStr">
        <is>
          <t>scenario exposes provider direction and direct dir override separately</t>
        </is>
      </c>
      <c r="E116" s="21" t="inlineStr">
        <is>
          <t>no</t>
        </is>
      </c>
      <c r="F116" s="19" t="inlineStr">
        <is>
          <t>no</t>
        </is>
      </c>
      <c r="G116" s="12" t="inlineStr">
        <is>
          <t>missing</t>
        </is>
      </c>
      <c r="H116" s="21" t="inlineStr">
        <is>
          <t>missing</t>
        </is>
      </c>
      <c r="I116" s="13" t="n"/>
      <c r="J116" s="13" t="inlineStr">
        <is>
          <t>Add separate provider and direct override controls.</t>
        </is>
      </c>
      <c r="K116" s="14">
        <f>IF(AND(E116="yes",F116="yes",H116="covered"),1,IF(H116="partial",0.5,0))</f>
        <v/>
      </c>
    </row>
  </sheetData>
  <autoFilter ref="A8:K116"/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Tooltip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IFERROR(SUM(K9:K113)/COUNT(K9:K113),0)</f>
        <v/>
      </c>
      <c r="C4" s="8" t="inlineStr">
        <is>
          <t>Covered</t>
        </is>
      </c>
      <c r="D4" s="10">
        <f>COUNTIFS(E9:E113,"yes",F9:F113,"yes",H9:H113,"covered")</f>
        <v/>
      </c>
      <c r="E4" s="8" t="inlineStr">
        <is>
          <t>Partial</t>
        </is>
      </c>
      <c r="F4" s="10">
        <f>COUNTIF(H9:H113,"partial")</f>
        <v/>
      </c>
      <c r="G4" s="8" t="inlineStr">
        <is>
          <t>Missing</t>
        </is>
      </c>
      <c r="H4" s="10">
        <f>COUNTIFS(E9:E113,"&lt;&gt;yes") + COUNTIFS(E9:E113,"yes",H9:H113,"missing")</f>
        <v/>
      </c>
      <c r="I4" s="8" t="inlineStr">
        <is>
          <t>Untested</t>
        </is>
      </c>
      <c r="J4" s="10">
        <f>COUNTIFS(E9:E113,"yes",F9:F113,"&lt;&gt;yes") + COUNTIFS(E9:E113,"yes",F9:F113,"yes",H9:H113,"untested")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Tooltip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Tooltip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45" customHeight="1" s="24">
      <c r="A10" s="12" t="n">
        <v>2</v>
      </c>
      <c r="B10" s="13" t="inlineStr">
        <is>
          <t>Playground</t>
        </is>
      </c>
      <c r="C10" s="13" t="inlineStr">
        <is>
          <t>Tooltip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Tooltip playground page uses shared Canvas/Source, Anatomy, Inspector, and Log infrastructure.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Tooltip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Tooltip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Tooltip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Tooltip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Tooltip</t>
        </is>
      </c>
      <c r="D13" s="13" t="inlineStr">
        <is>
          <t>Provider-level delay configuration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Tooltip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Tooltip</t>
        </is>
      </c>
      <c r="D14" s="13" t="inlineStr">
        <is>
          <t>Controlled and uncontrolled open state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Tooltip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45" customHeight="1" s="24">
      <c r="A15" s="12" t="n">
        <v>7</v>
      </c>
      <c r="B15" s="13" t="inlineStr">
        <is>
          <t>Feature</t>
        </is>
      </c>
      <c r="C15" s="13" t="inlineStr">
        <is>
          <t>Tooltip</t>
        </is>
      </c>
      <c r="D15" s="13" t="inlineStr">
        <is>
          <t>Opens on pointer hover, keyboard focus-visible, and touch long press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Tooltip playground exposes side/align/offset positioning controls; mobile/touch behavior is ready for device verification.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45" customHeight="1" s="24">
      <c r="A16" s="12" t="n">
        <v>8</v>
      </c>
      <c r="B16" s="13" t="inlineStr">
        <is>
          <t>Feature</t>
        </is>
      </c>
      <c r="C16" s="13" t="inlineStr">
        <is>
          <t>Tooltip</t>
        </is>
      </c>
      <c r="D16" s="13" t="inlineStr">
        <is>
          <t>Floating UI positioning with side, align, side offset, collision shift, flip, and arrow coordinates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Tooltip playground exposes side/align/offset positioning controls; mobile/touch behavior is ready for device verification.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Tooltip</t>
        </is>
      </c>
      <c r="D17" s="13" t="inlineStr">
        <is>
          <t>`aria-describedby` wiring between trigger and tooltip content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Tooltip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Tooltip</t>
        </is>
      </c>
      <c r="D18" s="13" t="inlineStr">
        <is>
          <t>Portal and arrow parts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Tooltip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Tooltip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Tooltip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Tooltip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Tooltip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Tooltip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4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Package tests/source review verify consumer ref plumbing for Tooltip; playground manual pass can inspect rendered DOM behavior.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open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Tooltip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defaultOpen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Tooltip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onOpenChange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Tooltip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State</t>
        </is>
      </c>
      <c r="C28" s="13" t="inlineStr">
        <is>
          <t>Root</t>
        </is>
      </c>
      <c r="D28" s="13" t="inlineStr">
        <is>
          <t>disabled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Tooltip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Anatomy</t>
        </is>
      </c>
      <c r="C29" s="13" t="inlineStr">
        <is>
          <t>Provider</t>
        </is>
      </c>
      <c r="D29" s="13" t="inlineStr">
        <is>
          <t>renders correct part when expected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Tooltip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Anatomy</t>
        </is>
      </c>
      <c r="C30" s="13" t="inlineStr">
        <is>
          <t>Provider</t>
        </is>
      </c>
      <c r="D30" s="13" t="inlineStr">
        <is>
          <t>appears in documented order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Tooltip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Identity</t>
        </is>
      </c>
      <c r="C31" s="13" t="inlineStr">
        <is>
          <t>Provider</t>
        </is>
      </c>
      <c r="D31" s="13" t="inlineStr">
        <is>
          <t>default tag is visible in Anatomy/Inspector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Tooltip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Identity</t>
        </is>
      </c>
      <c r="C32" s="13" t="inlineStr">
        <is>
          <t>Provider</t>
        </is>
      </c>
      <c r="D32" s="13" t="inlineStr">
        <is>
          <t>data-slot is present and correct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Tooltip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Props</t>
        </is>
      </c>
      <c r="C33" s="13" t="inlineStr">
        <is>
          <t>Provider</t>
        </is>
      </c>
      <c r="D33" s="13" t="inlineStr">
        <is>
          <t>non-Atom native props pass through with data-prop-check marker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Tooltip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45" customHeight="1" s="24">
      <c r="A34" s="12" t="n">
        <v>26</v>
      </c>
      <c r="B34" s="13" t="inlineStr">
        <is>
          <t>Refs</t>
        </is>
      </c>
      <c r="C34" s="13" t="inlineStr">
        <is>
          <t>Provider</t>
        </is>
      </c>
      <c r="D34" s="13" t="inlineStr">
        <is>
          <t>consumer ref receives the rendered element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Package tests/source review verify consumer ref plumbing for Tooltip; playground manual pass can inspect rendered DOM behavior.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Provider</t>
        </is>
      </c>
      <c r="D35" s="13" t="inlineStr">
        <is>
          <t>openDelay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Tooltip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Provider</t>
        </is>
      </c>
      <c r="D36" s="13" t="inlineStr">
        <is>
          <t>closeDelay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Tooltip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Provider</t>
        </is>
      </c>
      <c r="D37" s="13" t="inlineStr">
        <is>
          <t>skipDelayDuration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Tooltip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Anatomy</t>
        </is>
      </c>
      <c r="C38" s="13" t="inlineStr">
        <is>
          <t>Portal</t>
        </is>
      </c>
      <c r="D38" s="13" t="inlineStr">
        <is>
          <t>renders correct part when expected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Tooltip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Anatomy</t>
        </is>
      </c>
      <c r="C39" s="13" t="inlineStr">
        <is>
          <t>Portal</t>
        </is>
      </c>
      <c r="D39" s="13" t="inlineStr">
        <is>
          <t>appears in documented order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Tooltip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Identity</t>
        </is>
      </c>
      <c r="C40" s="13" t="inlineStr">
        <is>
          <t>Portal</t>
        </is>
      </c>
      <c r="D40" s="13" t="inlineStr">
        <is>
          <t>default tag is visible in Anatomy/Inspector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Tooltip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Identity</t>
        </is>
      </c>
      <c r="C41" s="13" t="inlineStr">
        <is>
          <t>Portal</t>
        </is>
      </c>
      <c r="D41" s="13" t="inlineStr">
        <is>
          <t>data-slot is present and correct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Tooltip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30" customHeight="1" s="24">
      <c r="A42" s="12" t="n">
        <v>34</v>
      </c>
      <c r="B42" s="13" t="inlineStr">
        <is>
          <t>Props</t>
        </is>
      </c>
      <c r="C42" s="13" t="inlineStr">
        <is>
          <t>Portal</t>
        </is>
      </c>
      <c r="D42" s="13" t="inlineStr">
        <is>
          <t>non-Atom native props pass through with data-prop-check marker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Tooltip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45" customHeight="1" s="24">
      <c r="A43" s="12" t="n">
        <v>35</v>
      </c>
      <c r="B43" s="13" t="inlineStr">
        <is>
          <t>Refs</t>
        </is>
      </c>
      <c r="C43" s="13" t="inlineStr">
        <is>
          <t>Portal</t>
        </is>
      </c>
      <c r="D43" s="13" t="inlineStr">
        <is>
          <t>consumer ref receives the rendered element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Package tests/source review verify consumer ref plumbing for Tooltip; playground manual pass can inspect rendered DOM behavior.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Positioning</t>
        </is>
      </c>
      <c r="C44" s="13" t="inlineStr">
        <is>
          <t>Portal</t>
        </is>
      </c>
      <c r="D44" s="13" t="inlineStr">
        <is>
          <t>container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Tooltip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State</t>
        </is>
      </c>
      <c r="C45" s="13" t="inlineStr">
        <is>
          <t>Portal</t>
        </is>
      </c>
      <c r="D45" s="13" t="inlineStr">
        <is>
          <t>disabled prop behavior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Tooltip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Trigger</t>
        </is>
      </c>
      <c r="D46" s="13" t="inlineStr">
        <is>
          <t>renders correct part when expected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Tooltip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Anatomy</t>
        </is>
      </c>
      <c r="C47" s="13" t="inlineStr">
        <is>
          <t>Trigger</t>
        </is>
      </c>
      <c r="D47" s="13" t="inlineStr">
        <is>
          <t>appears in documented order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Tooltip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Trigger</t>
        </is>
      </c>
      <c r="D48" s="13" t="inlineStr">
        <is>
          <t>default tag is visible in Anatomy/Inspector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Tooltip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15" customHeight="1" s="24">
      <c r="A49" s="12" t="n">
        <v>41</v>
      </c>
      <c r="B49" s="13" t="inlineStr">
        <is>
          <t>Identity</t>
        </is>
      </c>
      <c r="C49" s="13" t="inlineStr">
        <is>
          <t>Trigger</t>
        </is>
      </c>
      <c r="D49" s="13" t="inlineStr">
        <is>
          <t>data-slot is present and correct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Tooltip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30" customHeight="1" s="24">
      <c r="A50" s="12" t="n">
        <v>42</v>
      </c>
      <c r="B50" s="13" t="inlineStr">
        <is>
          <t>Props</t>
        </is>
      </c>
      <c r="C50" s="13" t="inlineStr">
        <is>
          <t>Trigger</t>
        </is>
      </c>
      <c r="D50" s="13" t="inlineStr">
        <is>
          <t>non-Atom native props pass through with data-prop-check marker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Tooltip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45" customHeight="1" s="24">
      <c r="A51" s="12" t="n">
        <v>43</v>
      </c>
      <c r="B51" s="13" t="inlineStr">
        <is>
          <t>Refs</t>
        </is>
      </c>
      <c r="C51" s="13" t="inlineStr">
        <is>
          <t>Trigger</t>
        </is>
      </c>
      <c r="D51" s="13" t="inlineStr">
        <is>
          <t>consumer ref receives the rendered element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Package tests/source review verify consumer ref plumbing for Tooltip; playground manual pass can inspect rendered DOM behavior.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Composition</t>
        </is>
      </c>
      <c r="C52" s="13" t="inlineStr">
        <is>
          <t>Trigger</t>
        </is>
      </c>
      <c r="D52" s="13" t="inlineStr">
        <is>
          <t>asChild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Tooltip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Composition</t>
        </is>
      </c>
      <c r="C53" s="13" t="inlineStr">
        <is>
          <t>Trigger</t>
        </is>
      </c>
      <c r="D53" s="13" t="inlineStr">
        <is>
          <t>render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Tooltip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Trigger</t>
        </is>
      </c>
      <c r="D54" s="13" t="inlineStr">
        <is>
          <t>data-slot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Tooltip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Public API</t>
        </is>
      </c>
      <c r="C55" s="13" t="inlineStr">
        <is>
          <t>Trigger</t>
        </is>
      </c>
      <c r="D55" s="13" t="inlineStr">
        <is>
          <t>[data-slot]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Tooltip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Anatomy</t>
        </is>
      </c>
      <c r="C56" s="13" t="inlineStr">
        <is>
          <t>Content</t>
        </is>
      </c>
      <c r="D56" s="13" t="inlineStr">
        <is>
          <t>renders correct part when expected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Tooltip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Content</t>
        </is>
      </c>
      <c r="D57" s="13" t="inlineStr">
        <is>
          <t>appears in documented order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Tooltip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Identity</t>
        </is>
      </c>
      <c r="C58" s="13" t="inlineStr">
        <is>
          <t>Content</t>
        </is>
      </c>
      <c r="D58" s="13" t="inlineStr">
        <is>
          <t>default tag is visible in Anatomy/Inspector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Tooltip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Content</t>
        </is>
      </c>
      <c r="D59" s="13" t="inlineStr">
        <is>
          <t>data-slot is present and correct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Tooltip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30" customHeight="1" s="24">
      <c r="A60" s="12" t="n">
        <v>52</v>
      </c>
      <c r="B60" s="13" t="inlineStr">
        <is>
          <t>Props</t>
        </is>
      </c>
      <c r="C60" s="13" t="inlineStr">
        <is>
          <t>Content</t>
        </is>
      </c>
      <c r="D60" s="13" t="inlineStr">
        <is>
          <t>non-Atom native props pass through with data-prop-check marker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Tooltip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45" customHeight="1" s="24">
      <c r="A61" s="12" t="n">
        <v>53</v>
      </c>
      <c r="B61" s="13" t="inlineStr">
        <is>
          <t>Refs</t>
        </is>
      </c>
      <c r="C61" s="13" t="inlineStr">
        <is>
          <t>Content</t>
        </is>
      </c>
      <c r="D61" s="13" t="inlineStr">
        <is>
          <t>consumer ref receives the rendered element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Package tests/source review verify consumer ref plumbing for Tooltip; playground manual pass can inspect rendered DOM behavior.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Positioning</t>
        </is>
      </c>
      <c r="C62" s="13" t="inlineStr">
        <is>
          <t>Content</t>
        </is>
      </c>
      <c r="D62" s="13" t="inlineStr">
        <is>
          <t>side prop behavior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Tooltip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Positioning</t>
        </is>
      </c>
      <c r="C63" s="13" t="inlineStr">
        <is>
          <t>Content</t>
        </is>
      </c>
      <c r="D63" s="13" t="inlineStr">
        <is>
          <t>align prop behavior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Tooltip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Positioning</t>
        </is>
      </c>
      <c r="C64" s="13" t="inlineStr">
        <is>
          <t>Content</t>
        </is>
      </c>
      <c r="D64" s="13" t="inlineStr">
        <is>
          <t>sideOffset prop behavior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Tooltip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Accessibility</t>
        </is>
      </c>
      <c r="C65" s="13" t="inlineStr">
        <is>
          <t>Content</t>
        </is>
      </c>
      <c r="D65" s="13" t="inlineStr">
        <is>
          <t>ariaLabel prop behavior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Tooltip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Public API</t>
        </is>
      </c>
      <c r="C66" s="13" t="inlineStr">
        <is>
          <t>Content</t>
        </is>
      </c>
      <c r="D66" s="13" t="inlineStr">
        <is>
          <t>data-slot prop behavior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Tooltip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Public API</t>
        </is>
      </c>
      <c r="C67" s="13" t="inlineStr">
        <is>
          <t>Content</t>
        </is>
      </c>
      <c r="D67" s="13" t="inlineStr">
        <is>
          <t>[data-slot] prop behavior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Tooltip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Public API</t>
        </is>
      </c>
      <c r="C68" s="13" t="inlineStr">
        <is>
          <t>Content</t>
        </is>
      </c>
      <c r="D68" s="13" t="inlineStr">
        <is>
          <t>[data-state] prop behavior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Tooltip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Positioning</t>
        </is>
      </c>
      <c r="C69" s="13" t="inlineStr">
        <is>
          <t>Content</t>
        </is>
      </c>
      <c r="D69" s="13" t="inlineStr">
        <is>
          <t>[data-side] prop behavior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Tooltip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Public API</t>
        </is>
      </c>
      <c r="C70" s="13" t="inlineStr">
        <is>
          <t>Content</t>
        </is>
      </c>
      <c r="D70" s="13" t="inlineStr">
        <is>
          <t>[data-positioned] prop behavior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Tooltip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Anatomy</t>
        </is>
      </c>
      <c r="C71" s="13" t="inlineStr">
        <is>
          <t>Arrow</t>
        </is>
      </c>
      <c r="D71" s="13" t="inlineStr">
        <is>
          <t>renders correct part when expected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Tooltip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Anatomy</t>
        </is>
      </c>
      <c r="C72" s="13" t="inlineStr">
        <is>
          <t>Arrow</t>
        </is>
      </c>
      <c r="D72" s="13" t="inlineStr">
        <is>
          <t>appears in documented order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Tooltip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Identity</t>
        </is>
      </c>
      <c r="C73" s="13" t="inlineStr">
        <is>
          <t>Arrow</t>
        </is>
      </c>
      <c r="D73" s="13" t="inlineStr">
        <is>
          <t>default tag is visible in Anatomy/Inspector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Tooltip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Identity</t>
        </is>
      </c>
      <c r="C74" s="13" t="inlineStr">
        <is>
          <t>Arrow</t>
        </is>
      </c>
      <c r="D74" s="13" t="inlineStr">
        <is>
          <t>data-slot is present and correct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Tooltip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30" customHeight="1" s="24">
      <c r="A75" s="12" t="n">
        <v>67</v>
      </c>
      <c r="B75" s="13" t="inlineStr">
        <is>
          <t>Props</t>
        </is>
      </c>
      <c r="C75" s="13" t="inlineStr">
        <is>
          <t>Arrow</t>
        </is>
      </c>
      <c r="D75" s="13" t="inlineStr">
        <is>
          <t>non-Atom native props pass through with data-prop-check marker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Tooltip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45" customHeight="1" s="24">
      <c r="A76" s="12" t="n">
        <v>68</v>
      </c>
      <c r="B76" s="13" t="inlineStr">
        <is>
          <t>Refs</t>
        </is>
      </c>
      <c r="C76" s="13" t="inlineStr">
        <is>
          <t>Arrow</t>
        </is>
      </c>
      <c r="D76" s="13" t="inlineStr">
        <is>
          <t>consumer ref receives the rendered element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Package tests/source review verify consumer ref plumbing for Tooltip; playground manual pass can inspect rendered DOM behavior.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Public API</t>
        </is>
      </c>
      <c r="C77" s="13" t="inlineStr">
        <is>
          <t>Arrow</t>
        </is>
      </c>
      <c r="D77" s="13" t="inlineStr">
        <is>
          <t>width prop behavior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Tooltip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Public API</t>
        </is>
      </c>
      <c r="C78" s="13" t="inlineStr">
        <is>
          <t>Arrow</t>
        </is>
      </c>
      <c r="D78" s="13" t="inlineStr">
        <is>
          <t>height prop behavior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Tooltip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Public API</t>
        </is>
      </c>
      <c r="C79" s="13" t="inlineStr">
        <is>
          <t>Arrow</t>
        </is>
      </c>
      <c r="D79" s="13" t="inlineStr">
        <is>
          <t>data-slot prop behavior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Tooltip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Public API</t>
        </is>
      </c>
      <c r="C80" s="13" t="inlineStr">
        <is>
          <t>Arrow</t>
        </is>
      </c>
      <c r="D80" s="13" t="inlineStr">
        <is>
          <t>[data-slot] prop behavior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Tooltip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Positioning</t>
        </is>
      </c>
      <c r="C81" s="13" t="inlineStr">
        <is>
          <t>Arrow</t>
        </is>
      </c>
      <c r="D81" s="13" t="inlineStr">
        <is>
          <t>[data-side] prop behavior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Tooltip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ARIA</t>
        </is>
      </c>
      <c r="C82" s="13" t="inlineStr">
        <is>
          <t>Live DOM</t>
        </is>
      </c>
      <c r="D82" s="13" t="inlineStr">
        <is>
          <t>aria-describedby is present at the correct time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Tooltip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ARIA</t>
        </is>
      </c>
      <c r="C83" s="13" t="inlineStr">
        <is>
          <t>Live DOM</t>
        </is>
      </c>
      <c r="D83" s="13" t="inlineStr">
        <is>
          <t>aria-label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Tooltip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Data</t>
        </is>
      </c>
      <c r="C84" s="13" t="inlineStr">
        <is>
          <t>Live DOM</t>
        </is>
      </c>
      <c r="D84" s="13" t="inlineStr">
        <is>
          <t>data-positioned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Tooltip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Data</t>
        </is>
      </c>
      <c r="C85" s="13" t="inlineStr">
        <is>
          <t>Live DOM</t>
        </is>
      </c>
      <c r="D85" s="13" t="inlineStr">
        <is>
          <t>data-side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Tooltip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Data</t>
        </is>
      </c>
      <c r="C86" s="13" t="inlineStr">
        <is>
          <t>Live DOM</t>
        </is>
      </c>
      <c r="D86" s="13" t="inlineStr">
        <is>
          <t>data-slot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Tooltip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Data</t>
        </is>
      </c>
      <c r="C87" s="13" t="inlineStr">
        <is>
          <t>Live DOM</t>
        </is>
      </c>
      <c r="D87" s="13" t="inlineStr">
        <is>
          <t>data-state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Tooltip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data-trigger-mode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Tooltip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Composition</t>
        </is>
      </c>
      <c r="C89" s="13" t="inlineStr">
        <is>
          <t>Tooltip</t>
        </is>
      </c>
      <c r="D89" s="13" t="inlineStr">
        <is>
          <t>asChild preserves child content without double nesting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Tooltip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Composition</t>
        </is>
      </c>
      <c r="C90" s="13" t="inlineStr">
        <is>
          <t>Tooltip</t>
        </is>
      </c>
      <c r="D90" s="13" t="inlineStr">
        <is>
          <t>asChild merges Atom props and consumer props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Tooltip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30" customHeight="1" s="24">
      <c r="A91" s="12" t="n">
        <v>83</v>
      </c>
      <c r="B91" s="13" t="inlineStr">
        <is>
          <t>Composition</t>
        </is>
      </c>
      <c r="C91" s="13" t="inlineStr">
        <is>
          <t>Tooltip</t>
        </is>
      </c>
      <c r="D91" s="13" t="inlineStr">
        <is>
          <t>asChild lets preventDefault block Atom behavior where supported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Tooltip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Composition</t>
        </is>
      </c>
      <c r="C92" s="13" t="inlineStr">
        <is>
          <t>Tooltip</t>
        </is>
      </c>
      <c r="D92" s="13" t="inlineStr">
        <is>
          <t>render prop renders custom element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Tooltip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45" customHeight="1" s="24">
      <c r="A93" s="12" t="n">
        <v>85</v>
      </c>
      <c r="B93" s="13" t="inlineStr">
        <is>
          <t>Composition</t>
        </is>
      </c>
      <c r="C93" s="13" t="inlineStr">
        <is>
          <t>Tooltip</t>
        </is>
      </c>
      <c r="D93" s="13" t="inlineStr">
        <is>
          <t>render prop preserves refs and behavior props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Composition controls/package tests cover render/asChild behavior for Tooltip; ready for manual verification where exposed.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State</t>
        </is>
      </c>
      <c r="C94" s="13" t="inlineStr">
        <is>
          <t>Root</t>
        </is>
      </c>
      <c r="D94" s="13" t="inlineStr">
        <is>
          <t>controlled state path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Tooltip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State</t>
        </is>
      </c>
      <c r="C95" s="13" t="inlineStr">
        <is>
          <t>Root</t>
        </is>
      </c>
      <c r="D95" s="13" t="inlineStr">
        <is>
          <t>uncontrolled default state path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Tooltip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State</t>
        </is>
      </c>
      <c r="C96" s="13" t="inlineStr">
        <is>
          <t>Root</t>
        </is>
      </c>
      <c r="D96" s="13" t="inlineStr">
        <is>
          <t>state change callback fires once with correct value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Tooltip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Interaction</t>
        </is>
      </c>
      <c r="C97" s="13" t="inlineStr">
        <is>
          <t>Trigger</t>
        </is>
      </c>
      <c r="D97" s="13" t="inlineStr">
        <is>
          <t>mouse click or pointer activation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Tooltip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Interaction</t>
        </is>
      </c>
      <c r="C98" s="13" t="inlineStr">
        <is>
          <t>Trigger</t>
        </is>
      </c>
      <c r="D98" s="13" t="inlineStr">
        <is>
          <t>Enter key activation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Tooltip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Interaction</t>
        </is>
      </c>
      <c r="C99" s="13" t="inlineStr">
        <is>
          <t>Trigger</t>
        </is>
      </c>
      <c r="D99" s="13" t="inlineStr">
        <is>
          <t>Space key activation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Tooltip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Interaction</t>
        </is>
      </c>
      <c r="C100" s="13" t="inlineStr">
        <is>
          <t>Trigger</t>
        </is>
      </c>
      <c r="D100" s="13" t="inlineStr">
        <is>
          <t>disabled trigger blocks pointer and keyboard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Tooltip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Focus</t>
        </is>
      </c>
      <c r="C101" s="13" t="inlineStr">
        <is>
          <t>Trigger</t>
        </is>
      </c>
      <c r="D101" s="13" t="inlineStr">
        <is>
          <t>focus ring and focus restoration are correct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Tooltip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Dismiss</t>
        </is>
      </c>
      <c r="C102" s="13" t="inlineStr">
        <is>
          <t>Tooltip</t>
        </is>
      </c>
      <c r="D102" s="13" t="inlineStr">
        <is>
          <t>Escape closes only the topmost active layer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Tooltip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Dismiss</t>
        </is>
      </c>
      <c r="C103" s="13" t="inlineStr">
        <is>
          <t>Tooltip</t>
        </is>
      </c>
      <c r="D103" s="13" t="inlineStr">
        <is>
          <t>outside click/interact closes when enabled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Tooltip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Dismiss</t>
        </is>
      </c>
      <c r="C104" s="13" t="inlineStr">
        <is>
          <t>Tooltip</t>
        </is>
      </c>
      <c r="D104" s="13" t="inlineStr">
        <is>
          <t>outside click/interact is blocked when disabled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Tooltip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Focus</t>
        </is>
      </c>
      <c r="C105" s="13" t="inlineStr">
        <is>
          <t>Tooltip</t>
        </is>
      </c>
      <c r="D105" s="13" t="inlineStr">
        <is>
          <t>focus returns to the correct trigger/anchor after close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Tooltip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Focus</t>
        </is>
      </c>
      <c r="C106" s="13" t="inlineStr">
        <is>
          <t>Tooltip</t>
        </is>
      </c>
      <c r="D106" s="13" t="inlineStr">
        <is>
          <t>nested overlays keep focus and Escape order correct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Tooltip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45" customHeight="1" s="24">
      <c r="A107" s="12" t="n">
        <v>99</v>
      </c>
      <c r="B107" s="13" t="inlineStr">
        <is>
          <t>Mobile</t>
        </is>
      </c>
      <c r="C107" s="13" t="inlineStr">
        <is>
          <t>Tooltip</t>
        </is>
      </c>
      <c r="D107" s="13" t="inlineStr">
        <is>
          <t>mobile viewport/touch behavior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Tooltip playground exposes side/align/offset positioning controls; mobile/touch behavior is ready for device verification.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Portal</t>
        </is>
      </c>
      <c r="C108" s="13" t="inlineStr">
        <is>
          <t>Tooltip</t>
        </is>
      </c>
      <c r="D108" s="13" t="inlineStr">
        <is>
          <t>portal renders in body by default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Tooltip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15" customHeight="1" s="24">
      <c r="A109" s="12" t="n">
        <v>101</v>
      </c>
      <c r="B109" s="13" t="inlineStr">
        <is>
          <t>Portal</t>
        </is>
      </c>
      <c r="C109" s="13" t="inlineStr">
        <is>
          <t>Tooltip</t>
        </is>
      </c>
      <c r="D109" s="13" t="inlineStr">
        <is>
          <t>custom/disabled portal path works where supported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Tooltip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Positioning</t>
        </is>
      </c>
      <c r="C110" s="13" t="inlineStr">
        <is>
          <t>Tooltip</t>
        </is>
      </c>
      <c r="D110" s="13" t="inlineStr">
        <is>
          <t>side options position content correctly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Tooltip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Positioning</t>
        </is>
      </c>
      <c r="C111" s="13" t="inlineStr">
        <is>
          <t>Tooltip</t>
        </is>
      </c>
      <c r="D111" s="13" t="inlineStr">
        <is>
          <t>align options position content correctly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Tooltip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45" customHeight="1" s="24">
      <c r="A112" s="12" t="n">
        <v>104</v>
      </c>
      <c r="B112" s="13" t="inlineStr">
        <is>
          <t>Positioning</t>
        </is>
      </c>
      <c r="C112" s="13" t="inlineStr">
        <is>
          <t>Tooltip</t>
        </is>
      </c>
      <c r="D112" s="13" t="inlineStr">
        <is>
          <t>collision/flip/shift behavior stays in viewport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Tooltip playground exposes side/align/offset positioning controls; mobile/touch behavior is ready for device verification.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30" customHeight="1" s="24">
      <c r="A113" s="12" t="n">
        <v>105</v>
      </c>
      <c r="B113" s="13" t="inlineStr">
        <is>
          <t>Positioning</t>
        </is>
      </c>
      <c r="C113" s="13" t="inlineStr">
        <is>
          <t>Tooltip</t>
        </is>
      </c>
      <c r="D113" s="13" t="inlineStr">
        <is>
          <t>arrow or anchor geometry matches content where supported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Tooltip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</sheetData>
  <autoFilter ref="A8:K113"/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Tree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IFERROR(SUM(K9:K109)/COUNT(K9:K109),0)</f>
        <v/>
      </c>
      <c r="C4" s="8" t="inlineStr">
        <is>
          <t>Covered</t>
        </is>
      </c>
      <c r="D4" s="10">
        <f>COUNTIFS(E9:E109,"yes",F9:F109,"yes",H9:H109,"covered")</f>
        <v/>
      </c>
      <c r="E4" s="8" t="inlineStr">
        <is>
          <t>Partial</t>
        </is>
      </c>
      <c r="F4" s="10">
        <f>COUNTIF(H9:H109,"partial")</f>
        <v/>
      </c>
      <c r="G4" s="8" t="inlineStr">
        <is>
          <t>Missing</t>
        </is>
      </c>
      <c r="H4" s="10">
        <f>COUNTIFS(E9:E109,"&lt;&gt;yes") + COUNTIFS(E9:E109,"yes",H9:H109,"missing")</f>
        <v/>
      </c>
      <c r="I4" s="8" t="inlineStr">
        <is>
          <t>Untested</t>
        </is>
      </c>
      <c r="J4" s="10">
        <f>COUNTIFS(E9:E109,"yes",F9:F109,"&lt;&gt;yes") + COUNTIFS(E9:E109,"yes",F9:F109,"yes",H9:H109,"untested")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Tree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Tree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Tree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Tree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Tree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Tree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Tree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Tree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Feature</t>
        </is>
      </c>
      <c r="C13" s="13" t="inlineStr">
        <is>
          <t>Tree</t>
        </is>
      </c>
      <c r="D13" s="13" t="inlineStr">
        <is>
          <t>Implements WAI-ARIA `tree`, `treeitem`, and `group` roles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Tree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Tree</t>
        </is>
      </c>
      <c r="D14" s="13" t="inlineStr">
        <is>
          <t>Supports controlled and uncontrolled selection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Tree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Tree</t>
        </is>
      </c>
      <c r="D15" s="13" t="inlineStr">
        <is>
          <t>Supports controlled and uncontrolled expansion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Tree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Tree</t>
        </is>
      </c>
      <c r="D16" s="13" t="inlineStr">
        <is>
          <t>Supports single and multiple selection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Tree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Tree</t>
        </is>
      </c>
      <c r="D17" s="13" t="inlineStr">
        <is>
          <t>Supports typeahead, roving active item, disabled items, Field context, and form submission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Tree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Feature</t>
        </is>
      </c>
      <c r="C18" s="13" t="inlineStr">
        <is>
          <t>Tree</t>
        </is>
      </c>
      <c r="D18" s="13" t="inlineStr">
        <is>
          <t>Supports nested groups with automatic levels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Tree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Tree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Tree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Tree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Tree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Tree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Tree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Tree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Tree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Tree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expandedValue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Tree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defaultExpandedValue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Tree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onExpandedValueChange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Tree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multiple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Tree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disabled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Tree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readOnly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Tree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State</t>
        </is>
      </c>
      <c r="C34" s="13" t="inlineStr">
        <is>
          <t>Root</t>
        </is>
      </c>
      <c r="D34" s="13" t="inlineStr">
        <is>
          <t>required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Tree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Root</t>
        </is>
      </c>
      <c r="D35" s="13" t="inlineStr">
        <is>
          <t>invalid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Tree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orientation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Tree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loop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Tree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Anatomy</t>
        </is>
      </c>
      <c r="C38" s="13" t="inlineStr">
        <is>
          <t>Group</t>
        </is>
      </c>
      <c r="D38" s="13" t="inlineStr">
        <is>
          <t>renders correct part when expected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Tree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Anatomy</t>
        </is>
      </c>
      <c r="C39" s="13" t="inlineStr">
        <is>
          <t>Group</t>
        </is>
      </c>
      <c r="D39" s="13" t="inlineStr">
        <is>
          <t>appears in documented order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Tree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Identity</t>
        </is>
      </c>
      <c r="C40" s="13" t="inlineStr">
        <is>
          <t>Group</t>
        </is>
      </c>
      <c r="D40" s="13" t="inlineStr">
        <is>
          <t>default tag is visible in Anatomy/Inspector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Tree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Identity</t>
        </is>
      </c>
      <c r="C41" s="13" t="inlineStr">
        <is>
          <t>Group</t>
        </is>
      </c>
      <c r="D41" s="13" t="inlineStr">
        <is>
          <t>data-slot is present and correct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Tree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30" customHeight="1" s="24">
      <c r="A42" s="12" t="n">
        <v>34</v>
      </c>
      <c r="B42" s="13" t="inlineStr">
        <is>
          <t>Props</t>
        </is>
      </c>
      <c r="C42" s="13" t="inlineStr">
        <is>
          <t>Group</t>
        </is>
      </c>
      <c r="D42" s="13" t="inlineStr">
        <is>
          <t>non-Atom native props pass through with data-prop-check marker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Tree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15" customHeight="1" s="24">
      <c r="A43" s="12" t="n">
        <v>35</v>
      </c>
      <c r="B43" s="13" t="inlineStr">
        <is>
          <t>Refs</t>
        </is>
      </c>
      <c r="C43" s="13" t="inlineStr">
        <is>
          <t>Group</t>
        </is>
      </c>
      <c r="D43" s="13" t="inlineStr">
        <is>
          <t>consumer ref receives the rendered element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Tree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Public API</t>
        </is>
      </c>
      <c r="C44" s="13" t="inlineStr">
        <is>
          <t>Group</t>
        </is>
      </c>
      <c r="D44" s="13" t="inlineStr">
        <is>
          <t>forceMount prop behavior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Tree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Item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Tree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Item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Tree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Item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Tree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Item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Tree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Item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Tree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Item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Tree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State</t>
        </is>
      </c>
      <c r="C51" s="13" t="inlineStr">
        <is>
          <t>Item</t>
        </is>
      </c>
      <c r="D51" s="13" t="inlineStr">
        <is>
          <t>value prop behavior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Tree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Public API</t>
        </is>
      </c>
      <c r="C52" s="13" t="inlineStr">
        <is>
          <t>Item</t>
        </is>
      </c>
      <c r="D52" s="13" t="inlineStr">
        <is>
          <t>label prop behavior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Tree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State</t>
        </is>
      </c>
      <c r="C53" s="13" t="inlineStr">
        <is>
          <t>Item</t>
        </is>
      </c>
      <c r="D53" s="13" t="inlineStr">
        <is>
          <t>disabled prop behavior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Tree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Public API</t>
        </is>
      </c>
      <c r="C54" s="13" t="inlineStr">
        <is>
          <t>Item</t>
        </is>
      </c>
      <c r="D54" s="13" t="inlineStr">
        <is>
          <t>expandable prop behavior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Tree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15" customHeight="1" s="24">
      <c r="A55" s="12" t="n">
        <v>47</v>
      </c>
      <c r="B55" s="13" t="inlineStr">
        <is>
          <t>Composition</t>
        </is>
      </c>
      <c r="C55" s="13" t="inlineStr">
        <is>
          <t>Item</t>
        </is>
      </c>
      <c r="D55" s="13" t="inlineStr">
        <is>
          <t>asChild prop behavior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Tree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Composition</t>
        </is>
      </c>
      <c r="C56" s="13" t="inlineStr">
        <is>
          <t>Item</t>
        </is>
      </c>
      <c r="D56" s="13" t="inlineStr">
        <is>
          <t>render prop behavior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Tree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Public API</t>
        </is>
      </c>
      <c r="C57" s="13" t="inlineStr">
        <is>
          <t>Item</t>
        </is>
      </c>
      <c r="D57" s="13" t="inlineStr">
        <is>
          <t>[data-slot] prop behavior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Tree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Public API</t>
        </is>
      </c>
      <c r="C58" s="13" t="inlineStr">
        <is>
          <t>Item</t>
        </is>
      </c>
      <c r="D58" s="13" t="inlineStr">
        <is>
          <t>[data-state] prop behavior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Tree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State</t>
        </is>
      </c>
      <c r="C59" s="13" t="inlineStr">
        <is>
          <t>Item</t>
        </is>
      </c>
      <c r="D59" s="13" t="inlineStr">
        <is>
          <t>[data-selected] prop behavior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Tree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Public API</t>
        </is>
      </c>
      <c r="C60" s="13" t="inlineStr">
        <is>
          <t>Item</t>
        </is>
      </c>
      <c r="D60" s="13" t="inlineStr">
        <is>
          <t>[data-active] prop behavior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Tree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15" customHeight="1" s="24">
      <c r="A61" s="12" t="n">
        <v>53</v>
      </c>
      <c r="B61" s="13" t="inlineStr">
        <is>
          <t>State</t>
        </is>
      </c>
      <c r="C61" s="13" t="inlineStr">
        <is>
          <t>Item</t>
        </is>
      </c>
      <c r="D61" s="13" t="inlineStr">
        <is>
          <t>[data-disabled] prop behavior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Tree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Anatomy</t>
        </is>
      </c>
      <c r="C62" s="13" t="inlineStr">
        <is>
          <t>ItemText</t>
        </is>
      </c>
      <c r="D62" s="13" t="inlineStr">
        <is>
          <t>renders correct part when expected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Tree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Anatomy</t>
        </is>
      </c>
      <c r="C63" s="13" t="inlineStr">
        <is>
          <t>ItemText</t>
        </is>
      </c>
      <c r="D63" s="13" t="inlineStr">
        <is>
          <t>appears in documented order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Tree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Identity</t>
        </is>
      </c>
      <c r="C64" s="13" t="inlineStr">
        <is>
          <t>ItemText</t>
        </is>
      </c>
      <c r="D64" s="13" t="inlineStr">
        <is>
          <t>default tag is visible in Anatomy/Inspector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Tree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Identity</t>
        </is>
      </c>
      <c r="C65" s="13" t="inlineStr">
        <is>
          <t>ItemText</t>
        </is>
      </c>
      <c r="D65" s="13" t="inlineStr">
        <is>
          <t>data-slot is present and correct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Tree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30" customHeight="1" s="24">
      <c r="A66" s="12" t="n">
        <v>58</v>
      </c>
      <c r="B66" s="13" t="inlineStr">
        <is>
          <t>Props</t>
        </is>
      </c>
      <c r="C66" s="13" t="inlineStr">
        <is>
          <t>ItemText</t>
        </is>
      </c>
      <c r="D66" s="13" t="inlineStr">
        <is>
          <t>non-Atom native props pass through with data-prop-check marker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Tree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15" customHeight="1" s="24">
      <c r="A67" s="12" t="n">
        <v>59</v>
      </c>
      <c r="B67" s="13" t="inlineStr">
        <is>
          <t>Refs</t>
        </is>
      </c>
      <c r="C67" s="13" t="inlineStr">
        <is>
          <t>ItemText</t>
        </is>
      </c>
      <c r="D67" s="13" t="inlineStr">
        <is>
          <t>consumer ref receives the rendered element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Tree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ARIA</t>
        </is>
      </c>
      <c r="C68" s="13" t="inlineStr">
        <is>
          <t>Live DOM</t>
        </is>
      </c>
      <c r="D68" s="13" t="inlineStr">
        <is>
          <t>aria-activedescendant is present at the correct time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Tree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ARIA</t>
        </is>
      </c>
      <c r="C69" s="13" t="inlineStr">
        <is>
          <t>Live DOM</t>
        </is>
      </c>
      <c r="D69" s="13" t="inlineStr">
        <is>
          <t>aria-describedby is present at the correct time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Tree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ARIA</t>
        </is>
      </c>
      <c r="C70" s="13" t="inlineStr">
        <is>
          <t>Live DOM</t>
        </is>
      </c>
      <c r="D70" s="13" t="inlineStr">
        <is>
          <t>aria-disabled is present at the correct time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Tree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ARIA</t>
        </is>
      </c>
      <c r="C71" s="13" t="inlineStr">
        <is>
          <t>Live DOM</t>
        </is>
      </c>
      <c r="D71" s="13" t="inlineStr">
        <is>
          <t>aria-expanded is present at the correct time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Tree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ARIA</t>
        </is>
      </c>
      <c r="C72" s="13" t="inlineStr">
        <is>
          <t>Live DOM</t>
        </is>
      </c>
      <c r="D72" s="13" t="inlineStr">
        <is>
          <t>aria-hidden is present at the correct time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Tree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15" customHeight="1" s="24">
      <c r="A73" s="12" t="n">
        <v>65</v>
      </c>
      <c r="B73" s="13" t="inlineStr">
        <is>
          <t>ARIA</t>
        </is>
      </c>
      <c r="C73" s="13" t="inlineStr">
        <is>
          <t>Live DOM</t>
        </is>
      </c>
      <c r="D73" s="13" t="inlineStr">
        <is>
          <t>aria-invalid is present at the correct time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Tree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ARIA</t>
        </is>
      </c>
      <c r="C74" s="13" t="inlineStr">
        <is>
          <t>Live DOM</t>
        </is>
      </c>
      <c r="D74" s="13" t="inlineStr">
        <is>
          <t>aria-labelledby is present at the correct time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Tree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ARIA</t>
        </is>
      </c>
      <c r="C75" s="13" t="inlineStr">
        <is>
          <t>Live DOM</t>
        </is>
      </c>
      <c r="D75" s="13" t="inlineStr">
        <is>
          <t>aria-level is present at the correct time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Tree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ARIA</t>
        </is>
      </c>
      <c r="C76" s="13" t="inlineStr">
        <is>
          <t>Live DOM</t>
        </is>
      </c>
      <c r="D76" s="13" t="inlineStr">
        <is>
          <t>aria-multiselectable is present at the correct time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Tree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ARIA</t>
        </is>
      </c>
      <c r="C77" s="13" t="inlineStr">
        <is>
          <t>Live DOM</t>
        </is>
      </c>
      <c r="D77" s="13" t="inlineStr">
        <is>
          <t>aria-orientation is present at the correct time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Tree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ARIA</t>
        </is>
      </c>
      <c r="C78" s="13" t="inlineStr">
        <is>
          <t>Live DOM</t>
        </is>
      </c>
      <c r="D78" s="13" t="inlineStr">
        <is>
          <t>aria-readonly is present at the correct time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Tree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15" customHeight="1" s="24">
      <c r="A79" s="12" t="n">
        <v>71</v>
      </c>
      <c r="B79" s="13" t="inlineStr">
        <is>
          <t>ARIA</t>
        </is>
      </c>
      <c r="C79" s="13" t="inlineStr">
        <is>
          <t>Live DOM</t>
        </is>
      </c>
      <c r="D79" s="13" t="inlineStr">
        <is>
          <t>aria-required is present at the correct time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Tree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ARIA</t>
        </is>
      </c>
      <c r="C80" s="13" t="inlineStr">
        <is>
          <t>Live DOM</t>
        </is>
      </c>
      <c r="D80" s="13" t="inlineStr">
        <is>
          <t>aria-selected is present at the correct time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Tree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Data</t>
        </is>
      </c>
      <c r="C81" s="13" t="inlineStr">
        <is>
          <t>Live DOM</t>
        </is>
      </c>
      <c r="D81" s="13" t="inlineStr">
        <is>
          <t>data-active is present at the correct time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Tree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Data</t>
        </is>
      </c>
      <c r="C82" s="13" t="inlineStr">
        <is>
          <t>Live DOM</t>
        </is>
      </c>
      <c r="D82" s="13" t="inlineStr">
        <is>
          <t>data-disabled is present at the correct time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Tree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Data</t>
        </is>
      </c>
      <c r="C83" s="13" t="inlineStr">
        <is>
          <t>Live DOM</t>
        </is>
      </c>
      <c r="D83" s="13" t="inlineStr">
        <is>
          <t>data-expandable is present at the correct time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Tree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Data</t>
        </is>
      </c>
      <c r="C84" s="13" t="inlineStr">
        <is>
          <t>Live DOM</t>
        </is>
      </c>
      <c r="D84" s="13" t="inlineStr">
        <is>
          <t>data-expanded is present at the correct time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Tree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15" customHeight="1" s="24">
      <c r="A85" s="12" t="n">
        <v>77</v>
      </c>
      <c r="B85" s="13" t="inlineStr">
        <is>
          <t>Data</t>
        </is>
      </c>
      <c r="C85" s="13" t="inlineStr">
        <is>
          <t>Live DOM</t>
        </is>
      </c>
      <c r="D85" s="13" t="inlineStr">
        <is>
          <t>data-filled is present at the correct time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Tree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Data</t>
        </is>
      </c>
      <c r="C86" s="13" t="inlineStr">
        <is>
          <t>Live DOM</t>
        </is>
      </c>
      <c r="D86" s="13" t="inlineStr">
        <is>
          <t>data-invalid is present at the correct time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Tree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Data</t>
        </is>
      </c>
      <c r="C87" s="13" t="inlineStr">
        <is>
          <t>Live DOM</t>
        </is>
      </c>
      <c r="D87" s="13" t="inlineStr">
        <is>
          <t>data-level is present at the correct time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Tree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Data</t>
        </is>
      </c>
      <c r="C88" s="13" t="inlineStr">
        <is>
          <t>Live DOM</t>
        </is>
      </c>
      <c r="D88" s="13" t="inlineStr">
        <is>
          <t>data-multiple is present at the correct time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Tree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Data</t>
        </is>
      </c>
      <c r="C89" s="13" t="inlineStr">
        <is>
          <t>Live DOM</t>
        </is>
      </c>
      <c r="D89" s="13" t="inlineStr">
        <is>
          <t>data-readonly is present at the correct time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Tree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Data</t>
        </is>
      </c>
      <c r="C90" s="13" t="inlineStr">
        <is>
          <t>Live DOM</t>
        </is>
      </c>
      <c r="D90" s="13" t="inlineStr">
        <is>
          <t>data-selected is present at the correct time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Tree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15" customHeight="1" s="24">
      <c r="A91" s="12" t="n">
        <v>83</v>
      </c>
      <c r="B91" s="13" t="inlineStr">
        <is>
          <t>Data</t>
        </is>
      </c>
      <c r="C91" s="13" t="inlineStr">
        <is>
          <t>Live DOM</t>
        </is>
      </c>
      <c r="D91" s="13" t="inlineStr">
        <is>
          <t>data-slot is present at the correct time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Tree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Data</t>
        </is>
      </c>
      <c r="C92" s="13" t="inlineStr">
        <is>
          <t>Live DOM</t>
        </is>
      </c>
      <c r="D92" s="13" t="inlineStr">
        <is>
          <t>data-state is present at the correct time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Tree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Data</t>
        </is>
      </c>
      <c r="C93" s="13" t="inlineStr">
        <is>
          <t>Live DOM</t>
        </is>
      </c>
      <c r="D93" s="13" t="inlineStr">
        <is>
          <t>data-value is present at the correct time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Tree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Composition</t>
        </is>
      </c>
      <c r="C94" s="13" t="inlineStr">
        <is>
          <t>Tree</t>
        </is>
      </c>
      <c r="D94" s="13" t="inlineStr">
        <is>
          <t>asChild preserves child content without double nesting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Tree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Composition</t>
        </is>
      </c>
      <c r="C95" s="13" t="inlineStr">
        <is>
          <t>Tree</t>
        </is>
      </c>
      <c r="D95" s="13" t="inlineStr">
        <is>
          <t>asChild merges Atom props and consumer props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Tree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30" customHeight="1" s="24">
      <c r="A96" s="12" t="n">
        <v>88</v>
      </c>
      <c r="B96" s="13" t="inlineStr">
        <is>
          <t>Composition</t>
        </is>
      </c>
      <c r="C96" s="13" t="inlineStr">
        <is>
          <t>Tree</t>
        </is>
      </c>
      <c r="D96" s="13" t="inlineStr">
        <is>
          <t>asChild lets preventDefault block Atom behavior where supported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Tree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15" customHeight="1" s="24">
      <c r="A97" s="12" t="n">
        <v>89</v>
      </c>
      <c r="B97" s="13" t="inlineStr">
        <is>
          <t>Composition</t>
        </is>
      </c>
      <c r="C97" s="13" t="inlineStr">
        <is>
          <t>Tree</t>
        </is>
      </c>
      <c r="D97" s="13" t="inlineStr">
        <is>
          <t>render prop renders custom element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Tree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Composition</t>
        </is>
      </c>
      <c r="C98" s="13" t="inlineStr">
        <is>
          <t>Tree</t>
        </is>
      </c>
      <c r="D98" s="13" t="inlineStr">
        <is>
          <t>render prop preserves refs and behavior props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Tree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State</t>
        </is>
      </c>
      <c r="C99" s="13" t="inlineStr">
        <is>
          <t>Root</t>
        </is>
      </c>
      <c r="D99" s="13" t="inlineStr">
        <is>
          <t>controlled state path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Tree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State</t>
        </is>
      </c>
      <c r="C100" s="13" t="inlineStr">
        <is>
          <t>Root</t>
        </is>
      </c>
      <c r="D100" s="13" t="inlineStr">
        <is>
          <t>uncontrolled default state path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Tree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State</t>
        </is>
      </c>
      <c r="C101" s="13" t="inlineStr">
        <is>
          <t>Root</t>
        </is>
      </c>
      <c r="D101" s="13" t="inlineStr">
        <is>
          <t>state change callback fires once with correct value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Tree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Keyboard</t>
        </is>
      </c>
      <c r="C102" s="13" t="inlineStr">
        <is>
          <t>Tree</t>
        </is>
      </c>
      <c r="D102" s="13" t="inlineStr">
        <is>
          <t>Arrow key navigation follows documented orientation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Tree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15" customHeight="1" s="24">
      <c r="A103" s="12" t="n">
        <v>95</v>
      </c>
      <c r="B103" s="13" t="inlineStr">
        <is>
          <t>Keyboard</t>
        </is>
      </c>
      <c r="C103" s="13" t="inlineStr">
        <is>
          <t>Tree</t>
        </is>
      </c>
      <c r="D103" s="13" t="inlineStr">
        <is>
          <t>Home and End navigation where supported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Tree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Keyboard</t>
        </is>
      </c>
      <c r="C104" s="13" t="inlineStr">
        <is>
          <t>Tree</t>
        </is>
      </c>
      <c r="D104" s="13" t="inlineStr">
        <is>
          <t>disabled items are skipped or exposed according to pattern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Tree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Keyboard</t>
        </is>
      </c>
      <c r="C105" s="13" t="inlineStr">
        <is>
          <t>Tree</t>
        </is>
      </c>
      <c r="D105" s="13" t="inlineStr">
        <is>
          <t>typeahead/search behavior where supported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Tree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Focus</t>
        </is>
      </c>
      <c r="C106" s="13" t="inlineStr">
        <is>
          <t>Tree</t>
        </is>
      </c>
      <c r="D106" s="13" t="inlineStr">
        <is>
          <t>roving focus or active descendant state is visible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Tree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30" customHeight="1" s="24">
      <c r="A107" s="12" t="n">
        <v>99</v>
      </c>
      <c r="B107" s="13" t="inlineStr">
        <is>
          <t>Direction</t>
        </is>
      </c>
      <c r="C107" s="13" t="inlineStr">
        <is>
          <t>Root</t>
        </is>
      </c>
      <c r="D107" s="13" t="inlineStr">
        <is>
          <t>reads Direction.Provider context for horizontal tree navigation</t>
        </is>
      </c>
      <c r="E107" s="21" t="inlineStr">
        <is>
          <t>no</t>
        </is>
      </c>
      <c r="F107" s="19" t="inlineStr">
        <is>
          <t>no</t>
        </is>
      </c>
      <c r="G107" s="12" t="inlineStr">
        <is>
          <t>missing</t>
        </is>
      </c>
      <c r="H107" s="21" t="inlineStr">
        <is>
          <t>missing</t>
        </is>
      </c>
      <c r="I107" s="13" t="n"/>
      <c r="J107" s="13" t="inlineStr">
        <is>
          <t>Add Direction.Provider fallback before testing RTL tree arrows.</t>
        </is>
      </c>
      <c r="K107" s="14">
        <f>IF(AND(E107="yes",F107="yes",H107="covered"),1,IF(H107="partial",0.5,0))</f>
        <v/>
      </c>
    </row>
    <row r="108" ht="30" customHeight="1" s="24">
      <c r="A108" s="12" t="n">
        <v>100</v>
      </c>
      <c r="B108" s="13" t="inlineStr">
        <is>
          <t>Direction</t>
        </is>
      </c>
      <c r="C108" s="13" t="inlineStr">
        <is>
          <t>Item</t>
        </is>
      </c>
      <c r="D108" s="13" t="inlineStr">
        <is>
          <t>RTL mirrors ArrowLeft and ArrowRight expand/collapse behavior</t>
        </is>
      </c>
      <c r="E108" s="21" t="inlineStr">
        <is>
          <t>no</t>
        </is>
      </c>
      <c r="F108" s="19" t="inlineStr">
        <is>
          <t>no</t>
        </is>
      </c>
      <c r="G108" s="12" t="inlineStr">
        <is>
          <t>missing</t>
        </is>
      </c>
      <c r="H108" s="21" t="inlineStr">
        <is>
          <t>missing</t>
        </is>
      </c>
      <c r="I108" s="13" t="n"/>
      <c r="J108" s="13" t="inlineStr">
        <is>
          <t>Implement and test RTL tree expand/collapse mapping.</t>
        </is>
      </c>
      <c r="K108" s="14">
        <f>IF(AND(E108="yes",F108="yes",H108="covered"),1,IF(H108="partial",0.5,0))</f>
        <v/>
      </c>
    </row>
    <row r="109" ht="30" customHeight="1" s="24">
      <c r="A109" s="12" t="n">
        <v>101</v>
      </c>
      <c r="B109" s="13" t="inlineStr">
        <is>
          <t>Playground</t>
        </is>
      </c>
      <c r="C109" s="13" t="inlineStr">
        <is>
          <t>Direction controls</t>
        </is>
      </c>
      <c r="D109" s="13" t="inlineStr">
        <is>
          <t>scenario exposes provider direction controls</t>
        </is>
      </c>
      <c r="E109" s="21" t="inlineStr">
        <is>
          <t>no</t>
        </is>
      </c>
      <c r="F109" s="19" t="inlineStr">
        <is>
          <t>no</t>
        </is>
      </c>
      <c r="G109" s="12" t="inlineStr">
        <is>
          <t>missing</t>
        </is>
      </c>
      <c r="H109" s="21" t="inlineStr">
        <is>
          <t>missing</t>
        </is>
      </c>
      <c r="I109" s="13" t="n"/>
      <c r="J109" s="13" t="inlineStr">
        <is>
          <t>Add provider direction controls to the playground scenario.</t>
        </is>
      </c>
      <c r="K109" s="14">
        <f>IF(AND(E109="yes",F109="yes",H109="covered"),1,IF(H109="partial",0.5,0))</f>
        <v/>
      </c>
    </row>
  </sheetData>
  <autoFilter ref="A8:K109"/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TreeGrid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IFERROR(SUM(K9:K192)/COUNT(K9:K192),0)</f>
        <v/>
      </c>
      <c r="C4" s="8" t="inlineStr">
        <is>
          <t>Covered</t>
        </is>
      </c>
      <c r="D4" s="10">
        <f>COUNTIFS(E9:E192,"yes",F9:F192,"yes",H9:H192,"covered")</f>
        <v/>
      </c>
      <c r="E4" s="8" t="inlineStr">
        <is>
          <t>Partial</t>
        </is>
      </c>
      <c r="F4" s="10">
        <f>COUNTIF(H9:H192,"partial")</f>
        <v/>
      </c>
      <c r="G4" s="8" t="inlineStr">
        <is>
          <t>Missing</t>
        </is>
      </c>
      <c r="H4" s="10">
        <f>COUNTIFS(E9:E192,"&lt;&gt;yes") + COUNTIFS(E9:E192,"yes",H9:H192,"missing")</f>
        <v/>
      </c>
      <c r="I4" s="8" t="inlineStr">
        <is>
          <t>Untested</t>
        </is>
      </c>
      <c r="J4" s="10">
        <f>COUNTIFS(E9:E192,"yes",F9:F192,"&lt;&gt;yes") + COUNTIFS(E9:E192,"yes",F9:F192,"yes",H9:H192,"untested")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TreeGrid</t>
        </is>
      </c>
      <c r="D9" s="13" t="inlineStr">
        <is>
          <t>scenario is reachable from top menu</t>
        </is>
      </c>
      <c r="E9" s="18" t="inlineStr">
        <is>
          <t>yes</t>
        </is>
      </c>
      <c r="F9" s="19" t="inlineStr">
        <is>
          <t>no</t>
        </is>
      </c>
      <c r="G9" s="12" t="inlineStr">
        <is>
          <t>ready for manual test</t>
        </is>
      </c>
      <c r="H9" s="20" t="inlineStr">
        <is>
          <t>untested</t>
        </is>
      </c>
      <c r="I9" s="13" t="inlineStr">
        <is>
          <t>TreeGrid playground scenario.</t>
        </is>
      </c>
      <c r="J9" s="13" t="inlineStr">
        <is>
          <t>Manual verification needed.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TreeGrid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9" t="inlineStr">
        <is>
          <t>no</t>
        </is>
      </c>
      <c r="G10" s="12" t="inlineStr">
        <is>
          <t>ready for manual test</t>
        </is>
      </c>
      <c r="H10" s="20" t="inlineStr">
        <is>
          <t>untested</t>
        </is>
      </c>
      <c r="I10" s="13" t="inlineStr">
        <is>
          <t>TreeGrid playground scenario.</t>
        </is>
      </c>
      <c r="J10" s="13" t="inlineStr">
        <is>
          <t>Manual verification needed.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TreeGrid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9" t="inlineStr">
        <is>
          <t>no</t>
        </is>
      </c>
      <c r="G11" s="12" t="inlineStr">
        <is>
          <t>ready for manual test</t>
        </is>
      </c>
      <c r="H11" s="20" t="inlineStr">
        <is>
          <t>untested</t>
        </is>
      </c>
      <c r="I11" s="13" t="inlineStr">
        <is>
          <t>TreeGrid playground scenario.</t>
        </is>
      </c>
      <c r="J11" s="13" t="inlineStr">
        <is>
          <t>Manual verification needed.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TreeGrid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9" t="inlineStr">
        <is>
          <t>no</t>
        </is>
      </c>
      <c r="G12" s="12" t="inlineStr">
        <is>
          <t>ready for manual test</t>
        </is>
      </c>
      <c r="H12" s="20" t="inlineStr">
        <is>
          <t>untested</t>
        </is>
      </c>
      <c r="I12" s="13" t="inlineStr">
        <is>
          <t>TreeGrid playground scenario.</t>
        </is>
      </c>
      <c r="J12" s="13" t="inlineStr">
        <is>
          <t>Manual verification needed.</t>
        </is>
      </c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Feature</t>
        </is>
      </c>
      <c r="C13" s="13" t="inlineStr">
        <is>
          <t>TreeGrid</t>
        </is>
      </c>
      <c r="D13" s="13" t="inlineStr">
        <is>
          <t>Implements `role="treegrid"` with row, row header, column header, and gridcell parts</t>
        </is>
      </c>
      <c r="E13" s="18" t="inlineStr">
        <is>
          <t>yes</t>
        </is>
      </c>
      <c r="F13" s="19" t="inlineStr">
        <is>
          <t>no</t>
        </is>
      </c>
      <c r="G13" s="12" t="inlineStr">
        <is>
          <t>ready for manual test</t>
        </is>
      </c>
      <c r="H13" s="20" t="inlineStr">
        <is>
          <t>untested</t>
        </is>
      </c>
      <c r="I13" s="13" t="inlineStr">
        <is>
          <t>TreeGrid playground scenario.</t>
        </is>
      </c>
      <c r="J13" s="13" t="inlineStr">
        <is>
          <t>Manual verification needed.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TreeGrid</t>
        </is>
      </c>
      <c r="D14" s="13" t="inlineStr">
        <is>
          <t>Supports controlled and uncontrolled expansion</t>
        </is>
      </c>
      <c r="E14" s="18" t="inlineStr">
        <is>
          <t>yes</t>
        </is>
      </c>
      <c r="F14" s="19" t="inlineStr">
        <is>
          <t>no</t>
        </is>
      </c>
      <c r="G14" s="12" t="inlineStr">
        <is>
          <t>ready for manual test</t>
        </is>
      </c>
      <c r="H14" s="20" t="inlineStr">
        <is>
          <t>untested</t>
        </is>
      </c>
      <c r="I14" s="13" t="inlineStr">
        <is>
          <t>TreeGrid playground scenario.</t>
        </is>
      </c>
      <c r="J14" s="13" t="inlineStr">
        <is>
          <t>Manual verification needed.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TreeGrid</t>
        </is>
      </c>
      <c r="D15" s="13" t="inlineStr">
        <is>
          <t>Supports controlled and uncontrolled active cell state</t>
        </is>
      </c>
      <c r="E15" s="18" t="inlineStr">
        <is>
          <t>yes</t>
        </is>
      </c>
      <c r="F15" s="19" t="inlineStr">
        <is>
          <t>no</t>
        </is>
      </c>
      <c r="G15" s="12" t="inlineStr">
        <is>
          <t>ready for manual test</t>
        </is>
      </c>
      <c r="H15" s="20" t="inlineStr">
        <is>
          <t>untested</t>
        </is>
      </c>
      <c r="I15" s="13" t="inlineStr">
        <is>
          <t>TreeGrid playground scenario.</t>
        </is>
      </c>
      <c r="J15" s="13" t="inlineStr">
        <is>
          <t>Manual verification needed.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TreeGrid</t>
        </is>
      </c>
      <c r="D16" s="13" t="inlineStr">
        <is>
          <t>Supports optional row selection with selectable parent rows</t>
        </is>
      </c>
      <c r="E16" s="18" t="inlineStr">
        <is>
          <t>yes</t>
        </is>
      </c>
      <c r="F16" s="19" t="inlineStr">
        <is>
          <t>no</t>
        </is>
      </c>
      <c r="G16" s="12" t="inlineStr">
        <is>
          <t>ready for manual test</t>
        </is>
      </c>
      <c r="H16" s="20" t="inlineStr">
        <is>
          <t>untested</t>
        </is>
      </c>
      <c r="I16" s="13" t="inlineStr">
        <is>
          <t>TreeGrid playground scenario.</t>
        </is>
      </c>
      <c r="J16" s="13" t="inlineStr">
        <is>
          <t>Manual verification needed.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Feature</t>
        </is>
      </c>
      <c r="C17" s="13" t="inlineStr">
        <is>
          <t>TreeGrid</t>
        </is>
      </c>
      <c r="D17" s="13" t="inlineStr">
        <is>
          <t>Hides descendant rows when parent rows are collapsed</t>
        </is>
      </c>
      <c r="E17" s="18" t="inlineStr">
        <is>
          <t>yes</t>
        </is>
      </c>
      <c r="F17" s="19" t="inlineStr">
        <is>
          <t>no</t>
        </is>
      </c>
      <c r="G17" s="12" t="inlineStr">
        <is>
          <t>ready for manual test</t>
        </is>
      </c>
      <c r="H17" s="20" t="inlineStr">
        <is>
          <t>untested</t>
        </is>
      </c>
      <c r="I17" s="13" t="inlineStr">
        <is>
          <t>TreeGrid playground scenario.</t>
        </is>
      </c>
      <c r="J17" s="13" t="inlineStr">
        <is>
          <t>Manual verification needed.</t>
        </is>
      </c>
      <c r="K17" s="14">
        <f>IF(AND(E17="yes",F17="yes",H17="covered"),1,IF(H17="partial",0.5,0))</f>
        <v/>
      </c>
    </row>
    <row r="18" ht="30" customHeight="1" s="24">
      <c r="A18" s="12" t="n">
        <v>10</v>
      </c>
      <c r="B18" s="13" t="inlineStr">
        <is>
          <t>Feature</t>
        </is>
      </c>
      <c r="C18" s="13" t="inlineStr">
        <is>
          <t>TreeGrid</t>
        </is>
      </c>
      <c r="D18" s="13" t="inlineStr">
        <is>
          <t>Keeps sorting, filtering, resizing, editing, and virtualization outside the primitive</t>
        </is>
      </c>
      <c r="E18" s="18" t="inlineStr">
        <is>
          <t>yes</t>
        </is>
      </c>
      <c r="F18" s="19" t="inlineStr">
        <is>
          <t>no</t>
        </is>
      </c>
      <c r="G18" s="12" t="inlineStr">
        <is>
          <t>ready for manual test</t>
        </is>
      </c>
      <c r="H18" s="20" t="inlineStr">
        <is>
          <t>untested</t>
        </is>
      </c>
      <c r="I18" s="13" t="inlineStr">
        <is>
          <t>TreeGrid playground scenario.</t>
        </is>
      </c>
      <c r="J18" s="13" t="inlineStr">
        <is>
          <t>Manual verification needed.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Root</t>
        </is>
      </c>
      <c r="D19" s="13" t="inlineStr">
        <is>
          <t>renders correct part when expected</t>
        </is>
      </c>
      <c r="E19" s="18" t="inlineStr">
        <is>
          <t>yes</t>
        </is>
      </c>
      <c r="F19" s="19" t="inlineStr">
        <is>
          <t>no</t>
        </is>
      </c>
      <c r="G19" s="12" t="inlineStr">
        <is>
          <t>ready for manual test</t>
        </is>
      </c>
      <c r="H19" s="20" t="inlineStr">
        <is>
          <t>untested</t>
        </is>
      </c>
      <c r="I19" s="13" t="inlineStr">
        <is>
          <t>TreeGrid playground scenario.</t>
        </is>
      </c>
      <c r="J19" s="13" t="inlineStr">
        <is>
          <t>Manual verification needed.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Anatomy</t>
        </is>
      </c>
      <c r="C20" s="13" t="inlineStr">
        <is>
          <t>Root</t>
        </is>
      </c>
      <c r="D20" s="13" t="inlineStr">
        <is>
          <t>appears in documented order</t>
        </is>
      </c>
      <c r="E20" s="18" t="inlineStr">
        <is>
          <t>yes</t>
        </is>
      </c>
      <c r="F20" s="19" t="inlineStr">
        <is>
          <t>no</t>
        </is>
      </c>
      <c r="G20" s="12" t="inlineStr">
        <is>
          <t>ready for manual test</t>
        </is>
      </c>
      <c r="H20" s="20" t="inlineStr">
        <is>
          <t>untested</t>
        </is>
      </c>
      <c r="I20" s="13" t="inlineStr">
        <is>
          <t>TreeGrid playground scenario.</t>
        </is>
      </c>
      <c r="J20" s="13" t="inlineStr">
        <is>
          <t>Manual verification needed.</t>
        </is>
      </c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Root</t>
        </is>
      </c>
      <c r="D21" s="13" t="inlineStr">
        <is>
          <t>default tag is visible in Anatomy/Inspector</t>
        </is>
      </c>
      <c r="E21" s="18" t="inlineStr">
        <is>
          <t>yes</t>
        </is>
      </c>
      <c r="F21" s="19" t="inlineStr">
        <is>
          <t>no</t>
        </is>
      </c>
      <c r="G21" s="12" t="inlineStr">
        <is>
          <t>ready for manual test</t>
        </is>
      </c>
      <c r="H21" s="20" t="inlineStr">
        <is>
          <t>untested</t>
        </is>
      </c>
      <c r="I21" s="13" t="inlineStr">
        <is>
          <t>TreeGrid playground scenario.</t>
        </is>
      </c>
      <c r="J21" s="13" t="inlineStr">
        <is>
          <t>Manual verification needed.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Identity</t>
        </is>
      </c>
      <c r="C22" s="13" t="inlineStr">
        <is>
          <t>Root</t>
        </is>
      </c>
      <c r="D22" s="13" t="inlineStr">
        <is>
          <t>data-slot is present and correct</t>
        </is>
      </c>
      <c r="E22" s="18" t="inlineStr">
        <is>
          <t>yes</t>
        </is>
      </c>
      <c r="F22" s="19" t="inlineStr">
        <is>
          <t>no</t>
        </is>
      </c>
      <c r="G22" s="12" t="inlineStr">
        <is>
          <t>ready for manual test</t>
        </is>
      </c>
      <c r="H22" s="20" t="inlineStr">
        <is>
          <t>untested</t>
        </is>
      </c>
      <c r="I22" s="13" t="inlineStr">
        <is>
          <t>TreeGrid playground scenario.</t>
        </is>
      </c>
      <c r="J22" s="13" t="inlineStr">
        <is>
          <t>Manual verification needed.</t>
        </is>
      </c>
      <c r="K22" s="14">
        <f>IF(AND(E22="yes",F22="yes",H22="covered"),1,IF(H22="partial",0.5,0))</f>
        <v/>
      </c>
    </row>
    <row r="23" ht="30" customHeight="1" s="24">
      <c r="A23" s="12" t="n">
        <v>15</v>
      </c>
      <c r="B23" s="13" t="inlineStr">
        <is>
          <t>Props</t>
        </is>
      </c>
      <c r="C23" s="13" t="inlineStr">
        <is>
          <t>Root</t>
        </is>
      </c>
      <c r="D23" s="13" t="inlineStr">
        <is>
          <t>non-Atom native props pass through with data-prop-check marker</t>
        </is>
      </c>
      <c r="E23" s="18" t="inlineStr">
        <is>
          <t>yes</t>
        </is>
      </c>
      <c r="F23" s="19" t="inlineStr">
        <is>
          <t>no</t>
        </is>
      </c>
      <c r="G23" s="12" t="inlineStr">
        <is>
          <t>ready for manual test</t>
        </is>
      </c>
      <c r="H23" s="20" t="inlineStr">
        <is>
          <t>untested</t>
        </is>
      </c>
      <c r="I23" s="13" t="inlineStr">
        <is>
          <t>TreeGrid playground scenario.</t>
        </is>
      </c>
      <c r="J23" s="13" t="inlineStr">
        <is>
          <t>Manual verification needed.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Refs</t>
        </is>
      </c>
      <c r="C24" s="13" t="inlineStr">
        <is>
          <t>Root</t>
        </is>
      </c>
      <c r="D24" s="13" t="inlineStr">
        <is>
          <t>consumer ref receives the rendered element</t>
        </is>
      </c>
      <c r="E24" s="18" t="inlineStr">
        <is>
          <t>yes</t>
        </is>
      </c>
      <c r="F24" s="19" t="inlineStr">
        <is>
          <t>no</t>
        </is>
      </c>
      <c r="G24" s="12" t="inlineStr">
        <is>
          <t>ready for manual test</t>
        </is>
      </c>
      <c r="H24" s="20" t="inlineStr">
        <is>
          <t>untested</t>
        </is>
      </c>
      <c r="I24" s="13" t="inlineStr">
        <is>
          <t>TreeGrid playground scenario.</t>
        </is>
      </c>
      <c r="J24" s="13" t="inlineStr">
        <is>
          <t>Manual verification needed.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State</t>
        </is>
      </c>
      <c r="C25" s="13" t="inlineStr">
        <is>
          <t>Root</t>
        </is>
      </c>
      <c r="D25" s="13" t="inlineStr">
        <is>
          <t>value prop behavior</t>
        </is>
      </c>
      <c r="E25" s="18" t="inlineStr">
        <is>
          <t>yes</t>
        </is>
      </c>
      <c r="F25" s="19" t="inlineStr">
        <is>
          <t>no</t>
        </is>
      </c>
      <c r="G25" s="12" t="inlineStr">
        <is>
          <t>ready for manual test</t>
        </is>
      </c>
      <c r="H25" s="20" t="inlineStr">
        <is>
          <t>untested</t>
        </is>
      </c>
      <c r="I25" s="13" t="inlineStr">
        <is>
          <t>TreeGrid playground scenario.</t>
        </is>
      </c>
      <c r="J25" s="13" t="inlineStr">
        <is>
          <t>Manual verification needed.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State</t>
        </is>
      </c>
      <c r="C26" s="13" t="inlineStr">
        <is>
          <t>Root</t>
        </is>
      </c>
      <c r="D26" s="13" t="inlineStr">
        <is>
          <t>defaultValue prop behavior</t>
        </is>
      </c>
      <c r="E26" s="18" t="inlineStr">
        <is>
          <t>yes</t>
        </is>
      </c>
      <c r="F26" s="19" t="inlineStr">
        <is>
          <t>no</t>
        </is>
      </c>
      <c r="G26" s="12" t="inlineStr">
        <is>
          <t>ready for manual test</t>
        </is>
      </c>
      <c r="H26" s="20" t="inlineStr">
        <is>
          <t>untested</t>
        </is>
      </c>
      <c r="I26" s="13" t="inlineStr">
        <is>
          <t>TreeGrid playground scenario.</t>
        </is>
      </c>
      <c r="J26" s="13" t="inlineStr">
        <is>
          <t>Manual verification needed.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State</t>
        </is>
      </c>
      <c r="C27" s="13" t="inlineStr">
        <is>
          <t>Root</t>
        </is>
      </c>
      <c r="D27" s="13" t="inlineStr">
        <is>
          <t>onValueChange prop behavior</t>
        </is>
      </c>
      <c r="E27" s="18" t="inlineStr">
        <is>
          <t>yes</t>
        </is>
      </c>
      <c r="F27" s="19" t="inlineStr">
        <is>
          <t>no</t>
        </is>
      </c>
      <c r="G27" s="12" t="inlineStr">
        <is>
          <t>ready for manual test</t>
        </is>
      </c>
      <c r="H27" s="20" t="inlineStr">
        <is>
          <t>untested</t>
        </is>
      </c>
      <c r="I27" s="13" t="inlineStr">
        <is>
          <t>TreeGrid playground scenario.</t>
        </is>
      </c>
      <c r="J27" s="13" t="inlineStr">
        <is>
          <t>Manual verification needed.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Public API</t>
        </is>
      </c>
      <c r="C28" s="13" t="inlineStr">
        <is>
          <t>Root</t>
        </is>
      </c>
      <c r="D28" s="13" t="inlineStr">
        <is>
          <t>expandedValue prop behavior</t>
        </is>
      </c>
      <c r="E28" s="18" t="inlineStr">
        <is>
          <t>yes</t>
        </is>
      </c>
      <c r="F28" s="19" t="inlineStr">
        <is>
          <t>no</t>
        </is>
      </c>
      <c r="G28" s="12" t="inlineStr">
        <is>
          <t>ready for manual test</t>
        </is>
      </c>
      <c r="H28" s="20" t="inlineStr">
        <is>
          <t>untested</t>
        </is>
      </c>
      <c r="I28" s="13" t="inlineStr">
        <is>
          <t>TreeGrid playground scenario.</t>
        </is>
      </c>
      <c r="J28" s="13" t="inlineStr">
        <is>
          <t>Manual verification needed.</t>
        </is>
      </c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State</t>
        </is>
      </c>
      <c r="C29" s="13" t="inlineStr">
        <is>
          <t>Root</t>
        </is>
      </c>
      <c r="D29" s="13" t="inlineStr">
        <is>
          <t>defaultExpandedValue prop behavior</t>
        </is>
      </c>
      <c r="E29" s="18" t="inlineStr">
        <is>
          <t>yes</t>
        </is>
      </c>
      <c r="F29" s="19" t="inlineStr">
        <is>
          <t>no</t>
        </is>
      </c>
      <c r="G29" s="12" t="inlineStr">
        <is>
          <t>ready for manual test</t>
        </is>
      </c>
      <c r="H29" s="20" t="inlineStr">
        <is>
          <t>untested</t>
        </is>
      </c>
      <c r="I29" s="13" t="inlineStr">
        <is>
          <t>TreeGrid playground scenario.</t>
        </is>
      </c>
      <c r="J29" s="13" t="inlineStr">
        <is>
          <t>Manual verification needed.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State</t>
        </is>
      </c>
      <c r="C30" s="13" t="inlineStr">
        <is>
          <t>Root</t>
        </is>
      </c>
      <c r="D30" s="13" t="inlineStr">
        <is>
          <t>onExpandedValueChange prop behavior</t>
        </is>
      </c>
      <c r="E30" s="18" t="inlineStr">
        <is>
          <t>yes</t>
        </is>
      </c>
      <c r="F30" s="19" t="inlineStr">
        <is>
          <t>no</t>
        </is>
      </c>
      <c r="G30" s="12" t="inlineStr">
        <is>
          <t>ready for manual test</t>
        </is>
      </c>
      <c r="H30" s="20" t="inlineStr">
        <is>
          <t>untested</t>
        </is>
      </c>
      <c r="I30" s="13" t="inlineStr">
        <is>
          <t>TreeGrid playground scenario.</t>
        </is>
      </c>
      <c r="J30" s="13" t="inlineStr">
        <is>
          <t>Manual verification needed.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Public API</t>
        </is>
      </c>
      <c r="C31" s="13" t="inlineStr">
        <is>
          <t>Root</t>
        </is>
      </c>
      <c r="D31" s="13" t="inlineStr">
        <is>
          <t>activeCell prop behavior</t>
        </is>
      </c>
      <c r="E31" s="18" t="inlineStr">
        <is>
          <t>yes</t>
        </is>
      </c>
      <c r="F31" s="19" t="inlineStr">
        <is>
          <t>no</t>
        </is>
      </c>
      <c r="G31" s="12" t="inlineStr">
        <is>
          <t>ready for manual test</t>
        </is>
      </c>
      <c r="H31" s="20" t="inlineStr">
        <is>
          <t>untested</t>
        </is>
      </c>
      <c r="I31" s="13" t="inlineStr">
        <is>
          <t>TreeGrid playground scenario.</t>
        </is>
      </c>
      <c r="J31" s="13" t="inlineStr">
        <is>
          <t>Manual verification needed.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State</t>
        </is>
      </c>
      <c r="C32" s="13" t="inlineStr">
        <is>
          <t>Root</t>
        </is>
      </c>
      <c r="D32" s="13" t="inlineStr">
        <is>
          <t>defaultActiveCell prop behavior</t>
        </is>
      </c>
      <c r="E32" s="18" t="inlineStr">
        <is>
          <t>yes</t>
        </is>
      </c>
      <c r="F32" s="19" t="inlineStr">
        <is>
          <t>no</t>
        </is>
      </c>
      <c r="G32" s="12" t="inlineStr">
        <is>
          <t>ready for manual test</t>
        </is>
      </c>
      <c r="H32" s="20" t="inlineStr">
        <is>
          <t>untested</t>
        </is>
      </c>
      <c r="I32" s="13" t="inlineStr">
        <is>
          <t>TreeGrid playground scenario.</t>
        </is>
      </c>
      <c r="J32" s="13" t="inlineStr">
        <is>
          <t>Manual verification needed.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State</t>
        </is>
      </c>
      <c r="C33" s="13" t="inlineStr">
        <is>
          <t>Root</t>
        </is>
      </c>
      <c r="D33" s="13" t="inlineStr">
        <is>
          <t>selectionMode prop behavior</t>
        </is>
      </c>
      <c r="E33" s="18" t="inlineStr">
        <is>
          <t>yes</t>
        </is>
      </c>
      <c r="F33" s="19" t="inlineStr">
        <is>
          <t>no</t>
        </is>
      </c>
      <c r="G33" s="12" t="inlineStr">
        <is>
          <t>ready for manual test</t>
        </is>
      </c>
      <c r="H33" s="20" t="inlineStr">
        <is>
          <t>untested</t>
        </is>
      </c>
      <c r="I33" s="13" t="inlineStr">
        <is>
          <t>TreeGrid playground scenario.</t>
        </is>
      </c>
      <c r="J33" s="13" t="inlineStr">
        <is>
          <t>Manual verification needed.</t>
        </is>
      </c>
      <c r="K33" s="14">
        <f>IF(AND(E33="yes",F33="yes",H33="covered"),1,IF(H33="partial",0.5,0))</f>
        <v/>
      </c>
    </row>
    <row r="34" ht="15" customHeight="1" s="24">
      <c r="A34" s="12" t="n">
        <v>26</v>
      </c>
      <c r="B34" s="13" t="inlineStr">
        <is>
          <t>State</t>
        </is>
      </c>
      <c r="C34" s="13" t="inlineStr">
        <is>
          <t>Root</t>
        </is>
      </c>
      <c r="D34" s="13" t="inlineStr">
        <is>
          <t>disabled prop behavior</t>
        </is>
      </c>
      <c r="E34" s="18" t="inlineStr">
        <is>
          <t>yes</t>
        </is>
      </c>
      <c r="F34" s="19" t="inlineStr">
        <is>
          <t>no</t>
        </is>
      </c>
      <c r="G34" s="12" t="inlineStr">
        <is>
          <t>ready for manual test</t>
        </is>
      </c>
      <c r="H34" s="20" t="inlineStr">
        <is>
          <t>untested</t>
        </is>
      </c>
      <c r="I34" s="13" t="inlineStr">
        <is>
          <t>TreeGrid playground scenario.</t>
        </is>
      </c>
      <c r="J34" s="13" t="inlineStr">
        <is>
          <t>Manual verification needed.</t>
        </is>
      </c>
      <c r="K34" s="14">
        <f>IF(AND(E34="yes",F34="yes",H34="covered"),1,IF(H34="partial",0.5,0))</f>
        <v/>
      </c>
    </row>
    <row r="35" ht="15" customHeight="1" s="24">
      <c r="A35" s="12" t="n">
        <v>27</v>
      </c>
      <c r="B35" s="13" t="inlineStr">
        <is>
          <t>State</t>
        </is>
      </c>
      <c r="C35" s="13" t="inlineStr">
        <is>
          <t>Root</t>
        </is>
      </c>
      <c r="D35" s="13" t="inlineStr">
        <is>
          <t>readOnly prop behavior</t>
        </is>
      </c>
      <c r="E35" s="18" t="inlineStr">
        <is>
          <t>yes</t>
        </is>
      </c>
      <c r="F35" s="19" t="inlineStr">
        <is>
          <t>no</t>
        </is>
      </c>
      <c r="G35" s="12" t="inlineStr">
        <is>
          <t>ready for manual test</t>
        </is>
      </c>
      <c r="H35" s="20" t="inlineStr">
        <is>
          <t>untested</t>
        </is>
      </c>
      <c r="I35" s="13" t="inlineStr">
        <is>
          <t>TreeGrid playground scenario.</t>
        </is>
      </c>
      <c r="J35" s="13" t="inlineStr">
        <is>
          <t>Manual verification needed.</t>
        </is>
      </c>
      <c r="K35" s="14">
        <f>IF(AND(E35="yes",F35="yes",H35="covered"),1,IF(H35="partial",0.5,0))</f>
        <v/>
      </c>
    </row>
    <row r="36" ht="15" customHeight="1" s="24">
      <c r="A36" s="12" t="n">
        <v>28</v>
      </c>
      <c r="B36" s="13" t="inlineStr">
        <is>
          <t>Public API</t>
        </is>
      </c>
      <c r="C36" s="13" t="inlineStr">
        <is>
          <t>Root</t>
        </is>
      </c>
      <c r="D36" s="13" t="inlineStr">
        <is>
          <t>loop prop behavior</t>
        </is>
      </c>
      <c r="E36" s="18" t="inlineStr">
        <is>
          <t>yes</t>
        </is>
      </c>
      <c r="F36" s="19" t="inlineStr">
        <is>
          <t>no</t>
        </is>
      </c>
      <c r="G36" s="12" t="inlineStr">
        <is>
          <t>ready for manual test</t>
        </is>
      </c>
      <c r="H36" s="20" t="inlineStr">
        <is>
          <t>untested</t>
        </is>
      </c>
      <c r="I36" s="13" t="inlineStr">
        <is>
          <t>TreeGrid playground scenario.</t>
        </is>
      </c>
      <c r="J36" s="13" t="inlineStr">
        <is>
          <t>Manual verification needed.</t>
        </is>
      </c>
      <c r="K36" s="14">
        <f>IF(AND(E36="yes",F36="yes",H36="covered"),1,IF(H36="partial",0.5,0))</f>
        <v/>
      </c>
    </row>
    <row r="37" ht="15" customHeight="1" s="24">
      <c r="A37" s="12" t="n">
        <v>29</v>
      </c>
      <c r="B37" s="13" t="inlineStr">
        <is>
          <t>Public API</t>
        </is>
      </c>
      <c r="C37" s="13" t="inlineStr">
        <is>
          <t>Root</t>
        </is>
      </c>
      <c r="D37" s="13" t="inlineStr">
        <is>
          <t>rowCount prop behavior</t>
        </is>
      </c>
      <c r="E37" s="18" t="inlineStr">
        <is>
          <t>yes</t>
        </is>
      </c>
      <c r="F37" s="19" t="inlineStr">
        <is>
          <t>no</t>
        </is>
      </c>
      <c r="G37" s="12" t="inlineStr">
        <is>
          <t>ready for manual test</t>
        </is>
      </c>
      <c r="H37" s="20" t="inlineStr">
        <is>
          <t>untested</t>
        </is>
      </c>
      <c r="I37" s="13" t="inlineStr">
        <is>
          <t>TreeGrid playground scenario.</t>
        </is>
      </c>
      <c r="J37" s="13" t="inlineStr">
        <is>
          <t>Manual verification needed.</t>
        </is>
      </c>
      <c r="K37" s="14">
        <f>IF(AND(E37="yes",F37="yes",H37="covered"),1,IF(H37="partial",0.5,0))</f>
        <v/>
      </c>
    </row>
    <row r="38" ht="15" customHeight="1" s="24">
      <c r="A38" s="12" t="n">
        <v>30</v>
      </c>
      <c r="B38" s="13" t="inlineStr">
        <is>
          <t>Public API</t>
        </is>
      </c>
      <c r="C38" s="13" t="inlineStr">
        <is>
          <t>Root</t>
        </is>
      </c>
      <c r="D38" s="13" t="inlineStr">
        <is>
          <t>columnCount prop behavior</t>
        </is>
      </c>
      <c r="E38" s="18" t="inlineStr">
        <is>
          <t>yes</t>
        </is>
      </c>
      <c r="F38" s="19" t="inlineStr">
        <is>
          <t>no</t>
        </is>
      </c>
      <c r="G38" s="12" t="inlineStr">
        <is>
          <t>ready for manual test</t>
        </is>
      </c>
      <c r="H38" s="20" t="inlineStr">
        <is>
          <t>untested</t>
        </is>
      </c>
      <c r="I38" s="13" t="inlineStr">
        <is>
          <t>TreeGrid playground scenario.</t>
        </is>
      </c>
      <c r="J38" s="13" t="inlineStr">
        <is>
          <t>Manual verification needed.</t>
        </is>
      </c>
      <c r="K38" s="14">
        <f>IF(AND(E38="yes",F38="yes",H38="covered"),1,IF(H38="partial",0.5,0))</f>
        <v/>
      </c>
    </row>
    <row r="39" ht="15" customHeight="1" s="24">
      <c r="A39" s="12" t="n">
        <v>31</v>
      </c>
      <c r="B39" s="13" t="inlineStr">
        <is>
          <t>Anatomy</t>
        </is>
      </c>
      <c r="C39" s="13" t="inlineStr">
        <is>
          <t>Body</t>
        </is>
      </c>
      <c r="D39" s="13" t="inlineStr">
        <is>
          <t>renders correct part when expected</t>
        </is>
      </c>
      <c r="E39" s="18" t="inlineStr">
        <is>
          <t>yes</t>
        </is>
      </c>
      <c r="F39" s="19" t="inlineStr">
        <is>
          <t>no</t>
        </is>
      </c>
      <c r="G39" s="12" t="inlineStr">
        <is>
          <t>ready for manual test</t>
        </is>
      </c>
      <c r="H39" s="20" t="inlineStr">
        <is>
          <t>untested</t>
        </is>
      </c>
      <c r="I39" s="13" t="inlineStr">
        <is>
          <t>TreeGrid playground scenario.</t>
        </is>
      </c>
      <c r="J39" s="13" t="inlineStr">
        <is>
          <t>Manual verification needed.</t>
        </is>
      </c>
      <c r="K39" s="14">
        <f>IF(AND(E39="yes",F39="yes",H39="covered"),1,IF(H39="partial",0.5,0))</f>
        <v/>
      </c>
    </row>
    <row r="40" ht="15" customHeight="1" s="24">
      <c r="A40" s="12" t="n">
        <v>32</v>
      </c>
      <c r="B40" s="13" t="inlineStr">
        <is>
          <t>Anatomy</t>
        </is>
      </c>
      <c r="C40" s="13" t="inlineStr">
        <is>
          <t>Body</t>
        </is>
      </c>
      <c r="D40" s="13" t="inlineStr">
        <is>
          <t>appears in documented order</t>
        </is>
      </c>
      <c r="E40" s="18" t="inlineStr">
        <is>
          <t>yes</t>
        </is>
      </c>
      <c r="F40" s="19" t="inlineStr">
        <is>
          <t>no</t>
        </is>
      </c>
      <c r="G40" s="12" t="inlineStr">
        <is>
          <t>ready for manual test</t>
        </is>
      </c>
      <c r="H40" s="20" t="inlineStr">
        <is>
          <t>untested</t>
        </is>
      </c>
      <c r="I40" s="13" t="inlineStr">
        <is>
          <t>TreeGrid playground scenario.</t>
        </is>
      </c>
      <c r="J40" s="13" t="inlineStr">
        <is>
          <t>Manual verification needed.</t>
        </is>
      </c>
      <c r="K40" s="14">
        <f>IF(AND(E40="yes",F40="yes",H40="covered"),1,IF(H40="partial",0.5,0))</f>
        <v/>
      </c>
    </row>
    <row r="41" ht="15" customHeight="1" s="24">
      <c r="A41" s="12" t="n">
        <v>33</v>
      </c>
      <c r="B41" s="13" t="inlineStr">
        <is>
          <t>Identity</t>
        </is>
      </c>
      <c r="C41" s="13" t="inlineStr">
        <is>
          <t>Body</t>
        </is>
      </c>
      <c r="D41" s="13" t="inlineStr">
        <is>
          <t>default tag is visible in Anatomy/Inspector</t>
        </is>
      </c>
      <c r="E41" s="18" t="inlineStr">
        <is>
          <t>yes</t>
        </is>
      </c>
      <c r="F41" s="19" t="inlineStr">
        <is>
          <t>no</t>
        </is>
      </c>
      <c r="G41" s="12" t="inlineStr">
        <is>
          <t>ready for manual test</t>
        </is>
      </c>
      <c r="H41" s="20" t="inlineStr">
        <is>
          <t>untested</t>
        </is>
      </c>
      <c r="I41" s="13" t="inlineStr">
        <is>
          <t>TreeGrid playground scenario.</t>
        </is>
      </c>
      <c r="J41" s="13" t="inlineStr">
        <is>
          <t>Manual verification needed.</t>
        </is>
      </c>
      <c r="K41" s="14">
        <f>IF(AND(E41="yes",F41="yes",H41="covered"),1,IF(H41="partial",0.5,0))</f>
        <v/>
      </c>
    </row>
    <row r="42" ht="15" customHeight="1" s="24">
      <c r="A42" s="12" t="n">
        <v>34</v>
      </c>
      <c r="B42" s="13" t="inlineStr">
        <is>
          <t>Identity</t>
        </is>
      </c>
      <c r="C42" s="13" t="inlineStr">
        <is>
          <t>Body</t>
        </is>
      </c>
      <c r="D42" s="13" t="inlineStr">
        <is>
          <t>data-slot is present and correct</t>
        </is>
      </c>
      <c r="E42" s="18" t="inlineStr">
        <is>
          <t>yes</t>
        </is>
      </c>
      <c r="F42" s="19" t="inlineStr">
        <is>
          <t>no</t>
        </is>
      </c>
      <c r="G42" s="12" t="inlineStr">
        <is>
          <t>ready for manual test</t>
        </is>
      </c>
      <c r="H42" s="20" t="inlineStr">
        <is>
          <t>untested</t>
        </is>
      </c>
      <c r="I42" s="13" t="inlineStr">
        <is>
          <t>TreeGrid playground scenario.</t>
        </is>
      </c>
      <c r="J42" s="13" t="inlineStr">
        <is>
          <t>Manual verification needed.</t>
        </is>
      </c>
      <c r="K42" s="14">
        <f>IF(AND(E42="yes",F42="yes",H42="covered"),1,IF(H42="partial",0.5,0))</f>
        <v/>
      </c>
    </row>
    <row r="43" ht="30" customHeight="1" s="24">
      <c r="A43" s="12" t="n">
        <v>35</v>
      </c>
      <c r="B43" s="13" t="inlineStr">
        <is>
          <t>Props</t>
        </is>
      </c>
      <c r="C43" s="13" t="inlineStr">
        <is>
          <t>Body</t>
        </is>
      </c>
      <c r="D43" s="13" t="inlineStr">
        <is>
          <t>non-Atom native props pass through with data-prop-check marker</t>
        </is>
      </c>
      <c r="E43" s="18" t="inlineStr">
        <is>
          <t>yes</t>
        </is>
      </c>
      <c r="F43" s="19" t="inlineStr">
        <is>
          <t>no</t>
        </is>
      </c>
      <c r="G43" s="12" t="inlineStr">
        <is>
          <t>ready for manual test</t>
        </is>
      </c>
      <c r="H43" s="20" t="inlineStr">
        <is>
          <t>untested</t>
        </is>
      </c>
      <c r="I43" s="13" t="inlineStr">
        <is>
          <t>TreeGrid playground scenario.</t>
        </is>
      </c>
      <c r="J43" s="13" t="inlineStr">
        <is>
          <t>Manual verification needed.</t>
        </is>
      </c>
      <c r="K43" s="14">
        <f>IF(AND(E43="yes",F43="yes",H43="covered"),1,IF(H43="partial",0.5,0))</f>
        <v/>
      </c>
    </row>
    <row r="44" ht="15" customHeight="1" s="24">
      <c r="A44" s="12" t="n">
        <v>36</v>
      </c>
      <c r="B44" s="13" t="inlineStr">
        <is>
          <t>Refs</t>
        </is>
      </c>
      <c r="C44" s="13" t="inlineStr">
        <is>
          <t>Body</t>
        </is>
      </c>
      <c r="D44" s="13" t="inlineStr">
        <is>
          <t>consumer ref receives the rendered element</t>
        </is>
      </c>
      <c r="E44" s="18" t="inlineStr">
        <is>
          <t>yes</t>
        </is>
      </c>
      <c r="F44" s="19" t="inlineStr">
        <is>
          <t>no</t>
        </is>
      </c>
      <c r="G44" s="12" t="inlineStr">
        <is>
          <t>ready for manual test</t>
        </is>
      </c>
      <c r="H44" s="20" t="inlineStr">
        <is>
          <t>untested</t>
        </is>
      </c>
      <c r="I44" s="13" t="inlineStr">
        <is>
          <t>TreeGrid playground scenario.</t>
        </is>
      </c>
      <c r="J44" s="13" t="inlineStr">
        <is>
          <t>Manual verification needed.</t>
        </is>
      </c>
      <c r="K44" s="14">
        <f>IF(AND(E44="yes",F44="yes",H44="covered"),1,IF(H44="partial",0.5,0))</f>
        <v/>
      </c>
    </row>
    <row r="45" ht="15" customHeight="1" s="24">
      <c r="A45" s="12" t="n">
        <v>37</v>
      </c>
      <c r="B45" s="13" t="inlineStr">
        <is>
          <t>Anatomy</t>
        </is>
      </c>
      <c r="C45" s="13" t="inlineStr">
        <is>
          <t>Caption</t>
        </is>
      </c>
      <c r="D45" s="13" t="inlineStr">
        <is>
          <t>renders correct part when expected</t>
        </is>
      </c>
      <c r="E45" s="18" t="inlineStr">
        <is>
          <t>yes</t>
        </is>
      </c>
      <c r="F45" s="19" t="inlineStr">
        <is>
          <t>no</t>
        </is>
      </c>
      <c r="G45" s="12" t="inlineStr">
        <is>
          <t>ready for manual test</t>
        </is>
      </c>
      <c r="H45" s="20" t="inlineStr">
        <is>
          <t>untested</t>
        </is>
      </c>
      <c r="I45" s="13" t="inlineStr">
        <is>
          <t>TreeGrid playground scenario.</t>
        </is>
      </c>
      <c r="J45" s="13" t="inlineStr">
        <is>
          <t>Manual verification needed.</t>
        </is>
      </c>
      <c r="K45" s="14">
        <f>IF(AND(E45="yes",F45="yes",H45="covered"),1,IF(H45="partial",0.5,0))</f>
        <v/>
      </c>
    </row>
    <row r="46" ht="15" customHeight="1" s="24">
      <c r="A46" s="12" t="n">
        <v>38</v>
      </c>
      <c r="B46" s="13" t="inlineStr">
        <is>
          <t>Anatomy</t>
        </is>
      </c>
      <c r="C46" s="13" t="inlineStr">
        <is>
          <t>Caption</t>
        </is>
      </c>
      <c r="D46" s="13" t="inlineStr">
        <is>
          <t>appears in documented order</t>
        </is>
      </c>
      <c r="E46" s="18" t="inlineStr">
        <is>
          <t>yes</t>
        </is>
      </c>
      <c r="F46" s="19" t="inlineStr">
        <is>
          <t>no</t>
        </is>
      </c>
      <c r="G46" s="12" t="inlineStr">
        <is>
          <t>ready for manual test</t>
        </is>
      </c>
      <c r="H46" s="20" t="inlineStr">
        <is>
          <t>untested</t>
        </is>
      </c>
      <c r="I46" s="13" t="inlineStr">
        <is>
          <t>TreeGrid playground scenario.</t>
        </is>
      </c>
      <c r="J46" s="13" t="inlineStr">
        <is>
          <t>Manual verification needed.</t>
        </is>
      </c>
      <c r="K46" s="14">
        <f>IF(AND(E46="yes",F46="yes",H46="covered"),1,IF(H46="partial",0.5,0))</f>
        <v/>
      </c>
    </row>
    <row r="47" ht="15" customHeight="1" s="24">
      <c r="A47" s="12" t="n">
        <v>39</v>
      </c>
      <c r="B47" s="13" t="inlineStr">
        <is>
          <t>Identity</t>
        </is>
      </c>
      <c r="C47" s="13" t="inlineStr">
        <is>
          <t>Caption</t>
        </is>
      </c>
      <c r="D47" s="13" t="inlineStr">
        <is>
          <t>default tag is visible in Anatomy/Inspector</t>
        </is>
      </c>
      <c r="E47" s="18" t="inlineStr">
        <is>
          <t>yes</t>
        </is>
      </c>
      <c r="F47" s="19" t="inlineStr">
        <is>
          <t>no</t>
        </is>
      </c>
      <c r="G47" s="12" t="inlineStr">
        <is>
          <t>ready for manual test</t>
        </is>
      </c>
      <c r="H47" s="20" t="inlineStr">
        <is>
          <t>untested</t>
        </is>
      </c>
      <c r="I47" s="13" t="inlineStr">
        <is>
          <t>TreeGrid playground scenario.</t>
        </is>
      </c>
      <c r="J47" s="13" t="inlineStr">
        <is>
          <t>Manual verification needed.</t>
        </is>
      </c>
      <c r="K47" s="14">
        <f>IF(AND(E47="yes",F47="yes",H47="covered"),1,IF(H47="partial",0.5,0))</f>
        <v/>
      </c>
    </row>
    <row r="48" ht="15" customHeight="1" s="24">
      <c r="A48" s="12" t="n">
        <v>40</v>
      </c>
      <c r="B48" s="13" t="inlineStr">
        <is>
          <t>Identity</t>
        </is>
      </c>
      <c r="C48" s="13" t="inlineStr">
        <is>
          <t>Caption</t>
        </is>
      </c>
      <c r="D48" s="13" t="inlineStr">
        <is>
          <t>data-slot is present and correct</t>
        </is>
      </c>
      <c r="E48" s="18" t="inlineStr">
        <is>
          <t>yes</t>
        </is>
      </c>
      <c r="F48" s="19" t="inlineStr">
        <is>
          <t>no</t>
        </is>
      </c>
      <c r="G48" s="12" t="inlineStr">
        <is>
          <t>ready for manual test</t>
        </is>
      </c>
      <c r="H48" s="20" t="inlineStr">
        <is>
          <t>untested</t>
        </is>
      </c>
      <c r="I48" s="13" t="inlineStr">
        <is>
          <t>TreeGrid playground scenario.</t>
        </is>
      </c>
      <c r="J48" s="13" t="inlineStr">
        <is>
          <t>Manual verification needed.</t>
        </is>
      </c>
      <c r="K48" s="14">
        <f>IF(AND(E48="yes",F48="yes",H48="covered"),1,IF(H48="partial",0.5,0))</f>
        <v/>
      </c>
    </row>
    <row r="49" ht="30" customHeight="1" s="24">
      <c r="A49" s="12" t="n">
        <v>41</v>
      </c>
      <c r="B49" s="13" t="inlineStr">
        <is>
          <t>Props</t>
        </is>
      </c>
      <c r="C49" s="13" t="inlineStr">
        <is>
          <t>Caption</t>
        </is>
      </c>
      <c r="D49" s="13" t="inlineStr">
        <is>
          <t>non-Atom native props pass through with data-prop-check marker</t>
        </is>
      </c>
      <c r="E49" s="18" t="inlineStr">
        <is>
          <t>yes</t>
        </is>
      </c>
      <c r="F49" s="19" t="inlineStr">
        <is>
          <t>no</t>
        </is>
      </c>
      <c r="G49" s="12" t="inlineStr">
        <is>
          <t>ready for manual test</t>
        </is>
      </c>
      <c r="H49" s="20" t="inlineStr">
        <is>
          <t>untested</t>
        </is>
      </c>
      <c r="I49" s="13" t="inlineStr">
        <is>
          <t>TreeGrid playground scenario.</t>
        </is>
      </c>
      <c r="J49" s="13" t="inlineStr">
        <is>
          <t>Manual verification needed.</t>
        </is>
      </c>
      <c r="K49" s="14">
        <f>IF(AND(E49="yes",F49="yes",H49="covered"),1,IF(H49="partial",0.5,0))</f>
        <v/>
      </c>
    </row>
    <row r="50" ht="15" customHeight="1" s="24">
      <c r="A50" s="12" t="n">
        <v>42</v>
      </c>
      <c r="B50" s="13" t="inlineStr">
        <is>
          <t>Refs</t>
        </is>
      </c>
      <c r="C50" s="13" t="inlineStr">
        <is>
          <t>Caption</t>
        </is>
      </c>
      <c r="D50" s="13" t="inlineStr">
        <is>
          <t>consumer ref receives the rendered element</t>
        </is>
      </c>
      <c r="E50" s="18" t="inlineStr">
        <is>
          <t>yes</t>
        </is>
      </c>
      <c r="F50" s="19" t="inlineStr">
        <is>
          <t>no</t>
        </is>
      </c>
      <c r="G50" s="12" t="inlineStr">
        <is>
          <t>ready for manual test</t>
        </is>
      </c>
      <c r="H50" s="20" t="inlineStr">
        <is>
          <t>untested</t>
        </is>
      </c>
      <c r="I50" s="13" t="inlineStr">
        <is>
          <t>TreeGrid playground scenario.</t>
        </is>
      </c>
      <c r="J50" s="13" t="inlineStr">
        <is>
          <t>Manual verification needed.</t>
        </is>
      </c>
      <c r="K50" s="14">
        <f>IF(AND(E50="yes",F50="yes",H50="covered"),1,IF(H50="partial",0.5,0))</f>
        <v/>
      </c>
    </row>
    <row r="51" ht="15" customHeight="1" s="24">
      <c r="A51" s="12" t="n">
        <v>43</v>
      </c>
      <c r="B51" s="13" t="inlineStr">
        <is>
          <t>Anatomy</t>
        </is>
      </c>
      <c r="C51" s="13" t="inlineStr">
        <is>
          <t>Cell</t>
        </is>
      </c>
      <c r="D51" s="13" t="inlineStr">
        <is>
          <t>renders correct part when expected</t>
        </is>
      </c>
      <c r="E51" s="18" t="inlineStr">
        <is>
          <t>yes</t>
        </is>
      </c>
      <c r="F51" s="19" t="inlineStr">
        <is>
          <t>no</t>
        </is>
      </c>
      <c r="G51" s="12" t="inlineStr">
        <is>
          <t>ready for manual test</t>
        </is>
      </c>
      <c r="H51" s="20" t="inlineStr">
        <is>
          <t>untested</t>
        </is>
      </c>
      <c r="I51" s="13" t="inlineStr">
        <is>
          <t>TreeGrid playground scenario.</t>
        </is>
      </c>
      <c r="J51" s="13" t="inlineStr">
        <is>
          <t>Manual verification needed.</t>
        </is>
      </c>
      <c r="K51" s="14">
        <f>IF(AND(E51="yes",F51="yes",H51="covered"),1,IF(H51="partial",0.5,0))</f>
        <v/>
      </c>
    </row>
    <row r="52" ht="15" customHeight="1" s="24">
      <c r="A52" s="12" t="n">
        <v>44</v>
      </c>
      <c r="B52" s="13" t="inlineStr">
        <is>
          <t>Anatomy</t>
        </is>
      </c>
      <c r="C52" s="13" t="inlineStr">
        <is>
          <t>Cell</t>
        </is>
      </c>
      <c r="D52" s="13" t="inlineStr">
        <is>
          <t>appears in documented order</t>
        </is>
      </c>
      <c r="E52" s="18" t="inlineStr">
        <is>
          <t>yes</t>
        </is>
      </c>
      <c r="F52" s="19" t="inlineStr">
        <is>
          <t>no</t>
        </is>
      </c>
      <c r="G52" s="12" t="inlineStr">
        <is>
          <t>ready for manual test</t>
        </is>
      </c>
      <c r="H52" s="20" t="inlineStr">
        <is>
          <t>untested</t>
        </is>
      </c>
      <c r="I52" s="13" t="inlineStr">
        <is>
          <t>TreeGrid playground scenario.</t>
        </is>
      </c>
      <c r="J52" s="13" t="inlineStr">
        <is>
          <t>Manual verification needed.</t>
        </is>
      </c>
      <c r="K52" s="14">
        <f>IF(AND(E52="yes",F52="yes",H52="covered"),1,IF(H52="partial",0.5,0))</f>
        <v/>
      </c>
    </row>
    <row r="53" ht="15" customHeight="1" s="24">
      <c r="A53" s="12" t="n">
        <v>45</v>
      </c>
      <c r="B53" s="13" t="inlineStr">
        <is>
          <t>Identity</t>
        </is>
      </c>
      <c r="C53" s="13" t="inlineStr">
        <is>
          <t>Cell</t>
        </is>
      </c>
      <c r="D53" s="13" t="inlineStr">
        <is>
          <t>default tag is visible in Anatomy/Inspector</t>
        </is>
      </c>
      <c r="E53" s="18" t="inlineStr">
        <is>
          <t>yes</t>
        </is>
      </c>
      <c r="F53" s="19" t="inlineStr">
        <is>
          <t>no</t>
        </is>
      </c>
      <c r="G53" s="12" t="inlineStr">
        <is>
          <t>ready for manual test</t>
        </is>
      </c>
      <c r="H53" s="20" t="inlineStr">
        <is>
          <t>untested</t>
        </is>
      </c>
      <c r="I53" s="13" t="inlineStr">
        <is>
          <t>TreeGrid playground scenario.</t>
        </is>
      </c>
      <c r="J53" s="13" t="inlineStr">
        <is>
          <t>Manual verification needed.</t>
        </is>
      </c>
      <c r="K53" s="14">
        <f>IF(AND(E53="yes",F53="yes",H53="covered"),1,IF(H53="partial",0.5,0))</f>
        <v/>
      </c>
    </row>
    <row r="54" ht="15" customHeight="1" s="24">
      <c r="A54" s="12" t="n">
        <v>46</v>
      </c>
      <c r="B54" s="13" t="inlineStr">
        <is>
          <t>Identity</t>
        </is>
      </c>
      <c r="C54" s="13" t="inlineStr">
        <is>
          <t>Cell</t>
        </is>
      </c>
      <c r="D54" s="13" t="inlineStr">
        <is>
          <t>data-slot is present and correct</t>
        </is>
      </c>
      <c r="E54" s="18" t="inlineStr">
        <is>
          <t>yes</t>
        </is>
      </c>
      <c r="F54" s="19" t="inlineStr">
        <is>
          <t>no</t>
        </is>
      </c>
      <c r="G54" s="12" t="inlineStr">
        <is>
          <t>ready for manual test</t>
        </is>
      </c>
      <c r="H54" s="20" t="inlineStr">
        <is>
          <t>untested</t>
        </is>
      </c>
      <c r="I54" s="13" t="inlineStr">
        <is>
          <t>TreeGrid playground scenario.</t>
        </is>
      </c>
      <c r="J54" s="13" t="inlineStr">
        <is>
          <t>Manual verification needed.</t>
        </is>
      </c>
      <c r="K54" s="14">
        <f>IF(AND(E54="yes",F54="yes",H54="covered"),1,IF(H54="partial",0.5,0))</f>
        <v/>
      </c>
    </row>
    <row r="55" ht="30" customHeight="1" s="24">
      <c r="A55" s="12" t="n">
        <v>47</v>
      </c>
      <c r="B55" s="13" t="inlineStr">
        <is>
          <t>Props</t>
        </is>
      </c>
      <c r="C55" s="13" t="inlineStr">
        <is>
          <t>Cell</t>
        </is>
      </c>
      <c r="D55" s="13" t="inlineStr">
        <is>
          <t>non-Atom native props pass through with data-prop-check marker</t>
        </is>
      </c>
      <c r="E55" s="18" t="inlineStr">
        <is>
          <t>yes</t>
        </is>
      </c>
      <c r="F55" s="19" t="inlineStr">
        <is>
          <t>no</t>
        </is>
      </c>
      <c r="G55" s="12" t="inlineStr">
        <is>
          <t>ready for manual test</t>
        </is>
      </c>
      <c r="H55" s="20" t="inlineStr">
        <is>
          <t>untested</t>
        </is>
      </c>
      <c r="I55" s="13" t="inlineStr">
        <is>
          <t>TreeGrid playground scenario.</t>
        </is>
      </c>
      <c r="J55" s="13" t="inlineStr">
        <is>
          <t>Manual verification needed.</t>
        </is>
      </c>
      <c r="K55" s="14">
        <f>IF(AND(E55="yes",F55="yes",H55="covered"),1,IF(H55="partial",0.5,0))</f>
        <v/>
      </c>
    </row>
    <row r="56" ht="15" customHeight="1" s="24">
      <c r="A56" s="12" t="n">
        <v>48</v>
      </c>
      <c r="B56" s="13" t="inlineStr">
        <is>
          <t>Refs</t>
        </is>
      </c>
      <c r="C56" s="13" t="inlineStr">
        <is>
          <t>Cell</t>
        </is>
      </c>
      <c r="D56" s="13" t="inlineStr">
        <is>
          <t>consumer ref receives the rendered element</t>
        </is>
      </c>
      <c r="E56" s="18" t="inlineStr">
        <is>
          <t>yes</t>
        </is>
      </c>
      <c r="F56" s="19" t="inlineStr">
        <is>
          <t>no</t>
        </is>
      </c>
      <c r="G56" s="12" t="inlineStr">
        <is>
          <t>ready for manual test</t>
        </is>
      </c>
      <c r="H56" s="20" t="inlineStr">
        <is>
          <t>untested</t>
        </is>
      </c>
      <c r="I56" s="13" t="inlineStr">
        <is>
          <t>TreeGrid playground scenario.</t>
        </is>
      </c>
      <c r="J56" s="13" t="inlineStr">
        <is>
          <t>Manual verification needed.</t>
        </is>
      </c>
      <c r="K56" s="14">
        <f>IF(AND(E56="yes",F56="yes",H56="covered"),1,IF(H56="partial",0.5,0))</f>
        <v/>
      </c>
    </row>
    <row r="57" ht="15" customHeight="1" s="24">
      <c r="A57" s="12" t="n">
        <v>49</v>
      </c>
      <c r="B57" s="13" t="inlineStr">
        <is>
          <t>Anatomy</t>
        </is>
      </c>
      <c r="C57" s="13" t="inlineStr">
        <is>
          <t>ColumnHeader</t>
        </is>
      </c>
      <c r="D57" s="13" t="inlineStr">
        <is>
          <t>renders correct part when expected</t>
        </is>
      </c>
      <c r="E57" s="18" t="inlineStr">
        <is>
          <t>yes</t>
        </is>
      </c>
      <c r="F57" s="19" t="inlineStr">
        <is>
          <t>no</t>
        </is>
      </c>
      <c r="G57" s="12" t="inlineStr">
        <is>
          <t>ready for manual test</t>
        </is>
      </c>
      <c r="H57" s="20" t="inlineStr">
        <is>
          <t>untested</t>
        </is>
      </c>
      <c r="I57" s="13" t="inlineStr">
        <is>
          <t>TreeGrid playground scenario.</t>
        </is>
      </c>
      <c r="J57" s="13" t="inlineStr">
        <is>
          <t>Manual verification needed.</t>
        </is>
      </c>
      <c r="K57" s="14">
        <f>IF(AND(E57="yes",F57="yes",H57="covered"),1,IF(H57="partial",0.5,0))</f>
        <v/>
      </c>
    </row>
    <row r="58" ht="15" customHeight="1" s="24">
      <c r="A58" s="12" t="n">
        <v>50</v>
      </c>
      <c r="B58" s="13" t="inlineStr">
        <is>
          <t>Anatomy</t>
        </is>
      </c>
      <c r="C58" s="13" t="inlineStr">
        <is>
          <t>ColumnHeader</t>
        </is>
      </c>
      <c r="D58" s="13" t="inlineStr">
        <is>
          <t>appears in documented order</t>
        </is>
      </c>
      <c r="E58" s="18" t="inlineStr">
        <is>
          <t>yes</t>
        </is>
      </c>
      <c r="F58" s="19" t="inlineStr">
        <is>
          <t>no</t>
        </is>
      </c>
      <c r="G58" s="12" t="inlineStr">
        <is>
          <t>ready for manual test</t>
        </is>
      </c>
      <c r="H58" s="20" t="inlineStr">
        <is>
          <t>untested</t>
        </is>
      </c>
      <c r="I58" s="13" t="inlineStr">
        <is>
          <t>TreeGrid playground scenario.</t>
        </is>
      </c>
      <c r="J58" s="13" t="inlineStr">
        <is>
          <t>Manual verification needed.</t>
        </is>
      </c>
      <c r="K58" s="14">
        <f>IF(AND(E58="yes",F58="yes",H58="covered"),1,IF(H58="partial",0.5,0))</f>
        <v/>
      </c>
    </row>
    <row r="59" ht="15" customHeight="1" s="24">
      <c r="A59" s="12" t="n">
        <v>51</v>
      </c>
      <c r="B59" s="13" t="inlineStr">
        <is>
          <t>Identity</t>
        </is>
      </c>
      <c r="C59" s="13" t="inlineStr">
        <is>
          <t>ColumnHeader</t>
        </is>
      </c>
      <c r="D59" s="13" t="inlineStr">
        <is>
          <t>default tag is visible in Anatomy/Inspector</t>
        </is>
      </c>
      <c r="E59" s="18" t="inlineStr">
        <is>
          <t>yes</t>
        </is>
      </c>
      <c r="F59" s="19" t="inlineStr">
        <is>
          <t>no</t>
        </is>
      </c>
      <c r="G59" s="12" t="inlineStr">
        <is>
          <t>ready for manual test</t>
        </is>
      </c>
      <c r="H59" s="20" t="inlineStr">
        <is>
          <t>untested</t>
        </is>
      </c>
      <c r="I59" s="13" t="inlineStr">
        <is>
          <t>TreeGrid playground scenario.</t>
        </is>
      </c>
      <c r="J59" s="13" t="inlineStr">
        <is>
          <t>Manual verification needed.</t>
        </is>
      </c>
      <c r="K59" s="14">
        <f>IF(AND(E59="yes",F59="yes",H59="covered"),1,IF(H59="partial",0.5,0))</f>
        <v/>
      </c>
    </row>
    <row r="60" ht="15" customHeight="1" s="24">
      <c r="A60" s="12" t="n">
        <v>52</v>
      </c>
      <c r="B60" s="13" t="inlineStr">
        <is>
          <t>Identity</t>
        </is>
      </c>
      <c r="C60" s="13" t="inlineStr">
        <is>
          <t>ColumnHeader</t>
        </is>
      </c>
      <c r="D60" s="13" t="inlineStr">
        <is>
          <t>data-slot is present and correct</t>
        </is>
      </c>
      <c r="E60" s="18" t="inlineStr">
        <is>
          <t>yes</t>
        </is>
      </c>
      <c r="F60" s="19" t="inlineStr">
        <is>
          <t>no</t>
        </is>
      </c>
      <c r="G60" s="12" t="inlineStr">
        <is>
          <t>ready for manual test</t>
        </is>
      </c>
      <c r="H60" s="20" t="inlineStr">
        <is>
          <t>untested</t>
        </is>
      </c>
      <c r="I60" s="13" t="inlineStr">
        <is>
          <t>TreeGrid playground scenario.</t>
        </is>
      </c>
      <c r="J60" s="13" t="inlineStr">
        <is>
          <t>Manual verification needed.</t>
        </is>
      </c>
      <c r="K60" s="14">
        <f>IF(AND(E60="yes",F60="yes",H60="covered"),1,IF(H60="partial",0.5,0))</f>
        <v/>
      </c>
    </row>
    <row r="61" ht="30" customHeight="1" s="24">
      <c r="A61" s="12" t="n">
        <v>53</v>
      </c>
      <c r="B61" s="13" t="inlineStr">
        <is>
          <t>Props</t>
        </is>
      </c>
      <c r="C61" s="13" t="inlineStr">
        <is>
          <t>ColumnHeader</t>
        </is>
      </c>
      <c r="D61" s="13" t="inlineStr">
        <is>
          <t>non-Atom native props pass through with data-prop-check marker</t>
        </is>
      </c>
      <c r="E61" s="18" t="inlineStr">
        <is>
          <t>yes</t>
        </is>
      </c>
      <c r="F61" s="19" t="inlineStr">
        <is>
          <t>no</t>
        </is>
      </c>
      <c r="G61" s="12" t="inlineStr">
        <is>
          <t>ready for manual test</t>
        </is>
      </c>
      <c r="H61" s="20" t="inlineStr">
        <is>
          <t>untested</t>
        </is>
      </c>
      <c r="I61" s="13" t="inlineStr">
        <is>
          <t>TreeGrid playground scenario.</t>
        </is>
      </c>
      <c r="J61" s="13" t="inlineStr">
        <is>
          <t>Manual verification needed.</t>
        </is>
      </c>
      <c r="K61" s="14">
        <f>IF(AND(E61="yes",F61="yes",H61="covered"),1,IF(H61="partial",0.5,0))</f>
        <v/>
      </c>
    </row>
    <row r="62" ht="15" customHeight="1" s="24">
      <c r="A62" s="12" t="n">
        <v>54</v>
      </c>
      <c r="B62" s="13" t="inlineStr">
        <is>
          <t>Refs</t>
        </is>
      </c>
      <c r="C62" s="13" t="inlineStr">
        <is>
          <t>ColumnHeader</t>
        </is>
      </c>
      <c r="D62" s="13" t="inlineStr">
        <is>
          <t>consumer ref receives the rendered element</t>
        </is>
      </c>
      <c r="E62" s="18" t="inlineStr">
        <is>
          <t>yes</t>
        </is>
      </c>
      <c r="F62" s="19" t="inlineStr">
        <is>
          <t>no</t>
        </is>
      </c>
      <c r="G62" s="12" t="inlineStr">
        <is>
          <t>ready for manual test</t>
        </is>
      </c>
      <c r="H62" s="20" t="inlineStr">
        <is>
          <t>untested</t>
        </is>
      </c>
      <c r="I62" s="13" t="inlineStr">
        <is>
          <t>TreeGrid playground scenario.</t>
        </is>
      </c>
      <c r="J62" s="13" t="inlineStr">
        <is>
          <t>Manual verification needed.</t>
        </is>
      </c>
      <c r="K62" s="14">
        <f>IF(AND(E62="yes",F62="yes",H62="covered"),1,IF(H62="partial",0.5,0))</f>
        <v/>
      </c>
    </row>
    <row r="63" ht="15" customHeight="1" s="24">
      <c r="A63" s="12" t="n">
        <v>55</v>
      </c>
      <c r="B63" s="13" t="inlineStr">
        <is>
          <t>Anatomy</t>
        </is>
      </c>
      <c r="C63" s="13" t="inlineStr">
        <is>
          <t>Footer</t>
        </is>
      </c>
      <c r="D63" s="13" t="inlineStr">
        <is>
          <t>renders correct part when expected</t>
        </is>
      </c>
      <c r="E63" s="18" t="inlineStr">
        <is>
          <t>yes</t>
        </is>
      </c>
      <c r="F63" s="19" t="inlineStr">
        <is>
          <t>no</t>
        </is>
      </c>
      <c r="G63" s="12" t="inlineStr">
        <is>
          <t>ready for manual test</t>
        </is>
      </c>
      <c r="H63" s="20" t="inlineStr">
        <is>
          <t>untested</t>
        </is>
      </c>
      <c r="I63" s="13" t="inlineStr">
        <is>
          <t>TreeGrid playground scenario.</t>
        </is>
      </c>
      <c r="J63" s="13" t="inlineStr">
        <is>
          <t>Manual verification needed.</t>
        </is>
      </c>
      <c r="K63" s="14">
        <f>IF(AND(E63="yes",F63="yes",H63="covered"),1,IF(H63="partial",0.5,0))</f>
        <v/>
      </c>
    </row>
    <row r="64" ht="15" customHeight="1" s="24">
      <c r="A64" s="12" t="n">
        <v>56</v>
      </c>
      <c r="B64" s="13" t="inlineStr">
        <is>
          <t>Anatomy</t>
        </is>
      </c>
      <c r="C64" s="13" t="inlineStr">
        <is>
          <t>Footer</t>
        </is>
      </c>
      <c r="D64" s="13" t="inlineStr">
        <is>
          <t>appears in documented order</t>
        </is>
      </c>
      <c r="E64" s="18" t="inlineStr">
        <is>
          <t>yes</t>
        </is>
      </c>
      <c r="F64" s="19" t="inlineStr">
        <is>
          <t>no</t>
        </is>
      </c>
      <c r="G64" s="12" t="inlineStr">
        <is>
          <t>ready for manual test</t>
        </is>
      </c>
      <c r="H64" s="20" t="inlineStr">
        <is>
          <t>untested</t>
        </is>
      </c>
      <c r="I64" s="13" t="inlineStr">
        <is>
          <t>TreeGrid playground scenario.</t>
        </is>
      </c>
      <c r="J64" s="13" t="inlineStr">
        <is>
          <t>Manual verification needed.</t>
        </is>
      </c>
      <c r="K64" s="14">
        <f>IF(AND(E64="yes",F64="yes",H64="covered"),1,IF(H64="partial",0.5,0))</f>
        <v/>
      </c>
    </row>
    <row r="65" ht="15" customHeight="1" s="24">
      <c r="A65" s="12" t="n">
        <v>57</v>
      </c>
      <c r="B65" s="13" t="inlineStr">
        <is>
          <t>Identity</t>
        </is>
      </c>
      <c r="C65" s="13" t="inlineStr">
        <is>
          <t>Footer</t>
        </is>
      </c>
      <c r="D65" s="13" t="inlineStr">
        <is>
          <t>default tag is visible in Anatomy/Inspector</t>
        </is>
      </c>
      <c r="E65" s="18" t="inlineStr">
        <is>
          <t>yes</t>
        </is>
      </c>
      <c r="F65" s="19" t="inlineStr">
        <is>
          <t>no</t>
        </is>
      </c>
      <c r="G65" s="12" t="inlineStr">
        <is>
          <t>ready for manual test</t>
        </is>
      </c>
      <c r="H65" s="20" t="inlineStr">
        <is>
          <t>untested</t>
        </is>
      </c>
      <c r="I65" s="13" t="inlineStr">
        <is>
          <t>TreeGrid playground scenario.</t>
        </is>
      </c>
      <c r="J65" s="13" t="inlineStr">
        <is>
          <t>Manual verification needed.</t>
        </is>
      </c>
      <c r="K65" s="14">
        <f>IF(AND(E65="yes",F65="yes",H65="covered"),1,IF(H65="partial",0.5,0))</f>
        <v/>
      </c>
    </row>
    <row r="66" ht="15" customHeight="1" s="24">
      <c r="A66" s="12" t="n">
        <v>58</v>
      </c>
      <c r="B66" s="13" t="inlineStr">
        <is>
          <t>Identity</t>
        </is>
      </c>
      <c r="C66" s="13" t="inlineStr">
        <is>
          <t>Footer</t>
        </is>
      </c>
      <c r="D66" s="13" t="inlineStr">
        <is>
          <t>data-slot is present and correct</t>
        </is>
      </c>
      <c r="E66" s="18" t="inlineStr">
        <is>
          <t>yes</t>
        </is>
      </c>
      <c r="F66" s="19" t="inlineStr">
        <is>
          <t>no</t>
        </is>
      </c>
      <c r="G66" s="12" t="inlineStr">
        <is>
          <t>ready for manual test</t>
        </is>
      </c>
      <c r="H66" s="20" t="inlineStr">
        <is>
          <t>untested</t>
        </is>
      </c>
      <c r="I66" s="13" t="inlineStr">
        <is>
          <t>TreeGrid playground scenario.</t>
        </is>
      </c>
      <c r="J66" s="13" t="inlineStr">
        <is>
          <t>Manual verification needed.</t>
        </is>
      </c>
      <c r="K66" s="14">
        <f>IF(AND(E66="yes",F66="yes",H66="covered"),1,IF(H66="partial",0.5,0))</f>
        <v/>
      </c>
    </row>
    <row r="67" ht="30" customHeight="1" s="24">
      <c r="A67" s="12" t="n">
        <v>59</v>
      </c>
      <c r="B67" s="13" t="inlineStr">
        <is>
          <t>Props</t>
        </is>
      </c>
      <c r="C67" s="13" t="inlineStr">
        <is>
          <t>Footer</t>
        </is>
      </c>
      <c r="D67" s="13" t="inlineStr">
        <is>
          <t>non-Atom native props pass through with data-prop-check marker</t>
        </is>
      </c>
      <c r="E67" s="18" t="inlineStr">
        <is>
          <t>yes</t>
        </is>
      </c>
      <c r="F67" s="19" t="inlineStr">
        <is>
          <t>no</t>
        </is>
      </c>
      <c r="G67" s="12" t="inlineStr">
        <is>
          <t>ready for manual test</t>
        </is>
      </c>
      <c r="H67" s="20" t="inlineStr">
        <is>
          <t>untested</t>
        </is>
      </c>
      <c r="I67" s="13" t="inlineStr">
        <is>
          <t>TreeGrid playground scenario.</t>
        </is>
      </c>
      <c r="J67" s="13" t="inlineStr">
        <is>
          <t>Manual verification needed.</t>
        </is>
      </c>
      <c r="K67" s="14">
        <f>IF(AND(E67="yes",F67="yes",H67="covered"),1,IF(H67="partial",0.5,0))</f>
        <v/>
      </c>
    </row>
    <row r="68" ht="15" customHeight="1" s="24">
      <c r="A68" s="12" t="n">
        <v>60</v>
      </c>
      <c r="B68" s="13" t="inlineStr">
        <is>
          <t>Refs</t>
        </is>
      </c>
      <c r="C68" s="13" t="inlineStr">
        <is>
          <t>Footer</t>
        </is>
      </c>
      <c r="D68" s="13" t="inlineStr">
        <is>
          <t>consumer ref receives the rendered element</t>
        </is>
      </c>
      <c r="E68" s="18" t="inlineStr">
        <is>
          <t>yes</t>
        </is>
      </c>
      <c r="F68" s="19" t="inlineStr">
        <is>
          <t>no</t>
        </is>
      </c>
      <c r="G68" s="12" t="inlineStr">
        <is>
          <t>ready for manual test</t>
        </is>
      </c>
      <c r="H68" s="20" t="inlineStr">
        <is>
          <t>untested</t>
        </is>
      </c>
      <c r="I68" s="13" t="inlineStr">
        <is>
          <t>TreeGrid playground scenario.</t>
        </is>
      </c>
      <c r="J68" s="13" t="inlineStr">
        <is>
          <t>Manual verification needed.</t>
        </is>
      </c>
      <c r="K68" s="14">
        <f>IF(AND(E68="yes",F68="yes",H68="covered"),1,IF(H68="partial",0.5,0))</f>
        <v/>
      </c>
    </row>
    <row r="69" ht="15" customHeight="1" s="24">
      <c r="A69" s="12" t="n">
        <v>61</v>
      </c>
      <c r="B69" s="13" t="inlineStr">
        <is>
          <t>Anatomy</t>
        </is>
      </c>
      <c r="C69" s="13" t="inlineStr">
        <is>
          <t>GridBody</t>
        </is>
      </c>
      <c r="D69" s="13" t="inlineStr">
        <is>
          <t>renders correct part when expected</t>
        </is>
      </c>
      <c r="E69" s="18" t="inlineStr">
        <is>
          <t>yes</t>
        </is>
      </c>
      <c r="F69" s="19" t="inlineStr">
        <is>
          <t>no</t>
        </is>
      </c>
      <c r="G69" s="12" t="inlineStr">
        <is>
          <t>ready for manual test</t>
        </is>
      </c>
      <c r="H69" s="20" t="inlineStr">
        <is>
          <t>untested</t>
        </is>
      </c>
      <c r="I69" s="13" t="inlineStr">
        <is>
          <t>TreeGrid playground scenario.</t>
        </is>
      </c>
      <c r="J69" s="13" t="inlineStr">
        <is>
          <t>Manual verification needed.</t>
        </is>
      </c>
      <c r="K69" s="14">
        <f>IF(AND(E69="yes",F69="yes",H69="covered"),1,IF(H69="partial",0.5,0))</f>
        <v/>
      </c>
    </row>
    <row r="70" ht="15" customHeight="1" s="24">
      <c r="A70" s="12" t="n">
        <v>62</v>
      </c>
      <c r="B70" s="13" t="inlineStr">
        <is>
          <t>Anatomy</t>
        </is>
      </c>
      <c r="C70" s="13" t="inlineStr">
        <is>
          <t>GridBody</t>
        </is>
      </c>
      <c r="D70" s="13" t="inlineStr">
        <is>
          <t>appears in documented order</t>
        </is>
      </c>
      <c r="E70" s="18" t="inlineStr">
        <is>
          <t>yes</t>
        </is>
      </c>
      <c r="F70" s="19" t="inlineStr">
        <is>
          <t>no</t>
        </is>
      </c>
      <c r="G70" s="12" t="inlineStr">
        <is>
          <t>ready for manual test</t>
        </is>
      </c>
      <c r="H70" s="20" t="inlineStr">
        <is>
          <t>untested</t>
        </is>
      </c>
      <c r="I70" s="13" t="inlineStr">
        <is>
          <t>TreeGrid playground scenario.</t>
        </is>
      </c>
      <c r="J70" s="13" t="inlineStr">
        <is>
          <t>Manual verification needed.</t>
        </is>
      </c>
      <c r="K70" s="14">
        <f>IF(AND(E70="yes",F70="yes",H70="covered"),1,IF(H70="partial",0.5,0))</f>
        <v/>
      </c>
    </row>
    <row r="71" ht="15" customHeight="1" s="24">
      <c r="A71" s="12" t="n">
        <v>63</v>
      </c>
      <c r="B71" s="13" t="inlineStr">
        <is>
          <t>Identity</t>
        </is>
      </c>
      <c r="C71" s="13" t="inlineStr">
        <is>
          <t>GridBody</t>
        </is>
      </c>
      <c r="D71" s="13" t="inlineStr">
        <is>
          <t>default tag is visible in Anatomy/Inspector</t>
        </is>
      </c>
      <c r="E71" s="18" t="inlineStr">
        <is>
          <t>yes</t>
        </is>
      </c>
      <c r="F71" s="19" t="inlineStr">
        <is>
          <t>no</t>
        </is>
      </c>
      <c r="G71" s="12" t="inlineStr">
        <is>
          <t>ready for manual test</t>
        </is>
      </c>
      <c r="H71" s="20" t="inlineStr">
        <is>
          <t>untested</t>
        </is>
      </c>
      <c r="I71" s="13" t="inlineStr">
        <is>
          <t>TreeGrid playground scenario.</t>
        </is>
      </c>
      <c r="J71" s="13" t="inlineStr">
        <is>
          <t>Manual verification needed.</t>
        </is>
      </c>
      <c r="K71" s="14">
        <f>IF(AND(E71="yes",F71="yes",H71="covered"),1,IF(H71="partial",0.5,0))</f>
        <v/>
      </c>
    </row>
    <row r="72" ht="15" customHeight="1" s="24">
      <c r="A72" s="12" t="n">
        <v>64</v>
      </c>
      <c r="B72" s="13" t="inlineStr">
        <is>
          <t>Identity</t>
        </is>
      </c>
      <c r="C72" s="13" t="inlineStr">
        <is>
          <t>GridBody</t>
        </is>
      </c>
      <c r="D72" s="13" t="inlineStr">
        <is>
          <t>data-slot is present and correct</t>
        </is>
      </c>
      <c r="E72" s="18" t="inlineStr">
        <is>
          <t>yes</t>
        </is>
      </c>
      <c r="F72" s="19" t="inlineStr">
        <is>
          <t>no</t>
        </is>
      </c>
      <c r="G72" s="12" t="inlineStr">
        <is>
          <t>ready for manual test</t>
        </is>
      </c>
      <c r="H72" s="20" t="inlineStr">
        <is>
          <t>untested</t>
        </is>
      </c>
      <c r="I72" s="13" t="inlineStr">
        <is>
          <t>TreeGrid playground scenario.</t>
        </is>
      </c>
      <c r="J72" s="13" t="inlineStr">
        <is>
          <t>Manual verification needed.</t>
        </is>
      </c>
      <c r="K72" s="14">
        <f>IF(AND(E72="yes",F72="yes",H72="covered"),1,IF(H72="partial",0.5,0))</f>
        <v/>
      </c>
    </row>
    <row r="73" ht="30" customHeight="1" s="24">
      <c r="A73" s="12" t="n">
        <v>65</v>
      </c>
      <c r="B73" s="13" t="inlineStr">
        <is>
          <t>Props</t>
        </is>
      </c>
      <c r="C73" s="13" t="inlineStr">
        <is>
          <t>GridBody</t>
        </is>
      </c>
      <c r="D73" s="13" t="inlineStr">
        <is>
          <t>non-Atom native props pass through with data-prop-check marker</t>
        </is>
      </c>
      <c r="E73" s="18" t="inlineStr">
        <is>
          <t>yes</t>
        </is>
      </c>
      <c r="F73" s="19" t="inlineStr">
        <is>
          <t>no</t>
        </is>
      </c>
      <c r="G73" s="12" t="inlineStr">
        <is>
          <t>ready for manual test</t>
        </is>
      </c>
      <c r="H73" s="20" t="inlineStr">
        <is>
          <t>untested</t>
        </is>
      </c>
      <c r="I73" s="13" t="inlineStr">
        <is>
          <t>TreeGrid playground scenario.</t>
        </is>
      </c>
      <c r="J73" s="13" t="inlineStr">
        <is>
          <t>Manual verification needed.</t>
        </is>
      </c>
      <c r="K73" s="14">
        <f>IF(AND(E73="yes",F73="yes",H73="covered"),1,IF(H73="partial",0.5,0))</f>
        <v/>
      </c>
    </row>
    <row r="74" ht="15" customHeight="1" s="24">
      <c r="A74" s="12" t="n">
        <v>66</v>
      </c>
      <c r="B74" s="13" t="inlineStr">
        <is>
          <t>Refs</t>
        </is>
      </c>
      <c r="C74" s="13" t="inlineStr">
        <is>
          <t>GridBody</t>
        </is>
      </c>
      <c r="D74" s="13" t="inlineStr">
        <is>
          <t>consumer ref receives the rendered element</t>
        </is>
      </c>
      <c r="E74" s="18" t="inlineStr">
        <is>
          <t>yes</t>
        </is>
      </c>
      <c r="F74" s="19" t="inlineStr">
        <is>
          <t>no</t>
        </is>
      </c>
      <c r="G74" s="12" t="inlineStr">
        <is>
          <t>ready for manual test</t>
        </is>
      </c>
      <c r="H74" s="20" t="inlineStr">
        <is>
          <t>untested</t>
        </is>
      </c>
      <c r="I74" s="13" t="inlineStr">
        <is>
          <t>TreeGrid playground scenario.</t>
        </is>
      </c>
      <c r="J74" s="13" t="inlineStr">
        <is>
          <t>Manual verification needed.</t>
        </is>
      </c>
      <c r="K74" s="14">
        <f>IF(AND(E74="yes",F74="yes",H74="covered"),1,IF(H74="partial",0.5,0))</f>
        <v/>
      </c>
    </row>
    <row r="75" ht="15" customHeight="1" s="24">
      <c r="A75" s="12" t="n">
        <v>67</v>
      </c>
      <c r="B75" s="13" t="inlineStr">
        <is>
          <t>Anatomy</t>
        </is>
      </c>
      <c r="C75" s="13" t="inlineStr">
        <is>
          <t>GridCaption</t>
        </is>
      </c>
      <c r="D75" s="13" t="inlineStr">
        <is>
          <t>renders correct part when expected</t>
        </is>
      </c>
      <c r="E75" s="18" t="inlineStr">
        <is>
          <t>yes</t>
        </is>
      </c>
      <c r="F75" s="19" t="inlineStr">
        <is>
          <t>no</t>
        </is>
      </c>
      <c r="G75" s="12" t="inlineStr">
        <is>
          <t>ready for manual test</t>
        </is>
      </c>
      <c r="H75" s="20" t="inlineStr">
        <is>
          <t>untested</t>
        </is>
      </c>
      <c r="I75" s="13" t="inlineStr">
        <is>
          <t>TreeGrid playground scenario.</t>
        </is>
      </c>
      <c r="J75" s="13" t="inlineStr">
        <is>
          <t>Manual verification needed.</t>
        </is>
      </c>
      <c r="K75" s="14">
        <f>IF(AND(E75="yes",F75="yes",H75="covered"),1,IF(H75="partial",0.5,0))</f>
        <v/>
      </c>
    </row>
    <row r="76" ht="15" customHeight="1" s="24">
      <c r="A76" s="12" t="n">
        <v>68</v>
      </c>
      <c r="B76" s="13" t="inlineStr">
        <is>
          <t>Anatomy</t>
        </is>
      </c>
      <c r="C76" s="13" t="inlineStr">
        <is>
          <t>GridCaption</t>
        </is>
      </c>
      <c r="D76" s="13" t="inlineStr">
        <is>
          <t>appears in documented order</t>
        </is>
      </c>
      <c r="E76" s="18" t="inlineStr">
        <is>
          <t>yes</t>
        </is>
      </c>
      <c r="F76" s="19" t="inlineStr">
        <is>
          <t>no</t>
        </is>
      </c>
      <c r="G76" s="12" t="inlineStr">
        <is>
          <t>ready for manual test</t>
        </is>
      </c>
      <c r="H76" s="20" t="inlineStr">
        <is>
          <t>untested</t>
        </is>
      </c>
      <c r="I76" s="13" t="inlineStr">
        <is>
          <t>TreeGrid playground scenario.</t>
        </is>
      </c>
      <c r="J76" s="13" t="inlineStr">
        <is>
          <t>Manual verification needed.</t>
        </is>
      </c>
      <c r="K76" s="14">
        <f>IF(AND(E76="yes",F76="yes",H76="covered"),1,IF(H76="partial",0.5,0))</f>
        <v/>
      </c>
    </row>
    <row r="77" ht="15" customHeight="1" s="24">
      <c r="A77" s="12" t="n">
        <v>69</v>
      </c>
      <c r="B77" s="13" t="inlineStr">
        <is>
          <t>Identity</t>
        </is>
      </c>
      <c r="C77" s="13" t="inlineStr">
        <is>
          <t>GridCaption</t>
        </is>
      </c>
      <c r="D77" s="13" t="inlineStr">
        <is>
          <t>default tag is visible in Anatomy/Inspector</t>
        </is>
      </c>
      <c r="E77" s="18" t="inlineStr">
        <is>
          <t>yes</t>
        </is>
      </c>
      <c r="F77" s="19" t="inlineStr">
        <is>
          <t>no</t>
        </is>
      </c>
      <c r="G77" s="12" t="inlineStr">
        <is>
          <t>ready for manual test</t>
        </is>
      </c>
      <c r="H77" s="20" t="inlineStr">
        <is>
          <t>untested</t>
        </is>
      </c>
      <c r="I77" s="13" t="inlineStr">
        <is>
          <t>TreeGrid playground scenario.</t>
        </is>
      </c>
      <c r="J77" s="13" t="inlineStr">
        <is>
          <t>Manual verification needed.</t>
        </is>
      </c>
      <c r="K77" s="14">
        <f>IF(AND(E77="yes",F77="yes",H77="covered"),1,IF(H77="partial",0.5,0))</f>
        <v/>
      </c>
    </row>
    <row r="78" ht="15" customHeight="1" s="24">
      <c r="A78" s="12" t="n">
        <v>70</v>
      </c>
      <c r="B78" s="13" t="inlineStr">
        <is>
          <t>Identity</t>
        </is>
      </c>
      <c r="C78" s="13" t="inlineStr">
        <is>
          <t>GridCaption</t>
        </is>
      </c>
      <c r="D78" s="13" t="inlineStr">
        <is>
          <t>data-slot is present and correct</t>
        </is>
      </c>
      <c r="E78" s="18" t="inlineStr">
        <is>
          <t>yes</t>
        </is>
      </c>
      <c r="F78" s="19" t="inlineStr">
        <is>
          <t>no</t>
        </is>
      </c>
      <c r="G78" s="12" t="inlineStr">
        <is>
          <t>ready for manual test</t>
        </is>
      </c>
      <c r="H78" s="20" t="inlineStr">
        <is>
          <t>untested</t>
        </is>
      </c>
      <c r="I78" s="13" t="inlineStr">
        <is>
          <t>TreeGrid playground scenario.</t>
        </is>
      </c>
      <c r="J78" s="13" t="inlineStr">
        <is>
          <t>Manual verification needed.</t>
        </is>
      </c>
      <c r="K78" s="14">
        <f>IF(AND(E78="yes",F78="yes",H78="covered"),1,IF(H78="partial",0.5,0))</f>
        <v/>
      </c>
    </row>
    <row r="79" ht="30" customHeight="1" s="24">
      <c r="A79" s="12" t="n">
        <v>71</v>
      </c>
      <c r="B79" s="13" t="inlineStr">
        <is>
          <t>Props</t>
        </is>
      </c>
      <c r="C79" s="13" t="inlineStr">
        <is>
          <t>GridCaption</t>
        </is>
      </c>
      <c r="D79" s="13" t="inlineStr">
        <is>
          <t>non-Atom native props pass through with data-prop-check marker</t>
        </is>
      </c>
      <c r="E79" s="18" t="inlineStr">
        <is>
          <t>yes</t>
        </is>
      </c>
      <c r="F79" s="19" t="inlineStr">
        <is>
          <t>no</t>
        </is>
      </c>
      <c r="G79" s="12" t="inlineStr">
        <is>
          <t>ready for manual test</t>
        </is>
      </c>
      <c r="H79" s="20" t="inlineStr">
        <is>
          <t>untested</t>
        </is>
      </c>
      <c r="I79" s="13" t="inlineStr">
        <is>
          <t>TreeGrid playground scenario.</t>
        </is>
      </c>
      <c r="J79" s="13" t="inlineStr">
        <is>
          <t>Manual verification needed.</t>
        </is>
      </c>
      <c r="K79" s="14">
        <f>IF(AND(E79="yes",F79="yes",H79="covered"),1,IF(H79="partial",0.5,0))</f>
        <v/>
      </c>
    </row>
    <row r="80" ht="15" customHeight="1" s="24">
      <c r="A80" s="12" t="n">
        <v>72</v>
      </c>
      <c r="B80" s="13" t="inlineStr">
        <is>
          <t>Refs</t>
        </is>
      </c>
      <c r="C80" s="13" t="inlineStr">
        <is>
          <t>GridCaption</t>
        </is>
      </c>
      <c r="D80" s="13" t="inlineStr">
        <is>
          <t>consumer ref receives the rendered element</t>
        </is>
      </c>
      <c r="E80" s="18" t="inlineStr">
        <is>
          <t>yes</t>
        </is>
      </c>
      <c r="F80" s="19" t="inlineStr">
        <is>
          <t>no</t>
        </is>
      </c>
      <c r="G80" s="12" t="inlineStr">
        <is>
          <t>ready for manual test</t>
        </is>
      </c>
      <c r="H80" s="20" t="inlineStr">
        <is>
          <t>untested</t>
        </is>
      </c>
      <c r="I80" s="13" t="inlineStr">
        <is>
          <t>TreeGrid playground scenario.</t>
        </is>
      </c>
      <c r="J80" s="13" t="inlineStr">
        <is>
          <t>Manual verification needed.</t>
        </is>
      </c>
      <c r="K80" s="14">
        <f>IF(AND(E80="yes",F80="yes",H80="covered"),1,IF(H80="partial",0.5,0))</f>
        <v/>
      </c>
    </row>
    <row r="81" ht="15" customHeight="1" s="24">
      <c r="A81" s="12" t="n">
        <v>73</v>
      </c>
      <c r="B81" s="13" t="inlineStr">
        <is>
          <t>Anatomy</t>
        </is>
      </c>
      <c r="C81" s="13" t="inlineStr">
        <is>
          <t>GridCell</t>
        </is>
      </c>
      <c r="D81" s="13" t="inlineStr">
        <is>
          <t>renders correct part when expected</t>
        </is>
      </c>
      <c r="E81" s="18" t="inlineStr">
        <is>
          <t>yes</t>
        </is>
      </c>
      <c r="F81" s="19" t="inlineStr">
        <is>
          <t>no</t>
        </is>
      </c>
      <c r="G81" s="12" t="inlineStr">
        <is>
          <t>ready for manual test</t>
        </is>
      </c>
      <c r="H81" s="20" t="inlineStr">
        <is>
          <t>untested</t>
        </is>
      </c>
      <c r="I81" s="13" t="inlineStr">
        <is>
          <t>TreeGrid playground scenario.</t>
        </is>
      </c>
      <c r="J81" s="13" t="inlineStr">
        <is>
          <t>Manual verification needed.</t>
        </is>
      </c>
      <c r="K81" s="14">
        <f>IF(AND(E81="yes",F81="yes",H81="covered"),1,IF(H81="partial",0.5,0))</f>
        <v/>
      </c>
    </row>
    <row r="82" ht="15" customHeight="1" s="24">
      <c r="A82" s="12" t="n">
        <v>74</v>
      </c>
      <c r="B82" s="13" t="inlineStr">
        <is>
          <t>Anatomy</t>
        </is>
      </c>
      <c r="C82" s="13" t="inlineStr">
        <is>
          <t>GridCell</t>
        </is>
      </c>
      <c r="D82" s="13" t="inlineStr">
        <is>
          <t>appears in documented order</t>
        </is>
      </c>
      <c r="E82" s="18" t="inlineStr">
        <is>
          <t>yes</t>
        </is>
      </c>
      <c r="F82" s="19" t="inlineStr">
        <is>
          <t>no</t>
        </is>
      </c>
      <c r="G82" s="12" t="inlineStr">
        <is>
          <t>ready for manual test</t>
        </is>
      </c>
      <c r="H82" s="20" t="inlineStr">
        <is>
          <t>untested</t>
        </is>
      </c>
      <c r="I82" s="13" t="inlineStr">
        <is>
          <t>TreeGrid playground scenario.</t>
        </is>
      </c>
      <c r="J82" s="13" t="inlineStr">
        <is>
          <t>Manual verification needed.</t>
        </is>
      </c>
      <c r="K82" s="14">
        <f>IF(AND(E82="yes",F82="yes",H82="covered"),1,IF(H82="partial",0.5,0))</f>
        <v/>
      </c>
    </row>
    <row r="83" ht="15" customHeight="1" s="24">
      <c r="A83" s="12" t="n">
        <v>75</v>
      </c>
      <c r="B83" s="13" t="inlineStr">
        <is>
          <t>Identity</t>
        </is>
      </c>
      <c r="C83" s="13" t="inlineStr">
        <is>
          <t>GridCell</t>
        </is>
      </c>
      <c r="D83" s="13" t="inlineStr">
        <is>
          <t>default tag is visible in Anatomy/Inspector</t>
        </is>
      </c>
      <c r="E83" s="18" t="inlineStr">
        <is>
          <t>yes</t>
        </is>
      </c>
      <c r="F83" s="19" t="inlineStr">
        <is>
          <t>no</t>
        </is>
      </c>
      <c r="G83" s="12" t="inlineStr">
        <is>
          <t>ready for manual test</t>
        </is>
      </c>
      <c r="H83" s="20" t="inlineStr">
        <is>
          <t>untested</t>
        </is>
      </c>
      <c r="I83" s="13" t="inlineStr">
        <is>
          <t>TreeGrid playground scenario.</t>
        </is>
      </c>
      <c r="J83" s="13" t="inlineStr">
        <is>
          <t>Manual verification needed.</t>
        </is>
      </c>
      <c r="K83" s="14">
        <f>IF(AND(E83="yes",F83="yes",H83="covered"),1,IF(H83="partial",0.5,0))</f>
        <v/>
      </c>
    </row>
    <row r="84" ht="15" customHeight="1" s="24">
      <c r="A84" s="12" t="n">
        <v>76</v>
      </c>
      <c r="B84" s="13" t="inlineStr">
        <is>
          <t>Identity</t>
        </is>
      </c>
      <c r="C84" s="13" t="inlineStr">
        <is>
          <t>GridCell</t>
        </is>
      </c>
      <c r="D84" s="13" t="inlineStr">
        <is>
          <t>data-slot is present and correct</t>
        </is>
      </c>
      <c r="E84" s="18" t="inlineStr">
        <is>
          <t>yes</t>
        </is>
      </c>
      <c r="F84" s="19" t="inlineStr">
        <is>
          <t>no</t>
        </is>
      </c>
      <c r="G84" s="12" t="inlineStr">
        <is>
          <t>ready for manual test</t>
        </is>
      </c>
      <c r="H84" s="20" t="inlineStr">
        <is>
          <t>untested</t>
        </is>
      </c>
      <c r="I84" s="13" t="inlineStr">
        <is>
          <t>TreeGrid playground scenario.</t>
        </is>
      </c>
      <c r="J84" s="13" t="inlineStr">
        <is>
          <t>Manual verification needed.</t>
        </is>
      </c>
      <c r="K84" s="14">
        <f>IF(AND(E84="yes",F84="yes",H84="covered"),1,IF(H84="partial",0.5,0))</f>
        <v/>
      </c>
    </row>
    <row r="85" ht="30" customHeight="1" s="24">
      <c r="A85" s="12" t="n">
        <v>77</v>
      </c>
      <c r="B85" s="13" t="inlineStr">
        <is>
          <t>Props</t>
        </is>
      </c>
      <c r="C85" s="13" t="inlineStr">
        <is>
          <t>GridCell</t>
        </is>
      </c>
      <c r="D85" s="13" t="inlineStr">
        <is>
          <t>non-Atom native props pass through with data-prop-check marker</t>
        </is>
      </c>
      <c r="E85" s="18" t="inlineStr">
        <is>
          <t>yes</t>
        </is>
      </c>
      <c r="F85" s="19" t="inlineStr">
        <is>
          <t>no</t>
        </is>
      </c>
      <c r="G85" s="12" t="inlineStr">
        <is>
          <t>ready for manual test</t>
        </is>
      </c>
      <c r="H85" s="20" t="inlineStr">
        <is>
          <t>untested</t>
        </is>
      </c>
      <c r="I85" s="13" t="inlineStr">
        <is>
          <t>TreeGrid playground scenario.</t>
        </is>
      </c>
      <c r="J85" s="13" t="inlineStr">
        <is>
          <t>Manual verification needed.</t>
        </is>
      </c>
      <c r="K85" s="14">
        <f>IF(AND(E85="yes",F85="yes",H85="covered"),1,IF(H85="partial",0.5,0))</f>
        <v/>
      </c>
    </row>
    <row r="86" ht="15" customHeight="1" s="24">
      <c r="A86" s="12" t="n">
        <v>78</v>
      </c>
      <c r="B86" s="13" t="inlineStr">
        <is>
          <t>Refs</t>
        </is>
      </c>
      <c r="C86" s="13" t="inlineStr">
        <is>
          <t>GridCell</t>
        </is>
      </c>
      <c r="D86" s="13" t="inlineStr">
        <is>
          <t>consumer ref receives the rendered element</t>
        </is>
      </c>
      <c r="E86" s="18" t="inlineStr">
        <is>
          <t>yes</t>
        </is>
      </c>
      <c r="F86" s="19" t="inlineStr">
        <is>
          <t>no</t>
        </is>
      </c>
      <c r="G86" s="12" t="inlineStr">
        <is>
          <t>ready for manual test</t>
        </is>
      </c>
      <c r="H86" s="20" t="inlineStr">
        <is>
          <t>untested</t>
        </is>
      </c>
      <c r="I86" s="13" t="inlineStr">
        <is>
          <t>TreeGrid playground scenario.</t>
        </is>
      </c>
      <c r="J86" s="13" t="inlineStr">
        <is>
          <t>Manual verification needed.</t>
        </is>
      </c>
      <c r="K86" s="14">
        <f>IF(AND(E86="yes",F86="yes",H86="covered"),1,IF(H86="partial",0.5,0))</f>
        <v/>
      </c>
    </row>
    <row r="87" ht="15" customHeight="1" s="24">
      <c r="A87" s="12" t="n">
        <v>79</v>
      </c>
      <c r="B87" s="13" t="inlineStr">
        <is>
          <t>Anatomy</t>
        </is>
      </c>
      <c r="C87" s="13" t="inlineStr">
        <is>
          <t>GridColumnHeader</t>
        </is>
      </c>
      <c r="D87" s="13" t="inlineStr">
        <is>
          <t>renders correct part when expected</t>
        </is>
      </c>
      <c r="E87" s="18" t="inlineStr">
        <is>
          <t>yes</t>
        </is>
      </c>
      <c r="F87" s="19" t="inlineStr">
        <is>
          <t>no</t>
        </is>
      </c>
      <c r="G87" s="12" t="inlineStr">
        <is>
          <t>ready for manual test</t>
        </is>
      </c>
      <c r="H87" s="20" t="inlineStr">
        <is>
          <t>untested</t>
        </is>
      </c>
      <c r="I87" s="13" t="inlineStr">
        <is>
          <t>TreeGrid playground scenario.</t>
        </is>
      </c>
      <c r="J87" s="13" t="inlineStr">
        <is>
          <t>Manual verification needed.</t>
        </is>
      </c>
      <c r="K87" s="14">
        <f>IF(AND(E87="yes",F87="yes",H87="covered"),1,IF(H87="partial",0.5,0))</f>
        <v/>
      </c>
    </row>
    <row r="88" ht="15" customHeight="1" s="24">
      <c r="A88" s="12" t="n">
        <v>80</v>
      </c>
      <c r="B88" s="13" t="inlineStr">
        <is>
          <t>Anatomy</t>
        </is>
      </c>
      <c r="C88" s="13" t="inlineStr">
        <is>
          <t>GridColumnHeader</t>
        </is>
      </c>
      <c r="D88" s="13" t="inlineStr">
        <is>
          <t>appears in documented order</t>
        </is>
      </c>
      <c r="E88" s="18" t="inlineStr">
        <is>
          <t>yes</t>
        </is>
      </c>
      <c r="F88" s="19" t="inlineStr">
        <is>
          <t>no</t>
        </is>
      </c>
      <c r="G88" s="12" t="inlineStr">
        <is>
          <t>ready for manual test</t>
        </is>
      </c>
      <c r="H88" s="20" t="inlineStr">
        <is>
          <t>untested</t>
        </is>
      </c>
      <c r="I88" s="13" t="inlineStr">
        <is>
          <t>TreeGrid playground scenario.</t>
        </is>
      </c>
      <c r="J88" s="13" t="inlineStr">
        <is>
          <t>Manual verification needed.</t>
        </is>
      </c>
      <c r="K88" s="14">
        <f>IF(AND(E88="yes",F88="yes",H88="covered"),1,IF(H88="partial",0.5,0))</f>
        <v/>
      </c>
    </row>
    <row r="89" ht="15" customHeight="1" s="24">
      <c r="A89" s="12" t="n">
        <v>81</v>
      </c>
      <c r="B89" s="13" t="inlineStr">
        <is>
          <t>Identity</t>
        </is>
      </c>
      <c r="C89" s="13" t="inlineStr">
        <is>
          <t>GridColumnHeader</t>
        </is>
      </c>
      <c r="D89" s="13" t="inlineStr">
        <is>
          <t>default tag is visible in Anatomy/Inspector</t>
        </is>
      </c>
      <c r="E89" s="18" t="inlineStr">
        <is>
          <t>yes</t>
        </is>
      </c>
      <c r="F89" s="19" t="inlineStr">
        <is>
          <t>no</t>
        </is>
      </c>
      <c r="G89" s="12" t="inlineStr">
        <is>
          <t>ready for manual test</t>
        </is>
      </c>
      <c r="H89" s="20" t="inlineStr">
        <is>
          <t>untested</t>
        </is>
      </c>
      <c r="I89" s="13" t="inlineStr">
        <is>
          <t>TreeGrid playground scenario.</t>
        </is>
      </c>
      <c r="J89" s="13" t="inlineStr">
        <is>
          <t>Manual verification needed.</t>
        </is>
      </c>
      <c r="K89" s="14">
        <f>IF(AND(E89="yes",F89="yes",H89="covered"),1,IF(H89="partial",0.5,0))</f>
        <v/>
      </c>
    </row>
    <row r="90" ht="15" customHeight="1" s="24">
      <c r="A90" s="12" t="n">
        <v>82</v>
      </c>
      <c r="B90" s="13" t="inlineStr">
        <is>
          <t>Identity</t>
        </is>
      </c>
      <c r="C90" s="13" t="inlineStr">
        <is>
          <t>GridColumnHeader</t>
        </is>
      </c>
      <c r="D90" s="13" t="inlineStr">
        <is>
          <t>data-slot is present and correct</t>
        </is>
      </c>
      <c r="E90" s="18" t="inlineStr">
        <is>
          <t>yes</t>
        </is>
      </c>
      <c r="F90" s="19" t="inlineStr">
        <is>
          <t>no</t>
        </is>
      </c>
      <c r="G90" s="12" t="inlineStr">
        <is>
          <t>ready for manual test</t>
        </is>
      </c>
      <c r="H90" s="20" t="inlineStr">
        <is>
          <t>untested</t>
        </is>
      </c>
      <c r="I90" s="13" t="inlineStr">
        <is>
          <t>TreeGrid playground scenario.</t>
        </is>
      </c>
      <c r="J90" s="13" t="inlineStr">
        <is>
          <t>Manual verification needed.</t>
        </is>
      </c>
      <c r="K90" s="14">
        <f>IF(AND(E90="yes",F90="yes",H90="covered"),1,IF(H90="partial",0.5,0))</f>
        <v/>
      </c>
    </row>
    <row r="91" ht="30" customHeight="1" s="24">
      <c r="A91" s="12" t="n">
        <v>83</v>
      </c>
      <c r="B91" s="13" t="inlineStr">
        <is>
          <t>Props</t>
        </is>
      </c>
      <c r="C91" s="13" t="inlineStr">
        <is>
          <t>GridColumnHeader</t>
        </is>
      </c>
      <c r="D91" s="13" t="inlineStr">
        <is>
          <t>non-Atom native props pass through with data-prop-check marker</t>
        </is>
      </c>
      <c r="E91" s="18" t="inlineStr">
        <is>
          <t>yes</t>
        </is>
      </c>
      <c r="F91" s="19" t="inlineStr">
        <is>
          <t>no</t>
        </is>
      </c>
      <c r="G91" s="12" t="inlineStr">
        <is>
          <t>ready for manual test</t>
        </is>
      </c>
      <c r="H91" s="20" t="inlineStr">
        <is>
          <t>untested</t>
        </is>
      </c>
      <c r="I91" s="13" t="inlineStr">
        <is>
          <t>TreeGrid playground scenario.</t>
        </is>
      </c>
      <c r="J91" s="13" t="inlineStr">
        <is>
          <t>Manual verification needed.</t>
        </is>
      </c>
      <c r="K91" s="14">
        <f>IF(AND(E91="yes",F91="yes",H91="covered"),1,IF(H91="partial",0.5,0))</f>
        <v/>
      </c>
    </row>
    <row r="92" ht="15" customHeight="1" s="24">
      <c r="A92" s="12" t="n">
        <v>84</v>
      </c>
      <c r="B92" s="13" t="inlineStr">
        <is>
          <t>Refs</t>
        </is>
      </c>
      <c r="C92" s="13" t="inlineStr">
        <is>
          <t>GridColumnHeader</t>
        </is>
      </c>
      <c r="D92" s="13" t="inlineStr">
        <is>
          <t>consumer ref receives the rendered element</t>
        </is>
      </c>
      <c r="E92" s="18" t="inlineStr">
        <is>
          <t>yes</t>
        </is>
      </c>
      <c r="F92" s="19" t="inlineStr">
        <is>
          <t>no</t>
        </is>
      </c>
      <c r="G92" s="12" t="inlineStr">
        <is>
          <t>ready for manual test</t>
        </is>
      </c>
      <c r="H92" s="20" t="inlineStr">
        <is>
          <t>untested</t>
        </is>
      </c>
      <c r="I92" s="13" t="inlineStr">
        <is>
          <t>TreeGrid playground scenario.</t>
        </is>
      </c>
      <c r="J92" s="13" t="inlineStr">
        <is>
          <t>Manual verification needed.</t>
        </is>
      </c>
      <c r="K92" s="14">
        <f>IF(AND(E92="yes",F92="yes",H92="covered"),1,IF(H92="partial",0.5,0))</f>
        <v/>
      </c>
    </row>
    <row r="93" ht="15" customHeight="1" s="24">
      <c r="A93" s="12" t="n">
        <v>85</v>
      </c>
      <c r="B93" s="13" t="inlineStr">
        <is>
          <t>Anatomy</t>
        </is>
      </c>
      <c r="C93" s="13" t="inlineStr">
        <is>
          <t>GridFooter</t>
        </is>
      </c>
      <c r="D93" s="13" t="inlineStr">
        <is>
          <t>renders correct part when expected</t>
        </is>
      </c>
      <c r="E93" s="18" t="inlineStr">
        <is>
          <t>yes</t>
        </is>
      </c>
      <c r="F93" s="19" t="inlineStr">
        <is>
          <t>no</t>
        </is>
      </c>
      <c r="G93" s="12" t="inlineStr">
        <is>
          <t>ready for manual test</t>
        </is>
      </c>
      <c r="H93" s="20" t="inlineStr">
        <is>
          <t>untested</t>
        </is>
      </c>
      <c r="I93" s="13" t="inlineStr">
        <is>
          <t>TreeGrid playground scenario.</t>
        </is>
      </c>
      <c r="J93" s="13" t="inlineStr">
        <is>
          <t>Manual verification needed.</t>
        </is>
      </c>
      <c r="K93" s="14">
        <f>IF(AND(E93="yes",F93="yes",H93="covered"),1,IF(H93="partial",0.5,0))</f>
        <v/>
      </c>
    </row>
    <row r="94" ht="15" customHeight="1" s="24">
      <c r="A94" s="12" t="n">
        <v>86</v>
      </c>
      <c r="B94" s="13" t="inlineStr">
        <is>
          <t>Anatomy</t>
        </is>
      </c>
      <c r="C94" s="13" t="inlineStr">
        <is>
          <t>GridFooter</t>
        </is>
      </c>
      <c r="D94" s="13" t="inlineStr">
        <is>
          <t>appears in documented order</t>
        </is>
      </c>
      <c r="E94" s="18" t="inlineStr">
        <is>
          <t>yes</t>
        </is>
      </c>
      <c r="F94" s="19" t="inlineStr">
        <is>
          <t>no</t>
        </is>
      </c>
      <c r="G94" s="12" t="inlineStr">
        <is>
          <t>ready for manual test</t>
        </is>
      </c>
      <c r="H94" s="20" t="inlineStr">
        <is>
          <t>untested</t>
        </is>
      </c>
      <c r="I94" s="13" t="inlineStr">
        <is>
          <t>TreeGrid playground scenario.</t>
        </is>
      </c>
      <c r="J94" s="13" t="inlineStr">
        <is>
          <t>Manual verification needed.</t>
        </is>
      </c>
      <c r="K94" s="14">
        <f>IF(AND(E94="yes",F94="yes",H94="covered"),1,IF(H94="partial",0.5,0))</f>
        <v/>
      </c>
    </row>
    <row r="95" ht="15" customHeight="1" s="24">
      <c r="A95" s="12" t="n">
        <v>87</v>
      </c>
      <c r="B95" s="13" t="inlineStr">
        <is>
          <t>Identity</t>
        </is>
      </c>
      <c r="C95" s="13" t="inlineStr">
        <is>
          <t>GridFooter</t>
        </is>
      </c>
      <c r="D95" s="13" t="inlineStr">
        <is>
          <t>default tag is visible in Anatomy/Inspector</t>
        </is>
      </c>
      <c r="E95" s="18" t="inlineStr">
        <is>
          <t>yes</t>
        </is>
      </c>
      <c r="F95" s="19" t="inlineStr">
        <is>
          <t>no</t>
        </is>
      </c>
      <c r="G95" s="12" t="inlineStr">
        <is>
          <t>ready for manual test</t>
        </is>
      </c>
      <c r="H95" s="20" t="inlineStr">
        <is>
          <t>untested</t>
        </is>
      </c>
      <c r="I95" s="13" t="inlineStr">
        <is>
          <t>TreeGrid playground scenario.</t>
        </is>
      </c>
      <c r="J95" s="13" t="inlineStr">
        <is>
          <t>Manual verification needed.</t>
        </is>
      </c>
      <c r="K95" s="14">
        <f>IF(AND(E95="yes",F95="yes",H95="covered"),1,IF(H95="partial",0.5,0))</f>
        <v/>
      </c>
    </row>
    <row r="96" ht="15" customHeight="1" s="24">
      <c r="A96" s="12" t="n">
        <v>88</v>
      </c>
      <c r="B96" s="13" t="inlineStr">
        <is>
          <t>Identity</t>
        </is>
      </c>
      <c r="C96" s="13" t="inlineStr">
        <is>
          <t>GridFooter</t>
        </is>
      </c>
      <c r="D96" s="13" t="inlineStr">
        <is>
          <t>data-slot is present and correct</t>
        </is>
      </c>
      <c r="E96" s="18" t="inlineStr">
        <is>
          <t>yes</t>
        </is>
      </c>
      <c r="F96" s="19" t="inlineStr">
        <is>
          <t>no</t>
        </is>
      </c>
      <c r="G96" s="12" t="inlineStr">
        <is>
          <t>ready for manual test</t>
        </is>
      </c>
      <c r="H96" s="20" t="inlineStr">
        <is>
          <t>untested</t>
        </is>
      </c>
      <c r="I96" s="13" t="inlineStr">
        <is>
          <t>TreeGrid playground scenario.</t>
        </is>
      </c>
      <c r="J96" s="13" t="inlineStr">
        <is>
          <t>Manual verification needed.</t>
        </is>
      </c>
      <c r="K96" s="14">
        <f>IF(AND(E96="yes",F96="yes",H96="covered"),1,IF(H96="partial",0.5,0))</f>
        <v/>
      </c>
    </row>
    <row r="97" ht="30" customHeight="1" s="24">
      <c r="A97" s="12" t="n">
        <v>89</v>
      </c>
      <c r="B97" s="13" t="inlineStr">
        <is>
          <t>Props</t>
        </is>
      </c>
      <c r="C97" s="13" t="inlineStr">
        <is>
          <t>GridFooter</t>
        </is>
      </c>
      <c r="D97" s="13" t="inlineStr">
        <is>
          <t>non-Atom native props pass through with data-prop-check marker</t>
        </is>
      </c>
      <c r="E97" s="18" t="inlineStr">
        <is>
          <t>yes</t>
        </is>
      </c>
      <c r="F97" s="19" t="inlineStr">
        <is>
          <t>no</t>
        </is>
      </c>
      <c r="G97" s="12" t="inlineStr">
        <is>
          <t>ready for manual test</t>
        </is>
      </c>
      <c r="H97" s="20" t="inlineStr">
        <is>
          <t>untested</t>
        </is>
      </c>
      <c r="I97" s="13" t="inlineStr">
        <is>
          <t>TreeGrid playground scenario.</t>
        </is>
      </c>
      <c r="J97" s="13" t="inlineStr">
        <is>
          <t>Manual verification needed.</t>
        </is>
      </c>
      <c r="K97" s="14">
        <f>IF(AND(E97="yes",F97="yes",H97="covered"),1,IF(H97="partial",0.5,0))</f>
        <v/>
      </c>
    </row>
    <row r="98" ht="15" customHeight="1" s="24">
      <c r="A98" s="12" t="n">
        <v>90</v>
      </c>
      <c r="B98" s="13" t="inlineStr">
        <is>
          <t>Refs</t>
        </is>
      </c>
      <c r="C98" s="13" t="inlineStr">
        <is>
          <t>GridFooter</t>
        </is>
      </c>
      <c r="D98" s="13" t="inlineStr">
        <is>
          <t>consumer ref receives the rendered element</t>
        </is>
      </c>
      <c r="E98" s="18" t="inlineStr">
        <is>
          <t>yes</t>
        </is>
      </c>
      <c r="F98" s="19" t="inlineStr">
        <is>
          <t>no</t>
        </is>
      </c>
      <c r="G98" s="12" t="inlineStr">
        <is>
          <t>ready for manual test</t>
        </is>
      </c>
      <c r="H98" s="20" t="inlineStr">
        <is>
          <t>untested</t>
        </is>
      </c>
      <c r="I98" s="13" t="inlineStr">
        <is>
          <t>TreeGrid playground scenario.</t>
        </is>
      </c>
      <c r="J98" s="13" t="inlineStr">
        <is>
          <t>Manual verification needed.</t>
        </is>
      </c>
      <c r="K98" s="14">
        <f>IF(AND(E98="yes",F98="yes",H98="covered"),1,IF(H98="partial",0.5,0))</f>
        <v/>
      </c>
    </row>
    <row r="99" ht="15" customHeight="1" s="24">
      <c r="A99" s="12" t="n">
        <v>91</v>
      </c>
      <c r="B99" s="13" t="inlineStr">
        <is>
          <t>Anatomy</t>
        </is>
      </c>
      <c r="C99" s="13" t="inlineStr">
        <is>
          <t>GridHeader</t>
        </is>
      </c>
      <c r="D99" s="13" t="inlineStr">
        <is>
          <t>renders correct part when expected</t>
        </is>
      </c>
      <c r="E99" s="18" t="inlineStr">
        <is>
          <t>yes</t>
        </is>
      </c>
      <c r="F99" s="19" t="inlineStr">
        <is>
          <t>no</t>
        </is>
      </c>
      <c r="G99" s="12" t="inlineStr">
        <is>
          <t>ready for manual test</t>
        </is>
      </c>
      <c r="H99" s="20" t="inlineStr">
        <is>
          <t>untested</t>
        </is>
      </c>
      <c r="I99" s="13" t="inlineStr">
        <is>
          <t>TreeGrid playground scenario.</t>
        </is>
      </c>
      <c r="J99" s="13" t="inlineStr">
        <is>
          <t>Manual verification needed.</t>
        </is>
      </c>
      <c r="K99" s="14">
        <f>IF(AND(E99="yes",F99="yes",H99="covered"),1,IF(H99="partial",0.5,0))</f>
        <v/>
      </c>
    </row>
    <row r="100" ht="15" customHeight="1" s="24">
      <c r="A100" s="12" t="n">
        <v>92</v>
      </c>
      <c r="B100" s="13" t="inlineStr">
        <is>
          <t>Anatomy</t>
        </is>
      </c>
      <c r="C100" s="13" t="inlineStr">
        <is>
          <t>GridHeader</t>
        </is>
      </c>
      <c r="D100" s="13" t="inlineStr">
        <is>
          <t>appears in documented order</t>
        </is>
      </c>
      <c r="E100" s="18" t="inlineStr">
        <is>
          <t>yes</t>
        </is>
      </c>
      <c r="F100" s="19" t="inlineStr">
        <is>
          <t>no</t>
        </is>
      </c>
      <c r="G100" s="12" t="inlineStr">
        <is>
          <t>ready for manual test</t>
        </is>
      </c>
      <c r="H100" s="20" t="inlineStr">
        <is>
          <t>untested</t>
        </is>
      </c>
      <c r="I100" s="13" t="inlineStr">
        <is>
          <t>TreeGrid playground scenario.</t>
        </is>
      </c>
      <c r="J100" s="13" t="inlineStr">
        <is>
          <t>Manual verification needed.</t>
        </is>
      </c>
      <c r="K100" s="14">
        <f>IF(AND(E100="yes",F100="yes",H100="covered"),1,IF(H100="partial",0.5,0))</f>
        <v/>
      </c>
    </row>
    <row r="101" ht="15" customHeight="1" s="24">
      <c r="A101" s="12" t="n">
        <v>93</v>
      </c>
      <c r="B101" s="13" t="inlineStr">
        <is>
          <t>Identity</t>
        </is>
      </c>
      <c r="C101" s="13" t="inlineStr">
        <is>
          <t>GridHeader</t>
        </is>
      </c>
      <c r="D101" s="13" t="inlineStr">
        <is>
          <t>default tag is visible in Anatomy/Inspector</t>
        </is>
      </c>
      <c r="E101" s="18" t="inlineStr">
        <is>
          <t>yes</t>
        </is>
      </c>
      <c r="F101" s="19" t="inlineStr">
        <is>
          <t>no</t>
        </is>
      </c>
      <c r="G101" s="12" t="inlineStr">
        <is>
          <t>ready for manual test</t>
        </is>
      </c>
      <c r="H101" s="20" t="inlineStr">
        <is>
          <t>untested</t>
        </is>
      </c>
      <c r="I101" s="13" t="inlineStr">
        <is>
          <t>TreeGrid playground scenario.</t>
        </is>
      </c>
      <c r="J101" s="13" t="inlineStr">
        <is>
          <t>Manual verification needed.</t>
        </is>
      </c>
      <c r="K101" s="14">
        <f>IF(AND(E101="yes",F101="yes",H101="covered"),1,IF(H101="partial",0.5,0))</f>
        <v/>
      </c>
    </row>
    <row r="102" ht="15" customHeight="1" s="24">
      <c r="A102" s="12" t="n">
        <v>94</v>
      </c>
      <c r="B102" s="13" t="inlineStr">
        <is>
          <t>Identity</t>
        </is>
      </c>
      <c r="C102" s="13" t="inlineStr">
        <is>
          <t>GridHeader</t>
        </is>
      </c>
      <c r="D102" s="13" t="inlineStr">
        <is>
          <t>data-slot is present and correct</t>
        </is>
      </c>
      <c r="E102" s="18" t="inlineStr">
        <is>
          <t>yes</t>
        </is>
      </c>
      <c r="F102" s="19" t="inlineStr">
        <is>
          <t>no</t>
        </is>
      </c>
      <c r="G102" s="12" t="inlineStr">
        <is>
          <t>ready for manual test</t>
        </is>
      </c>
      <c r="H102" s="20" t="inlineStr">
        <is>
          <t>untested</t>
        </is>
      </c>
      <c r="I102" s="13" t="inlineStr">
        <is>
          <t>TreeGrid playground scenario.</t>
        </is>
      </c>
      <c r="J102" s="13" t="inlineStr">
        <is>
          <t>Manual verification needed.</t>
        </is>
      </c>
      <c r="K102" s="14">
        <f>IF(AND(E102="yes",F102="yes",H102="covered"),1,IF(H102="partial",0.5,0))</f>
        <v/>
      </c>
    </row>
    <row r="103" ht="30" customHeight="1" s="24">
      <c r="A103" s="12" t="n">
        <v>95</v>
      </c>
      <c r="B103" s="13" t="inlineStr">
        <is>
          <t>Props</t>
        </is>
      </c>
      <c r="C103" s="13" t="inlineStr">
        <is>
          <t>GridHeader</t>
        </is>
      </c>
      <c r="D103" s="13" t="inlineStr">
        <is>
          <t>non-Atom native props pass through with data-prop-check marker</t>
        </is>
      </c>
      <c r="E103" s="18" t="inlineStr">
        <is>
          <t>yes</t>
        </is>
      </c>
      <c r="F103" s="19" t="inlineStr">
        <is>
          <t>no</t>
        </is>
      </c>
      <c r="G103" s="12" t="inlineStr">
        <is>
          <t>ready for manual test</t>
        </is>
      </c>
      <c r="H103" s="20" t="inlineStr">
        <is>
          <t>untested</t>
        </is>
      </c>
      <c r="I103" s="13" t="inlineStr">
        <is>
          <t>TreeGrid playground scenario.</t>
        </is>
      </c>
      <c r="J103" s="13" t="inlineStr">
        <is>
          <t>Manual verification needed.</t>
        </is>
      </c>
      <c r="K103" s="14">
        <f>IF(AND(E103="yes",F103="yes",H103="covered"),1,IF(H103="partial",0.5,0))</f>
        <v/>
      </c>
    </row>
    <row r="104" ht="15" customHeight="1" s="24">
      <c r="A104" s="12" t="n">
        <v>96</v>
      </c>
      <c r="B104" s="13" t="inlineStr">
        <is>
          <t>Refs</t>
        </is>
      </c>
      <c r="C104" s="13" t="inlineStr">
        <is>
          <t>GridHeader</t>
        </is>
      </c>
      <c r="D104" s="13" t="inlineStr">
        <is>
          <t>consumer ref receives the rendered element</t>
        </is>
      </c>
      <c r="E104" s="18" t="inlineStr">
        <is>
          <t>yes</t>
        </is>
      </c>
      <c r="F104" s="19" t="inlineStr">
        <is>
          <t>no</t>
        </is>
      </c>
      <c r="G104" s="12" t="inlineStr">
        <is>
          <t>ready for manual test</t>
        </is>
      </c>
      <c r="H104" s="20" t="inlineStr">
        <is>
          <t>untested</t>
        </is>
      </c>
      <c r="I104" s="13" t="inlineStr">
        <is>
          <t>TreeGrid playground scenario.</t>
        </is>
      </c>
      <c r="J104" s="13" t="inlineStr">
        <is>
          <t>Manual verification needed.</t>
        </is>
      </c>
      <c r="K104" s="14">
        <f>IF(AND(E104="yes",F104="yes",H104="covered"),1,IF(H104="partial",0.5,0))</f>
        <v/>
      </c>
    </row>
    <row r="105" ht="15" customHeight="1" s="24">
      <c r="A105" s="12" t="n">
        <v>97</v>
      </c>
      <c r="B105" s="13" t="inlineStr">
        <is>
          <t>Anatomy</t>
        </is>
      </c>
      <c r="C105" s="13" t="inlineStr">
        <is>
          <t>GridRow</t>
        </is>
      </c>
      <c r="D105" s="13" t="inlineStr">
        <is>
          <t>renders correct part when expected</t>
        </is>
      </c>
      <c r="E105" s="18" t="inlineStr">
        <is>
          <t>yes</t>
        </is>
      </c>
      <c r="F105" s="19" t="inlineStr">
        <is>
          <t>no</t>
        </is>
      </c>
      <c r="G105" s="12" t="inlineStr">
        <is>
          <t>ready for manual test</t>
        </is>
      </c>
      <c r="H105" s="20" t="inlineStr">
        <is>
          <t>untested</t>
        </is>
      </c>
      <c r="I105" s="13" t="inlineStr">
        <is>
          <t>TreeGrid playground scenario.</t>
        </is>
      </c>
      <c r="J105" s="13" t="inlineStr">
        <is>
          <t>Manual verification needed.</t>
        </is>
      </c>
      <c r="K105" s="14">
        <f>IF(AND(E105="yes",F105="yes",H105="covered"),1,IF(H105="partial",0.5,0))</f>
        <v/>
      </c>
    </row>
    <row r="106" ht="15" customHeight="1" s="24">
      <c r="A106" s="12" t="n">
        <v>98</v>
      </c>
      <c r="B106" s="13" t="inlineStr">
        <is>
          <t>Anatomy</t>
        </is>
      </c>
      <c r="C106" s="13" t="inlineStr">
        <is>
          <t>GridRow</t>
        </is>
      </c>
      <c r="D106" s="13" t="inlineStr">
        <is>
          <t>appears in documented order</t>
        </is>
      </c>
      <c r="E106" s="18" t="inlineStr">
        <is>
          <t>yes</t>
        </is>
      </c>
      <c r="F106" s="19" t="inlineStr">
        <is>
          <t>no</t>
        </is>
      </c>
      <c r="G106" s="12" t="inlineStr">
        <is>
          <t>ready for manual test</t>
        </is>
      </c>
      <c r="H106" s="20" t="inlineStr">
        <is>
          <t>untested</t>
        </is>
      </c>
      <c r="I106" s="13" t="inlineStr">
        <is>
          <t>TreeGrid playground scenario.</t>
        </is>
      </c>
      <c r="J106" s="13" t="inlineStr">
        <is>
          <t>Manual verification needed.</t>
        </is>
      </c>
      <c r="K106" s="14">
        <f>IF(AND(E106="yes",F106="yes",H106="covered"),1,IF(H106="partial",0.5,0))</f>
        <v/>
      </c>
    </row>
    <row r="107" ht="15" customHeight="1" s="24">
      <c r="A107" s="12" t="n">
        <v>99</v>
      </c>
      <c r="B107" s="13" t="inlineStr">
        <is>
          <t>Identity</t>
        </is>
      </c>
      <c r="C107" s="13" t="inlineStr">
        <is>
          <t>GridRow</t>
        </is>
      </c>
      <c r="D107" s="13" t="inlineStr">
        <is>
          <t>default tag is visible in Anatomy/Inspector</t>
        </is>
      </c>
      <c r="E107" s="18" t="inlineStr">
        <is>
          <t>yes</t>
        </is>
      </c>
      <c r="F107" s="19" t="inlineStr">
        <is>
          <t>no</t>
        </is>
      </c>
      <c r="G107" s="12" t="inlineStr">
        <is>
          <t>ready for manual test</t>
        </is>
      </c>
      <c r="H107" s="20" t="inlineStr">
        <is>
          <t>untested</t>
        </is>
      </c>
      <c r="I107" s="13" t="inlineStr">
        <is>
          <t>TreeGrid playground scenario.</t>
        </is>
      </c>
      <c r="J107" s="13" t="inlineStr">
        <is>
          <t>Manual verification needed.</t>
        </is>
      </c>
      <c r="K107" s="14">
        <f>IF(AND(E107="yes",F107="yes",H107="covered"),1,IF(H107="partial",0.5,0))</f>
        <v/>
      </c>
    </row>
    <row r="108" ht="15" customHeight="1" s="24">
      <c r="A108" s="12" t="n">
        <v>100</v>
      </c>
      <c r="B108" s="13" t="inlineStr">
        <is>
          <t>Identity</t>
        </is>
      </c>
      <c r="C108" s="13" t="inlineStr">
        <is>
          <t>GridRow</t>
        </is>
      </c>
      <c r="D108" s="13" t="inlineStr">
        <is>
          <t>data-slot is present and correct</t>
        </is>
      </c>
      <c r="E108" s="18" t="inlineStr">
        <is>
          <t>yes</t>
        </is>
      </c>
      <c r="F108" s="19" t="inlineStr">
        <is>
          <t>no</t>
        </is>
      </c>
      <c r="G108" s="12" t="inlineStr">
        <is>
          <t>ready for manual test</t>
        </is>
      </c>
      <c r="H108" s="20" t="inlineStr">
        <is>
          <t>untested</t>
        </is>
      </c>
      <c r="I108" s="13" t="inlineStr">
        <is>
          <t>TreeGrid playground scenario.</t>
        </is>
      </c>
      <c r="J108" s="13" t="inlineStr">
        <is>
          <t>Manual verification needed.</t>
        </is>
      </c>
      <c r="K108" s="14">
        <f>IF(AND(E108="yes",F108="yes",H108="covered"),1,IF(H108="partial",0.5,0))</f>
        <v/>
      </c>
    </row>
    <row r="109" ht="30" customHeight="1" s="24">
      <c r="A109" s="12" t="n">
        <v>101</v>
      </c>
      <c r="B109" s="13" t="inlineStr">
        <is>
          <t>Props</t>
        </is>
      </c>
      <c r="C109" s="13" t="inlineStr">
        <is>
          <t>GridRow</t>
        </is>
      </c>
      <c r="D109" s="13" t="inlineStr">
        <is>
          <t>non-Atom native props pass through with data-prop-check marker</t>
        </is>
      </c>
      <c r="E109" s="18" t="inlineStr">
        <is>
          <t>yes</t>
        </is>
      </c>
      <c r="F109" s="19" t="inlineStr">
        <is>
          <t>no</t>
        </is>
      </c>
      <c r="G109" s="12" t="inlineStr">
        <is>
          <t>ready for manual test</t>
        </is>
      </c>
      <c r="H109" s="20" t="inlineStr">
        <is>
          <t>untested</t>
        </is>
      </c>
      <c r="I109" s="13" t="inlineStr">
        <is>
          <t>TreeGrid playground scenario.</t>
        </is>
      </c>
      <c r="J109" s="13" t="inlineStr">
        <is>
          <t>Manual verification needed.</t>
        </is>
      </c>
      <c r="K109" s="14">
        <f>IF(AND(E109="yes",F109="yes",H109="covered"),1,IF(H109="partial",0.5,0))</f>
        <v/>
      </c>
    </row>
    <row r="110" ht="15" customHeight="1" s="24">
      <c r="A110" s="12" t="n">
        <v>102</v>
      </c>
      <c r="B110" s="13" t="inlineStr">
        <is>
          <t>Refs</t>
        </is>
      </c>
      <c r="C110" s="13" t="inlineStr">
        <is>
          <t>GridRow</t>
        </is>
      </c>
      <c r="D110" s="13" t="inlineStr">
        <is>
          <t>consumer ref receives the rendered element</t>
        </is>
      </c>
      <c r="E110" s="18" t="inlineStr">
        <is>
          <t>yes</t>
        </is>
      </c>
      <c r="F110" s="19" t="inlineStr">
        <is>
          <t>no</t>
        </is>
      </c>
      <c r="G110" s="12" t="inlineStr">
        <is>
          <t>ready for manual test</t>
        </is>
      </c>
      <c r="H110" s="20" t="inlineStr">
        <is>
          <t>untested</t>
        </is>
      </c>
      <c r="I110" s="13" t="inlineStr">
        <is>
          <t>TreeGrid playground scenario.</t>
        </is>
      </c>
      <c r="J110" s="13" t="inlineStr">
        <is>
          <t>Manual verification needed.</t>
        </is>
      </c>
      <c r="K110" s="14">
        <f>IF(AND(E110="yes",F110="yes",H110="covered"),1,IF(H110="partial",0.5,0))</f>
        <v/>
      </c>
    </row>
    <row r="111" ht="15" customHeight="1" s="24">
      <c r="A111" s="12" t="n">
        <v>103</v>
      </c>
      <c r="B111" s="13" t="inlineStr">
        <is>
          <t>Anatomy</t>
        </is>
      </c>
      <c r="C111" s="13" t="inlineStr">
        <is>
          <t>GridRowHeader</t>
        </is>
      </c>
      <c r="D111" s="13" t="inlineStr">
        <is>
          <t>renders correct part when expected</t>
        </is>
      </c>
      <c r="E111" s="18" t="inlineStr">
        <is>
          <t>yes</t>
        </is>
      </c>
      <c r="F111" s="19" t="inlineStr">
        <is>
          <t>no</t>
        </is>
      </c>
      <c r="G111" s="12" t="inlineStr">
        <is>
          <t>ready for manual test</t>
        </is>
      </c>
      <c r="H111" s="20" t="inlineStr">
        <is>
          <t>untested</t>
        </is>
      </c>
      <c r="I111" s="13" t="inlineStr">
        <is>
          <t>TreeGrid playground scenario.</t>
        </is>
      </c>
      <c r="J111" s="13" t="inlineStr">
        <is>
          <t>Manual verification needed.</t>
        </is>
      </c>
      <c r="K111" s="14">
        <f>IF(AND(E111="yes",F111="yes",H111="covered"),1,IF(H111="partial",0.5,0))</f>
        <v/>
      </c>
    </row>
    <row r="112" ht="15" customHeight="1" s="24">
      <c r="A112" s="12" t="n">
        <v>104</v>
      </c>
      <c r="B112" s="13" t="inlineStr">
        <is>
          <t>Anatomy</t>
        </is>
      </c>
      <c r="C112" s="13" t="inlineStr">
        <is>
          <t>GridRowHeader</t>
        </is>
      </c>
      <c r="D112" s="13" t="inlineStr">
        <is>
          <t>appears in documented order</t>
        </is>
      </c>
      <c r="E112" s="18" t="inlineStr">
        <is>
          <t>yes</t>
        </is>
      </c>
      <c r="F112" s="19" t="inlineStr">
        <is>
          <t>no</t>
        </is>
      </c>
      <c r="G112" s="12" t="inlineStr">
        <is>
          <t>ready for manual test</t>
        </is>
      </c>
      <c r="H112" s="20" t="inlineStr">
        <is>
          <t>untested</t>
        </is>
      </c>
      <c r="I112" s="13" t="inlineStr">
        <is>
          <t>TreeGrid playground scenario.</t>
        </is>
      </c>
      <c r="J112" s="13" t="inlineStr">
        <is>
          <t>Manual verification needed.</t>
        </is>
      </c>
      <c r="K112" s="14">
        <f>IF(AND(E112="yes",F112="yes",H112="covered"),1,IF(H112="partial",0.5,0))</f>
        <v/>
      </c>
    </row>
    <row r="113" ht="15" customHeight="1" s="24">
      <c r="A113" s="12" t="n">
        <v>105</v>
      </c>
      <c r="B113" s="13" t="inlineStr">
        <is>
          <t>Identity</t>
        </is>
      </c>
      <c r="C113" s="13" t="inlineStr">
        <is>
          <t>GridRowHeader</t>
        </is>
      </c>
      <c r="D113" s="13" t="inlineStr">
        <is>
          <t>default tag is visible in Anatomy/Inspector</t>
        </is>
      </c>
      <c r="E113" s="18" t="inlineStr">
        <is>
          <t>yes</t>
        </is>
      </c>
      <c r="F113" s="19" t="inlineStr">
        <is>
          <t>no</t>
        </is>
      </c>
      <c r="G113" s="12" t="inlineStr">
        <is>
          <t>ready for manual test</t>
        </is>
      </c>
      <c r="H113" s="20" t="inlineStr">
        <is>
          <t>untested</t>
        </is>
      </c>
      <c r="I113" s="13" t="inlineStr">
        <is>
          <t>TreeGrid playground scenario.</t>
        </is>
      </c>
      <c r="J113" s="13" t="inlineStr">
        <is>
          <t>Manual verification needed.</t>
        </is>
      </c>
      <c r="K113" s="14">
        <f>IF(AND(E113="yes",F113="yes",H113="covered"),1,IF(H113="partial",0.5,0))</f>
        <v/>
      </c>
    </row>
    <row r="114" ht="15" customHeight="1" s="24">
      <c r="A114" s="12" t="n">
        <v>106</v>
      </c>
      <c r="B114" s="13" t="inlineStr">
        <is>
          <t>Identity</t>
        </is>
      </c>
      <c r="C114" s="13" t="inlineStr">
        <is>
          <t>GridRowHeader</t>
        </is>
      </c>
      <c r="D114" s="13" t="inlineStr">
        <is>
          <t>data-slot is present and correct</t>
        </is>
      </c>
      <c r="E114" s="18" t="inlineStr">
        <is>
          <t>yes</t>
        </is>
      </c>
      <c r="F114" s="19" t="inlineStr">
        <is>
          <t>no</t>
        </is>
      </c>
      <c r="G114" s="12" t="inlineStr">
        <is>
          <t>ready for manual test</t>
        </is>
      </c>
      <c r="H114" s="20" t="inlineStr">
        <is>
          <t>untested</t>
        </is>
      </c>
      <c r="I114" s="13" t="inlineStr">
        <is>
          <t>TreeGrid playground scenario.</t>
        </is>
      </c>
      <c r="J114" s="13" t="inlineStr">
        <is>
          <t>Manual verification needed.</t>
        </is>
      </c>
      <c r="K114" s="14">
        <f>IF(AND(E114="yes",F114="yes",H114="covered"),1,IF(H114="partial",0.5,0))</f>
        <v/>
      </c>
    </row>
    <row r="115" ht="30" customHeight="1" s="24">
      <c r="A115" s="12" t="n">
        <v>107</v>
      </c>
      <c r="B115" s="13" t="inlineStr">
        <is>
          <t>Props</t>
        </is>
      </c>
      <c r="C115" s="13" t="inlineStr">
        <is>
          <t>GridRowHeader</t>
        </is>
      </c>
      <c r="D115" s="13" t="inlineStr">
        <is>
          <t>non-Atom native props pass through with data-prop-check marker</t>
        </is>
      </c>
      <c r="E115" s="18" t="inlineStr">
        <is>
          <t>yes</t>
        </is>
      </c>
      <c r="F115" s="19" t="inlineStr">
        <is>
          <t>no</t>
        </is>
      </c>
      <c r="G115" s="12" t="inlineStr">
        <is>
          <t>ready for manual test</t>
        </is>
      </c>
      <c r="H115" s="20" t="inlineStr">
        <is>
          <t>untested</t>
        </is>
      </c>
      <c r="I115" s="13" t="inlineStr">
        <is>
          <t>TreeGrid playground scenario.</t>
        </is>
      </c>
      <c r="J115" s="13" t="inlineStr">
        <is>
          <t>Manual verification needed.</t>
        </is>
      </c>
      <c r="K115" s="14">
        <f>IF(AND(E115="yes",F115="yes",H115="covered"),1,IF(H115="partial",0.5,0))</f>
        <v/>
      </c>
    </row>
    <row r="116" ht="15" customHeight="1" s="24">
      <c r="A116" s="12" t="n">
        <v>108</v>
      </c>
      <c r="B116" s="13" t="inlineStr">
        <is>
          <t>Refs</t>
        </is>
      </c>
      <c r="C116" s="13" t="inlineStr">
        <is>
          <t>GridRowHeader</t>
        </is>
      </c>
      <c r="D116" s="13" t="inlineStr">
        <is>
          <t>consumer ref receives the rendered element</t>
        </is>
      </c>
      <c r="E116" s="18" t="inlineStr">
        <is>
          <t>yes</t>
        </is>
      </c>
      <c r="F116" s="19" t="inlineStr">
        <is>
          <t>no</t>
        </is>
      </c>
      <c r="G116" s="12" t="inlineStr">
        <is>
          <t>ready for manual test</t>
        </is>
      </c>
      <c r="H116" s="20" t="inlineStr">
        <is>
          <t>untested</t>
        </is>
      </c>
      <c r="I116" s="13" t="inlineStr">
        <is>
          <t>TreeGrid playground scenario.</t>
        </is>
      </c>
      <c r="J116" s="13" t="inlineStr">
        <is>
          <t>Manual verification needed.</t>
        </is>
      </c>
      <c r="K116" s="14">
        <f>IF(AND(E116="yes",F116="yes",H116="covered"),1,IF(H116="partial",0.5,0))</f>
        <v/>
      </c>
    </row>
    <row r="117" ht="15" customHeight="1" s="24">
      <c r="A117" s="12" t="n">
        <v>109</v>
      </c>
      <c r="B117" s="13" t="inlineStr">
        <is>
          <t>Anatomy</t>
        </is>
      </c>
      <c r="C117" s="13" t="inlineStr">
        <is>
          <t>Header</t>
        </is>
      </c>
      <c r="D117" s="13" t="inlineStr">
        <is>
          <t>renders correct part when expected</t>
        </is>
      </c>
      <c r="E117" s="18" t="inlineStr">
        <is>
          <t>yes</t>
        </is>
      </c>
      <c r="F117" s="19" t="inlineStr">
        <is>
          <t>no</t>
        </is>
      </c>
      <c r="G117" s="12" t="inlineStr">
        <is>
          <t>ready for manual test</t>
        </is>
      </c>
      <c r="H117" s="20" t="inlineStr">
        <is>
          <t>untested</t>
        </is>
      </c>
      <c r="I117" s="13" t="inlineStr">
        <is>
          <t>TreeGrid playground scenario.</t>
        </is>
      </c>
      <c r="J117" s="13" t="inlineStr">
        <is>
          <t>Manual verification needed.</t>
        </is>
      </c>
      <c r="K117" s="14">
        <f>IF(AND(E117="yes",F117="yes",H117="covered"),1,IF(H117="partial",0.5,0))</f>
        <v/>
      </c>
    </row>
    <row r="118" ht="15" customHeight="1" s="24">
      <c r="A118" s="12" t="n">
        <v>110</v>
      </c>
      <c r="B118" s="13" t="inlineStr">
        <is>
          <t>Anatomy</t>
        </is>
      </c>
      <c r="C118" s="13" t="inlineStr">
        <is>
          <t>Header</t>
        </is>
      </c>
      <c r="D118" s="13" t="inlineStr">
        <is>
          <t>appears in documented order</t>
        </is>
      </c>
      <c r="E118" s="18" t="inlineStr">
        <is>
          <t>yes</t>
        </is>
      </c>
      <c r="F118" s="19" t="inlineStr">
        <is>
          <t>no</t>
        </is>
      </c>
      <c r="G118" s="12" t="inlineStr">
        <is>
          <t>ready for manual test</t>
        </is>
      </c>
      <c r="H118" s="20" t="inlineStr">
        <is>
          <t>untested</t>
        </is>
      </c>
      <c r="I118" s="13" t="inlineStr">
        <is>
          <t>TreeGrid playground scenario.</t>
        </is>
      </c>
      <c r="J118" s="13" t="inlineStr">
        <is>
          <t>Manual verification needed.</t>
        </is>
      </c>
      <c r="K118" s="14">
        <f>IF(AND(E118="yes",F118="yes",H118="covered"),1,IF(H118="partial",0.5,0))</f>
        <v/>
      </c>
    </row>
    <row r="119" ht="15" customHeight="1" s="24">
      <c r="A119" s="12" t="n">
        <v>111</v>
      </c>
      <c r="B119" s="13" t="inlineStr">
        <is>
          <t>Identity</t>
        </is>
      </c>
      <c r="C119" s="13" t="inlineStr">
        <is>
          <t>Header</t>
        </is>
      </c>
      <c r="D119" s="13" t="inlineStr">
        <is>
          <t>default tag is visible in Anatomy/Inspector</t>
        </is>
      </c>
      <c r="E119" s="18" t="inlineStr">
        <is>
          <t>yes</t>
        </is>
      </c>
      <c r="F119" s="19" t="inlineStr">
        <is>
          <t>no</t>
        </is>
      </c>
      <c r="G119" s="12" t="inlineStr">
        <is>
          <t>ready for manual test</t>
        </is>
      </c>
      <c r="H119" s="20" t="inlineStr">
        <is>
          <t>untested</t>
        </is>
      </c>
      <c r="I119" s="13" t="inlineStr">
        <is>
          <t>TreeGrid playground scenario.</t>
        </is>
      </c>
      <c r="J119" s="13" t="inlineStr">
        <is>
          <t>Manual verification needed.</t>
        </is>
      </c>
      <c r="K119" s="14">
        <f>IF(AND(E119="yes",F119="yes",H119="covered"),1,IF(H119="partial",0.5,0))</f>
        <v/>
      </c>
    </row>
    <row r="120" ht="15" customHeight="1" s="24">
      <c r="A120" s="12" t="n">
        <v>112</v>
      </c>
      <c r="B120" s="13" t="inlineStr">
        <is>
          <t>Identity</t>
        </is>
      </c>
      <c r="C120" s="13" t="inlineStr">
        <is>
          <t>Header</t>
        </is>
      </c>
      <c r="D120" s="13" t="inlineStr">
        <is>
          <t>data-slot is present and correct</t>
        </is>
      </c>
      <c r="E120" s="18" t="inlineStr">
        <is>
          <t>yes</t>
        </is>
      </c>
      <c r="F120" s="19" t="inlineStr">
        <is>
          <t>no</t>
        </is>
      </c>
      <c r="G120" s="12" t="inlineStr">
        <is>
          <t>ready for manual test</t>
        </is>
      </c>
      <c r="H120" s="20" t="inlineStr">
        <is>
          <t>untested</t>
        </is>
      </c>
      <c r="I120" s="13" t="inlineStr">
        <is>
          <t>TreeGrid playground scenario.</t>
        </is>
      </c>
      <c r="J120" s="13" t="inlineStr">
        <is>
          <t>Manual verification needed.</t>
        </is>
      </c>
      <c r="K120" s="14">
        <f>IF(AND(E120="yes",F120="yes",H120="covered"),1,IF(H120="partial",0.5,0))</f>
        <v/>
      </c>
    </row>
    <row r="121" ht="30" customHeight="1" s="24">
      <c r="A121" s="12" t="n">
        <v>113</v>
      </c>
      <c r="B121" s="13" t="inlineStr">
        <is>
          <t>Props</t>
        </is>
      </c>
      <c r="C121" s="13" t="inlineStr">
        <is>
          <t>Header</t>
        </is>
      </c>
      <c r="D121" s="13" t="inlineStr">
        <is>
          <t>non-Atom native props pass through with data-prop-check marker</t>
        </is>
      </c>
      <c r="E121" s="18" t="inlineStr">
        <is>
          <t>yes</t>
        </is>
      </c>
      <c r="F121" s="19" t="inlineStr">
        <is>
          <t>no</t>
        </is>
      </c>
      <c r="G121" s="12" t="inlineStr">
        <is>
          <t>ready for manual test</t>
        </is>
      </c>
      <c r="H121" s="20" t="inlineStr">
        <is>
          <t>untested</t>
        </is>
      </c>
      <c r="I121" s="13" t="inlineStr">
        <is>
          <t>TreeGrid playground scenario.</t>
        </is>
      </c>
      <c r="J121" s="13" t="inlineStr">
        <is>
          <t>Manual verification needed.</t>
        </is>
      </c>
      <c r="K121" s="14">
        <f>IF(AND(E121="yes",F121="yes",H121="covered"),1,IF(H121="partial",0.5,0))</f>
        <v/>
      </c>
    </row>
    <row r="122" ht="15" customHeight="1" s="24">
      <c r="A122" s="12" t="n">
        <v>114</v>
      </c>
      <c r="B122" s="13" t="inlineStr">
        <is>
          <t>Refs</t>
        </is>
      </c>
      <c r="C122" s="13" t="inlineStr">
        <is>
          <t>Header</t>
        </is>
      </c>
      <c r="D122" s="13" t="inlineStr">
        <is>
          <t>consumer ref receives the rendered element</t>
        </is>
      </c>
      <c r="E122" s="18" t="inlineStr">
        <is>
          <t>yes</t>
        </is>
      </c>
      <c r="F122" s="19" t="inlineStr">
        <is>
          <t>no</t>
        </is>
      </c>
      <c r="G122" s="12" t="inlineStr">
        <is>
          <t>ready for manual test</t>
        </is>
      </c>
      <c r="H122" s="20" t="inlineStr">
        <is>
          <t>untested</t>
        </is>
      </c>
      <c r="I122" s="13" t="inlineStr">
        <is>
          <t>TreeGrid playground scenario.</t>
        </is>
      </c>
      <c r="J122" s="13" t="inlineStr">
        <is>
          <t>Manual verification needed.</t>
        </is>
      </c>
      <c r="K122" s="14">
        <f>IF(AND(E122="yes",F122="yes",H122="covered"),1,IF(H122="partial",0.5,0))</f>
        <v/>
      </c>
    </row>
    <row r="123" ht="15" customHeight="1" s="24">
      <c r="A123" s="12" t="n">
        <v>115</v>
      </c>
      <c r="B123" s="13" t="inlineStr">
        <is>
          <t>Anatomy</t>
        </is>
      </c>
      <c r="C123" s="13" t="inlineStr">
        <is>
          <t>Row</t>
        </is>
      </c>
      <c r="D123" s="13" t="inlineStr">
        <is>
          <t>renders correct part when expected</t>
        </is>
      </c>
      <c r="E123" s="18" t="inlineStr">
        <is>
          <t>yes</t>
        </is>
      </c>
      <c r="F123" s="19" t="inlineStr">
        <is>
          <t>no</t>
        </is>
      </c>
      <c r="G123" s="12" t="inlineStr">
        <is>
          <t>ready for manual test</t>
        </is>
      </c>
      <c r="H123" s="20" t="inlineStr">
        <is>
          <t>untested</t>
        </is>
      </c>
      <c r="I123" s="13" t="inlineStr">
        <is>
          <t>TreeGrid playground scenario.</t>
        </is>
      </c>
      <c r="J123" s="13" t="inlineStr">
        <is>
          <t>Manual verification needed.</t>
        </is>
      </c>
      <c r="K123" s="14">
        <f>IF(AND(E123="yes",F123="yes",H123="covered"),1,IF(H123="partial",0.5,0))</f>
        <v/>
      </c>
    </row>
    <row r="124" ht="15" customHeight="1" s="24">
      <c r="A124" s="12" t="n">
        <v>116</v>
      </c>
      <c r="B124" s="13" t="inlineStr">
        <is>
          <t>Anatomy</t>
        </is>
      </c>
      <c r="C124" s="13" t="inlineStr">
        <is>
          <t>Row</t>
        </is>
      </c>
      <c r="D124" s="13" t="inlineStr">
        <is>
          <t>appears in documented order</t>
        </is>
      </c>
      <c r="E124" s="18" t="inlineStr">
        <is>
          <t>yes</t>
        </is>
      </c>
      <c r="F124" s="19" t="inlineStr">
        <is>
          <t>no</t>
        </is>
      </c>
      <c r="G124" s="12" t="inlineStr">
        <is>
          <t>ready for manual test</t>
        </is>
      </c>
      <c r="H124" s="20" t="inlineStr">
        <is>
          <t>untested</t>
        </is>
      </c>
      <c r="I124" s="13" t="inlineStr">
        <is>
          <t>TreeGrid playground scenario.</t>
        </is>
      </c>
      <c r="J124" s="13" t="inlineStr">
        <is>
          <t>Manual verification needed.</t>
        </is>
      </c>
      <c r="K124" s="14">
        <f>IF(AND(E124="yes",F124="yes",H124="covered"),1,IF(H124="partial",0.5,0))</f>
        <v/>
      </c>
    </row>
    <row r="125" ht="15" customHeight="1" s="24">
      <c r="A125" s="12" t="n">
        <v>117</v>
      </c>
      <c r="B125" s="13" t="inlineStr">
        <is>
          <t>Identity</t>
        </is>
      </c>
      <c r="C125" s="13" t="inlineStr">
        <is>
          <t>Row</t>
        </is>
      </c>
      <c r="D125" s="13" t="inlineStr">
        <is>
          <t>default tag is visible in Anatomy/Inspector</t>
        </is>
      </c>
      <c r="E125" s="18" t="inlineStr">
        <is>
          <t>yes</t>
        </is>
      </c>
      <c r="F125" s="19" t="inlineStr">
        <is>
          <t>no</t>
        </is>
      </c>
      <c r="G125" s="12" t="inlineStr">
        <is>
          <t>ready for manual test</t>
        </is>
      </c>
      <c r="H125" s="20" t="inlineStr">
        <is>
          <t>untested</t>
        </is>
      </c>
      <c r="I125" s="13" t="inlineStr">
        <is>
          <t>TreeGrid playground scenario.</t>
        </is>
      </c>
      <c r="J125" s="13" t="inlineStr">
        <is>
          <t>Manual verification needed.</t>
        </is>
      </c>
      <c r="K125" s="14">
        <f>IF(AND(E125="yes",F125="yes",H125="covered"),1,IF(H125="partial",0.5,0))</f>
        <v/>
      </c>
    </row>
    <row r="126" ht="15" customHeight="1" s="24">
      <c r="A126" s="12" t="n">
        <v>118</v>
      </c>
      <c r="B126" s="13" t="inlineStr">
        <is>
          <t>Identity</t>
        </is>
      </c>
      <c r="C126" s="13" t="inlineStr">
        <is>
          <t>Row</t>
        </is>
      </c>
      <c r="D126" s="13" t="inlineStr">
        <is>
          <t>data-slot is present and correct</t>
        </is>
      </c>
      <c r="E126" s="18" t="inlineStr">
        <is>
          <t>yes</t>
        </is>
      </c>
      <c r="F126" s="19" t="inlineStr">
        <is>
          <t>no</t>
        </is>
      </c>
      <c r="G126" s="12" t="inlineStr">
        <is>
          <t>ready for manual test</t>
        </is>
      </c>
      <c r="H126" s="20" t="inlineStr">
        <is>
          <t>untested</t>
        </is>
      </c>
      <c r="I126" s="13" t="inlineStr">
        <is>
          <t>TreeGrid playground scenario.</t>
        </is>
      </c>
      <c r="J126" s="13" t="inlineStr">
        <is>
          <t>Manual verification needed.</t>
        </is>
      </c>
      <c r="K126" s="14">
        <f>IF(AND(E126="yes",F126="yes",H126="covered"),1,IF(H126="partial",0.5,0))</f>
        <v/>
      </c>
    </row>
    <row r="127" ht="30" customHeight="1" s="24">
      <c r="A127" s="12" t="n">
        <v>119</v>
      </c>
      <c r="B127" s="13" t="inlineStr">
        <is>
          <t>Props</t>
        </is>
      </c>
      <c r="C127" s="13" t="inlineStr">
        <is>
          <t>Row</t>
        </is>
      </c>
      <c r="D127" s="13" t="inlineStr">
        <is>
          <t>non-Atom native props pass through with data-prop-check marker</t>
        </is>
      </c>
      <c r="E127" s="18" t="inlineStr">
        <is>
          <t>yes</t>
        </is>
      </c>
      <c r="F127" s="19" t="inlineStr">
        <is>
          <t>no</t>
        </is>
      </c>
      <c r="G127" s="12" t="inlineStr">
        <is>
          <t>ready for manual test</t>
        </is>
      </c>
      <c r="H127" s="20" t="inlineStr">
        <is>
          <t>untested</t>
        </is>
      </c>
      <c r="I127" s="13" t="inlineStr">
        <is>
          <t>TreeGrid playground scenario.</t>
        </is>
      </c>
      <c r="J127" s="13" t="inlineStr">
        <is>
          <t>Manual verification needed.</t>
        </is>
      </c>
      <c r="K127" s="14">
        <f>IF(AND(E127="yes",F127="yes",H127="covered"),1,IF(H127="partial",0.5,0))</f>
        <v/>
      </c>
    </row>
    <row r="128" ht="15" customHeight="1" s="24">
      <c r="A128" s="12" t="n">
        <v>120</v>
      </c>
      <c r="B128" s="13" t="inlineStr">
        <is>
          <t>Refs</t>
        </is>
      </c>
      <c r="C128" s="13" t="inlineStr">
        <is>
          <t>Row</t>
        </is>
      </c>
      <c r="D128" s="13" t="inlineStr">
        <is>
          <t>consumer ref receives the rendered element</t>
        </is>
      </c>
      <c r="E128" s="18" t="inlineStr">
        <is>
          <t>yes</t>
        </is>
      </c>
      <c r="F128" s="19" t="inlineStr">
        <is>
          <t>no</t>
        </is>
      </c>
      <c r="G128" s="12" t="inlineStr">
        <is>
          <t>ready for manual test</t>
        </is>
      </c>
      <c r="H128" s="20" t="inlineStr">
        <is>
          <t>untested</t>
        </is>
      </c>
      <c r="I128" s="13" t="inlineStr">
        <is>
          <t>TreeGrid playground scenario.</t>
        </is>
      </c>
      <c r="J128" s="13" t="inlineStr">
        <is>
          <t>Manual verification needed.</t>
        </is>
      </c>
      <c r="K128" s="14">
        <f>IF(AND(E128="yes",F128="yes",H128="covered"),1,IF(H128="partial",0.5,0))</f>
        <v/>
      </c>
    </row>
    <row r="129" ht="15" customHeight="1" s="24">
      <c r="A129" s="12" t="n">
        <v>121</v>
      </c>
      <c r="B129" s="13" t="inlineStr">
        <is>
          <t>Public API</t>
        </is>
      </c>
      <c r="C129" s="13" t="inlineStr">
        <is>
          <t>Row</t>
        </is>
      </c>
      <c r="D129" s="13" t="inlineStr">
        <is>
          <t>rowIndex prop behavior</t>
        </is>
      </c>
      <c r="E129" s="18" t="inlineStr">
        <is>
          <t>yes</t>
        </is>
      </c>
      <c r="F129" s="19" t="inlineStr">
        <is>
          <t>no</t>
        </is>
      </c>
      <c r="G129" s="12" t="inlineStr">
        <is>
          <t>ready for manual test</t>
        </is>
      </c>
      <c r="H129" s="20" t="inlineStr">
        <is>
          <t>untested</t>
        </is>
      </c>
      <c r="I129" s="13" t="inlineStr">
        <is>
          <t>TreeGrid playground scenario.</t>
        </is>
      </c>
      <c r="J129" s="13" t="inlineStr">
        <is>
          <t>Manual verification needed.</t>
        </is>
      </c>
      <c r="K129" s="14">
        <f>IF(AND(E129="yes",F129="yes",H129="covered"),1,IF(H129="partial",0.5,0))</f>
        <v/>
      </c>
    </row>
    <row r="130" ht="15" customHeight="1" s="24">
      <c r="A130" s="12" t="n">
        <v>122</v>
      </c>
      <c r="B130" s="13" t="inlineStr">
        <is>
          <t>Public API</t>
        </is>
      </c>
      <c r="C130" s="13" t="inlineStr">
        <is>
          <t>Row</t>
        </is>
      </c>
      <c r="D130" s="13" t="inlineStr">
        <is>
          <t>index prop behavior</t>
        </is>
      </c>
      <c r="E130" s="18" t="inlineStr">
        <is>
          <t>yes</t>
        </is>
      </c>
      <c r="F130" s="19" t="inlineStr">
        <is>
          <t>no</t>
        </is>
      </c>
      <c r="G130" s="12" t="inlineStr">
        <is>
          <t>ready for manual test</t>
        </is>
      </c>
      <c r="H130" s="20" t="inlineStr">
        <is>
          <t>untested</t>
        </is>
      </c>
      <c r="I130" s="13" t="inlineStr">
        <is>
          <t>TreeGrid playground scenario.</t>
        </is>
      </c>
      <c r="J130" s="13" t="inlineStr">
        <is>
          <t>Manual verification needed.</t>
        </is>
      </c>
      <c r="K130" s="14">
        <f>IF(AND(E130="yes",F130="yes",H130="covered"),1,IF(H130="partial",0.5,0))</f>
        <v/>
      </c>
    </row>
    <row r="131" ht="15" customHeight="1" s="24">
      <c r="A131" s="12" t="n">
        <v>123</v>
      </c>
      <c r="B131" s="13" t="inlineStr">
        <is>
          <t>State</t>
        </is>
      </c>
      <c r="C131" s="13" t="inlineStr">
        <is>
          <t>Row</t>
        </is>
      </c>
      <c r="D131" s="13" t="inlineStr">
        <is>
          <t>value prop behavior</t>
        </is>
      </c>
      <c r="E131" s="18" t="inlineStr">
        <is>
          <t>yes</t>
        </is>
      </c>
      <c r="F131" s="19" t="inlineStr">
        <is>
          <t>no</t>
        </is>
      </c>
      <c r="G131" s="12" t="inlineStr">
        <is>
          <t>ready for manual test</t>
        </is>
      </c>
      <c r="H131" s="20" t="inlineStr">
        <is>
          <t>untested</t>
        </is>
      </c>
      <c r="I131" s="13" t="inlineStr">
        <is>
          <t>TreeGrid playground scenario.</t>
        </is>
      </c>
      <c r="J131" s="13" t="inlineStr">
        <is>
          <t>Manual verification needed.</t>
        </is>
      </c>
      <c r="K131" s="14">
        <f>IF(AND(E131="yes",F131="yes",H131="covered"),1,IF(H131="partial",0.5,0))</f>
        <v/>
      </c>
    </row>
    <row r="132" ht="15" customHeight="1" s="24">
      <c r="A132" s="12" t="n">
        <v>124</v>
      </c>
      <c r="B132" s="13" t="inlineStr">
        <is>
          <t>Public API</t>
        </is>
      </c>
      <c r="C132" s="13" t="inlineStr">
        <is>
          <t>Row</t>
        </is>
      </c>
      <c r="D132" s="13" t="inlineStr">
        <is>
          <t>parentValue prop behavior</t>
        </is>
      </c>
      <c r="E132" s="18" t="inlineStr">
        <is>
          <t>yes</t>
        </is>
      </c>
      <c r="F132" s="19" t="inlineStr">
        <is>
          <t>no</t>
        </is>
      </c>
      <c r="G132" s="12" t="inlineStr">
        <is>
          <t>ready for manual test</t>
        </is>
      </c>
      <c r="H132" s="20" t="inlineStr">
        <is>
          <t>untested</t>
        </is>
      </c>
      <c r="I132" s="13" t="inlineStr">
        <is>
          <t>TreeGrid playground scenario.</t>
        </is>
      </c>
      <c r="J132" s="13" t="inlineStr">
        <is>
          <t>Manual verification needed.</t>
        </is>
      </c>
      <c r="K132" s="14">
        <f>IF(AND(E132="yes",F132="yes",H132="covered"),1,IF(H132="partial",0.5,0))</f>
        <v/>
      </c>
    </row>
    <row r="133" ht="15" customHeight="1" s="24">
      <c r="A133" s="12" t="n">
        <v>125</v>
      </c>
      <c r="B133" s="13" t="inlineStr">
        <is>
          <t>Public API</t>
        </is>
      </c>
      <c r="C133" s="13" t="inlineStr">
        <is>
          <t>Row</t>
        </is>
      </c>
      <c r="D133" s="13" t="inlineStr">
        <is>
          <t>level prop behavior</t>
        </is>
      </c>
      <c r="E133" s="18" t="inlineStr">
        <is>
          <t>yes</t>
        </is>
      </c>
      <c r="F133" s="19" t="inlineStr">
        <is>
          <t>no</t>
        </is>
      </c>
      <c r="G133" s="12" t="inlineStr">
        <is>
          <t>ready for manual test</t>
        </is>
      </c>
      <c r="H133" s="20" t="inlineStr">
        <is>
          <t>untested</t>
        </is>
      </c>
      <c r="I133" s="13" t="inlineStr">
        <is>
          <t>TreeGrid playground scenario.</t>
        </is>
      </c>
      <c r="J133" s="13" t="inlineStr">
        <is>
          <t>Manual verification needed.</t>
        </is>
      </c>
      <c r="K133" s="14">
        <f>IF(AND(E133="yes",F133="yes",H133="covered"),1,IF(H133="partial",0.5,0))</f>
        <v/>
      </c>
    </row>
    <row r="134" ht="15" customHeight="1" s="24">
      <c r="A134" s="12" t="n">
        <v>126</v>
      </c>
      <c r="B134" s="13" t="inlineStr">
        <is>
          <t>Public API</t>
        </is>
      </c>
      <c r="C134" s="13" t="inlineStr">
        <is>
          <t>Row</t>
        </is>
      </c>
      <c r="D134" s="13" t="inlineStr">
        <is>
          <t>expandable prop behavior</t>
        </is>
      </c>
      <c r="E134" s="18" t="inlineStr">
        <is>
          <t>yes</t>
        </is>
      </c>
      <c r="F134" s="19" t="inlineStr">
        <is>
          <t>no</t>
        </is>
      </c>
      <c r="G134" s="12" t="inlineStr">
        <is>
          <t>ready for manual test</t>
        </is>
      </c>
      <c r="H134" s="20" t="inlineStr">
        <is>
          <t>untested</t>
        </is>
      </c>
      <c r="I134" s="13" t="inlineStr">
        <is>
          <t>TreeGrid playground scenario.</t>
        </is>
      </c>
      <c r="J134" s="13" t="inlineStr">
        <is>
          <t>Manual verification needed.</t>
        </is>
      </c>
      <c r="K134" s="14">
        <f>IF(AND(E134="yes",F134="yes",H134="covered"),1,IF(H134="partial",0.5,0))</f>
        <v/>
      </c>
    </row>
    <row r="135" ht="15" customHeight="1" s="24">
      <c r="A135" s="12" t="n">
        <v>127</v>
      </c>
      <c r="B135" s="13" t="inlineStr">
        <is>
          <t>Public API</t>
        </is>
      </c>
      <c r="C135" s="13" t="inlineStr">
        <is>
          <t>Row</t>
        </is>
      </c>
      <c r="D135" s="13" t="inlineStr">
        <is>
          <t>selectable prop behavior</t>
        </is>
      </c>
      <c r="E135" s="18" t="inlineStr">
        <is>
          <t>yes</t>
        </is>
      </c>
      <c r="F135" s="19" t="inlineStr">
        <is>
          <t>no</t>
        </is>
      </c>
      <c r="G135" s="12" t="inlineStr">
        <is>
          <t>ready for manual test</t>
        </is>
      </c>
      <c r="H135" s="20" t="inlineStr">
        <is>
          <t>untested</t>
        </is>
      </c>
      <c r="I135" s="13" t="inlineStr">
        <is>
          <t>TreeGrid playground scenario.</t>
        </is>
      </c>
      <c r="J135" s="13" t="inlineStr">
        <is>
          <t>Manual verification needed.</t>
        </is>
      </c>
      <c r="K135" s="14">
        <f>IF(AND(E135="yes",F135="yes",H135="covered"),1,IF(H135="partial",0.5,0))</f>
        <v/>
      </c>
    </row>
    <row r="136" ht="15" customHeight="1" s="24">
      <c r="A136" s="12" t="n">
        <v>128</v>
      </c>
      <c r="B136" s="13" t="inlineStr">
        <is>
          <t>State</t>
        </is>
      </c>
      <c r="C136" s="13" t="inlineStr">
        <is>
          <t>Row</t>
        </is>
      </c>
      <c r="D136" s="13" t="inlineStr">
        <is>
          <t>disabled prop behavior</t>
        </is>
      </c>
      <c r="E136" s="18" t="inlineStr">
        <is>
          <t>yes</t>
        </is>
      </c>
      <c r="F136" s="19" t="inlineStr">
        <is>
          <t>no</t>
        </is>
      </c>
      <c r="G136" s="12" t="inlineStr">
        <is>
          <t>ready for manual test</t>
        </is>
      </c>
      <c r="H136" s="20" t="inlineStr">
        <is>
          <t>untested</t>
        </is>
      </c>
      <c r="I136" s="13" t="inlineStr">
        <is>
          <t>TreeGrid playground scenario.</t>
        </is>
      </c>
      <c r="J136" s="13" t="inlineStr">
        <is>
          <t>Manual verification needed.</t>
        </is>
      </c>
      <c r="K136" s="14">
        <f>IF(AND(E136="yes",F136="yes",H136="covered"),1,IF(H136="partial",0.5,0))</f>
        <v/>
      </c>
    </row>
    <row r="137" ht="15" customHeight="1" s="24">
      <c r="A137" s="12" t="n">
        <v>129</v>
      </c>
      <c r="B137" s="13" t="inlineStr">
        <is>
          <t>Anatomy</t>
        </is>
      </c>
      <c r="C137" s="13" t="inlineStr">
        <is>
          <t>RowHeader</t>
        </is>
      </c>
      <c r="D137" s="13" t="inlineStr">
        <is>
          <t>renders correct part when expected</t>
        </is>
      </c>
      <c r="E137" s="18" t="inlineStr">
        <is>
          <t>yes</t>
        </is>
      </c>
      <c r="F137" s="19" t="inlineStr">
        <is>
          <t>no</t>
        </is>
      </c>
      <c r="G137" s="12" t="inlineStr">
        <is>
          <t>ready for manual test</t>
        </is>
      </c>
      <c r="H137" s="20" t="inlineStr">
        <is>
          <t>untested</t>
        </is>
      </c>
      <c r="I137" s="13" t="inlineStr">
        <is>
          <t>TreeGrid playground scenario.</t>
        </is>
      </c>
      <c r="J137" s="13" t="inlineStr">
        <is>
          <t>Manual verification needed.</t>
        </is>
      </c>
      <c r="K137" s="14">
        <f>IF(AND(E137="yes",F137="yes",H137="covered"),1,IF(H137="partial",0.5,0))</f>
        <v/>
      </c>
    </row>
    <row r="138" ht="15" customHeight="1" s="24">
      <c r="A138" s="12" t="n">
        <v>130</v>
      </c>
      <c r="B138" s="13" t="inlineStr">
        <is>
          <t>Anatomy</t>
        </is>
      </c>
      <c r="C138" s="13" t="inlineStr">
        <is>
          <t>RowHeader</t>
        </is>
      </c>
      <c r="D138" s="13" t="inlineStr">
        <is>
          <t>appears in documented order</t>
        </is>
      </c>
      <c r="E138" s="18" t="inlineStr">
        <is>
          <t>yes</t>
        </is>
      </c>
      <c r="F138" s="19" t="inlineStr">
        <is>
          <t>no</t>
        </is>
      </c>
      <c r="G138" s="12" t="inlineStr">
        <is>
          <t>ready for manual test</t>
        </is>
      </c>
      <c r="H138" s="20" t="inlineStr">
        <is>
          <t>untested</t>
        </is>
      </c>
      <c r="I138" s="13" t="inlineStr">
        <is>
          <t>TreeGrid playground scenario.</t>
        </is>
      </c>
      <c r="J138" s="13" t="inlineStr">
        <is>
          <t>Manual verification needed.</t>
        </is>
      </c>
      <c r="K138" s="14">
        <f>IF(AND(E138="yes",F138="yes",H138="covered"),1,IF(H138="partial",0.5,0))</f>
        <v/>
      </c>
    </row>
    <row r="139" ht="15" customHeight="1" s="24">
      <c r="A139" s="12" t="n">
        <v>131</v>
      </c>
      <c r="B139" s="13" t="inlineStr">
        <is>
          <t>Identity</t>
        </is>
      </c>
      <c r="C139" s="13" t="inlineStr">
        <is>
          <t>RowHeader</t>
        </is>
      </c>
      <c r="D139" s="13" t="inlineStr">
        <is>
          <t>default tag is visible in Anatomy/Inspector</t>
        </is>
      </c>
      <c r="E139" s="18" t="inlineStr">
        <is>
          <t>yes</t>
        </is>
      </c>
      <c r="F139" s="19" t="inlineStr">
        <is>
          <t>no</t>
        </is>
      </c>
      <c r="G139" s="12" t="inlineStr">
        <is>
          <t>ready for manual test</t>
        </is>
      </c>
      <c r="H139" s="20" t="inlineStr">
        <is>
          <t>untested</t>
        </is>
      </c>
      <c r="I139" s="13" t="inlineStr">
        <is>
          <t>TreeGrid playground scenario.</t>
        </is>
      </c>
      <c r="J139" s="13" t="inlineStr">
        <is>
          <t>Manual verification needed.</t>
        </is>
      </c>
      <c r="K139" s="14">
        <f>IF(AND(E139="yes",F139="yes",H139="covered"),1,IF(H139="partial",0.5,0))</f>
        <v/>
      </c>
    </row>
    <row r="140" ht="15" customHeight="1" s="24">
      <c r="A140" s="12" t="n">
        <v>132</v>
      </c>
      <c r="B140" s="13" t="inlineStr">
        <is>
          <t>Identity</t>
        </is>
      </c>
      <c r="C140" s="13" t="inlineStr">
        <is>
          <t>RowHeader</t>
        </is>
      </c>
      <c r="D140" s="13" t="inlineStr">
        <is>
          <t>data-slot is present and correct</t>
        </is>
      </c>
      <c r="E140" s="18" t="inlineStr">
        <is>
          <t>yes</t>
        </is>
      </c>
      <c r="F140" s="19" t="inlineStr">
        <is>
          <t>no</t>
        </is>
      </c>
      <c r="G140" s="12" t="inlineStr">
        <is>
          <t>ready for manual test</t>
        </is>
      </c>
      <c r="H140" s="20" t="inlineStr">
        <is>
          <t>untested</t>
        </is>
      </c>
      <c r="I140" s="13" t="inlineStr">
        <is>
          <t>TreeGrid playground scenario.</t>
        </is>
      </c>
      <c r="J140" s="13" t="inlineStr">
        <is>
          <t>Manual verification needed.</t>
        </is>
      </c>
      <c r="K140" s="14">
        <f>IF(AND(E140="yes",F140="yes",H140="covered"),1,IF(H140="partial",0.5,0))</f>
        <v/>
      </c>
    </row>
    <row r="141" ht="30" customHeight="1" s="24">
      <c r="A141" s="12" t="n">
        <v>133</v>
      </c>
      <c r="B141" s="13" t="inlineStr">
        <is>
          <t>Props</t>
        </is>
      </c>
      <c r="C141" s="13" t="inlineStr">
        <is>
          <t>RowHeader</t>
        </is>
      </c>
      <c r="D141" s="13" t="inlineStr">
        <is>
          <t>non-Atom native props pass through with data-prop-check marker</t>
        </is>
      </c>
      <c r="E141" s="18" t="inlineStr">
        <is>
          <t>yes</t>
        </is>
      </c>
      <c r="F141" s="19" t="inlineStr">
        <is>
          <t>no</t>
        </is>
      </c>
      <c r="G141" s="12" t="inlineStr">
        <is>
          <t>ready for manual test</t>
        </is>
      </c>
      <c r="H141" s="20" t="inlineStr">
        <is>
          <t>untested</t>
        </is>
      </c>
      <c r="I141" s="13" t="inlineStr">
        <is>
          <t>TreeGrid playground scenario.</t>
        </is>
      </c>
      <c r="J141" s="13" t="inlineStr">
        <is>
          <t>Manual verification needed.</t>
        </is>
      </c>
      <c r="K141" s="14">
        <f>IF(AND(E141="yes",F141="yes",H141="covered"),1,IF(H141="partial",0.5,0))</f>
        <v/>
      </c>
    </row>
    <row r="142" ht="15" customHeight="1" s="24">
      <c r="A142" s="12" t="n">
        <v>134</v>
      </c>
      <c r="B142" s="13" t="inlineStr">
        <is>
          <t>Refs</t>
        </is>
      </c>
      <c r="C142" s="13" t="inlineStr">
        <is>
          <t>RowHeader</t>
        </is>
      </c>
      <c r="D142" s="13" t="inlineStr">
        <is>
          <t>consumer ref receives the rendered element</t>
        </is>
      </c>
      <c r="E142" s="18" t="inlineStr">
        <is>
          <t>yes</t>
        </is>
      </c>
      <c r="F142" s="19" t="inlineStr">
        <is>
          <t>no</t>
        </is>
      </c>
      <c r="G142" s="12" t="inlineStr">
        <is>
          <t>ready for manual test</t>
        </is>
      </c>
      <c r="H142" s="20" t="inlineStr">
        <is>
          <t>untested</t>
        </is>
      </c>
      <c r="I142" s="13" t="inlineStr">
        <is>
          <t>TreeGrid playground scenario.</t>
        </is>
      </c>
      <c r="J142" s="13" t="inlineStr">
        <is>
          <t>Manual verification needed.</t>
        </is>
      </c>
      <c r="K142" s="14">
        <f>IF(AND(E142="yes",F142="yes",H142="covered"),1,IF(H142="partial",0.5,0))</f>
        <v/>
      </c>
    </row>
    <row r="143" ht="15" customHeight="1" s="24">
      <c r="A143" s="12" t="n">
        <v>135</v>
      </c>
      <c r="B143" s="13" t="inlineStr">
        <is>
          <t>ARIA</t>
        </is>
      </c>
      <c r="C143" s="13" t="inlineStr">
        <is>
          <t>Live DOM</t>
        </is>
      </c>
      <c r="D143" s="13" t="inlineStr">
        <is>
          <t>aria-activedescendant is present at the correct time</t>
        </is>
      </c>
      <c r="E143" s="18" t="inlineStr">
        <is>
          <t>yes</t>
        </is>
      </c>
      <c r="F143" s="19" t="inlineStr">
        <is>
          <t>no</t>
        </is>
      </c>
      <c r="G143" s="12" t="inlineStr">
        <is>
          <t>ready for manual test</t>
        </is>
      </c>
      <c r="H143" s="20" t="inlineStr">
        <is>
          <t>untested</t>
        </is>
      </c>
      <c r="I143" s="13" t="inlineStr">
        <is>
          <t>TreeGrid playground scenario.</t>
        </is>
      </c>
      <c r="J143" s="13" t="inlineStr">
        <is>
          <t>Manual verification needed.</t>
        </is>
      </c>
      <c r="K143" s="14">
        <f>IF(AND(E143="yes",F143="yes",H143="covered"),1,IF(H143="partial",0.5,0))</f>
        <v/>
      </c>
    </row>
    <row r="144" ht="15" customHeight="1" s="24">
      <c r="A144" s="12" t="n">
        <v>136</v>
      </c>
      <c r="B144" s="13" t="inlineStr">
        <is>
          <t>ARIA</t>
        </is>
      </c>
      <c r="C144" s="13" t="inlineStr">
        <is>
          <t>Live DOM</t>
        </is>
      </c>
      <c r="D144" s="13" t="inlineStr">
        <is>
          <t>aria-colcount is present at the correct time</t>
        </is>
      </c>
      <c r="E144" s="18" t="inlineStr">
        <is>
          <t>yes</t>
        </is>
      </c>
      <c r="F144" s="19" t="inlineStr">
        <is>
          <t>no</t>
        </is>
      </c>
      <c r="G144" s="12" t="inlineStr">
        <is>
          <t>ready for manual test</t>
        </is>
      </c>
      <c r="H144" s="20" t="inlineStr">
        <is>
          <t>untested</t>
        </is>
      </c>
      <c r="I144" s="13" t="inlineStr">
        <is>
          <t>TreeGrid playground scenario.</t>
        </is>
      </c>
      <c r="J144" s="13" t="inlineStr">
        <is>
          <t>Manual verification needed.</t>
        </is>
      </c>
      <c r="K144" s="14">
        <f>IF(AND(E144="yes",F144="yes",H144="covered"),1,IF(H144="partial",0.5,0))</f>
        <v/>
      </c>
    </row>
    <row r="145" ht="15" customHeight="1" s="24">
      <c r="A145" s="12" t="n">
        <v>137</v>
      </c>
      <c r="B145" s="13" t="inlineStr">
        <is>
          <t>ARIA</t>
        </is>
      </c>
      <c r="C145" s="13" t="inlineStr">
        <is>
          <t>Live DOM</t>
        </is>
      </c>
      <c r="D145" s="13" t="inlineStr">
        <is>
          <t>aria-colindex is present at the correct time</t>
        </is>
      </c>
      <c r="E145" s="18" t="inlineStr">
        <is>
          <t>yes</t>
        </is>
      </c>
      <c r="F145" s="19" t="inlineStr">
        <is>
          <t>no</t>
        </is>
      </c>
      <c r="G145" s="12" t="inlineStr">
        <is>
          <t>ready for manual test</t>
        </is>
      </c>
      <c r="H145" s="20" t="inlineStr">
        <is>
          <t>untested</t>
        </is>
      </c>
      <c r="I145" s="13" t="inlineStr">
        <is>
          <t>TreeGrid playground scenario.</t>
        </is>
      </c>
      <c r="J145" s="13" t="inlineStr">
        <is>
          <t>Manual verification needed.</t>
        </is>
      </c>
      <c r="K145" s="14">
        <f>IF(AND(E145="yes",F145="yes",H145="covered"),1,IF(H145="partial",0.5,0))</f>
        <v/>
      </c>
    </row>
    <row r="146" ht="15" customHeight="1" s="24">
      <c r="A146" s="12" t="n">
        <v>138</v>
      </c>
      <c r="B146" s="13" t="inlineStr">
        <is>
          <t>ARIA</t>
        </is>
      </c>
      <c r="C146" s="13" t="inlineStr">
        <is>
          <t>Live DOM</t>
        </is>
      </c>
      <c r="D146" s="13" t="inlineStr">
        <is>
          <t>aria-disabled is present at the correct time</t>
        </is>
      </c>
      <c r="E146" s="18" t="inlineStr">
        <is>
          <t>yes</t>
        </is>
      </c>
      <c r="F146" s="19" t="inlineStr">
        <is>
          <t>no</t>
        </is>
      </c>
      <c r="G146" s="12" t="inlineStr">
        <is>
          <t>ready for manual test</t>
        </is>
      </c>
      <c r="H146" s="20" t="inlineStr">
        <is>
          <t>untested</t>
        </is>
      </c>
      <c r="I146" s="13" t="inlineStr">
        <is>
          <t>TreeGrid playground scenario.</t>
        </is>
      </c>
      <c r="J146" s="13" t="inlineStr">
        <is>
          <t>Manual verification needed.</t>
        </is>
      </c>
      <c r="K146" s="14">
        <f>IF(AND(E146="yes",F146="yes",H146="covered"),1,IF(H146="partial",0.5,0))</f>
        <v/>
      </c>
    </row>
    <row r="147" ht="15" customHeight="1" s="24">
      <c r="A147" s="12" t="n">
        <v>139</v>
      </c>
      <c r="B147" s="13" t="inlineStr">
        <is>
          <t>ARIA</t>
        </is>
      </c>
      <c r="C147" s="13" t="inlineStr">
        <is>
          <t>Live DOM</t>
        </is>
      </c>
      <c r="D147" s="13" t="inlineStr">
        <is>
          <t>aria-expanded is present at the correct time</t>
        </is>
      </c>
      <c r="E147" s="18" t="inlineStr">
        <is>
          <t>yes</t>
        </is>
      </c>
      <c r="F147" s="19" t="inlineStr">
        <is>
          <t>no</t>
        </is>
      </c>
      <c r="G147" s="12" t="inlineStr">
        <is>
          <t>ready for manual test</t>
        </is>
      </c>
      <c r="H147" s="20" t="inlineStr">
        <is>
          <t>untested</t>
        </is>
      </c>
      <c r="I147" s="13" t="inlineStr">
        <is>
          <t>TreeGrid playground scenario.</t>
        </is>
      </c>
      <c r="J147" s="13" t="inlineStr">
        <is>
          <t>Manual verification needed.</t>
        </is>
      </c>
      <c r="K147" s="14">
        <f>IF(AND(E147="yes",F147="yes",H147="covered"),1,IF(H147="partial",0.5,0))</f>
        <v/>
      </c>
    </row>
    <row r="148" ht="15" customHeight="1" s="24">
      <c r="A148" s="12" t="n">
        <v>140</v>
      </c>
      <c r="B148" s="13" t="inlineStr">
        <is>
          <t>ARIA</t>
        </is>
      </c>
      <c r="C148" s="13" t="inlineStr">
        <is>
          <t>Live DOM</t>
        </is>
      </c>
      <c r="D148" s="13" t="inlineStr">
        <is>
          <t>aria-hidden is present at the correct time</t>
        </is>
      </c>
      <c r="E148" s="18" t="inlineStr">
        <is>
          <t>yes</t>
        </is>
      </c>
      <c r="F148" s="19" t="inlineStr">
        <is>
          <t>no</t>
        </is>
      </c>
      <c r="G148" s="12" t="inlineStr">
        <is>
          <t>ready for manual test</t>
        </is>
      </c>
      <c r="H148" s="20" t="inlineStr">
        <is>
          <t>untested</t>
        </is>
      </c>
      <c r="I148" s="13" t="inlineStr">
        <is>
          <t>TreeGrid playground scenario.</t>
        </is>
      </c>
      <c r="J148" s="13" t="inlineStr">
        <is>
          <t>Manual verification needed.</t>
        </is>
      </c>
      <c r="K148" s="14">
        <f>IF(AND(E148="yes",F148="yes",H148="covered"),1,IF(H148="partial",0.5,0))</f>
        <v/>
      </c>
    </row>
    <row r="149" ht="15" customHeight="1" s="24">
      <c r="A149" s="12" t="n">
        <v>141</v>
      </c>
      <c r="B149" s="13" t="inlineStr">
        <is>
          <t>ARIA</t>
        </is>
      </c>
      <c r="C149" s="13" t="inlineStr">
        <is>
          <t>Live DOM</t>
        </is>
      </c>
      <c r="D149" s="13" t="inlineStr">
        <is>
          <t>aria-level is present at the correct time</t>
        </is>
      </c>
      <c r="E149" s="18" t="inlineStr">
        <is>
          <t>yes</t>
        </is>
      </c>
      <c r="F149" s="19" t="inlineStr">
        <is>
          <t>no</t>
        </is>
      </c>
      <c r="G149" s="12" t="inlineStr">
        <is>
          <t>ready for manual test</t>
        </is>
      </c>
      <c r="H149" s="20" t="inlineStr">
        <is>
          <t>untested</t>
        </is>
      </c>
      <c r="I149" s="13" t="inlineStr">
        <is>
          <t>TreeGrid playground scenario.</t>
        </is>
      </c>
      <c r="J149" s="13" t="inlineStr">
        <is>
          <t>Manual verification needed.</t>
        </is>
      </c>
      <c r="K149" s="14">
        <f>IF(AND(E149="yes",F149="yes",H149="covered"),1,IF(H149="partial",0.5,0))</f>
        <v/>
      </c>
    </row>
    <row r="150" ht="15" customHeight="1" s="24">
      <c r="A150" s="12" t="n">
        <v>142</v>
      </c>
      <c r="B150" s="13" t="inlineStr">
        <is>
          <t>ARIA</t>
        </is>
      </c>
      <c r="C150" s="13" t="inlineStr">
        <is>
          <t>Live DOM</t>
        </is>
      </c>
      <c r="D150" s="13" t="inlineStr">
        <is>
          <t>aria-multiselectable is present at the correct time</t>
        </is>
      </c>
      <c r="E150" s="18" t="inlineStr">
        <is>
          <t>yes</t>
        </is>
      </c>
      <c r="F150" s="19" t="inlineStr">
        <is>
          <t>no</t>
        </is>
      </c>
      <c r="G150" s="12" t="inlineStr">
        <is>
          <t>ready for manual test</t>
        </is>
      </c>
      <c r="H150" s="20" t="inlineStr">
        <is>
          <t>untested</t>
        </is>
      </c>
      <c r="I150" s="13" t="inlineStr">
        <is>
          <t>TreeGrid playground scenario.</t>
        </is>
      </c>
      <c r="J150" s="13" t="inlineStr">
        <is>
          <t>Manual verification needed.</t>
        </is>
      </c>
      <c r="K150" s="14">
        <f>IF(AND(E150="yes",F150="yes",H150="covered"),1,IF(H150="partial",0.5,0))</f>
        <v/>
      </c>
    </row>
    <row r="151" ht="15" customHeight="1" s="24">
      <c r="A151" s="12" t="n">
        <v>143</v>
      </c>
      <c r="B151" s="13" t="inlineStr">
        <is>
          <t>ARIA</t>
        </is>
      </c>
      <c r="C151" s="13" t="inlineStr">
        <is>
          <t>Live DOM</t>
        </is>
      </c>
      <c r="D151" s="13" t="inlineStr">
        <is>
          <t>aria-readonly is present at the correct time</t>
        </is>
      </c>
      <c r="E151" s="18" t="inlineStr">
        <is>
          <t>yes</t>
        </is>
      </c>
      <c r="F151" s="19" t="inlineStr">
        <is>
          <t>no</t>
        </is>
      </c>
      <c r="G151" s="12" t="inlineStr">
        <is>
          <t>ready for manual test</t>
        </is>
      </c>
      <c r="H151" s="20" t="inlineStr">
        <is>
          <t>untested</t>
        </is>
      </c>
      <c r="I151" s="13" t="inlineStr">
        <is>
          <t>TreeGrid playground scenario.</t>
        </is>
      </c>
      <c r="J151" s="13" t="inlineStr">
        <is>
          <t>Manual verification needed.</t>
        </is>
      </c>
      <c r="K151" s="14">
        <f>IF(AND(E151="yes",F151="yes",H151="covered"),1,IF(H151="partial",0.5,0))</f>
        <v/>
      </c>
    </row>
    <row r="152" ht="15" customHeight="1" s="24">
      <c r="A152" s="12" t="n">
        <v>144</v>
      </c>
      <c r="B152" s="13" t="inlineStr">
        <is>
          <t>ARIA</t>
        </is>
      </c>
      <c r="C152" s="13" t="inlineStr">
        <is>
          <t>Live DOM</t>
        </is>
      </c>
      <c r="D152" s="13" t="inlineStr">
        <is>
          <t>aria-rowcount is present at the correct time</t>
        </is>
      </c>
      <c r="E152" s="18" t="inlineStr">
        <is>
          <t>yes</t>
        </is>
      </c>
      <c r="F152" s="19" t="inlineStr">
        <is>
          <t>no</t>
        </is>
      </c>
      <c r="G152" s="12" t="inlineStr">
        <is>
          <t>ready for manual test</t>
        </is>
      </c>
      <c r="H152" s="20" t="inlineStr">
        <is>
          <t>untested</t>
        </is>
      </c>
      <c r="I152" s="13" t="inlineStr">
        <is>
          <t>TreeGrid playground scenario.</t>
        </is>
      </c>
      <c r="J152" s="13" t="inlineStr">
        <is>
          <t>Manual verification needed.</t>
        </is>
      </c>
      <c r="K152" s="14">
        <f>IF(AND(E152="yes",F152="yes",H152="covered"),1,IF(H152="partial",0.5,0))</f>
        <v/>
      </c>
    </row>
    <row r="153" ht="15" customHeight="1" s="24">
      <c r="A153" s="12" t="n">
        <v>145</v>
      </c>
      <c r="B153" s="13" t="inlineStr">
        <is>
          <t>ARIA</t>
        </is>
      </c>
      <c r="C153" s="13" t="inlineStr">
        <is>
          <t>Live DOM</t>
        </is>
      </c>
      <c r="D153" s="13" t="inlineStr">
        <is>
          <t>aria-rowindex is present at the correct time</t>
        </is>
      </c>
      <c r="E153" s="18" t="inlineStr">
        <is>
          <t>yes</t>
        </is>
      </c>
      <c r="F153" s="19" t="inlineStr">
        <is>
          <t>no</t>
        </is>
      </c>
      <c r="G153" s="12" t="inlineStr">
        <is>
          <t>ready for manual test</t>
        </is>
      </c>
      <c r="H153" s="20" t="inlineStr">
        <is>
          <t>untested</t>
        </is>
      </c>
      <c r="I153" s="13" t="inlineStr">
        <is>
          <t>TreeGrid playground scenario.</t>
        </is>
      </c>
      <c r="J153" s="13" t="inlineStr">
        <is>
          <t>Manual verification needed.</t>
        </is>
      </c>
      <c r="K153" s="14">
        <f>IF(AND(E153="yes",F153="yes",H153="covered"),1,IF(H153="partial",0.5,0))</f>
        <v/>
      </c>
    </row>
    <row r="154" ht="15" customHeight="1" s="24">
      <c r="A154" s="12" t="n">
        <v>146</v>
      </c>
      <c r="B154" s="13" t="inlineStr">
        <is>
          <t>ARIA</t>
        </is>
      </c>
      <c r="C154" s="13" t="inlineStr">
        <is>
          <t>Live DOM</t>
        </is>
      </c>
      <c r="D154" s="13" t="inlineStr">
        <is>
          <t>aria-selected is present at the correct time</t>
        </is>
      </c>
      <c r="E154" s="18" t="inlineStr">
        <is>
          <t>yes</t>
        </is>
      </c>
      <c r="F154" s="19" t="inlineStr">
        <is>
          <t>no</t>
        </is>
      </c>
      <c r="G154" s="12" t="inlineStr">
        <is>
          <t>ready for manual test</t>
        </is>
      </c>
      <c r="H154" s="20" t="inlineStr">
        <is>
          <t>untested</t>
        </is>
      </c>
      <c r="I154" s="13" t="inlineStr">
        <is>
          <t>TreeGrid playground scenario.</t>
        </is>
      </c>
      <c r="J154" s="13" t="inlineStr">
        <is>
          <t>Manual verification needed.</t>
        </is>
      </c>
      <c r="K154" s="14">
        <f>IF(AND(E154="yes",F154="yes",H154="covered"),1,IF(H154="partial",0.5,0))</f>
        <v/>
      </c>
    </row>
    <row r="155" ht="15" customHeight="1" s="24">
      <c r="A155" s="12" t="n">
        <v>147</v>
      </c>
      <c r="B155" s="13" t="inlineStr">
        <is>
          <t>ARIA</t>
        </is>
      </c>
      <c r="C155" s="13" t="inlineStr">
        <is>
          <t>Live DOM</t>
        </is>
      </c>
      <c r="D155" s="13" t="inlineStr">
        <is>
          <t>aria-sort is present at the correct time</t>
        </is>
      </c>
      <c r="E155" s="18" t="inlineStr">
        <is>
          <t>yes</t>
        </is>
      </c>
      <c r="F155" s="19" t="inlineStr">
        <is>
          <t>no</t>
        </is>
      </c>
      <c r="G155" s="12" t="inlineStr">
        <is>
          <t>ready for manual test</t>
        </is>
      </c>
      <c r="H155" s="20" t="inlineStr">
        <is>
          <t>untested</t>
        </is>
      </c>
      <c r="I155" s="13" t="inlineStr">
        <is>
          <t>TreeGrid playground scenario.</t>
        </is>
      </c>
      <c r="J155" s="13" t="inlineStr">
        <is>
          <t>Manual verification needed.</t>
        </is>
      </c>
      <c r="K155" s="14">
        <f>IF(AND(E155="yes",F155="yes",H155="covered"),1,IF(H155="partial",0.5,0))</f>
        <v/>
      </c>
    </row>
    <row r="156" ht="15" customHeight="1" s="24">
      <c r="A156" s="12" t="n">
        <v>148</v>
      </c>
      <c r="B156" s="13" t="inlineStr">
        <is>
          <t>Data</t>
        </is>
      </c>
      <c r="C156" s="13" t="inlineStr">
        <is>
          <t>Live DOM</t>
        </is>
      </c>
      <c r="D156" s="13" t="inlineStr">
        <is>
          <t>data-active is present at the correct time</t>
        </is>
      </c>
      <c r="E156" s="18" t="inlineStr">
        <is>
          <t>yes</t>
        </is>
      </c>
      <c r="F156" s="19" t="inlineStr">
        <is>
          <t>no</t>
        </is>
      </c>
      <c r="G156" s="12" t="inlineStr">
        <is>
          <t>ready for manual test</t>
        </is>
      </c>
      <c r="H156" s="20" t="inlineStr">
        <is>
          <t>untested</t>
        </is>
      </c>
      <c r="I156" s="13" t="inlineStr">
        <is>
          <t>TreeGrid playground scenario.</t>
        </is>
      </c>
      <c r="J156" s="13" t="inlineStr">
        <is>
          <t>Manual verification needed.</t>
        </is>
      </c>
      <c r="K156" s="14">
        <f>IF(AND(E156="yes",F156="yes",H156="covered"),1,IF(H156="partial",0.5,0))</f>
        <v/>
      </c>
    </row>
    <row r="157" ht="15" customHeight="1" s="24">
      <c r="A157" s="12" t="n">
        <v>149</v>
      </c>
      <c r="B157" s="13" t="inlineStr">
        <is>
          <t>Data</t>
        </is>
      </c>
      <c r="C157" s="13" t="inlineStr">
        <is>
          <t>Live DOM</t>
        </is>
      </c>
      <c r="D157" s="13" t="inlineStr">
        <is>
          <t>data-column-count is present at the correct time</t>
        </is>
      </c>
      <c r="E157" s="18" t="inlineStr">
        <is>
          <t>yes</t>
        </is>
      </c>
      <c r="F157" s="19" t="inlineStr">
        <is>
          <t>no</t>
        </is>
      </c>
      <c r="G157" s="12" t="inlineStr">
        <is>
          <t>ready for manual test</t>
        </is>
      </c>
      <c r="H157" s="20" t="inlineStr">
        <is>
          <t>untested</t>
        </is>
      </c>
      <c r="I157" s="13" t="inlineStr">
        <is>
          <t>TreeGrid playground scenario.</t>
        </is>
      </c>
      <c r="J157" s="13" t="inlineStr">
        <is>
          <t>Manual verification needed.</t>
        </is>
      </c>
      <c r="K157" s="14">
        <f>IF(AND(E157="yes",F157="yes",H157="covered"),1,IF(H157="partial",0.5,0))</f>
        <v/>
      </c>
    </row>
    <row r="158" ht="15" customHeight="1" s="24">
      <c r="A158" s="12" t="n">
        <v>150</v>
      </c>
      <c r="B158" s="13" t="inlineStr">
        <is>
          <t>Data</t>
        </is>
      </c>
      <c r="C158" s="13" t="inlineStr">
        <is>
          <t>Live DOM</t>
        </is>
      </c>
      <c r="D158" s="13" t="inlineStr">
        <is>
          <t>data-column-index is present at the correct time</t>
        </is>
      </c>
      <c r="E158" s="18" t="inlineStr">
        <is>
          <t>yes</t>
        </is>
      </c>
      <c r="F158" s="19" t="inlineStr">
        <is>
          <t>no</t>
        </is>
      </c>
      <c r="G158" s="12" t="inlineStr">
        <is>
          <t>ready for manual test</t>
        </is>
      </c>
      <c r="H158" s="20" t="inlineStr">
        <is>
          <t>untested</t>
        </is>
      </c>
      <c r="I158" s="13" t="inlineStr">
        <is>
          <t>TreeGrid playground scenario.</t>
        </is>
      </c>
      <c r="J158" s="13" t="inlineStr">
        <is>
          <t>Manual verification needed.</t>
        </is>
      </c>
      <c r="K158" s="14">
        <f>IF(AND(E158="yes",F158="yes",H158="covered"),1,IF(H158="partial",0.5,0))</f>
        <v/>
      </c>
    </row>
    <row r="159" ht="15" customHeight="1" s="24">
      <c r="A159" s="12" t="n">
        <v>151</v>
      </c>
      <c r="B159" s="13" t="inlineStr">
        <is>
          <t>Data</t>
        </is>
      </c>
      <c r="C159" s="13" t="inlineStr">
        <is>
          <t>Live DOM</t>
        </is>
      </c>
      <c r="D159" s="13" t="inlineStr">
        <is>
          <t>data-disabled is present at the correct time</t>
        </is>
      </c>
      <c r="E159" s="18" t="inlineStr">
        <is>
          <t>yes</t>
        </is>
      </c>
      <c r="F159" s="19" t="inlineStr">
        <is>
          <t>no</t>
        </is>
      </c>
      <c r="G159" s="12" t="inlineStr">
        <is>
          <t>ready for manual test</t>
        </is>
      </c>
      <c r="H159" s="20" t="inlineStr">
        <is>
          <t>untested</t>
        </is>
      </c>
      <c r="I159" s="13" t="inlineStr">
        <is>
          <t>TreeGrid playground scenario.</t>
        </is>
      </c>
      <c r="J159" s="13" t="inlineStr">
        <is>
          <t>Manual verification needed.</t>
        </is>
      </c>
      <c r="K159" s="14">
        <f>IF(AND(E159="yes",F159="yes",H159="covered"),1,IF(H159="partial",0.5,0))</f>
        <v/>
      </c>
    </row>
    <row r="160" ht="15" customHeight="1" s="24">
      <c r="A160" s="12" t="n">
        <v>152</v>
      </c>
      <c r="B160" s="13" t="inlineStr">
        <is>
          <t>Data</t>
        </is>
      </c>
      <c r="C160" s="13" t="inlineStr">
        <is>
          <t>Live DOM</t>
        </is>
      </c>
      <c r="D160" s="13" t="inlineStr">
        <is>
          <t>data-expandable is present at the correct time</t>
        </is>
      </c>
      <c r="E160" s="18" t="inlineStr">
        <is>
          <t>yes</t>
        </is>
      </c>
      <c r="F160" s="19" t="inlineStr">
        <is>
          <t>no</t>
        </is>
      </c>
      <c r="G160" s="12" t="inlineStr">
        <is>
          <t>ready for manual test</t>
        </is>
      </c>
      <c r="H160" s="20" t="inlineStr">
        <is>
          <t>untested</t>
        </is>
      </c>
      <c r="I160" s="13" t="inlineStr">
        <is>
          <t>TreeGrid playground scenario.</t>
        </is>
      </c>
      <c r="J160" s="13" t="inlineStr">
        <is>
          <t>Manual verification needed.</t>
        </is>
      </c>
      <c r="K160" s="14">
        <f>IF(AND(E160="yes",F160="yes",H160="covered"),1,IF(H160="partial",0.5,0))</f>
        <v/>
      </c>
    </row>
    <row r="161" ht="15" customHeight="1" s="24">
      <c r="A161" s="12" t="n">
        <v>153</v>
      </c>
      <c r="B161" s="13" t="inlineStr">
        <is>
          <t>Data</t>
        </is>
      </c>
      <c r="C161" s="13" t="inlineStr">
        <is>
          <t>Live DOM</t>
        </is>
      </c>
      <c r="D161" s="13" t="inlineStr">
        <is>
          <t>data-expanded is present at the correct time</t>
        </is>
      </c>
      <c r="E161" s="18" t="inlineStr">
        <is>
          <t>yes</t>
        </is>
      </c>
      <c r="F161" s="19" t="inlineStr">
        <is>
          <t>no</t>
        </is>
      </c>
      <c r="G161" s="12" t="inlineStr">
        <is>
          <t>ready for manual test</t>
        </is>
      </c>
      <c r="H161" s="20" t="inlineStr">
        <is>
          <t>untested</t>
        </is>
      </c>
      <c r="I161" s="13" t="inlineStr">
        <is>
          <t>TreeGrid playground scenario.</t>
        </is>
      </c>
      <c r="J161" s="13" t="inlineStr">
        <is>
          <t>Manual verification needed.</t>
        </is>
      </c>
      <c r="K161" s="14">
        <f>IF(AND(E161="yes",F161="yes",H161="covered"),1,IF(H161="partial",0.5,0))</f>
        <v/>
      </c>
    </row>
    <row r="162" ht="15" customHeight="1" s="24">
      <c r="A162" s="12" t="n">
        <v>154</v>
      </c>
      <c r="B162" s="13" t="inlineStr">
        <is>
          <t>Data</t>
        </is>
      </c>
      <c r="C162" s="13" t="inlineStr">
        <is>
          <t>Live DOM</t>
        </is>
      </c>
      <c r="D162" s="13" t="inlineStr">
        <is>
          <t>data-focused is present at the correct time</t>
        </is>
      </c>
      <c r="E162" s="18" t="inlineStr">
        <is>
          <t>yes</t>
        </is>
      </c>
      <c r="F162" s="19" t="inlineStr">
        <is>
          <t>no</t>
        </is>
      </c>
      <c r="G162" s="12" t="inlineStr">
        <is>
          <t>ready for manual test</t>
        </is>
      </c>
      <c r="H162" s="20" t="inlineStr">
        <is>
          <t>untested</t>
        </is>
      </c>
      <c r="I162" s="13" t="inlineStr">
        <is>
          <t>TreeGrid playground scenario.</t>
        </is>
      </c>
      <c r="J162" s="13" t="inlineStr">
        <is>
          <t>Manual verification needed.</t>
        </is>
      </c>
      <c r="K162" s="14">
        <f>IF(AND(E162="yes",F162="yes",H162="covered"),1,IF(H162="partial",0.5,0))</f>
        <v/>
      </c>
    </row>
    <row r="163" ht="15" customHeight="1" s="24">
      <c r="A163" s="12" t="n">
        <v>155</v>
      </c>
      <c r="B163" s="13" t="inlineStr">
        <is>
          <t>Data</t>
        </is>
      </c>
      <c r="C163" s="13" t="inlineStr">
        <is>
          <t>Live DOM</t>
        </is>
      </c>
      <c r="D163" s="13" t="inlineStr">
        <is>
          <t>data-hidden is present at the correct time</t>
        </is>
      </c>
      <c r="E163" s="18" t="inlineStr">
        <is>
          <t>yes</t>
        </is>
      </c>
      <c r="F163" s="19" t="inlineStr">
        <is>
          <t>no</t>
        </is>
      </c>
      <c r="G163" s="12" t="inlineStr">
        <is>
          <t>ready for manual test</t>
        </is>
      </c>
      <c r="H163" s="20" t="inlineStr">
        <is>
          <t>untested</t>
        </is>
      </c>
      <c r="I163" s="13" t="inlineStr">
        <is>
          <t>TreeGrid playground scenario.</t>
        </is>
      </c>
      <c r="J163" s="13" t="inlineStr">
        <is>
          <t>Manual verification needed.</t>
        </is>
      </c>
      <c r="K163" s="14">
        <f>IF(AND(E163="yes",F163="yes",H163="covered"),1,IF(H163="partial",0.5,0))</f>
        <v/>
      </c>
    </row>
    <row r="164" ht="15" customHeight="1" s="24">
      <c r="A164" s="12" t="n">
        <v>156</v>
      </c>
      <c r="B164" s="13" t="inlineStr">
        <is>
          <t>Data</t>
        </is>
      </c>
      <c r="C164" s="13" t="inlineStr">
        <is>
          <t>Live DOM</t>
        </is>
      </c>
      <c r="D164" s="13" t="inlineStr">
        <is>
          <t>data-level is present at the correct time</t>
        </is>
      </c>
      <c r="E164" s="18" t="inlineStr">
        <is>
          <t>yes</t>
        </is>
      </c>
      <c r="F164" s="19" t="inlineStr">
        <is>
          <t>no</t>
        </is>
      </c>
      <c r="G164" s="12" t="inlineStr">
        <is>
          <t>ready for manual test</t>
        </is>
      </c>
      <c r="H164" s="20" t="inlineStr">
        <is>
          <t>untested</t>
        </is>
      </c>
      <c r="I164" s="13" t="inlineStr">
        <is>
          <t>TreeGrid playground scenario.</t>
        </is>
      </c>
      <c r="J164" s="13" t="inlineStr">
        <is>
          <t>Manual verification needed.</t>
        </is>
      </c>
      <c r="K164" s="14">
        <f>IF(AND(E164="yes",F164="yes",H164="covered"),1,IF(H164="partial",0.5,0))</f>
        <v/>
      </c>
    </row>
    <row r="165" ht="15" customHeight="1" s="24">
      <c r="A165" s="12" t="n">
        <v>157</v>
      </c>
      <c r="B165" s="13" t="inlineStr">
        <is>
          <t>Data</t>
        </is>
      </c>
      <c r="C165" s="13" t="inlineStr">
        <is>
          <t>Live DOM</t>
        </is>
      </c>
      <c r="D165" s="13" t="inlineStr">
        <is>
          <t>data-parent-value is present at the correct time</t>
        </is>
      </c>
      <c r="E165" s="18" t="inlineStr">
        <is>
          <t>yes</t>
        </is>
      </c>
      <c r="F165" s="19" t="inlineStr">
        <is>
          <t>no</t>
        </is>
      </c>
      <c r="G165" s="12" t="inlineStr">
        <is>
          <t>ready for manual test</t>
        </is>
      </c>
      <c r="H165" s="20" t="inlineStr">
        <is>
          <t>untested</t>
        </is>
      </c>
      <c r="I165" s="13" t="inlineStr">
        <is>
          <t>TreeGrid playground scenario.</t>
        </is>
      </c>
      <c r="J165" s="13" t="inlineStr">
        <is>
          <t>Manual verification needed.</t>
        </is>
      </c>
      <c r="K165" s="14">
        <f>IF(AND(E165="yes",F165="yes",H165="covered"),1,IF(H165="partial",0.5,0))</f>
        <v/>
      </c>
    </row>
    <row r="166" ht="15" customHeight="1" s="24">
      <c r="A166" s="12" t="n">
        <v>158</v>
      </c>
      <c r="B166" s="13" t="inlineStr">
        <is>
          <t>Data</t>
        </is>
      </c>
      <c r="C166" s="13" t="inlineStr">
        <is>
          <t>Live DOM</t>
        </is>
      </c>
      <c r="D166" s="13" t="inlineStr">
        <is>
          <t>data-readonly is present at the correct time</t>
        </is>
      </c>
      <c r="E166" s="18" t="inlineStr">
        <is>
          <t>yes</t>
        </is>
      </c>
      <c r="F166" s="19" t="inlineStr">
        <is>
          <t>no</t>
        </is>
      </c>
      <c r="G166" s="12" t="inlineStr">
        <is>
          <t>ready for manual test</t>
        </is>
      </c>
      <c r="H166" s="20" t="inlineStr">
        <is>
          <t>untested</t>
        </is>
      </c>
      <c r="I166" s="13" t="inlineStr">
        <is>
          <t>TreeGrid playground scenario.</t>
        </is>
      </c>
      <c r="J166" s="13" t="inlineStr">
        <is>
          <t>Manual verification needed.</t>
        </is>
      </c>
      <c r="K166" s="14">
        <f>IF(AND(E166="yes",F166="yes",H166="covered"),1,IF(H166="partial",0.5,0))</f>
        <v/>
      </c>
    </row>
    <row r="167" ht="15" customHeight="1" s="24">
      <c r="A167" s="12" t="n">
        <v>159</v>
      </c>
      <c r="B167" s="13" t="inlineStr">
        <is>
          <t>Data</t>
        </is>
      </c>
      <c r="C167" s="13" t="inlineStr">
        <is>
          <t>Live DOM</t>
        </is>
      </c>
      <c r="D167" s="13" t="inlineStr">
        <is>
          <t>data-row-count is present at the correct time</t>
        </is>
      </c>
      <c r="E167" s="18" t="inlineStr">
        <is>
          <t>yes</t>
        </is>
      </c>
      <c r="F167" s="19" t="inlineStr">
        <is>
          <t>no</t>
        </is>
      </c>
      <c r="G167" s="12" t="inlineStr">
        <is>
          <t>ready for manual test</t>
        </is>
      </c>
      <c r="H167" s="20" t="inlineStr">
        <is>
          <t>untested</t>
        </is>
      </c>
      <c r="I167" s="13" t="inlineStr">
        <is>
          <t>TreeGrid playground scenario.</t>
        </is>
      </c>
      <c r="J167" s="13" t="inlineStr">
        <is>
          <t>Manual verification needed.</t>
        </is>
      </c>
      <c r="K167" s="14">
        <f>IF(AND(E167="yes",F167="yes",H167="covered"),1,IF(H167="partial",0.5,0))</f>
        <v/>
      </c>
    </row>
    <row r="168" ht="15" customHeight="1" s="24">
      <c r="A168" s="12" t="n">
        <v>160</v>
      </c>
      <c r="B168" s="13" t="inlineStr">
        <is>
          <t>Data</t>
        </is>
      </c>
      <c r="C168" s="13" t="inlineStr">
        <is>
          <t>Live DOM</t>
        </is>
      </c>
      <c r="D168" s="13" t="inlineStr">
        <is>
          <t>data-row-index is present at the correct time</t>
        </is>
      </c>
      <c r="E168" s="18" t="inlineStr">
        <is>
          <t>yes</t>
        </is>
      </c>
      <c r="F168" s="19" t="inlineStr">
        <is>
          <t>no</t>
        </is>
      </c>
      <c r="G168" s="12" t="inlineStr">
        <is>
          <t>ready for manual test</t>
        </is>
      </c>
      <c r="H168" s="20" t="inlineStr">
        <is>
          <t>untested</t>
        </is>
      </c>
      <c r="I168" s="13" t="inlineStr">
        <is>
          <t>TreeGrid playground scenario.</t>
        </is>
      </c>
      <c r="J168" s="13" t="inlineStr">
        <is>
          <t>Manual verification needed.</t>
        </is>
      </c>
      <c r="K168" s="14">
        <f>IF(AND(E168="yes",F168="yes",H168="covered"),1,IF(H168="partial",0.5,0))</f>
        <v/>
      </c>
    </row>
    <row r="169" ht="15" customHeight="1" s="24">
      <c r="A169" s="12" t="n">
        <v>161</v>
      </c>
      <c r="B169" s="13" t="inlineStr">
        <is>
          <t>Data</t>
        </is>
      </c>
      <c r="C169" s="13" t="inlineStr">
        <is>
          <t>Live DOM</t>
        </is>
      </c>
      <c r="D169" s="13" t="inlineStr">
        <is>
          <t>data-selectable is present at the correct time</t>
        </is>
      </c>
      <c r="E169" s="18" t="inlineStr">
        <is>
          <t>yes</t>
        </is>
      </c>
      <c r="F169" s="19" t="inlineStr">
        <is>
          <t>no</t>
        </is>
      </c>
      <c r="G169" s="12" t="inlineStr">
        <is>
          <t>ready for manual test</t>
        </is>
      </c>
      <c r="H169" s="20" t="inlineStr">
        <is>
          <t>untested</t>
        </is>
      </c>
      <c r="I169" s="13" t="inlineStr">
        <is>
          <t>TreeGrid playground scenario.</t>
        </is>
      </c>
      <c r="J169" s="13" t="inlineStr">
        <is>
          <t>Manual verification needed.</t>
        </is>
      </c>
      <c r="K169" s="14">
        <f>IF(AND(E169="yes",F169="yes",H169="covered"),1,IF(H169="partial",0.5,0))</f>
        <v/>
      </c>
    </row>
    <row r="170" ht="15" customHeight="1" s="24">
      <c r="A170" s="12" t="n">
        <v>162</v>
      </c>
      <c r="B170" s="13" t="inlineStr">
        <is>
          <t>Data</t>
        </is>
      </c>
      <c r="C170" s="13" t="inlineStr">
        <is>
          <t>Live DOM</t>
        </is>
      </c>
      <c r="D170" s="13" t="inlineStr">
        <is>
          <t>data-selected is present at the correct time</t>
        </is>
      </c>
      <c r="E170" s="18" t="inlineStr">
        <is>
          <t>yes</t>
        </is>
      </c>
      <c r="F170" s="19" t="inlineStr">
        <is>
          <t>no</t>
        </is>
      </c>
      <c r="G170" s="12" t="inlineStr">
        <is>
          <t>ready for manual test</t>
        </is>
      </c>
      <c r="H170" s="20" t="inlineStr">
        <is>
          <t>untested</t>
        </is>
      </c>
      <c r="I170" s="13" t="inlineStr">
        <is>
          <t>TreeGrid playground scenario.</t>
        </is>
      </c>
      <c r="J170" s="13" t="inlineStr">
        <is>
          <t>Manual verification needed.</t>
        </is>
      </c>
      <c r="K170" s="14">
        <f>IF(AND(E170="yes",F170="yes",H170="covered"),1,IF(H170="partial",0.5,0))</f>
        <v/>
      </c>
    </row>
    <row r="171" ht="15" customHeight="1" s="24">
      <c r="A171" s="12" t="n">
        <v>163</v>
      </c>
      <c r="B171" s="13" t="inlineStr">
        <is>
          <t>Data</t>
        </is>
      </c>
      <c r="C171" s="13" t="inlineStr">
        <is>
          <t>Live DOM</t>
        </is>
      </c>
      <c r="D171" s="13" t="inlineStr">
        <is>
          <t>data-selection-disabled is present at the correct time</t>
        </is>
      </c>
      <c r="E171" s="18" t="inlineStr">
        <is>
          <t>yes</t>
        </is>
      </c>
      <c r="F171" s="19" t="inlineStr">
        <is>
          <t>no</t>
        </is>
      </c>
      <c r="G171" s="12" t="inlineStr">
        <is>
          <t>ready for manual test</t>
        </is>
      </c>
      <c r="H171" s="20" t="inlineStr">
        <is>
          <t>untested</t>
        </is>
      </c>
      <c r="I171" s="13" t="inlineStr">
        <is>
          <t>TreeGrid playground scenario.</t>
        </is>
      </c>
      <c r="J171" s="13" t="inlineStr">
        <is>
          <t>Manual verification needed.</t>
        </is>
      </c>
      <c r="K171" s="14">
        <f>IF(AND(E171="yes",F171="yes",H171="covered"),1,IF(H171="partial",0.5,0))</f>
        <v/>
      </c>
    </row>
    <row r="172" ht="15" customHeight="1" s="24">
      <c r="A172" s="12" t="n">
        <v>164</v>
      </c>
      <c r="B172" s="13" t="inlineStr">
        <is>
          <t>Data</t>
        </is>
      </c>
      <c r="C172" s="13" t="inlineStr">
        <is>
          <t>Live DOM</t>
        </is>
      </c>
      <c r="D172" s="13" t="inlineStr">
        <is>
          <t>data-selection-mode is present at the correct time</t>
        </is>
      </c>
      <c r="E172" s="18" t="inlineStr">
        <is>
          <t>yes</t>
        </is>
      </c>
      <c r="F172" s="19" t="inlineStr">
        <is>
          <t>no</t>
        </is>
      </c>
      <c r="G172" s="12" t="inlineStr">
        <is>
          <t>ready for manual test</t>
        </is>
      </c>
      <c r="H172" s="20" t="inlineStr">
        <is>
          <t>untested</t>
        </is>
      </c>
      <c r="I172" s="13" t="inlineStr">
        <is>
          <t>TreeGrid playground scenario.</t>
        </is>
      </c>
      <c r="J172" s="13" t="inlineStr">
        <is>
          <t>Manual verification needed.</t>
        </is>
      </c>
      <c r="K172" s="14">
        <f>IF(AND(E172="yes",F172="yes",H172="covered"),1,IF(H172="partial",0.5,0))</f>
        <v/>
      </c>
    </row>
    <row r="173" ht="15" customHeight="1" s="24">
      <c r="A173" s="12" t="n">
        <v>165</v>
      </c>
      <c r="B173" s="13" t="inlineStr">
        <is>
          <t>Data</t>
        </is>
      </c>
      <c r="C173" s="13" t="inlineStr">
        <is>
          <t>Live DOM</t>
        </is>
      </c>
      <c r="D173" s="13" t="inlineStr">
        <is>
          <t>data-slot is present at the correct time</t>
        </is>
      </c>
      <c r="E173" s="18" t="inlineStr">
        <is>
          <t>yes</t>
        </is>
      </c>
      <c r="F173" s="19" t="inlineStr">
        <is>
          <t>no</t>
        </is>
      </c>
      <c r="G173" s="12" t="inlineStr">
        <is>
          <t>ready for manual test</t>
        </is>
      </c>
      <c r="H173" s="20" t="inlineStr">
        <is>
          <t>untested</t>
        </is>
      </c>
      <c r="I173" s="13" t="inlineStr">
        <is>
          <t>TreeGrid playground scenario.</t>
        </is>
      </c>
      <c r="J173" s="13" t="inlineStr">
        <is>
          <t>Manual verification needed.</t>
        </is>
      </c>
      <c r="K173" s="14">
        <f>IF(AND(E173="yes",F173="yes",H173="covered"),1,IF(H173="partial",0.5,0))</f>
        <v/>
      </c>
    </row>
    <row r="174" ht="15" customHeight="1" s="24">
      <c r="A174" s="12" t="n">
        <v>166</v>
      </c>
      <c r="B174" s="13" t="inlineStr">
        <is>
          <t>Data</t>
        </is>
      </c>
      <c r="C174" s="13" t="inlineStr">
        <is>
          <t>Live DOM</t>
        </is>
      </c>
      <c r="D174" s="13" t="inlineStr">
        <is>
          <t>data-sort is present at the correct time</t>
        </is>
      </c>
      <c r="E174" s="18" t="inlineStr">
        <is>
          <t>yes</t>
        </is>
      </c>
      <c r="F174" s="19" t="inlineStr">
        <is>
          <t>no</t>
        </is>
      </c>
      <c r="G174" s="12" t="inlineStr">
        <is>
          <t>ready for manual test</t>
        </is>
      </c>
      <c r="H174" s="20" t="inlineStr">
        <is>
          <t>untested</t>
        </is>
      </c>
      <c r="I174" s="13" t="inlineStr">
        <is>
          <t>TreeGrid playground scenario.</t>
        </is>
      </c>
      <c r="J174" s="13" t="inlineStr">
        <is>
          <t>Manual verification needed.</t>
        </is>
      </c>
      <c r="K174" s="14">
        <f>IF(AND(E174="yes",F174="yes",H174="covered"),1,IF(H174="partial",0.5,0))</f>
        <v/>
      </c>
    </row>
    <row r="175" ht="15" customHeight="1" s="24">
      <c r="A175" s="12" t="n">
        <v>167</v>
      </c>
      <c r="B175" s="13" t="inlineStr">
        <is>
          <t>Data</t>
        </is>
      </c>
      <c r="C175" s="13" t="inlineStr">
        <is>
          <t>Live DOM</t>
        </is>
      </c>
      <c r="D175" s="13" t="inlineStr">
        <is>
          <t>data-value is present at the correct time</t>
        </is>
      </c>
      <c r="E175" s="18" t="inlineStr">
        <is>
          <t>yes</t>
        </is>
      </c>
      <c r="F175" s="19" t="inlineStr">
        <is>
          <t>no</t>
        </is>
      </c>
      <c r="G175" s="12" t="inlineStr">
        <is>
          <t>ready for manual test</t>
        </is>
      </c>
      <c r="H175" s="20" t="inlineStr">
        <is>
          <t>untested</t>
        </is>
      </c>
      <c r="I175" s="13" t="inlineStr">
        <is>
          <t>TreeGrid playground scenario.</t>
        </is>
      </c>
      <c r="J175" s="13" t="inlineStr">
        <is>
          <t>Manual verification needed.</t>
        </is>
      </c>
      <c r="K175" s="14">
        <f>IF(AND(E175="yes",F175="yes",H175="covered"),1,IF(H175="partial",0.5,0))</f>
        <v/>
      </c>
    </row>
    <row r="176" ht="15" customHeight="1" s="24">
      <c r="A176" s="12" t="n">
        <v>168</v>
      </c>
      <c r="B176" s="13" t="inlineStr">
        <is>
          <t>Composition</t>
        </is>
      </c>
      <c r="C176" s="13" t="inlineStr">
        <is>
          <t>TreeGrid</t>
        </is>
      </c>
      <c r="D176" s="13" t="inlineStr">
        <is>
          <t>asChild preserves child content without double nesting</t>
        </is>
      </c>
      <c r="E176" s="18" t="inlineStr">
        <is>
          <t>yes</t>
        </is>
      </c>
      <c r="F176" s="19" t="inlineStr">
        <is>
          <t>no</t>
        </is>
      </c>
      <c r="G176" s="12" t="inlineStr">
        <is>
          <t>ready for manual test</t>
        </is>
      </c>
      <c r="H176" s="20" t="inlineStr">
        <is>
          <t>untested</t>
        </is>
      </c>
      <c r="I176" s="13" t="inlineStr">
        <is>
          <t>TreeGrid playground scenario.</t>
        </is>
      </c>
      <c r="J176" s="13" t="inlineStr">
        <is>
          <t>Manual verification needed.</t>
        </is>
      </c>
      <c r="K176" s="14">
        <f>IF(AND(E176="yes",F176="yes",H176="covered"),1,IF(H176="partial",0.5,0))</f>
        <v/>
      </c>
    </row>
    <row r="177" ht="15" customHeight="1" s="24">
      <c r="A177" s="12" t="n">
        <v>169</v>
      </c>
      <c r="B177" s="13" t="inlineStr">
        <is>
          <t>Composition</t>
        </is>
      </c>
      <c r="C177" s="13" t="inlineStr">
        <is>
          <t>TreeGrid</t>
        </is>
      </c>
      <c r="D177" s="13" t="inlineStr">
        <is>
          <t>asChild merges Atom props and consumer props</t>
        </is>
      </c>
      <c r="E177" s="18" t="inlineStr">
        <is>
          <t>yes</t>
        </is>
      </c>
      <c r="F177" s="19" t="inlineStr">
        <is>
          <t>no</t>
        </is>
      </c>
      <c r="G177" s="12" t="inlineStr">
        <is>
          <t>ready for manual test</t>
        </is>
      </c>
      <c r="H177" s="20" t="inlineStr">
        <is>
          <t>untested</t>
        </is>
      </c>
      <c r="I177" s="13" t="inlineStr">
        <is>
          <t>TreeGrid playground scenario.</t>
        </is>
      </c>
      <c r="J177" s="13" t="inlineStr">
        <is>
          <t>Manual verification needed.</t>
        </is>
      </c>
      <c r="K177" s="14">
        <f>IF(AND(E177="yes",F177="yes",H177="covered"),1,IF(H177="partial",0.5,0))</f>
        <v/>
      </c>
    </row>
    <row r="178" ht="30" customHeight="1" s="24">
      <c r="A178" s="12" t="n">
        <v>170</v>
      </c>
      <c r="B178" s="13" t="inlineStr">
        <is>
          <t>Composition</t>
        </is>
      </c>
      <c r="C178" s="13" t="inlineStr">
        <is>
          <t>TreeGrid</t>
        </is>
      </c>
      <c r="D178" s="13" t="inlineStr">
        <is>
          <t>asChild lets preventDefault block Atom behavior where supported</t>
        </is>
      </c>
      <c r="E178" s="18" t="inlineStr">
        <is>
          <t>yes</t>
        </is>
      </c>
      <c r="F178" s="19" t="inlineStr">
        <is>
          <t>no</t>
        </is>
      </c>
      <c r="G178" s="12" t="inlineStr">
        <is>
          <t>ready for manual test</t>
        </is>
      </c>
      <c r="H178" s="20" t="inlineStr">
        <is>
          <t>untested</t>
        </is>
      </c>
      <c r="I178" s="13" t="inlineStr">
        <is>
          <t>TreeGrid playground scenario.</t>
        </is>
      </c>
      <c r="J178" s="13" t="inlineStr">
        <is>
          <t>Manual verification needed.</t>
        </is>
      </c>
      <c r="K178" s="14">
        <f>IF(AND(E178="yes",F178="yes",H178="covered"),1,IF(H178="partial",0.5,0))</f>
        <v/>
      </c>
    </row>
    <row r="179" ht="15" customHeight="1" s="24">
      <c r="A179" s="12" t="n">
        <v>171</v>
      </c>
      <c r="B179" s="13" t="inlineStr">
        <is>
          <t>Composition</t>
        </is>
      </c>
      <c r="C179" s="13" t="inlineStr">
        <is>
          <t>TreeGrid</t>
        </is>
      </c>
      <c r="D179" s="13" t="inlineStr">
        <is>
          <t>render prop renders custom element</t>
        </is>
      </c>
      <c r="E179" s="18" t="inlineStr">
        <is>
          <t>yes</t>
        </is>
      </c>
      <c r="F179" s="19" t="inlineStr">
        <is>
          <t>no</t>
        </is>
      </c>
      <c r="G179" s="12" t="inlineStr">
        <is>
          <t>ready for manual test</t>
        </is>
      </c>
      <c r="H179" s="20" t="inlineStr">
        <is>
          <t>untested</t>
        </is>
      </c>
      <c r="I179" s="13" t="inlineStr">
        <is>
          <t>TreeGrid playground scenario.</t>
        </is>
      </c>
      <c r="J179" s="13" t="inlineStr">
        <is>
          <t>Manual verification needed.</t>
        </is>
      </c>
      <c r="K179" s="14">
        <f>IF(AND(E179="yes",F179="yes",H179="covered"),1,IF(H179="partial",0.5,0))</f>
        <v/>
      </c>
    </row>
    <row r="180" ht="15" customHeight="1" s="24">
      <c r="A180" s="12" t="n">
        <v>172</v>
      </c>
      <c r="B180" s="13" t="inlineStr">
        <is>
          <t>Composition</t>
        </is>
      </c>
      <c r="C180" s="13" t="inlineStr">
        <is>
          <t>TreeGrid</t>
        </is>
      </c>
      <c r="D180" s="13" t="inlineStr">
        <is>
          <t>render prop preserves refs and behavior props</t>
        </is>
      </c>
      <c r="E180" s="18" t="inlineStr">
        <is>
          <t>yes</t>
        </is>
      </c>
      <c r="F180" s="19" t="inlineStr">
        <is>
          <t>no</t>
        </is>
      </c>
      <c r="G180" s="12" t="inlineStr">
        <is>
          <t>ready for manual test</t>
        </is>
      </c>
      <c r="H180" s="20" t="inlineStr">
        <is>
          <t>untested</t>
        </is>
      </c>
      <c r="I180" s="13" t="inlineStr">
        <is>
          <t>TreeGrid playground scenario.</t>
        </is>
      </c>
      <c r="J180" s="13" t="inlineStr">
        <is>
          <t>Manual verification needed.</t>
        </is>
      </c>
      <c r="K180" s="14">
        <f>IF(AND(E180="yes",F180="yes",H180="covered"),1,IF(H180="partial",0.5,0))</f>
        <v/>
      </c>
    </row>
    <row r="181" ht="15" customHeight="1" s="24">
      <c r="A181" s="12" t="n">
        <v>173</v>
      </c>
      <c r="B181" s="13" t="inlineStr">
        <is>
          <t>State</t>
        </is>
      </c>
      <c r="C181" s="13" t="inlineStr">
        <is>
          <t>Root</t>
        </is>
      </c>
      <c r="D181" s="13" t="inlineStr">
        <is>
          <t>controlled state path</t>
        </is>
      </c>
      <c r="E181" s="18" t="inlineStr">
        <is>
          <t>yes</t>
        </is>
      </c>
      <c r="F181" s="19" t="inlineStr">
        <is>
          <t>no</t>
        </is>
      </c>
      <c r="G181" s="12" t="inlineStr">
        <is>
          <t>ready for manual test</t>
        </is>
      </c>
      <c r="H181" s="20" t="inlineStr">
        <is>
          <t>untested</t>
        </is>
      </c>
      <c r="I181" s="13" t="inlineStr">
        <is>
          <t>TreeGrid playground scenario.</t>
        </is>
      </c>
      <c r="J181" s="13" t="inlineStr">
        <is>
          <t>Manual verification needed.</t>
        </is>
      </c>
      <c r="K181" s="14">
        <f>IF(AND(E181="yes",F181="yes",H181="covered"),1,IF(H181="partial",0.5,0))</f>
        <v/>
      </c>
    </row>
    <row r="182" ht="15" customHeight="1" s="24">
      <c r="A182" s="12" t="n">
        <v>174</v>
      </c>
      <c r="B182" s="13" t="inlineStr">
        <is>
          <t>State</t>
        </is>
      </c>
      <c r="C182" s="13" t="inlineStr">
        <is>
          <t>Root</t>
        </is>
      </c>
      <c r="D182" s="13" t="inlineStr">
        <is>
          <t>uncontrolled default state path</t>
        </is>
      </c>
      <c r="E182" s="18" t="inlineStr">
        <is>
          <t>yes</t>
        </is>
      </c>
      <c r="F182" s="19" t="inlineStr">
        <is>
          <t>no</t>
        </is>
      </c>
      <c r="G182" s="12" t="inlineStr">
        <is>
          <t>ready for manual test</t>
        </is>
      </c>
      <c r="H182" s="20" t="inlineStr">
        <is>
          <t>untested</t>
        </is>
      </c>
      <c r="I182" s="13" t="inlineStr">
        <is>
          <t>TreeGrid playground scenario.</t>
        </is>
      </c>
      <c r="J182" s="13" t="inlineStr">
        <is>
          <t>Manual verification needed.</t>
        </is>
      </c>
      <c r="K182" s="14">
        <f>IF(AND(E182="yes",F182="yes",H182="covered"),1,IF(H182="partial",0.5,0))</f>
        <v/>
      </c>
    </row>
    <row r="183" ht="15" customHeight="1" s="24">
      <c r="A183" s="12" t="n">
        <v>175</v>
      </c>
      <c r="B183" s="13" t="inlineStr">
        <is>
          <t>State</t>
        </is>
      </c>
      <c r="C183" s="13" t="inlineStr">
        <is>
          <t>Root</t>
        </is>
      </c>
      <c r="D183" s="13" t="inlineStr">
        <is>
          <t>state change callback fires once with correct value</t>
        </is>
      </c>
      <c r="E183" s="18" t="inlineStr">
        <is>
          <t>yes</t>
        </is>
      </c>
      <c r="F183" s="19" t="inlineStr">
        <is>
          <t>no</t>
        </is>
      </c>
      <c r="G183" s="12" t="inlineStr">
        <is>
          <t>ready for manual test</t>
        </is>
      </c>
      <c r="H183" s="20" t="inlineStr">
        <is>
          <t>untested</t>
        </is>
      </c>
      <c r="I183" s="13" t="inlineStr">
        <is>
          <t>TreeGrid playground scenario.</t>
        </is>
      </c>
      <c r="J183" s="13" t="inlineStr">
        <is>
          <t>Manual verification needed.</t>
        </is>
      </c>
      <c r="K183" s="14">
        <f>IF(AND(E183="yes",F183="yes",H183="covered"),1,IF(H183="partial",0.5,0))</f>
        <v/>
      </c>
    </row>
    <row r="184" ht="15" customHeight="1" s="24">
      <c r="A184" s="12" t="n">
        <v>176</v>
      </c>
      <c r="B184" s="13" t="inlineStr">
        <is>
          <t>Keyboard</t>
        </is>
      </c>
      <c r="C184" s="13" t="inlineStr">
        <is>
          <t>TreeGrid</t>
        </is>
      </c>
      <c r="D184" s="13" t="inlineStr">
        <is>
          <t>Arrow key navigation follows documented orientation</t>
        </is>
      </c>
      <c r="E184" s="18" t="inlineStr">
        <is>
          <t>yes</t>
        </is>
      </c>
      <c r="F184" s="19" t="inlineStr">
        <is>
          <t>no</t>
        </is>
      </c>
      <c r="G184" s="12" t="inlineStr">
        <is>
          <t>ready for manual test</t>
        </is>
      </c>
      <c r="H184" s="20" t="inlineStr">
        <is>
          <t>untested</t>
        </is>
      </c>
      <c r="I184" s="13" t="inlineStr">
        <is>
          <t>TreeGrid playground scenario.</t>
        </is>
      </c>
      <c r="J184" s="13" t="inlineStr">
        <is>
          <t>Manual verification needed.</t>
        </is>
      </c>
      <c r="K184" s="14">
        <f>IF(AND(E184="yes",F184="yes",H184="covered"),1,IF(H184="partial",0.5,0))</f>
        <v/>
      </c>
    </row>
    <row r="185" ht="15" customHeight="1" s="24">
      <c r="A185" s="12" t="n">
        <v>177</v>
      </c>
      <c r="B185" s="13" t="inlineStr">
        <is>
          <t>Keyboard</t>
        </is>
      </c>
      <c r="C185" s="13" t="inlineStr">
        <is>
          <t>TreeGrid</t>
        </is>
      </c>
      <c r="D185" s="13" t="inlineStr">
        <is>
          <t>Home and End navigation where supported</t>
        </is>
      </c>
      <c r="E185" s="18" t="inlineStr">
        <is>
          <t>yes</t>
        </is>
      </c>
      <c r="F185" s="19" t="inlineStr">
        <is>
          <t>no</t>
        </is>
      </c>
      <c r="G185" s="12" t="inlineStr">
        <is>
          <t>ready for manual test</t>
        </is>
      </c>
      <c r="H185" s="20" t="inlineStr">
        <is>
          <t>untested</t>
        </is>
      </c>
      <c r="I185" s="13" t="inlineStr">
        <is>
          <t>TreeGrid playground scenario.</t>
        </is>
      </c>
      <c r="J185" s="13" t="inlineStr">
        <is>
          <t>Manual verification needed.</t>
        </is>
      </c>
      <c r="K185" s="14">
        <f>IF(AND(E185="yes",F185="yes",H185="covered"),1,IF(H185="partial",0.5,0))</f>
        <v/>
      </c>
    </row>
    <row r="186" ht="15" customHeight="1" s="24">
      <c r="A186" s="12" t="n">
        <v>178</v>
      </c>
      <c r="B186" s="13" t="inlineStr">
        <is>
          <t>Keyboard</t>
        </is>
      </c>
      <c r="C186" s="13" t="inlineStr">
        <is>
          <t>TreeGrid</t>
        </is>
      </c>
      <c r="D186" s="13" t="inlineStr">
        <is>
          <t>disabled items are skipped or exposed according to pattern</t>
        </is>
      </c>
      <c r="E186" s="18" t="inlineStr">
        <is>
          <t>yes</t>
        </is>
      </c>
      <c r="F186" s="19" t="inlineStr">
        <is>
          <t>no</t>
        </is>
      </c>
      <c r="G186" s="12" t="inlineStr">
        <is>
          <t>ready for manual test</t>
        </is>
      </c>
      <c r="H186" s="20" t="inlineStr">
        <is>
          <t>untested</t>
        </is>
      </c>
      <c r="I186" s="13" t="inlineStr">
        <is>
          <t>TreeGrid playground scenario.</t>
        </is>
      </c>
      <c r="J186" s="13" t="inlineStr">
        <is>
          <t>Manual verification needed.</t>
        </is>
      </c>
      <c r="K186" s="14">
        <f>IF(AND(E186="yes",F186="yes",H186="covered"),1,IF(H186="partial",0.5,0))</f>
        <v/>
      </c>
    </row>
    <row r="187" ht="15" customHeight="1" s="24">
      <c r="A187" s="12" t="n">
        <v>179</v>
      </c>
      <c r="B187" s="13" t="inlineStr">
        <is>
          <t>Keyboard</t>
        </is>
      </c>
      <c r="C187" s="13" t="inlineStr">
        <is>
          <t>TreeGrid</t>
        </is>
      </c>
      <c r="D187" s="13" t="inlineStr">
        <is>
          <t>typeahead/search behavior where supported</t>
        </is>
      </c>
      <c r="E187" s="18" t="inlineStr">
        <is>
          <t>yes</t>
        </is>
      </c>
      <c r="F187" s="19" t="inlineStr">
        <is>
          <t>no</t>
        </is>
      </c>
      <c r="G187" s="12" t="inlineStr">
        <is>
          <t>ready for manual test</t>
        </is>
      </c>
      <c r="H187" s="20" t="inlineStr">
        <is>
          <t>untested</t>
        </is>
      </c>
      <c r="I187" s="13" t="inlineStr">
        <is>
          <t>TreeGrid playground scenario.</t>
        </is>
      </c>
      <c r="J187" s="13" t="inlineStr">
        <is>
          <t>Manual verification needed.</t>
        </is>
      </c>
      <c r="K187" s="14">
        <f>IF(AND(E187="yes",F187="yes",H187="covered"),1,IF(H187="partial",0.5,0))</f>
        <v/>
      </c>
    </row>
    <row r="188" ht="15" customHeight="1" s="24">
      <c r="A188" s="12" t="n">
        <v>180</v>
      </c>
      <c r="B188" s="13" t="inlineStr">
        <is>
          <t>Focus</t>
        </is>
      </c>
      <c r="C188" s="13" t="inlineStr">
        <is>
          <t>TreeGrid</t>
        </is>
      </c>
      <c r="D188" s="13" t="inlineStr">
        <is>
          <t>roving focus or active descendant state is visible</t>
        </is>
      </c>
      <c r="E188" s="18" t="inlineStr">
        <is>
          <t>yes</t>
        </is>
      </c>
      <c r="F188" s="19" t="inlineStr">
        <is>
          <t>no</t>
        </is>
      </c>
      <c r="G188" s="12" t="inlineStr">
        <is>
          <t>ready for manual test</t>
        </is>
      </c>
      <c r="H188" s="20" t="inlineStr">
        <is>
          <t>untested</t>
        </is>
      </c>
      <c r="I188" s="13" t="inlineStr">
        <is>
          <t>TreeGrid playground scenario.</t>
        </is>
      </c>
      <c r="J188" s="13" t="inlineStr">
        <is>
          <t>Manual verification needed.</t>
        </is>
      </c>
      <c r="K188" s="14">
        <f>IF(AND(E188="yes",F188="yes",H188="covered"),1,IF(H188="partial",0.5,0))</f>
        <v/>
      </c>
    </row>
    <row r="189" ht="30" customHeight="1" s="24">
      <c r="A189" s="12" t="n">
        <v>181</v>
      </c>
      <c r="B189" s="13" t="inlineStr">
        <is>
          <t>Direction</t>
        </is>
      </c>
      <c r="C189" s="13" t="inlineStr">
        <is>
          <t>Grid</t>
        </is>
      </c>
      <c r="D189" s="13" t="inlineStr">
        <is>
          <t>reads Direction.Provider context for horizontal cell navigation</t>
        </is>
      </c>
      <c r="E189" s="21" t="inlineStr">
        <is>
          <t>no</t>
        </is>
      </c>
      <c r="F189" s="19" t="inlineStr">
        <is>
          <t>no</t>
        </is>
      </c>
      <c r="G189" s="12" t="inlineStr">
        <is>
          <t>missing</t>
        </is>
      </c>
      <c r="H189" s="21" t="inlineStr">
        <is>
          <t>missing</t>
        </is>
      </c>
      <c r="I189" s="13" t="n"/>
      <c r="J189" s="13" t="inlineStr">
        <is>
          <t>Add Direction.Provider fallback before testing RTL grid arrows.</t>
        </is>
      </c>
      <c r="K189" s="14">
        <f>IF(AND(E189="yes",F189="yes",H189="covered"),1,IF(H189="partial",0.5,0))</f>
        <v/>
      </c>
    </row>
    <row r="190" ht="15" customHeight="1" s="24">
      <c r="A190" s="12" t="n">
        <v>182</v>
      </c>
      <c r="B190" s="13" t="inlineStr">
        <is>
          <t>Direction</t>
        </is>
      </c>
      <c r="C190" s="13" t="inlineStr">
        <is>
          <t>Grid</t>
        </is>
      </c>
      <c r="D190" s="13" t="inlineStr">
        <is>
          <t>RTL mirrors ArrowLeft and ArrowRight cell movement</t>
        </is>
      </c>
      <c r="E190" s="21" t="inlineStr">
        <is>
          <t>no</t>
        </is>
      </c>
      <c r="F190" s="19" t="inlineStr">
        <is>
          <t>no</t>
        </is>
      </c>
      <c r="G190" s="12" t="inlineStr">
        <is>
          <t>missing</t>
        </is>
      </c>
      <c r="H190" s="21" t="inlineStr">
        <is>
          <t>missing</t>
        </is>
      </c>
      <c r="I190" s="13" t="n"/>
      <c r="J190" s="13" t="inlineStr">
        <is>
          <t>Implement and test RTL cell navigation.</t>
        </is>
      </c>
      <c r="K190" s="14">
        <f>IF(AND(E190="yes",F190="yes",H190="covered"),1,IF(H190="partial",0.5,0))</f>
        <v/>
      </c>
    </row>
    <row r="191" ht="30" customHeight="1" s="24">
      <c r="A191" s="12" t="n">
        <v>183</v>
      </c>
      <c r="B191" s="13" t="inlineStr">
        <is>
          <t>Direction</t>
        </is>
      </c>
      <c r="C191" s="13" t="inlineStr">
        <is>
          <t>Grid</t>
        </is>
      </c>
      <c r="D191" s="13" t="inlineStr">
        <is>
          <t>row start and row end respect RTL direction</t>
        </is>
      </c>
      <c r="E191" s="21" t="inlineStr">
        <is>
          <t>no</t>
        </is>
      </c>
      <c r="F191" s="19" t="inlineStr">
        <is>
          <t>no</t>
        </is>
      </c>
      <c r="G191" s="12" t="inlineStr">
        <is>
          <t>missing</t>
        </is>
      </c>
      <c r="H191" s="21" t="inlineStr">
        <is>
          <t>missing</t>
        </is>
      </c>
      <c r="I191" s="13" t="n"/>
      <c r="J191" s="13" t="inlineStr">
        <is>
          <t>Implement and test RTL row-start/row-end semantics.</t>
        </is>
      </c>
      <c r="K191" s="14">
        <f>IF(AND(E191="yes",F191="yes",H191="covered"),1,IF(H191="partial",0.5,0))</f>
        <v/>
      </c>
    </row>
    <row r="192" ht="30" customHeight="1" s="24">
      <c r="A192" s="12" t="n">
        <v>184</v>
      </c>
      <c r="B192" s="13" t="inlineStr">
        <is>
          <t>Playground</t>
        </is>
      </c>
      <c r="C192" s="13" t="inlineStr">
        <is>
          <t>Direction controls</t>
        </is>
      </c>
      <c r="D192" s="13" t="inlineStr">
        <is>
          <t>scenario exposes provider direction controls</t>
        </is>
      </c>
      <c r="E192" s="21" t="inlineStr">
        <is>
          <t>no</t>
        </is>
      </c>
      <c r="F192" s="19" t="inlineStr">
        <is>
          <t>no</t>
        </is>
      </c>
      <c r="G192" s="12" t="inlineStr">
        <is>
          <t>missing</t>
        </is>
      </c>
      <c r="H192" s="21" t="inlineStr">
        <is>
          <t>missing</t>
        </is>
      </c>
      <c r="I192" s="13" t="n"/>
      <c r="J192" s="13" t="inlineStr">
        <is>
          <t>Add provider direction controls to the playground scenario.</t>
        </is>
      </c>
      <c r="K192" s="14">
        <f>IF(AND(E192="yes",F192="yes",H192="covered"),1,IF(H192="partial",0.5,0))</f>
        <v/>
      </c>
    </row>
  </sheetData>
  <autoFilter ref="A8:K192"/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Virtualizer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IFERROR(SUM(K9:K33)/COUNT(K9:K33),0)</f>
        <v/>
      </c>
      <c r="C4" s="8" t="inlineStr">
        <is>
          <t>Covered</t>
        </is>
      </c>
      <c r="D4" s="10">
        <f>COUNTIFS(E9:E33,"yes",F9:F33,"yes",H9:H33,"covered")</f>
        <v/>
      </c>
      <c r="E4" s="8" t="inlineStr">
        <is>
          <t>Partial</t>
        </is>
      </c>
      <c r="F4" s="10">
        <f>COUNTIF(H9:H33,"partial")</f>
        <v/>
      </c>
      <c r="G4" s="8" t="inlineStr">
        <is>
          <t>Missing</t>
        </is>
      </c>
      <c r="H4" s="10">
        <f>COUNTIFS(E9:E33,"&lt;&gt;yes") + COUNTIFS(E9:E33,"yes",H9:H33,"missing")</f>
        <v/>
      </c>
      <c r="I4" s="8" t="inlineStr">
        <is>
          <t>Untested</t>
        </is>
      </c>
      <c r="J4" s="10">
        <f>COUNTIFS(E9:E33,"yes",F9:F33,"&lt;&gt;yes") + COUNTIFS(E9:E33,"yes",F9:F33,"yes",H9:H33,"untested")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Virtualizer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</t>
        </is>
      </c>
      <c r="H9" s="22" t="inlineStr">
        <is>
          <t>covered</t>
        </is>
      </c>
      <c r="I9" s="13" t="inlineStr">
        <is>
          <t>Virtualizer playground manual verification.</t>
        </is>
      </c>
      <c r="J9" s="13" t="n"/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Virtualizer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</t>
        </is>
      </c>
      <c r="H10" s="22" t="inlineStr">
        <is>
          <t>covered</t>
        </is>
      </c>
      <c r="I10" s="13" t="inlineStr">
        <is>
          <t>Virtualizer playground manual verification.</t>
        </is>
      </c>
      <c r="J10" s="13" t="n"/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Virtualizer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</t>
        </is>
      </c>
      <c r="H11" s="22" t="inlineStr">
        <is>
          <t>covered</t>
        </is>
      </c>
      <c r="I11" s="13" t="inlineStr">
        <is>
          <t>Virtualizer playground manual verification.</t>
        </is>
      </c>
      <c r="J11" s="13" t="n"/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Virtualizer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</t>
        </is>
      </c>
      <c r="H12" s="22" t="inlineStr">
        <is>
          <t>covered</t>
        </is>
      </c>
      <c r="I12" s="13" t="inlineStr">
        <is>
          <t>Virtualizer playground manual verification.</t>
        </is>
      </c>
      <c r="J12" s="13" t="n"/>
      <c r="K12" s="14">
        <f>IF(AND(E12="yes",F12="yes",H12="covered"),1,IF(H12="partial",0.5,0))</f>
        <v/>
      </c>
    </row>
    <row r="13" ht="30" customHeight="1" s="24">
      <c r="A13" s="12" t="n">
        <v>5</v>
      </c>
      <c r="B13" s="13" t="inlineStr">
        <is>
          <t>Feature</t>
        </is>
      </c>
      <c r="C13" s="13" t="inlineStr">
        <is>
          <t>Virtualizer</t>
        </is>
      </c>
      <c r="D13" s="13" t="inlineStr">
        <is>
          <t>Computes visible virtual items from item count, scroll offset, viewport size, and overscan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</t>
        </is>
      </c>
      <c r="H13" s="22" t="inlineStr">
        <is>
          <t>covered</t>
        </is>
      </c>
      <c r="I13" s="13" t="inlineStr">
        <is>
          <t>Virtualizer playground manual verification.</t>
        </is>
      </c>
      <c r="J13" s="13" t="n"/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Virtualizer</t>
        </is>
      </c>
      <c r="D14" s="13" t="inlineStr">
        <is>
          <t>Supports measured item sizes with `ResizeObserver`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</t>
        </is>
      </c>
      <c r="H14" s="22" t="inlineStr">
        <is>
          <t>covered</t>
        </is>
      </c>
      <c r="I14" s="13" t="inlineStr">
        <is>
          <t>Virtualizer playground manual verification.</t>
        </is>
      </c>
      <c r="J14" s="13" t="n"/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Virtualizer</t>
        </is>
      </c>
      <c r="D15" s="13" t="inlineStr">
        <is>
          <t>Supports stable item keys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</t>
        </is>
      </c>
      <c r="H15" s="22" t="inlineStr">
        <is>
          <t>covered</t>
        </is>
      </c>
      <c r="I15" s="13" t="inlineStr">
        <is>
          <t>Virtualizer playground manual verification.</t>
        </is>
      </c>
      <c r="J15" s="13" t="n"/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Virtualizer</t>
        </is>
      </c>
      <c r="D16" s="13" t="inlineStr">
        <is>
          <t>Provides `scrollToOffset` and `scrollToIndex` helpers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</t>
        </is>
      </c>
      <c r="H16" s="22" t="inlineStr">
        <is>
          <t>covered</t>
        </is>
      </c>
      <c r="I16" s="13" t="inlineStr">
        <is>
          <t>Virtualizer playground manual verification.</t>
        </is>
      </c>
      <c r="J16" s="13" t="n"/>
      <c r="K16" s="14">
        <f>IF(AND(E16="yes",F16="yes",H16="covered"),1,IF(H16="partial",0.5,0))</f>
        <v/>
      </c>
    </row>
    <row r="17" ht="30" customHeight="1" s="24">
      <c r="A17" s="12" t="n">
        <v>9</v>
      </c>
      <c r="B17" s="13" t="inlineStr">
        <is>
          <t>Feature</t>
        </is>
      </c>
      <c r="C17" s="13" t="inlineStr">
        <is>
          <t>Virtualizer</t>
        </is>
      </c>
      <c r="D17" s="13" t="inlineStr">
        <is>
          <t>Keeps DOM structure, ARIA roles, keyboard behavior, and styling in the component that uses it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</t>
        </is>
      </c>
      <c r="H17" s="22" t="inlineStr">
        <is>
          <t>covered</t>
        </is>
      </c>
      <c r="I17" s="13" t="inlineStr">
        <is>
          <t>Virtualizer playground manual verification.</t>
        </is>
      </c>
      <c r="J17" s="13" t="n"/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Hook API</t>
        </is>
      </c>
      <c r="D18" s="13" t="inlineStr">
        <is>
          <t>hook API state appears in Anatomy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</t>
        </is>
      </c>
      <c r="H18" s="22" t="inlineStr">
        <is>
          <t>covered</t>
        </is>
      </c>
      <c r="I18" s="13" t="inlineStr">
        <is>
          <t>Virtualizer playground manual verification.</t>
        </is>
      </c>
      <c r="J18" s="13" t="n"/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Anatomy</t>
        </is>
      </c>
      <c r="C19" s="13" t="inlineStr">
        <is>
          <t>Hook API</t>
        </is>
      </c>
      <c r="D19" s="13" t="inlineStr">
        <is>
          <t>hook API appears before consumer DOM evidence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</t>
        </is>
      </c>
      <c r="H19" s="22" t="inlineStr">
        <is>
          <t>covered</t>
        </is>
      </c>
      <c r="I19" s="13" t="inlineStr">
        <is>
          <t>Virtualizer playground manual verification.</t>
        </is>
      </c>
      <c r="J19" s="13" t="n"/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Consumer DOM</t>
        </is>
      </c>
      <c r="D20" s="13" t="inlineStr">
        <is>
          <t>scroll container tag is visible in Anatomy/Inspector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</t>
        </is>
      </c>
      <c r="H20" s="22" t="inlineStr">
        <is>
          <t>covered</t>
        </is>
      </c>
      <c r="I20" s="13" t="inlineStr">
        <is>
          <t>Virtualizer playground manual verification.</t>
        </is>
      </c>
      <c r="J20" s="13" t="n"/>
      <c r="K20" s="14">
        <f>IF(AND(E20="yes",F20="yes",H20="covered"),1,IF(H20="partial",0.5,0))</f>
        <v/>
      </c>
    </row>
    <row r="21" ht="15" customHeight="1" s="24">
      <c r="A21" s="12" t="n">
        <v>13</v>
      </c>
      <c r="B21" s="13" t="inlineStr">
        <is>
          <t>Identity</t>
        </is>
      </c>
      <c r="C21" s="13" t="inlineStr">
        <is>
          <t>Hook API</t>
        </is>
      </c>
      <c r="D21" s="13" t="inlineStr">
        <is>
          <t>Virtualizer emits no data-slot because it renders no DOM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</t>
        </is>
      </c>
      <c r="H21" s="22" t="inlineStr">
        <is>
          <t>covered</t>
        </is>
      </c>
      <c r="I21" s="13" t="inlineStr">
        <is>
          <t>Virtualizer playground manual verification.</t>
        </is>
      </c>
      <c r="J21" s="13" t="n"/>
      <c r="K21" s="14">
        <f>IF(AND(E21="yes",F21="yes",H21="covered"),1,IF(H21="partial",0.5,0))</f>
        <v/>
      </c>
    </row>
    <row r="22" ht="30" customHeight="1" s="24">
      <c r="A22" s="12" t="n">
        <v>14</v>
      </c>
      <c r="B22" s="13" t="inlineStr">
        <is>
          <t>Props</t>
        </is>
      </c>
      <c r="C22" s="13" t="inlineStr">
        <is>
          <t>Consumer DOM</t>
        </is>
      </c>
      <c r="D22" s="13" t="inlineStr">
        <is>
          <t>non-Atom marker data-prop-check is not used for hook output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</t>
        </is>
      </c>
      <c r="H22" s="22" t="inlineStr">
        <is>
          <t>covered</t>
        </is>
      </c>
      <c r="I22" s="13" t="inlineStr">
        <is>
          <t>Virtualizer playground manual verification.</t>
        </is>
      </c>
      <c r="J22" s="13" t="n"/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Anatomy</t>
        </is>
      </c>
      <c r="C23" s="13" t="inlineStr">
        <is>
          <t>Consumer DOM</t>
        </is>
      </c>
      <c r="D23" s="13" t="inlineStr">
        <is>
          <t>visible virtual items render in DOM evidence group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</t>
        </is>
      </c>
      <c r="H23" s="22" t="inlineStr">
        <is>
          <t>covered</t>
        </is>
      </c>
      <c r="I23" s="13" t="inlineStr">
        <is>
          <t>Virtualizer playground manual verification.</t>
        </is>
      </c>
      <c r="J23" s="13" t="n"/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Anatomy</t>
        </is>
      </c>
      <c r="C24" s="13" t="inlineStr">
        <is>
          <t>Consumer DOM</t>
        </is>
      </c>
      <c r="D24" s="13" t="inlineStr">
        <is>
          <t>visible range rows follow hook output order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</t>
        </is>
      </c>
      <c r="H24" s="22" t="inlineStr">
        <is>
          <t>covered</t>
        </is>
      </c>
      <c r="I24" s="13" t="inlineStr">
        <is>
          <t>Virtualizer playground manual verification.</t>
        </is>
      </c>
      <c r="J24" s="13" t="n"/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Identity</t>
        </is>
      </c>
      <c r="C25" s="13" t="inlineStr">
        <is>
          <t>Consumer DOM</t>
        </is>
      </c>
      <c r="D25" s="13" t="inlineStr">
        <is>
          <t>virtual item indexes are visible in Anatomy/Inspector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</t>
        </is>
      </c>
      <c r="H25" s="22" t="inlineStr">
        <is>
          <t>covered</t>
        </is>
      </c>
      <c r="I25" s="13" t="inlineStr">
        <is>
          <t>Virtualizer playground manual verification.</t>
        </is>
      </c>
      <c r="J25" s="13" t="n"/>
      <c r="K25" s="14">
        <f>IF(AND(E25="yes",F25="yes",H25="covered"),1,IF(H25="partial",0.5,0))</f>
        <v/>
      </c>
    </row>
    <row r="26" ht="30" customHeight="1" s="24">
      <c r="A26" s="12" t="n">
        <v>18</v>
      </c>
      <c r="B26" s="13" t="inlineStr">
        <is>
          <t>Identity</t>
        </is>
      </c>
      <c r="C26" s="13" t="inlineStr">
        <is>
          <t>Hook API</t>
        </is>
      </c>
      <c r="D26" s="13" t="inlineStr">
        <is>
          <t>Virtualizer emits no Atom data attributes because it renders no DOM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</t>
        </is>
      </c>
      <c r="H26" s="22" t="inlineStr">
        <is>
          <t>covered</t>
        </is>
      </c>
      <c r="I26" s="13" t="inlineStr">
        <is>
          <t>Virtualizer playground manual verification.</t>
        </is>
      </c>
      <c r="J26" s="13" t="n"/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Props</t>
        </is>
      </c>
      <c r="C27" s="13" t="inlineStr">
        <is>
          <t>Consumer DOM</t>
        </is>
      </c>
      <c r="D27" s="13" t="inlineStr">
        <is>
          <t>scroll container native tabIndex is visible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</t>
        </is>
      </c>
      <c r="H27" s="22" t="inlineStr">
        <is>
          <t>covered</t>
        </is>
      </c>
      <c r="I27" s="13" t="inlineStr">
        <is>
          <t>Virtualizer playground manual verification.</t>
        </is>
      </c>
      <c r="J27" s="13" t="n"/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Utility</t>
        </is>
      </c>
      <c r="C28" s="13" t="inlineStr">
        <is>
          <t>Virtualizer</t>
        </is>
      </c>
      <c r="D28" s="13" t="inlineStr">
        <is>
          <t>visible range updates from item size and overscan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</t>
        </is>
      </c>
      <c r="H28" s="22" t="inlineStr">
        <is>
          <t>covered</t>
        </is>
      </c>
      <c r="I28" s="13" t="inlineStr">
        <is>
          <t>Virtualizer playground manual verification.</t>
        </is>
      </c>
      <c r="J28" s="13" t="n"/>
      <c r="K28" s="14">
        <f>IF(AND(E28="yes",F28="yes",H28="covered"),1,IF(H28="partial",0.5,0))</f>
        <v/>
      </c>
    </row>
    <row r="29" ht="15" customHeight="1" s="24">
      <c r="A29" s="12" t="n">
        <v>21</v>
      </c>
      <c r="B29" s="13" t="inlineStr">
        <is>
          <t>Utility</t>
        </is>
      </c>
      <c r="C29" s="13" t="inlineStr">
        <is>
          <t>Virtualizer</t>
        </is>
      </c>
      <c r="D29" s="13" t="inlineStr">
        <is>
          <t>scrollToIndex honors start, center, end, and auto alignment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</t>
        </is>
      </c>
      <c r="H29" s="22" t="inlineStr">
        <is>
          <t>covered</t>
        </is>
      </c>
      <c r="I29" s="13" t="inlineStr">
        <is>
          <t>Virtualizer playground manual verification.</t>
        </is>
      </c>
      <c r="J29" s="13" t="n"/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Utility</t>
        </is>
      </c>
      <c r="C30" s="13" t="inlineStr">
        <is>
          <t>Virtualizer</t>
        </is>
      </c>
      <c r="D30" s="13" t="inlineStr">
        <is>
          <t>variable item sizes and zero-size items are handled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</t>
        </is>
      </c>
      <c r="H30" s="22" t="inlineStr">
        <is>
          <t>covered</t>
        </is>
      </c>
      <c r="I30" s="13" t="inlineStr">
        <is>
          <t>Virtualizer playground manual verification.</t>
        </is>
      </c>
      <c r="J30" s="13" t="n"/>
      <c r="K30" s="14">
        <f>IF(AND(E30="yes",F30="yes",H30="covered"),1,IF(H30="partial",0.5,0))</f>
        <v/>
      </c>
    </row>
    <row r="31" ht="30" customHeight="1" s="24">
      <c r="A31" s="12" t="n">
        <v>23</v>
      </c>
      <c r="B31" s="13" t="inlineStr">
        <is>
          <t>Public API</t>
        </is>
      </c>
      <c r="C31" s="13" t="inlineStr">
        <is>
          <t>Pure helpers</t>
        </is>
      </c>
      <c r="D31" s="13" t="inlineStr">
        <is>
          <t>getVirtualTotalSize export and behavior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</t>
        </is>
      </c>
      <c r="H31" s="22" t="inlineStr">
        <is>
          <t>covered</t>
        </is>
      </c>
      <c r="I31" s="13" t="inlineStr">
        <is>
          <t>Unit tests cover pure helper behavior; playground shows total size.</t>
        </is>
      </c>
      <c r="J31" s="13" t="inlineStr">
        <is>
          <t>Manual verification passed.</t>
        </is>
      </c>
      <c r="K31" s="14">
        <f>IF(AND(E31="yes",F31="yes",H31="covered"),1,IF(H31="partial",0.5,0))</f>
        <v/>
      </c>
    </row>
    <row r="32" ht="30" customHeight="1" s="24">
      <c r="A32" s="12" t="n">
        <v>24</v>
      </c>
      <c r="B32" s="13" t="inlineStr">
        <is>
          <t>Public API</t>
        </is>
      </c>
      <c r="C32" s="13" t="inlineStr">
        <is>
          <t>Pure helpers</t>
        </is>
      </c>
      <c r="D32" s="13" t="inlineStr">
        <is>
          <t>getVirtualOffsetForIndex export and behavior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</t>
        </is>
      </c>
      <c r="H32" s="22" t="inlineStr">
        <is>
          <t>covered</t>
        </is>
      </c>
      <c r="I32" s="13" t="inlineStr">
        <is>
          <t>Unit tests cover pure helper behavior; playground shows item starts.</t>
        </is>
      </c>
      <c r="J32" s="13" t="inlineStr">
        <is>
          <t>Manual verification passed.</t>
        </is>
      </c>
      <c r="K32" s="14">
        <f>IF(AND(E32="yes",F32="yes",H32="covered"),1,IF(H32="partial",0.5,0))</f>
        <v/>
      </c>
    </row>
    <row r="33" ht="30" customHeight="1" s="24">
      <c r="A33" s="12" t="n">
        <v>25</v>
      </c>
      <c r="B33" s="13" t="inlineStr">
        <is>
          <t>Public API</t>
        </is>
      </c>
      <c r="C33" s="13" t="inlineStr">
        <is>
          <t>Pure helpers</t>
        </is>
      </c>
      <c r="D33" s="13" t="inlineStr">
        <is>
          <t>getVirtualScrollOffsetForIndex export and behavior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</t>
        </is>
      </c>
      <c r="H33" s="22" t="inlineStr">
        <is>
          <t>covered</t>
        </is>
      </c>
      <c r="I33" s="13" t="inlineStr">
        <is>
          <t>Unit tests cover pure helper behavior; playground tests scrollToIndex alignments.</t>
        </is>
      </c>
      <c r="J33" s="13" t="inlineStr">
        <is>
          <t>Manual verification passed.</t>
        </is>
      </c>
      <c r="K33" s="14">
        <f>IF(AND(E33="yes",F33="yes",H33="covered"),1,IF(H33="partial",0.5,0))</f>
        <v/>
      </c>
    </row>
  </sheetData>
  <autoFilter ref="A8:K33"/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4"/>
  <cols>
    <col width="7" customWidth="1" style="24" min="1" max="1"/>
    <col width="16" customWidth="1" style="24" min="2" max="2"/>
    <col width="22" customWidth="1" style="24" min="3" max="3"/>
    <col width="48" customWidth="1" style="24" min="4" max="4"/>
    <col width="14" customWidth="1" style="24" min="5" max="5"/>
    <col width="12" customWidth="1" style="24" min="6" max="6"/>
    <col width="18" customWidth="1" style="24" min="7" max="8"/>
    <col width="42" customWidth="1" style="24" min="9" max="9"/>
    <col width="38" customWidth="1" style="24" min="10" max="10"/>
    <col width="10" customWidth="1" style="24" min="11" max="11"/>
  </cols>
  <sheetData>
    <row r="1" ht="30" customHeight="1" s="24">
      <c r="A1" s="28" t="inlineStr">
        <is>
          <t>VisuallyHidden Playground Coverage</t>
        </is>
      </c>
    </row>
    <row r="2" ht="24" customHeight="1" s="24">
      <c r="A2" s="26" t="inlineStr">
        <is>
          <t>Tracks manual playground coverage only. Rows that are not applicable to this component are removed, not counted as covered.</t>
        </is>
      </c>
    </row>
    <row r="4" ht="24" customHeight="1" s="24">
      <c r="A4" s="8" t="inlineStr">
        <is>
          <t>Coverage</t>
        </is>
      </c>
      <c r="B4" s="9">
        <f>IFERROR(SUM(K9:K33)/COUNT(K9:K33),0)</f>
        <v/>
      </c>
      <c r="C4" s="8" t="inlineStr">
        <is>
          <t>Covered</t>
        </is>
      </c>
      <c r="D4" s="10">
        <f>COUNTIFS(E9:E33,"yes",F9:F33,"yes",H9:H33,"covered")</f>
        <v/>
      </c>
      <c r="E4" s="8" t="inlineStr">
        <is>
          <t>Partial</t>
        </is>
      </c>
      <c r="F4" s="10">
        <f>COUNTIF(H9:H33,"partial")</f>
        <v/>
      </c>
      <c r="G4" s="8" t="inlineStr">
        <is>
          <t>Missing</t>
        </is>
      </c>
      <c r="H4" s="10">
        <f>COUNTIFS(E9:E33,"&lt;&gt;yes") + COUNTIFS(E9:E33,"yes",H9:H33,"missing")</f>
        <v/>
      </c>
      <c r="I4" s="8" t="inlineStr">
        <is>
          <t>Untested</t>
        </is>
      </c>
      <c r="J4" s="10">
        <f>COUNTIFS(E9:E33,"yes",F9:F33,"&lt;&gt;yes") + COUNTIFS(E9:E33,"yes",F9:F33,"yes",H9:H33,"untested")</f>
        <v/>
      </c>
    </row>
    <row r="6" ht="24" customHeight="1" s="24">
      <c r="A6" s="27" t="inlineStr">
        <is>
          <t>Scoring: completion is SUM(Score) / total playground rows. Score is formula-driven from Implemented, Tested, and Coverage Status.</t>
        </is>
      </c>
    </row>
    <row r="8" ht="24" customHeight="1" s="24">
      <c r="A8" s="11" t="inlineStr">
        <is>
          <t>ID</t>
        </is>
      </c>
      <c r="B8" s="11" t="inlineStr">
        <is>
          <t>Area</t>
        </is>
      </c>
      <c r="C8" s="11" t="inlineStr">
        <is>
          <t>Part</t>
        </is>
      </c>
      <c r="D8" s="11" t="inlineStr">
        <is>
          <t>Test item</t>
        </is>
      </c>
      <c r="E8" s="11" t="inlineStr">
        <is>
          <t>Implemented</t>
        </is>
      </c>
      <c r="F8" s="11" t="inlineStr">
        <is>
          <t>Tested</t>
        </is>
      </c>
      <c r="G8" s="11" t="inlineStr">
        <is>
          <t>Result</t>
        </is>
      </c>
      <c r="H8" s="11" t="inlineStr">
        <is>
          <t>Coverage Status</t>
        </is>
      </c>
      <c r="I8" s="11" t="inlineStr">
        <is>
          <t>Currently covered by</t>
        </is>
      </c>
      <c r="J8" s="11" t="inlineStr">
        <is>
          <t>Missing / next step</t>
        </is>
      </c>
      <c r="K8" s="11" t="inlineStr">
        <is>
          <t>Score</t>
        </is>
      </c>
    </row>
    <row r="9" ht="15" customHeight="1" s="24">
      <c r="A9" s="12" t="n">
        <v>1</v>
      </c>
      <c r="B9" s="13" t="inlineStr">
        <is>
          <t>Playground</t>
        </is>
      </c>
      <c r="C9" s="13" t="inlineStr">
        <is>
          <t>VisuallyHidden</t>
        </is>
      </c>
      <c r="D9" s="13" t="inlineStr">
        <is>
          <t>scenario is reachable from top menu</t>
        </is>
      </c>
      <c r="E9" s="18" t="inlineStr">
        <is>
          <t>yes</t>
        </is>
      </c>
      <c r="F9" s="18" t="inlineStr">
        <is>
          <t>yes</t>
        </is>
      </c>
      <c r="G9" s="12" t="inlineStr">
        <is>
          <t>passed</t>
        </is>
      </c>
      <c r="H9" s="22" t="inlineStr">
        <is>
          <t>covered</t>
        </is>
      </c>
      <c r="I9" s="13" t="inlineStr">
        <is>
          <t>Visually Hidden playground scenario.</t>
        </is>
      </c>
      <c r="J9" s="13" t="inlineStr">
        <is>
          <t>Manual verification passed.</t>
        </is>
      </c>
      <c r="K9" s="14">
        <f>IF(AND(E9="yes",F9="yes",H9="covered"),1,IF(H9="partial",0.5,0))</f>
        <v/>
      </c>
    </row>
    <row r="10" ht="15" customHeight="1" s="24">
      <c r="A10" s="12" t="n">
        <v>2</v>
      </c>
      <c r="B10" s="13" t="inlineStr">
        <is>
          <t>Playground</t>
        </is>
      </c>
      <c r="C10" s="13" t="inlineStr">
        <is>
          <t>VisuallyHidden</t>
        </is>
      </c>
      <c r="D10" s="13" t="inlineStr">
        <is>
          <t>canvas source reflects current toggles</t>
        </is>
      </c>
      <c r="E10" s="18" t="inlineStr">
        <is>
          <t>yes</t>
        </is>
      </c>
      <c r="F10" s="18" t="inlineStr">
        <is>
          <t>yes</t>
        </is>
      </c>
      <c r="G10" s="12" t="inlineStr">
        <is>
          <t>passed</t>
        </is>
      </c>
      <c r="H10" s="22" t="inlineStr">
        <is>
          <t>covered</t>
        </is>
      </c>
      <c r="I10" s="13" t="inlineStr">
        <is>
          <t>Visually Hidden playground scenario.</t>
        </is>
      </c>
      <c r="J10" s="13" t="inlineStr">
        <is>
          <t>Manual verification passed.</t>
        </is>
      </c>
      <c r="K10" s="14">
        <f>IF(AND(E10="yes",F10="yes",H10="covered"),1,IF(H10="partial",0.5,0))</f>
        <v/>
      </c>
    </row>
    <row r="11" ht="15" customHeight="1" s="24">
      <c r="A11" s="12" t="n">
        <v>3</v>
      </c>
      <c r="B11" s="13" t="inlineStr">
        <is>
          <t>Playground</t>
        </is>
      </c>
      <c r="C11" s="13" t="inlineStr">
        <is>
          <t>VisuallyHidden</t>
        </is>
      </c>
      <c r="D11" s="13" t="inlineStr">
        <is>
          <t>anatomy uses live DOM attributes, ARIA, and data groups</t>
        </is>
      </c>
      <c r="E11" s="18" t="inlineStr">
        <is>
          <t>yes</t>
        </is>
      </c>
      <c r="F11" s="18" t="inlineStr">
        <is>
          <t>yes</t>
        </is>
      </c>
      <c r="G11" s="12" t="inlineStr">
        <is>
          <t>passed</t>
        </is>
      </c>
      <c r="H11" s="22" t="inlineStr">
        <is>
          <t>covered</t>
        </is>
      </c>
      <c r="I11" s="13" t="inlineStr">
        <is>
          <t>Visually Hidden playground scenario.</t>
        </is>
      </c>
      <c r="J11" s="13" t="inlineStr">
        <is>
          <t>Manual verification passed.</t>
        </is>
      </c>
      <c r="K11" s="14">
        <f>IF(AND(E11="yes",F11="yes",H11="covered"),1,IF(H11="partial",0.5,0))</f>
        <v/>
      </c>
    </row>
    <row r="12" ht="15" customHeight="1" s="24">
      <c r="A12" s="12" t="n">
        <v>4</v>
      </c>
      <c r="B12" s="13" t="inlineStr">
        <is>
          <t>Playground</t>
        </is>
      </c>
      <c r="C12" s="13" t="inlineStr">
        <is>
          <t>VisuallyHidden</t>
        </is>
      </c>
      <c r="D12" s="13" t="inlineStr">
        <is>
          <t>inspector selected/focused/logs work for this scenario</t>
        </is>
      </c>
      <c r="E12" s="18" t="inlineStr">
        <is>
          <t>yes</t>
        </is>
      </c>
      <c r="F12" s="18" t="inlineStr">
        <is>
          <t>yes</t>
        </is>
      </c>
      <c r="G12" s="12" t="inlineStr">
        <is>
          <t>passed</t>
        </is>
      </c>
      <c r="H12" s="22" t="inlineStr">
        <is>
          <t>covered</t>
        </is>
      </c>
      <c r="I12" s="13" t="inlineStr">
        <is>
          <t>Visually Hidden playground scenario.</t>
        </is>
      </c>
      <c r="J12" s="13" t="inlineStr">
        <is>
          <t>Manual verification passed.</t>
        </is>
      </c>
      <c r="K12" s="14">
        <f>IF(AND(E12="yes",F12="yes",H12="covered"),1,IF(H12="partial",0.5,0))</f>
        <v/>
      </c>
    </row>
    <row r="13" ht="15" customHeight="1" s="24">
      <c r="A13" s="12" t="n">
        <v>5</v>
      </c>
      <c r="B13" s="13" t="inlineStr">
        <is>
          <t>Feature</t>
        </is>
      </c>
      <c r="C13" s="13" t="inlineStr">
        <is>
          <t>VisuallyHidden</t>
        </is>
      </c>
      <c r="D13" s="13" t="inlineStr">
        <is>
          <t>Keeps content available to assistive technology</t>
        </is>
      </c>
      <c r="E13" s="18" t="inlineStr">
        <is>
          <t>yes</t>
        </is>
      </c>
      <c r="F13" s="18" t="inlineStr">
        <is>
          <t>yes</t>
        </is>
      </c>
      <c r="G13" s="12" t="inlineStr">
        <is>
          <t>passed</t>
        </is>
      </c>
      <c r="H13" s="22" t="inlineStr">
        <is>
          <t>covered</t>
        </is>
      </c>
      <c r="I13" s="13" t="inlineStr">
        <is>
          <t>Visually Hidden playground scenario.</t>
        </is>
      </c>
      <c r="J13" s="13" t="inlineStr">
        <is>
          <t>Manual verification passed.</t>
        </is>
      </c>
      <c r="K13" s="14">
        <f>IF(AND(E13="yes",F13="yes",H13="covered"),1,IF(H13="partial",0.5,0))</f>
        <v/>
      </c>
    </row>
    <row r="14" ht="15" customHeight="1" s="24">
      <c r="A14" s="12" t="n">
        <v>6</v>
      </c>
      <c r="B14" s="13" t="inlineStr">
        <is>
          <t>Feature</t>
        </is>
      </c>
      <c r="C14" s="13" t="inlineStr">
        <is>
          <t>VisuallyHidden</t>
        </is>
      </c>
      <c r="D14" s="13" t="inlineStr">
        <is>
          <t>Applies an authoritative visually-hidden style contract</t>
        </is>
      </c>
      <c r="E14" s="18" t="inlineStr">
        <is>
          <t>yes</t>
        </is>
      </c>
      <c r="F14" s="18" t="inlineStr">
        <is>
          <t>yes</t>
        </is>
      </c>
      <c r="G14" s="12" t="inlineStr">
        <is>
          <t>passed</t>
        </is>
      </c>
      <c r="H14" s="22" t="inlineStr">
        <is>
          <t>covered</t>
        </is>
      </c>
      <c r="I14" s="13" t="inlineStr">
        <is>
          <t>Visually Hidden playground scenario.</t>
        </is>
      </c>
      <c r="J14" s="13" t="inlineStr">
        <is>
          <t>Manual verification passed.</t>
        </is>
      </c>
      <c r="K14" s="14">
        <f>IF(AND(E14="yes",F14="yes",H14="covered"),1,IF(H14="partial",0.5,0))</f>
        <v/>
      </c>
    </row>
    <row r="15" ht="15" customHeight="1" s="24">
      <c r="A15" s="12" t="n">
        <v>7</v>
      </c>
      <c r="B15" s="13" t="inlineStr">
        <is>
          <t>Feature</t>
        </is>
      </c>
      <c r="C15" s="13" t="inlineStr">
        <is>
          <t>VisuallyHidden</t>
        </is>
      </c>
      <c r="D15" s="13" t="inlineStr">
        <is>
          <t>Merges consumer styles before hiding styles</t>
        </is>
      </c>
      <c r="E15" s="18" t="inlineStr">
        <is>
          <t>yes</t>
        </is>
      </c>
      <c r="F15" s="18" t="inlineStr">
        <is>
          <t>yes</t>
        </is>
      </c>
      <c r="G15" s="12" t="inlineStr">
        <is>
          <t>passed</t>
        </is>
      </c>
      <c r="H15" s="22" t="inlineStr">
        <is>
          <t>covered</t>
        </is>
      </c>
      <c r="I15" s="13" t="inlineStr">
        <is>
          <t>Visually Hidden playground scenario.</t>
        </is>
      </c>
      <c r="J15" s="13" t="inlineStr">
        <is>
          <t>Manual verification passed.</t>
        </is>
      </c>
      <c r="K15" s="14">
        <f>IF(AND(E15="yes",F15="yes",H15="covered"),1,IF(H15="partial",0.5,0))</f>
        <v/>
      </c>
    </row>
    <row r="16" ht="15" customHeight="1" s="24">
      <c r="A16" s="12" t="n">
        <v>8</v>
      </c>
      <c r="B16" s="13" t="inlineStr">
        <is>
          <t>Feature</t>
        </is>
      </c>
      <c r="C16" s="13" t="inlineStr">
        <is>
          <t>VisuallyHidden</t>
        </is>
      </c>
      <c r="D16" s="13" t="inlineStr">
        <is>
          <t>Supports `asChild` and `render`</t>
        </is>
      </c>
      <c r="E16" s="18" t="inlineStr">
        <is>
          <t>yes</t>
        </is>
      </c>
      <c r="F16" s="18" t="inlineStr">
        <is>
          <t>yes</t>
        </is>
      </c>
      <c r="G16" s="12" t="inlineStr">
        <is>
          <t>passed</t>
        </is>
      </c>
      <c r="H16" s="22" t="inlineStr">
        <is>
          <t>covered</t>
        </is>
      </c>
      <c r="I16" s="13" t="inlineStr">
        <is>
          <t>Visually Hidden playground scenario.</t>
        </is>
      </c>
      <c r="J16" s="13" t="inlineStr">
        <is>
          <t>Manual verification passed.</t>
        </is>
      </c>
      <c r="K16" s="14">
        <f>IF(AND(E16="yes",F16="yes",H16="covered"),1,IF(H16="partial",0.5,0))</f>
        <v/>
      </c>
    </row>
    <row r="17" ht="15" customHeight="1" s="24">
      <c r="A17" s="12" t="n">
        <v>9</v>
      </c>
      <c r="B17" s="13" t="inlineStr">
        <is>
          <t>Anatomy</t>
        </is>
      </c>
      <c r="C17" s="13" t="inlineStr">
        <is>
          <t>Root</t>
        </is>
      </c>
      <c r="D17" s="13" t="inlineStr">
        <is>
          <t>renders correct part when expected</t>
        </is>
      </c>
      <c r="E17" s="18" t="inlineStr">
        <is>
          <t>yes</t>
        </is>
      </c>
      <c r="F17" s="18" t="inlineStr">
        <is>
          <t>yes</t>
        </is>
      </c>
      <c r="G17" s="12" t="inlineStr">
        <is>
          <t>passed</t>
        </is>
      </c>
      <c r="H17" s="22" t="inlineStr">
        <is>
          <t>covered</t>
        </is>
      </c>
      <c r="I17" s="13" t="inlineStr">
        <is>
          <t>Visually Hidden playground scenario.</t>
        </is>
      </c>
      <c r="J17" s="13" t="inlineStr">
        <is>
          <t>Manual verification passed.</t>
        </is>
      </c>
      <c r="K17" s="14">
        <f>IF(AND(E17="yes",F17="yes",H17="covered"),1,IF(H17="partial",0.5,0))</f>
        <v/>
      </c>
    </row>
    <row r="18" ht="15" customHeight="1" s="24">
      <c r="A18" s="12" t="n">
        <v>10</v>
      </c>
      <c r="B18" s="13" t="inlineStr">
        <is>
          <t>Anatomy</t>
        </is>
      </c>
      <c r="C18" s="13" t="inlineStr">
        <is>
          <t>Root</t>
        </is>
      </c>
      <c r="D18" s="13" t="inlineStr">
        <is>
          <t>appears in documented order</t>
        </is>
      </c>
      <c r="E18" s="18" t="inlineStr">
        <is>
          <t>yes</t>
        </is>
      </c>
      <c r="F18" s="18" t="inlineStr">
        <is>
          <t>yes</t>
        </is>
      </c>
      <c r="G18" s="12" t="inlineStr">
        <is>
          <t>passed</t>
        </is>
      </c>
      <c r="H18" s="22" t="inlineStr">
        <is>
          <t>covered</t>
        </is>
      </c>
      <c r="I18" s="13" t="inlineStr">
        <is>
          <t>Visually Hidden playground scenario.</t>
        </is>
      </c>
      <c r="J18" s="13" t="inlineStr">
        <is>
          <t>Manual verification passed.</t>
        </is>
      </c>
      <c r="K18" s="14">
        <f>IF(AND(E18="yes",F18="yes",H18="covered"),1,IF(H18="partial",0.5,0))</f>
        <v/>
      </c>
    </row>
    <row r="19" ht="15" customHeight="1" s="24">
      <c r="A19" s="12" t="n">
        <v>11</v>
      </c>
      <c r="B19" s="13" t="inlineStr">
        <is>
          <t>Identity</t>
        </is>
      </c>
      <c r="C19" s="13" t="inlineStr">
        <is>
          <t>Root</t>
        </is>
      </c>
      <c r="D19" s="13" t="inlineStr">
        <is>
          <t>default tag is visible in Anatomy/Inspector</t>
        </is>
      </c>
      <c r="E19" s="18" t="inlineStr">
        <is>
          <t>yes</t>
        </is>
      </c>
      <c r="F19" s="18" t="inlineStr">
        <is>
          <t>yes</t>
        </is>
      </c>
      <c r="G19" s="12" t="inlineStr">
        <is>
          <t>passed</t>
        </is>
      </c>
      <c r="H19" s="22" t="inlineStr">
        <is>
          <t>covered</t>
        </is>
      </c>
      <c r="I19" s="13" t="inlineStr">
        <is>
          <t>Visually Hidden playground scenario.</t>
        </is>
      </c>
      <c r="J19" s="13" t="inlineStr">
        <is>
          <t>Manual verification passed.</t>
        </is>
      </c>
      <c r="K19" s="14">
        <f>IF(AND(E19="yes",F19="yes",H19="covered"),1,IF(H19="partial",0.5,0))</f>
        <v/>
      </c>
    </row>
    <row r="20" ht="15" customHeight="1" s="24">
      <c r="A20" s="12" t="n">
        <v>12</v>
      </c>
      <c r="B20" s="13" t="inlineStr">
        <is>
          <t>Identity</t>
        </is>
      </c>
      <c r="C20" s="13" t="inlineStr">
        <is>
          <t>Root</t>
        </is>
      </c>
      <c r="D20" s="13" t="inlineStr">
        <is>
          <t>data-slot is present and correct</t>
        </is>
      </c>
      <c r="E20" s="18" t="inlineStr">
        <is>
          <t>yes</t>
        </is>
      </c>
      <c r="F20" s="18" t="inlineStr">
        <is>
          <t>yes</t>
        </is>
      </c>
      <c r="G20" s="12" t="inlineStr">
        <is>
          <t>passed</t>
        </is>
      </c>
      <c r="H20" s="22" t="inlineStr">
        <is>
          <t>covered</t>
        </is>
      </c>
      <c r="I20" s="13" t="inlineStr">
        <is>
          <t>Visually Hidden playground scenario.</t>
        </is>
      </c>
      <c r="J20" s="13" t="inlineStr">
        <is>
          <t>Manual verification passed.</t>
        </is>
      </c>
      <c r="K20" s="14">
        <f>IF(AND(E20="yes",F20="yes",H20="covered"),1,IF(H20="partial",0.5,0))</f>
        <v/>
      </c>
    </row>
    <row r="21" ht="30" customHeight="1" s="24">
      <c r="A21" s="12" t="n">
        <v>13</v>
      </c>
      <c r="B21" s="13" t="inlineStr">
        <is>
          <t>Props</t>
        </is>
      </c>
      <c r="C21" s="13" t="inlineStr">
        <is>
          <t>Root</t>
        </is>
      </c>
      <c r="D21" s="13" t="inlineStr">
        <is>
          <t>non-Atom native props pass through with data-prop-check marker</t>
        </is>
      </c>
      <c r="E21" s="18" t="inlineStr">
        <is>
          <t>yes</t>
        </is>
      </c>
      <c r="F21" s="18" t="inlineStr">
        <is>
          <t>yes</t>
        </is>
      </c>
      <c r="G21" s="12" t="inlineStr">
        <is>
          <t>passed</t>
        </is>
      </c>
      <c r="H21" s="22" t="inlineStr">
        <is>
          <t>covered</t>
        </is>
      </c>
      <c r="I21" s="13" t="inlineStr">
        <is>
          <t>Visually Hidden playground scenario.</t>
        </is>
      </c>
      <c r="J21" s="13" t="inlineStr">
        <is>
          <t>Manual verification passed.</t>
        </is>
      </c>
      <c r="K21" s="14">
        <f>IF(AND(E21="yes",F21="yes",H21="covered"),1,IF(H21="partial",0.5,0))</f>
        <v/>
      </c>
    </row>
    <row r="22" ht="15" customHeight="1" s="24">
      <c r="A22" s="12" t="n">
        <v>14</v>
      </c>
      <c r="B22" s="13" t="inlineStr">
        <is>
          <t>Refs</t>
        </is>
      </c>
      <c r="C22" s="13" t="inlineStr">
        <is>
          <t>Root</t>
        </is>
      </c>
      <c r="D22" s="13" t="inlineStr">
        <is>
          <t>consumer ref receives the rendered element</t>
        </is>
      </c>
      <c r="E22" s="18" t="inlineStr">
        <is>
          <t>yes</t>
        </is>
      </c>
      <c r="F22" s="18" t="inlineStr">
        <is>
          <t>yes</t>
        </is>
      </c>
      <c r="G22" s="12" t="inlineStr">
        <is>
          <t>passed</t>
        </is>
      </c>
      <c r="H22" s="22" t="inlineStr">
        <is>
          <t>covered</t>
        </is>
      </c>
      <c r="I22" s="13" t="inlineStr">
        <is>
          <t>Visually Hidden playground scenario.</t>
        </is>
      </c>
      <c r="J22" s="13" t="inlineStr">
        <is>
          <t>Manual verification passed.</t>
        </is>
      </c>
      <c r="K22" s="14">
        <f>IF(AND(E22="yes",F22="yes",H22="covered"),1,IF(H22="partial",0.5,0))</f>
        <v/>
      </c>
    </row>
    <row r="23" ht="15" customHeight="1" s="24">
      <c r="A23" s="12" t="n">
        <v>15</v>
      </c>
      <c r="B23" s="13" t="inlineStr">
        <is>
          <t>Composition</t>
        </is>
      </c>
      <c r="C23" s="13" t="inlineStr">
        <is>
          <t>Root</t>
        </is>
      </c>
      <c r="D23" s="13" t="inlineStr">
        <is>
          <t>asChild prop behavior</t>
        </is>
      </c>
      <c r="E23" s="18" t="inlineStr">
        <is>
          <t>yes</t>
        </is>
      </c>
      <c r="F23" s="18" t="inlineStr">
        <is>
          <t>yes</t>
        </is>
      </c>
      <c r="G23" s="12" t="inlineStr">
        <is>
          <t>passed</t>
        </is>
      </c>
      <c r="H23" s="22" t="inlineStr">
        <is>
          <t>covered</t>
        </is>
      </c>
      <c r="I23" s="13" t="inlineStr">
        <is>
          <t>Visually Hidden playground scenario.</t>
        </is>
      </c>
      <c r="J23" s="13" t="inlineStr">
        <is>
          <t>Manual verification passed.</t>
        </is>
      </c>
      <c r="K23" s="14">
        <f>IF(AND(E23="yes",F23="yes",H23="covered"),1,IF(H23="partial",0.5,0))</f>
        <v/>
      </c>
    </row>
    <row r="24" ht="15" customHeight="1" s="24">
      <c r="A24" s="12" t="n">
        <v>16</v>
      </c>
      <c r="B24" s="13" t="inlineStr">
        <is>
          <t>Composition</t>
        </is>
      </c>
      <c r="C24" s="13" t="inlineStr">
        <is>
          <t>Root</t>
        </is>
      </c>
      <c r="D24" s="13" t="inlineStr">
        <is>
          <t>render prop behavior</t>
        </is>
      </c>
      <c r="E24" s="18" t="inlineStr">
        <is>
          <t>yes</t>
        </is>
      </c>
      <c r="F24" s="18" t="inlineStr">
        <is>
          <t>yes</t>
        </is>
      </c>
      <c r="G24" s="12" t="inlineStr">
        <is>
          <t>passed</t>
        </is>
      </c>
      <c r="H24" s="22" t="inlineStr">
        <is>
          <t>covered</t>
        </is>
      </c>
      <c r="I24" s="13" t="inlineStr">
        <is>
          <t>Visually Hidden playground scenario.</t>
        </is>
      </c>
      <c r="J24" s="13" t="inlineStr">
        <is>
          <t>Manual verification passed.</t>
        </is>
      </c>
      <c r="K24" s="14">
        <f>IF(AND(E24="yes",F24="yes",H24="covered"),1,IF(H24="partial",0.5,0))</f>
        <v/>
      </c>
    </row>
    <row r="25" ht="15" customHeight="1" s="24">
      <c r="A25" s="12" t="n">
        <v>17</v>
      </c>
      <c r="B25" s="13" t="inlineStr">
        <is>
          <t>Public API</t>
        </is>
      </c>
      <c r="C25" s="13" t="inlineStr">
        <is>
          <t>Root</t>
        </is>
      </c>
      <c r="D25" s="13" t="inlineStr">
        <is>
          <t>[data-slot] prop behavior</t>
        </is>
      </c>
      <c r="E25" s="18" t="inlineStr">
        <is>
          <t>yes</t>
        </is>
      </c>
      <c r="F25" s="18" t="inlineStr">
        <is>
          <t>yes</t>
        </is>
      </c>
      <c r="G25" s="12" t="inlineStr">
        <is>
          <t>passed</t>
        </is>
      </c>
      <c r="H25" s="22" t="inlineStr">
        <is>
          <t>covered</t>
        </is>
      </c>
      <c r="I25" s="13" t="inlineStr">
        <is>
          <t>Visually Hidden playground scenario.</t>
        </is>
      </c>
      <c r="J25" s="13" t="inlineStr">
        <is>
          <t>Manual verification passed.</t>
        </is>
      </c>
      <c r="K25" s="14">
        <f>IF(AND(E25="yes",F25="yes",H25="covered"),1,IF(H25="partial",0.5,0))</f>
        <v/>
      </c>
    </row>
    <row r="26" ht="15" customHeight="1" s="24">
      <c r="A26" s="12" t="n">
        <v>18</v>
      </c>
      <c r="B26" s="13" t="inlineStr">
        <is>
          <t>Data</t>
        </is>
      </c>
      <c r="C26" s="13" t="inlineStr">
        <is>
          <t>Live DOM</t>
        </is>
      </c>
      <c r="D26" s="13" t="inlineStr">
        <is>
          <t>data-slot is present at the correct time</t>
        </is>
      </c>
      <c r="E26" s="18" t="inlineStr">
        <is>
          <t>yes</t>
        </is>
      </c>
      <c r="F26" s="18" t="inlineStr">
        <is>
          <t>yes</t>
        </is>
      </c>
      <c r="G26" s="12" t="inlineStr">
        <is>
          <t>passed</t>
        </is>
      </c>
      <c r="H26" s="22" t="inlineStr">
        <is>
          <t>covered</t>
        </is>
      </c>
      <c r="I26" s="13" t="inlineStr">
        <is>
          <t>Visually Hidden playground scenario.</t>
        </is>
      </c>
      <c r="J26" s="13" t="inlineStr">
        <is>
          <t>Manual verification passed.</t>
        </is>
      </c>
      <c r="K26" s="14">
        <f>IF(AND(E26="yes",F26="yes",H26="covered"),1,IF(H26="partial",0.5,0))</f>
        <v/>
      </c>
    </row>
    <row r="27" ht="15" customHeight="1" s="24">
      <c r="A27" s="12" t="n">
        <v>19</v>
      </c>
      <c r="B27" s="13" t="inlineStr">
        <is>
          <t>Composition</t>
        </is>
      </c>
      <c r="C27" s="13" t="inlineStr">
        <is>
          <t>VisuallyHidden</t>
        </is>
      </c>
      <c r="D27" s="13" t="inlineStr">
        <is>
          <t>asChild preserves child content without double nesting</t>
        </is>
      </c>
      <c r="E27" s="18" t="inlineStr">
        <is>
          <t>yes</t>
        </is>
      </c>
      <c r="F27" s="18" t="inlineStr">
        <is>
          <t>yes</t>
        </is>
      </c>
      <c r="G27" s="12" t="inlineStr">
        <is>
          <t>passed</t>
        </is>
      </c>
      <c r="H27" s="22" t="inlineStr">
        <is>
          <t>covered</t>
        </is>
      </c>
      <c r="I27" s="13" t="inlineStr">
        <is>
          <t>Visually Hidden playground scenario.</t>
        </is>
      </c>
      <c r="J27" s="13" t="inlineStr">
        <is>
          <t>Manual verification passed.</t>
        </is>
      </c>
      <c r="K27" s="14">
        <f>IF(AND(E27="yes",F27="yes",H27="covered"),1,IF(H27="partial",0.5,0))</f>
        <v/>
      </c>
    </row>
    <row r="28" ht="15" customHeight="1" s="24">
      <c r="A28" s="12" t="n">
        <v>20</v>
      </c>
      <c r="B28" s="13" t="inlineStr">
        <is>
          <t>Composition</t>
        </is>
      </c>
      <c r="C28" s="13" t="inlineStr">
        <is>
          <t>VisuallyHidden</t>
        </is>
      </c>
      <c r="D28" s="13" t="inlineStr">
        <is>
          <t>asChild merges Atom props and consumer props</t>
        </is>
      </c>
      <c r="E28" s="18" t="inlineStr">
        <is>
          <t>yes</t>
        </is>
      </c>
      <c r="F28" s="18" t="inlineStr">
        <is>
          <t>yes</t>
        </is>
      </c>
      <c r="G28" s="12" t="inlineStr">
        <is>
          <t>passed</t>
        </is>
      </c>
      <c r="H28" s="22" t="inlineStr">
        <is>
          <t>covered</t>
        </is>
      </c>
      <c r="I28" s="13" t="inlineStr">
        <is>
          <t>Visually Hidden playground scenario.</t>
        </is>
      </c>
      <c r="J28" s="13" t="inlineStr">
        <is>
          <t>Manual verification passed.</t>
        </is>
      </c>
      <c r="K28" s="14">
        <f>IF(AND(E28="yes",F28="yes",H28="covered"),1,IF(H28="partial",0.5,0))</f>
        <v/>
      </c>
    </row>
    <row r="29" ht="30" customHeight="1" s="24">
      <c r="A29" s="12" t="n">
        <v>21</v>
      </c>
      <c r="B29" s="13" t="inlineStr">
        <is>
          <t>Composition</t>
        </is>
      </c>
      <c r="C29" s="13" t="inlineStr">
        <is>
          <t>VisuallyHidden</t>
        </is>
      </c>
      <c r="D29" s="13" t="inlineStr">
        <is>
          <t>asChild lets preventDefault block Atom behavior where supported</t>
        </is>
      </c>
      <c r="E29" s="18" t="inlineStr">
        <is>
          <t>yes</t>
        </is>
      </c>
      <c r="F29" s="18" t="inlineStr">
        <is>
          <t>yes</t>
        </is>
      </c>
      <c r="G29" s="12" t="inlineStr">
        <is>
          <t>passed</t>
        </is>
      </c>
      <c r="H29" s="22" t="inlineStr">
        <is>
          <t>covered</t>
        </is>
      </c>
      <c r="I29" s="13" t="inlineStr">
        <is>
          <t>Visually Hidden playground scenario.</t>
        </is>
      </c>
      <c r="J29" s="13" t="inlineStr">
        <is>
          <t>Manual verification passed.</t>
        </is>
      </c>
      <c r="K29" s="14">
        <f>IF(AND(E29="yes",F29="yes",H29="covered"),1,IF(H29="partial",0.5,0))</f>
        <v/>
      </c>
    </row>
    <row r="30" ht="15" customHeight="1" s="24">
      <c r="A30" s="12" t="n">
        <v>22</v>
      </c>
      <c r="B30" s="13" t="inlineStr">
        <is>
          <t>Composition</t>
        </is>
      </c>
      <c r="C30" s="13" t="inlineStr">
        <is>
          <t>VisuallyHidden</t>
        </is>
      </c>
      <c r="D30" s="13" t="inlineStr">
        <is>
          <t>render prop renders custom element</t>
        </is>
      </c>
      <c r="E30" s="18" t="inlineStr">
        <is>
          <t>yes</t>
        </is>
      </c>
      <c r="F30" s="18" t="inlineStr">
        <is>
          <t>yes</t>
        </is>
      </c>
      <c r="G30" s="12" t="inlineStr">
        <is>
          <t>passed</t>
        </is>
      </c>
      <c r="H30" s="22" t="inlineStr">
        <is>
          <t>covered</t>
        </is>
      </c>
      <c r="I30" s="13" t="inlineStr">
        <is>
          <t>Visually Hidden playground scenario.</t>
        </is>
      </c>
      <c r="J30" s="13" t="inlineStr">
        <is>
          <t>Manual verification passed.</t>
        </is>
      </c>
      <c r="K30" s="14">
        <f>IF(AND(E30="yes",F30="yes",H30="covered"),1,IF(H30="partial",0.5,0))</f>
        <v/>
      </c>
    </row>
    <row r="31" ht="15" customHeight="1" s="24">
      <c r="A31" s="12" t="n">
        <v>23</v>
      </c>
      <c r="B31" s="13" t="inlineStr">
        <is>
          <t>Composition</t>
        </is>
      </c>
      <c r="C31" s="13" t="inlineStr">
        <is>
          <t>VisuallyHidden</t>
        </is>
      </c>
      <c r="D31" s="13" t="inlineStr">
        <is>
          <t>render prop preserves refs and behavior props</t>
        </is>
      </c>
      <c r="E31" s="18" t="inlineStr">
        <is>
          <t>yes</t>
        </is>
      </c>
      <c r="F31" s="18" t="inlineStr">
        <is>
          <t>yes</t>
        </is>
      </c>
      <c r="G31" s="12" t="inlineStr">
        <is>
          <t>passed</t>
        </is>
      </c>
      <c r="H31" s="22" t="inlineStr">
        <is>
          <t>covered</t>
        </is>
      </c>
      <c r="I31" s="13" t="inlineStr">
        <is>
          <t>Visually Hidden playground scenario.</t>
        </is>
      </c>
      <c r="J31" s="13" t="inlineStr">
        <is>
          <t>Manual verification passed.</t>
        </is>
      </c>
      <c r="K31" s="14">
        <f>IF(AND(E31="yes",F31="yes",H31="covered"),1,IF(H31="partial",0.5,0))</f>
        <v/>
      </c>
    </row>
    <row r="32" ht="15" customHeight="1" s="24">
      <c r="A32" s="12" t="n">
        <v>24</v>
      </c>
      <c r="B32" s="13" t="inlineStr">
        <is>
          <t>Utility</t>
        </is>
      </c>
      <c r="C32" s="13" t="inlineStr">
        <is>
          <t>VisuallyHidden</t>
        </is>
      </c>
      <c r="D32" s="13" t="inlineStr">
        <is>
          <t>content remains accessible while visually hidden</t>
        </is>
      </c>
      <c r="E32" s="18" t="inlineStr">
        <is>
          <t>yes</t>
        </is>
      </c>
      <c r="F32" s="18" t="inlineStr">
        <is>
          <t>yes</t>
        </is>
      </c>
      <c r="G32" s="12" t="inlineStr">
        <is>
          <t>passed</t>
        </is>
      </c>
      <c r="H32" s="22" t="inlineStr">
        <is>
          <t>covered</t>
        </is>
      </c>
      <c r="I32" s="13" t="inlineStr">
        <is>
          <t>Visually Hidden playground scenario.</t>
        </is>
      </c>
      <c r="J32" s="13" t="inlineStr">
        <is>
          <t>Manual verification passed.</t>
        </is>
      </c>
      <c r="K32" s="14">
        <f>IF(AND(E32="yes",F32="yes",H32="covered"),1,IF(H32="partial",0.5,0))</f>
        <v/>
      </c>
    </row>
    <row r="33" ht="15" customHeight="1" s="24">
      <c r="A33" s="12" t="n">
        <v>25</v>
      </c>
      <c r="B33" s="13" t="inlineStr">
        <is>
          <t>Utility</t>
        </is>
      </c>
      <c r="C33" s="13" t="inlineStr">
        <is>
          <t>VisuallyHidden</t>
        </is>
      </c>
      <c r="D33" s="13" t="inlineStr">
        <is>
          <t>asChild/render composition works without styling concerns</t>
        </is>
      </c>
      <c r="E33" s="18" t="inlineStr">
        <is>
          <t>yes</t>
        </is>
      </c>
      <c r="F33" s="18" t="inlineStr">
        <is>
          <t>yes</t>
        </is>
      </c>
      <c r="G33" s="12" t="inlineStr">
        <is>
          <t>passed</t>
        </is>
      </c>
      <c r="H33" s="22" t="inlineStr">
        <is>
          <t>covered</t>
        </is>
      </c>
      <c r="I33" s="13" t="inlineStr">
        <is>
          <t>Visually Hidden playground scenario.</t>
        </is>
      </c>
      <c r="J33" s="13" t="inlineStr">
        <is>
          <t>Manual verification passed.</t>
        </is>
      </c>
      <c r="K33" s="14">
        <f>IF(AND(E33="yes",F33="yes",H33="covered"),1,IF(H33="partial",0.5,0))</f>
        <v/>
      </c>
    </row>
  </sheetData>
  <autoFilter ref="A8:K33"/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2026-07-02T22:33:55Z</dcterms:created>
  <dcterms:modified xmlns:dcterms="http://purl.org/dc/terms/" xmlns:xsi="http://www.w3.org/2001/XMLSchema-instance" xsi:type="dcterms:W3CDTF">2026-07-03T19:22:56Z</dcterms:modified>
  <cp:lastModifiedBy>Will Donin</cp:lastModifiedBy>
</cp:coreProperties>
</file>