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6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33.xml" ContentType="application/vnd.openxmlformats-officedocument.spreadsheetml.worksheet+xml"/>
  <Override PartName="/xl/worksheets/sheet21.xml" ContentType="application/vnd.openxmlformats-officedocument.spreadsheetml.worksheet+xml"/>
  <Override PartName="/xl/worksheets/sheet23.xml" ContentType="application/vnd.openxmlformats-officedocument.spreadsheetml.worksheet+xml"/>
  <Override PartName="/xl/worksheets/sheet31.xml" ContentType="application/vnd.openxmlformats-officedocument.spreadsheetml.worksheet+xml"/>
  <Override PartName="/xl/worksheets/sheet46.xml" ContentType="application/vnd.openxmlformats-officedocument.spreadsheetml.worksheet+xml"/>
  <Override PartName="/xl/worksheets/sheet32.xml" ContentType="application/vnd.openxmlformats-officedocument.spreadsheetml.worksheet+xml"/>
  <Override PartName="/xl/worksheets/sheet34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3.xml" ContentType="application/vnd.openxmlformats-officedocument.spreadsheetml.worksheet+xml"/>
  <Override PartName="/xl/worksheets/sheet36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5.xml" ContentType="application/vnd.openxmlformats-officedocument.spreadsheetml.worksheet+xml"/>
  <Override PartName="/xl/worksheets/sheet43.xml" ContentType="application/vnd.openxmlformats-officedocument.spreadsheetml.worksheet+xml"/>
  <Override PartName="/xl/worksheets/sheet63.xml" ContentType="application/vnd.openxmlformats-officedocument.spreadsheetml.worksheet+xml"/>
  <Override PartName="/xl/worksheets/sheet48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65.xml" ContentType="application/vnd.openxmlformats-officedocument.spreadsheetml.worksheet+xml"/>
  <Override PartName="/xl/worksheets/sheet52.xml" ContentType="application/vnd.openxmlformats-officedocument.spreadsheetml.worksheet+xml"/>
  <Override PartName="/xl/worksheets/sheet30.xml" ContentType="application/vnd.openxmlformats-officedocument.spreadsheetml.worksheet+xml"/>
  <Override PartName="/xl/worksheets/sheet9.xml" ContentType="application/vnd.openxmlformats-officedocument.spreadsheetml.worksheet+xml"/>
  <Override PartName="/xl/worksheets/sheet67.xml" ContentType="application/vnd.openxmlformats-officedocument.spreadsheetml.worksheet+xml"/>
  <Override PartName="/xl/worksheets/sheet59.xml" ContentType="application/vnd.openxmlformats-officedocument.spreadsheetml.worksheet+xml"/>
  <Override PartName="/xl/worksheets/sheet53.xml" ContentType="application/vnd.openxmlformats-officedocument.spreadsheetml.worksheet+xml"/>
  <Override PartName="/xl/worksheets/sheet64.xml" ContentType="application/vnd.openxmlformats-officedocument.spreadsheetml.worksheet+xml"/>
  <Override PartName="/xl/worksheets/sheet54.xml" ContentType="application/vnd.openxmlformats-officedocument.spreadsheetml.worksheet+xml"/>
  <Override PartName="/xl/worksheets/sheet5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9.xml" ContentType="application/vnd.openxmlformats-officedocument.spreadsheetml.worksheet+xml"/>
  <Override PartName="/xl/worksheets/sheet55.xml" ContentType="application/vnd.openxmlformats-officedocument.spreadsheetml.worksheet+xml"/>
  <Override PartName="/xl/worksheets/sheet19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2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61.xml" ContentType="application/vnd.openxmlformats-officedocument.spreadsheetml.worksheet+xml"/>
  <Override PartName="/xl/worksheets/sheet66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Mobile Readiness" sheetId="2" state="visible" r:id="rId4"/>
    <sheet name="Accordion" sheetId="3" state="visible" r:id="rId5"/>
    <sheet name="AlertDialog" sheetId="4" state="visible" r:id="rId6"/>
    <sheet name="AppBar" sheetId="5" state="visible" r:id="rId7"/>
    <sheet name="AspectRatio" sheetId="6" state="visible" r:id="rId8"/>
    <sheet name="Avatar" sheetId="7" state="visible" r:id="rId9"/>
    <sheet name="Badge" sheetId="8" state="visible" r:id="rId10"/>
    <sheet name="BottomNavigation" sheetId="9" state="visible" r:id="rId11"/>
    <sheet name="Breadcrumb" sheetId="10" state="visible" r:id="rId12"/>
    <sheet name="Button" sheetId="11" state="visible" r:id="rId13"/>
    <sheet name="Checkbox" sheetId="12" state="visible" r:id="rId14"/>
    <sheet name="CheckboxGroup" sheetId="13" state="visible" r:id="rId15"/>
    <sheet name="Collapsible" sheetId="14" state="visible" r:id="rId16"/>
    <sheet name="Collection" sheetId="15" state="visible" r:id="rId17"/>
    <sheet name="Combobox" sheetId="16" state="visible" r:id="rId18"/>
    <sheet name="ContextMenu" sheetId="17" state="visible" r:id="rId19"/>
    <sheet name="DataGrid" sheetId="18" state="visible" r:id="rId20"/>
    <sheet name="Dialog" sheetId="19" state="visible" r:id="rId21"/>
    <sheet name="Direction" sheetId="20" state="visible" r:id="rId22"/>
    <sheet name="Divider" sheetId="21" state="visible" r:id="rId23"/>
    <sheet name="Drawer" sheetId="22" state="visible" r:id="rId24"/>
    <sheet name="DropdownMenu" sheetId="23" state="visible" r:id="rId25"/>
    <sheet name="Feed" sheetId="24" state="visible" r:id="rId26"/>
    <sheet name="Field" sheetId="25" state="visible" r:id="rId27"/>
    <sheet name="Fieldset" sheetId="26" state="visible" r:id="rId28"/>
    <sheet name="FileUpload" sheetId="27" state="visible" r:id="rId29"/>
    <sheet name="Form" sheetId="28" state="visible" r:id="rId30"/>
    <sheet name="HoverCard" sheetId="29" state="visible" r:id="rId31"/>
    <sheet name="Input" sheetId="30" state="visible" r:id="rId32"/>
    <sheet name="Label" sheetId="31" state="visible" r:id="rId33"/>
    <sheet name="List" sheetId="32" state="visible" r:id="rId34"/>
    <sheet name="Listbox" sheetId="33" state="visible" r:id="rId35"/>
    <sheet name="Menu" sheetId="34" state="visible" r:id="rId36"/>
    <sheet name="Menubar" sheetId="35" state="visible" r:id="rId37"/>
    <sheet name="Modal" sheetId="36" state="visible" r:id="rId38"/>
    <sheet name="NavList" sheetId="37" state="visible" r:id="rId39"/>
    <sheet name="NavigationMenu" sheetId="38" state="visible" r:id="rId40"/>
    <sheet name="NumberInput" sheetId="39" state="visible" r:id="rId41"/>
    <sheet name="OTPField" sheetId="40" state="visible" r:id="rId42"/>
    <sheet name="Pagination" sheetId="41" state="visible" r:id="rId43"/>
    <sheet name="PasswordToggleField" sheetId="42" state="visible" r:id="rId44"/>
    <sheet name="Popover" sheetId="43" state="visible" r:id="rId45"/>
    <sheet name="Portal" sheetId="44" state="visible" r:id="rId46"/>
    <sheet name="Pressable" sheetId="45" state="visible" r:id="rId47"/>
    <sheet name="Progress" sheetId="46" state="visible" r:id="rId48"/>
    <sheet name="RadioGroup" sheetId="47" state="visible" r:id="rId49"/>
    <sheet name="Rating" sheetId="48" state="visible" r:id="rId50"/>
    <sheet name="ScrollArea" sheetId="49" state="visible" r:id="rId51"/>
    <sheet name="Select" sheetId="50" state="visible" r:id="rId52"/>
    <sheet name="Sidebar" sheetId="51" state="visible" r:id="rId53"/>
    <sheet name="SkipLink" sheetId="52" state="visible" r:id="rId54"/>
    <sheet name="Slider" sheetId="53" state="visible" r:id="rId55"/>
    <sheet name="SwipeableItem" sheetId="54" state="visible" r:id="rId56"/>
    <sheet name="Switch" sheetId="55" state="visible" r:id="rId57"/>
    <sheet name="Table" sheetId="56" state="visible" r:id="rId58"/>
    <sheet name="Tabs" sheetId="57" state="visible" r:id="rId59"/>
    <sheet name="Textarea" sheetId="58" state="visible" r:id="rId60"/>
    <sheet name="Toast" sheetId="59" state="visible" r:id="rId61"/>
    <sheet name="Toggle" sheetId="60" state="visible" r:id="rId62"/>
    <sheet name="ToggleGroup" sheetId="61" state="visible" r:id="rId63"/>
    <sheet name="Toolbar" sheetId="62" state="visible" r:id="rId64"/>
    <sheet name="Tooltip" sheetId="63" state="visible" r:id="rId65"/>
    <sheet name="Tree" sheetId="64" state="visible" r:id="rId66"/>
    <sheet name="TreeGrid" sheetId="65" state="visible" r:id="rId67"/>
    <sheet name="Virtualizer" sheetId="66" state="visible" r:id="rId68"/>
    <sheet name="VisuallyHidden" sheetId="67" state="visible" r:id="rId69"/>
  </sheets>
  <definedNames>
    <definedName function="false" hidden="true" localSheetId="1" name="_xlnm._FilterDatabase" vbProcedure="false">'Mobile Readiness'!$A$8:$Y$86</definedName>
    <definedName function="false" hidden="true" localSheetId="37" name="_xlnm._FilterDatabase" vbProcedure="false">NavigationMenu!$A$8:$K$133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<sst xmlns="http://schemas.openxmlformats.org/spreadsheetml/2006/main" count="47521" uniqueCount="2888">
  <si>
    <t xml:space="preserve">Atom Playground Coverage Index</t>
  </si>
  <si>
    <t xml:space="preserve">Formula-driven summary of component playground coverage. Component tabs are alphabetical; completion updates when each component table changes.</t>
  </si>
  <si>
    <t xml:space="preserve">Components</t>
  </si>
  <si>
    <t xml:space="preserve">Overall</t>
  </si>
  <si>
    <t xml:space="preserve">Done</t>
  </si>
  <si>
    <t xml:space="preserve">Open</t>
  </si>
  <si>
    <t xml:space="preserve">Component</t>
  </si>
  <si>
    <t xml:space="preserve">Total Tests</t>
  </si>
  <si>
    <t xml:space="preserve">Covered</t>
  </si>
  <si>
    <t xml:space="preserve">Partial</t>
  </si>
  <si>
    <t xml:space="preserve">Missing</t>
  </si>
  <si>
    <t xml:space="preserve">Untested</t>
  </si>
  <si>
    <t xml:space="preserve">Completion</t>
  </si>
  <si>
    <t xml:space="preserve">Status</t>
  </si>
  <si>
    <t xml:space="preserve">Accordion</t>
  </si>
  <si>
    <t xml:space="preserve">AlertDialog</t>
  </si>
  <si>
    <t xml:space="preserve">AppBar</t>
  </si>
  <si>
    <t xml:space="preserve">AspectRatio</t>
  </si>
  <si>
    <t xml:space="preserve">Avatar</t>
  </si>
  <si>
    <t xml:space="preserve">Badge</t>
  </si>
  <si>
    <t xml:space="preserve">BottomNavigation</t>
  </si>
  <si>
    <t xml:space="preserve">Breadcrumb</t>
  </si>
  <si>
    <t xml:space="preserve">Button</t>
  </si>
  <si>
    <t xml:space="preserve">Checkbox</t>
  </si>
  <si>
    <t xml:space="preserve">CheckboxGroup</t>
  </si>
  <si>
    <t xml:space="preserve">Collapsible</t>
  </si>
  <si>
    <t xml:space="preserve">Collection</t>
  </si>
  <si>
    <t xml:space="preserve">Combobox</t>
  </si>
  <si>
    <t xml:space="preserve">ContextMenu</t>
  </si>
  <si>
    <t xml:space="preserve">DataGrid</t>
  </si>
  <si>
    <t xml:space="preserve">Dialog</t>
  </si>
  <si>
    <t xml:space="preserve">Direction</t>
  </si>
  <si>
    <t xml:space="preserve">Divider</t>
  </si>
  <si>
    <t xml:space="preserve">Drawer</t>
  </si>
  <si>
    <t xml:space="preserve">DropdownMenu</t>
  </si>
  <si>
    <t xml:space="preserve">Feed</t>
  </si>
  <si>
    <t xml:space="preserve">Field</t>
  </si>
  <si>
    <t xml:space="preserve">Fieldset</t>
  </si>
  <si>
    <t xml:space="preserve">FileUpload</t>
  </si>
  <si>
    <t xml:space="preserve">Form</t>
  </si>
  <si>
    <t xml:space="preserve">HoverCard</t>
  </si>
  <si>
    <t xml:space="preserve">Input</t>
  </si>
  <si>
    <t xml:space="preserve">Label</t>
  </si>
  <si>
    <t xml:space="preserve">List</t>
  </si>
  <si>
    <t xml:space="preserve">Listbox</t>
  </si>
  <si>
    <t xml:space="preserve">Menu</t>
  </si>
  <si>
    <t xml:space="preserve">Menubar</t>
  </si>
  <si>
    <t xml:space="preserve">Modal</t>
  </si>
  <si>
    <t xml:space="preserve">NavigationMenu</t>
  </si>
  <si>
    <t xml:space="preserve">NavList</t>
  </si>
  <si>
    <t xml:space="preserve">NumberInput</t>
  </si>
  <si>
    <t xml:space="preserve">OTPField</t>
  </si>
  <si>
    <t xml:space="preserve">Pagination</t>
  </si>
  <si>
    <t xml:space="preserve">PasswordToggleField</t>
  </si>
  <si>
    <t xml:space="preserve">Popover</t>
  </si>
  <si>
    <t xml:space="preserve">Portal</t>
  </si>
  <si>
    <t xml:space="preserve">Pressable</t>
  </si>
  <si>
    <t xml:space="preserve">Progress</t>
  </si>
  <si>
    <t xml:space="preserve">RadioGroup</t>
  </si>
  <si>
    <t xml:space="preserve">Rating</t>
  </si>
  <si>
    <t xml:space="preserve">ScrollArea</t>
  </si>
  <si>
    <t xml:space="preserve">Select</t>
  </si>
  <si>
    <t xml:space="preserve">Sidebar</t>
  </si>
  <si>
    <t xml:space="preserve">SkipLink</t>
  </si>
  <si>
    <t xml:space="preserve">Slider</t>
  </si>
  <si>
    <t xml:space="preserve">SwipeableItem</t>
  </si>
  <si>
    <t xml:space="preserve">Switch</t>
  </si>
  <si>
    <t xml:space="preserve">Table</t>
  </si>
  <si>
    <t xml:space="preserve">Tabs</t>
  </si>
  <si>
    <t xml:space="preserve">Textarea</t>
  </si>
  <si>
    <t xml:space="preserve">Toast</t>
  </si>
  <si>
    <t xml:space="preserve">Toggle</t>
  </si>
  <si>
    <t xml:space="preserve">ToggleGroup</t>
  </si>
  <si>
    <t xml:space="preserve">Toolbar</t>
  </si>
  <si>
    <t xml:space="preserve">Tooltip</t>
  </si>
  <si>
    <t xml:space="preserve">Tree</t>
  </si>
  <si>
    <t xml:space="preserve">TreeGrid</t>
  </si>
  <si>
    <t xml:space="preserve">Virtualizer</t>
  </si>
  <si>
    <t xml:space="preserve">VisuallyHidden</t>
  </si>
  <si>
    <t xml:space="preserve">Atom Mobile Readiness</t>
  </si>
  <si>
    <t xml:space="preserve">Validation: AA</t>
  </si>
  <si>
    <t xml:space="preserve">Validation: AB</t>
  </si>
  <si>
    <t xml:space="preserve">Validation: AC</t>
  </si>
  <si>
    <t xml:space="preserve">Validation: AD</t>
  </si>
  <si>
    <t xml:space="preserve">Validation: AE</t>
  </si>
  <si>
    <t xml:space="preserve">Validation: AF</t>
  </si>
  <si>
    <t xml:space="preserve">Validation: AG</t>
  </si>
  <si>
    <t xml:space="preserve">Validation: AH</t>
  </si>
  <si>
    <t xml:space="preserve">Validation: AI</t>
  </si>
  <si>
    <t xml:space="preserve">Validation: AJ</t>
  </si>
  <si>
    <t xml:space="preserve">Validation: AK</t>
  </si>
  <si>
    <t xml:space="preserve">Additional mobile/device qualification over the existing completed component baseline. Responsive mode and touch emulation are not real iOS Safari or Android Chrome evidence.</t>
  </si>
  <si>
    <t xml:space="preserve">MR-01</t>
  </si>
  <si>
    <t xml:space="preserve">MR-P0</t>
  </si>
  <si>
    <t xml:space="preserve">preserve verified baseline</t>
  </si>
  <si>
    <t xml:space="preserve">confirmed Atom implementation gap</t>
  </si>
  <si>
    <t xml:space="preserve">source / contract review</t>
  </si>
  <si>
    <t xml:space="preserve">desktop</t>
  </si>
  <si>
    <t xml:space="preserve">keyboard</t>
  </si>
  <si>
    <t xml:space="preserve">none</t>
  </si>
  <si>
    <t xml:space="preserve">not run</t>
  </si>
  <si>
    <t xml:space="preserve">Safari</t>
  </si>
  <si>
    <t xml:space="preserve">MR-02</t>
  </si>
  <si>
    <t xml:space="preserve">MR-P1</t>
  </si>
  <si>
    <t xml:space="preserve">narrow unsupported claim</t>
  </si>
  <si>
    <t xml:space="preserve">Atom API/design decision required</t>
  </si>
  <si>
    <t xml:space="preserve">package automated test</t>
  </si>
  <si>
    <t xml:space="preserve">desktop emulating iOS</t>
  </si>
  <si>
    <t xml:space="preserve">mouse</t>
  </si>
  <si>
    <t xml:space="preserve">VoiceOver</t>
  </si>
  <si>
    <t xml:space="preserve">passed</t>
  </si>
  <si>
    <t xml:space="preserve">Chrome</t>
  </si>
  <si>
    <t xml:space="preserve">Records</t>
  </si>
  <si>
    <t xml:space="preserve">Passed</t>
  </si>
  <si>
    <t xml:space="preserve">Failed</t>
  </si>
  <si>
    <t xml:space="preserve">Blocked</t>
  </si>
  <si>
    <t xml:space="preserve">Not run</t>
  </si>
  <si>
    <t xml:space="preserve">Not applicable</t>
  </si>
  <si>
    <t xml:space="preserve">Record issues</t>
  </si>
  <si>
    <t xml:space="preserve">MR-03</t>
  </si>
  <si>
    <t xml:space="preserve">MR-P2</t>
  </si>
  <si>
    <t xml:space="preserve">reopen only when approved</t>
  </si>
  <si>
    <t xml:space="preserve">documentation/test gap</t>
  </si>
  <si>
    <t xml:space="preserve">previous baseline — desktop manual</t>
  </si>
  <si>
    <t xml:space="preserve">desktop emulating Android</t>
  </si>
  <si>
    <t xml:space="preserve">touch</t>
  </si>
  <si>
    <t xml:space="preserve">TalkBack</t>
  </si>
  <si>
    <t xml:space="preserve">failed</t>
  </si>
  <si>
    <t xml:space="preserve">Firefox</t>
  </si>
  <si>
    <t xml:space="preserve">MR-04</t>
  </si>
  <si>
    <t xml:space="preserve">MR-P3</t>
  </si>
  <si>
    <t xml:space="preserve">new mobile qualification</t>
  </si>
  <si>
    <t xml:space="preserve">consumer styling/application responsibility</t>
  </si>
  <si>
    <t xml:space="preserve">browser emulation — manual</t>
  </si>
  <si>
    <t xml:space="preserve">iOS</t>
  </si>
  <si>
    <t xml:space="preserve">virtual keyboard</t>
  </si>
  <si>
    <t xml:space="preserve">other</t>
  </si>
  <si>
    <t xml:space="preserve">blocked</t>
  </si>
  <si>
    <t xml:space="preserve">WebKit</t>
  </si>
  <si>
    <t xml:space="preserve">Status records evidence runs only: not run, passed, failed, blocked, or not applicable. Lifecycle and authorization remain governed by docs/mobile-readiness.md.</t>
  </si>
  <si>
    <t xml:space="preserve">MR-05</t>
  </si>
  <si>
    <t xml:space="preserve">MR-P4</t>
  </si>
  <si>
    <t xml:space="preserve">not applicable</t>
  </si>
  <si>
    <t xml:space="preserve">already adequately supported</t>
  </si>
  <si>
    <t xml:space="preserve">browser automation — desktop</t>
  </si>
  <si>
    <t xml:space="preserve">Android</t>
  </si>
  <si>
    <t xml:space="preserve">visual viewport</t>
  </si>
  <si>
    <t xml:space="preserve">Chromium</t>
  </si>
  <si>
    <t xml:space="preserve">MR-06</t>
  </si>
  <si>
    <t xml:space="preserve">MR-P5</t>
  </si>
  <si>
    <t xml:space="preserve">requires browser validation before concluding</t>
  </si>
  <si>
    <t xml:space="preserve">browser automation — mobile emulation</t>
  </si>
  <si>
    <t xml:space="preserve">screen-reader touch exploration</t>
  </si>
  <si>
    <t xml:space="preserve">Evidence ID</t>
  </si>
  <si>
    <t xml:space="preserve">Finding ID</t>
  </si>
  <si>
    <t xml:space="preserve">Phase ID</t>
  </si>
  <si>
    <t xml:space="preserve">Scenario / behavior</t>
  </si>
  <si>
    <t xml:space="preserve">Baseline reference</t>
  </si>
  <si>
    <t xml:space="preserve">Baseline disposition</t>
  </si>
  <si>
    <t xml:space="preserve">Classification</t>
  </si>
  <si>
    <t xml:space="preserve">Evidence category</t>
  </si>
  <si>
    <t xml:space="preserve">Platform</t>
  </si>
  <si>
    <t xml:space="preserve">OS version</t>
  </si>
  <si>
    <t xml:space="preserve">Browser / engine</t>
  </si>
  <si>
    <t xml:space="preserve">Browser version / build</t>
  </si>
  <si>
    <t xml:space="preserve">Device / model</t>
  </si>
  <si>
    <t xml:space="preserve">Interaction mode</t>
  </si>
  <si>
    <t xml:space="preserve">Assistive technology</t>
  </si>
  <si>
    <t xml:space="preserve">Required evidence</t>
  </si>
  <si>
    <t xml:space="preserve">Expected result</t>
  </si>
  <si>
    <t xml:space="preserve">Reviewed protocol reference</t>
  </si>
  <si>
    <t xml:space="preserve">Automation reference</t>
  </si>
  <si>
    <t xml:space="preserve">Result date</t>
  </si>
  <si>
    <t xml:space="preserve">Issue / decision / commit</t>
  </si>
  <si>
    <t xml:space="preserve">Notes</t>
  </si>
  <si>
    <t xml:space="preserve">Record check</t>
  </si>
  <si>
    <t xml:space="preserve">MR-07</t>
  </si>
  <si>
    <t xml:space="preserve">MR-P6</t>
  </si>
  <si>
    <t xml:space="preserve">real device — iOS Safari</t>
  </si>
  <si>
    <t xml:space="preserve">MRE-04-DIALOG-001</t>
  </si>
  <si>
    <t xml:space="preserve">pointer/click trigger activation opens Dialog in the existing desktop manual scenario</t>
  </si>
  <si>
    <t xml:space="preserve">Dialog!ID-92 — tap trigger</t>
  </si>
  <si>
    <t xml:space="preserve">26.5.2</t>
  </si>
  <si>
    <t xml:space="preserve">26.5.2 system Safari</t>
  </si>
  <si>
    <t xml:space="preserve">iPhone 16 Pro Max</t>
  </si>
  <si>
    <t xml:space="preserve">On a named iOS device, exercise pointer/click trigger activation opens Dialog in the existing desktop manual scenario and record OS, browser version, device, date, and reproduction notes.</t>
  </si>
  <si>
    <t xml:space="preserve">Trigger activation opens the Dialog once without duplicate state changes.</t>
  </si>
  <si>
    <t xml:space="preserve">playground/.manual-tests/dialog.md — focused qualification, 2026-07-17</t>
  </si>
  <si>
    <t xml:space="preserve">Modal foundation commits bbd4656 and 69be97d</t>
  </si>
  <si>
    <t xml:space="preserve">Passed on physical iPhone: touch focus and keyboard behavior, allowed-region scrolling, background lock, rotation, nested cleanup, and VoiceOver isolation were qualified as applicable to this evidence record.</t>
  </si>
  <si>
    <t xml:space="preserve">MR-08</t>
  </si>
  <si>
    <t xml:space="preserve">MR-P7</t>
  </si>
  <si>
    <t xml:space="preserve">real device — Android Chrome</t>
  </si>
  <si>
    <t xml:space="preserve">MRE-04-DIALOG-002</t>
  </si>
  <si>
    <t xml:space="preserve">On a named Android device, exercise pointer/click trigger activation opens Dialog in the existing desktop manual scenario and record OS, browser version, device, date, and reproduction notes.</t>
  </si>
  <si>
    <t xml:space="preserve">Deferred by maintainer because no Android device is available; remains not run and is not represented as a pass or failure.</t>
  </si>
  <si>
    <t xml:space="preserve">MR-09</t>
  </si>
  <si>
    <t xml:space="preserve">MR-P8</t>
  </si>
  <si>
    <t xml:space="preserve">real device + AT — iOS Safari + VoiceOver</t>
  </si>
  <si>
    <t xml:space="preserve">MRE-04-DIALOG-003</t>
  </si>
  <si>
    <t xml:space="preserve">pointer/click backdrop activation dismisses Dialog in the existing desktop manual scenario</t>
  </si>
  <si>
    <t xml:space="preserve">Dialog!ID-93 — tap backdrop</t>
  </si>
  <si>
    <t xml:space="preserve">On a named iOS device, exercise pointer/click backdrop activation dismisses Dialog in the existing desktop manual scenario and record OS, browser version, device, date, and reproduction notes.</t>
  </si>
  <si>
    <t xml:space="preserve">Backdrop activation dismisses according to the configured contract and leaves focus usable.</t>
  </si>
  <si>
    <t xml:space="preserve">MR-10</t>
  </si>
  <si>
    <t xml:space="preserve">real device + AT — Android Chrome + TalkBack</t>
  </si>
  <si>
    <t xml:space="preserve">MRE-04-DIALOG-004</t>
  </si>
  <si>
    <t xml:space="preserve">On a named Android device, exercise pointer/click backdrop activation dismisses Dialog in the existing desktop manual scenario and record OS, browser version, device, date, and reproduction notes.</t>
  </si>
  <si>
    <t xml:space="preserve">MR-11</t>
  </si>
  <si>
    <t xml:space="preserve">approved decision / documentation</t>
  </si>
  <si>
    <t xml:space="preserve">MRE-02-DIALOG-001</t>
  </si>
  <si>
    <t xml:space="preserve">Dialog fits the manually tested desktop layout viewport; mobile safe-area, visual-viewport, and virtual-keyboard behavior is not qualified</t>
  </si>
  <si>
    <t xml:space="preserve">Dialog!ID-94 — viewport fit</t>
  </si>
  <si>
    <t xml:space="preserve">On a named iOS device, exercise Dialog fits the manually tested desktop layout viewport; mobile safe-area, visual-viewport, and virtual-keyboard behavior is not qualified and record OS, browser version, device, date, and reproduction notes.</t>
  </si>
  <si>
    <t xml:space="preserve">The consumer-styled Dialog remains reachable without clipping or keyboard obstruction in the named device scenario.</t>
  </si>
  <si>
    <t xml:space="preserve">MR-12</t>
  </si>
  <si>
    <t xml:space="preserve">MRE-02-DIALOG-002</t>
  </si>
  <si>
    <t xml:space="preserve">On a named Android device, exercise Dialog fits the manually tested desktop layout viewport; mobile safe-area, visual-viewport, and virtual-keyboard behavior is not qualified and record OS, browser version, device, date, and reproduction notes.</t>
  </si>
  <si>
    <t xml:space="preserve">MR-13</t>
  </si>
  <si>
    <t xml:space="preserve">MRE-04-DIALOG-005</t>
  </si>
  <si>
    <t xml:space="preserve">desktop focus entry, trap, and restoration expectations; mobile screen-reader touch exploration is not qualified</t>
  </si>
  <si>
    <t xml:space="preserve">Dialog!ID-95 — mobile focus expectations</t>
  </si>
  <si>
    <t xml:space="preserve">On a named iOS device, exercise desktop focus entry, trap, and restoration expectations; mobile screen-reader touch exploration is not qualified and record OS, browser version, device, date, and reproduction notes.</t>
  </si>
  <si>
    <t xml:space="preserve">Focus enters, remains within, and returns from the Dialog according to the modal contract.</t>
  </si>
  <si>
    <t xml:space="preserve">MR-14</t>
  </si>
  <si>
    <t xml:space="preserve">MRE-04-DIALOG-006</t>
  </si>
  <si>
    <t xml:space="preserve">On a named Android device, exercise desktop focus entry, trap, and restoration expectations; mobile screen-reader touch exploration is not qualified and record OS, browser version, device, date, and reproduction notes.</t>
  </si>
  <si>
    <t xml:space="preserve">MR-15</t>
  </si>
  <si>
    <t xml:space="preserve">MRE-04-MODAL-001</t>
  </si>
  <si>
    <t xml:space="preserve">desktop browser responsive smoke covers pointer, keyboard, focus, and layout-viewport behavior only</t>
  </si>
  <si>
    <t xml:space="preserve">Modal!ID-102 — mobile viewport/touch behavior</t>
  </si>
  <si>
    <t xml:space="preserve">On a named iOS device, exercise desktop browser responsive smoke covers pointer, keyboard, focus, and layout-viewport behavior only and record OS, browser version, device, date, and reproduction notes.</t>
  </si>
  <si>
    <t xml:space="preserve">The modal interaction remains operable and focus remains contained on the named device.</t>
  </si>
  <si>
    <t xml:space="preserve">MR-16</t>
  </si>
  <si>
    <t xml:space="preserve">MRE-04-MODAL-002</t>
  </si>
  <si>
    <t xml:space="preserve">On a named Android device, exercise desktop browser responsive smoke covers pointer, keyboard, focus, and layout-viewport behavior only and record OS, browser version, device, date, and reproduction notes.</t>
  </si>
  <si>
    <t xml:space="preserve">MR-17</t>
  </si>
  <si>
    <t xml:space="preserve">MRE-14-TOOLTIP-001</t>
  </si>
  <si>
    <t xml:space="preserve">stationary long press, quick-tap compatibility suppression, cancellation, and release dismissal</t>
  </si>
  <si>
    <t xml:space="preserve">Tooltip!ID-85 through ID-90 — physical touch contract</t>
  </si>
  <si>
    <t xml:space="preserve">On a named iOS device, verify quick tap does not open, stationary 700 ms long press opens once, abandoned gestures cancel, selection/callout does not replace the hold, and release dismissal is deterministic.</t>
  </si>
  <si>
    <t xml:space="preserve">Quick tap stays closed; long press opens once; plain/rich dismiss 1500/3000 ms after release; cancellation never produces delayed opening.</t>
  </si>
  <si>
    <t xml:space="preserve">playground/manual-tests/tooltip.md — Steps 11–12, 2026-07-19</t>
  </si>
  <si>
    <t xml:space="preserve">Atom 0.3.5 Tooltip touch candidate</t>
  </si>
  <si>
    <t xml:space="preserve">Passed on physical iPhone Safari after correcting touch-generated compatibility opening and touch selection/callout interference. Maintainer confirmed the complete focused phone protocol looks good.</t>
  </si>
  <si>
    <t xml:space="preserve">MR-18</t>
  </si>
  <si>
    <t xml:space="preserve">MRE-14-TOOLTIP-002</t>
  </si>
  <si>
    <t xml:space="preserve">opens on pointer hover and keyboard focus-visible</t>
  </si>
  <si>
    <t xml:space="preserve">Tooltip!ID-9 — Opens on pointer hover, keyboard focus-visible, and touch long press</t>
  </si>
  <si>
    <t xml:space="preserve">On a named Android device, exercise opens on pointer hover and keyboard focus-visible and record OS, browser version, device, date, and reproduction notes.</t>
  </si>
  <si>
    <t xml:space="preserve">A completed long press opens the Tooltip; movement, cancellation, and unmount prevent delayed opening.</t>
  </si>
  <si>
    <t xml:space="preserve">Existing component coverage remains the verified desktop/manual baseline; this record is an additional device qualification.</t>
  </si>
  <si>
    <t xml:space="preserve">MR-19</t>
  </si>
  <si>
    <t xml:space="preserve">MRE-14-TOOLTIP-003</t>
  </si>
  <si>
    <t xml:space="preserve">native scrolling cancels pending or opened touch Tooltip without delayed reopening</t>
  </si>
  <si>
    <t xml:space="preserve">Tooltip!ID-88 through ID-90 — touch cancellation and native behavior</t>
  </si>
  <si>
    <t xml:space="preserve">On a named iOS device, drag vertically before and after opening, then repeat a valid long press while confirming ordinary page scrolling remains native.</t>
  </si>
  <si>
    <t xml:space="preserve">Scrolling remains native, cancels the touch session, and leaves later long presses usable without stale callbacks.</t>
  </si>
  <si>
    <t xml:space="preserve">MR-20</t>
  </si>
  <si>
    <t xml:space="preserve">MRE-14-TOOLTIP-004</t>
  </si>
  <si>
    <t xml:space="preserve">desktop responsive smoke only; mobile touch and viewport behavior is not qualified</t>
  </si>
  <si>
    <t xml:space="preserve">Tooltip!ID-78 — mobile viewport/touch behavior</t>
  </si>
  <si>
    <t xml:space="preserve">On a named Android device, exercise desktop responsive smoke only; mobile touch and viewport behavior is not qualified and record OS, browser version, device, date, and reproduction notes.</t>
  </si>
  <si>
    <t xml:space="preserve">Tooltip touch activation and cancellation follow the documented contract without affecting scrolling.</t>
  </si>
  <si>
    <t xml:space="preserve">MR-21</t>
  </si>
  <si>
    <t xml:space="preserve">MRE-01-TOOLTIP-001</t>
  </si>
  <si>
    <t xml:space="preserve">collision, flip, and shift stay within the manually tested desktop layout viewport</t>
  </si>
  <si>
    <t xml:space="preserve">Tooltip!ID-83 — collision/flip/shift behavior stays in viewport</t>
  </si>
  <si>
    <t xml:space="preserve">On a named iOS device, exercise collision, flip, and shift stay within the manually tested desktop layout viewport and record OS, browser version, device, date, and reproduction notes.</t>
  </si>
  <si>
    <t xml:space="preserve">The Tooltip remains visible and correctly anchored during named mobile viewport changes.</t>
  </si>
  <si>
    <t xml:space="preserve">MR-22</t>
  </si>
  <si>
    <t xml:space="preserve">MRE-01-TOOLTIP-002</t>
  </si>
  <si>
    <t xml:space="preserve">On a named Android device, exercise collision, flip, and shift stay within the manually tested desktop layout viewport and record OS, browser version, device, date, and reproduction notes.</t>
  </si>
  <si>
    <t xml:space="preserve">MRE-03-POPOVER-001</t>
  </si>
  <si>
    <t xml:space="preserve">desktop browser manual workflow covers pointer and keyboard; responsive mode is smoke only and is not mobile-device evidence</t>
  </si>
  <si>
    <t xml:space="preserve">Popover!ID-125 — desktop browser manual workflow covers pointer and keyboard behavior; mobile touch remains responsive smoke only</t>
  </si>
  <si>
    <t xml:space="preserve">On a named iOS device, exercise desktop browser manual workflow covers pointer and keyboard; responsive mode is smoke only and is not mobile-device evidence and record OS, browser version, device, date, and reproduction notes.</t>
  </si>
  <si>
    <t xml:space="preserve">Long modal Popover content scrolls while background containment remains correct on the named device.</t>
  </si>
  <si>
    <t xml:space="preserve">MRE-03-POPOVER-002</t>
  </si>
  <si>
    <t xml:space="preserve">On a named Android device, exercise desktop browser manual workflow covers pointer and keyboard; responsive mode is smoke only and is not mobile-device evidence and record OS, browser version, device, date, and reproduction notes.</t>
  </si>
  <si>
    <t xml:space="preserve">MRE-01-POPOVER-001</t>
  </si>
  <si>
    <t xml:space="preserve">Popover!ID-130 — collision/flip/shift behavior stays in viewport</t>
  </si>
  <si>
    <t xml:space="preserve">Popover content remains reachable and correctly anchored during named mobile viewport changes.</t>
  </si>
  <si>
    <t xml:space="preserve">MRE-01-POPOVER-002</t>
  </si>
  <si>
    <t xml:space="preserve">MRE-01-SELECT-001</t>
  </si>
  <si>
    <t xml:space="preserve">flips and shifts near the edge of the manually tested desktop layout viewport</t>
  </si>
  <si>
    <t xml:space="preserve">Select!ID-82 — flips/shifts near viewport edge</t>
  </si>
  <si>
    <t xml:space="preserve">On a named iOS device, exercise flips and shifts near the edge of the manually tested desktop layout viewport and record OS, browser version, device, date, and reproduction notes.</t>
  </si>
  <si>
    <t xml:space="preserve">Select content stays reachable and correctly positioned at device viewport edges.</t>
  </si>
  <si>
    <t xml:space="preserve">MRE-01-SELECT-002</t>
  </si>
  <si>
    <t xml:space="preserve">On a named Android device, exercise flips and shifts near the edge of the manually tested desktop layout viewport and record OS, browser version, device, date, and reproduction notes.</t>
  </si>
  <si>
    <t xml:space="preserve">MRE-06-SELECT-001</t>
  </si>
  <si>
    <t xml:space="preserve">pointer/click trigger activation opens Select in the existing desktop manual scenario</t>
  </si>
  <si>
    <t xml:space="preserve">Select!ID-159 — tap trigger opens</t>
  </si>
  <si>
    <t xml:space="preserve">On a named iOS device, exercise pointer/click trigger activation opens Select in the existing desktop manual scenario and record OS, browser version, device, date, and reproduction notes.</t>
  </si>
  <si>
    <t xml:space="preserve">A device tap opens Select once without conflicting dismissal or focus ordering.</t>
  </si>
  <si>
    <t xml:space="preserve">MRE-06-SELECT-002</t>
  </si>
  <si>
    <t xml:space="preserve">On a named Android device, exercise pointer/click trigger activation opens Select in the existing desktop manual scenario and record OS, browser version, device, date, and reproduction notes.</t>
  </si>
  <si>
    <t xml:space="preserve">MRE-06-SELECT-003</t>
  </si>
  <si>
    <t xml:space="preserve">pointer/click item activation selects in the existing desktop manual scenario</t>
  </si>
  <si>
    <t xml:space="preserve">Select!ID-160 — tap item selects</t>
  </si>
  <si>
    <t xml:space="preserve">On a named iOS device, exercise pointer/click item activation selects in the existing desktop manual scenario and record OS, browser version, device, date, and reproduction notes.</t>
  </si>
  <si>
    <t xml:space="preserve">A device tap selects the intended item once and applies the documented close behavior.</t>
  </si>
  <si>
    <t xml:space="preserve">MRE-06-SELECT-004</t>
  </si>
  <si>
    <t xml:space="preserve">On a named Android device, exercise pointer/click item activation selects in the existing desktop manual scenario and record OS, browser version, device, date, and reproduction notes.</t>
  </si>
  <si>
    <t xml:space="preserve">MRE-06-SELECT-005</t>
  </si>
  <si>
    <t xml:space="preserve">current desktop pointer-down outside interaction closes Select</t>
  </si>
  <si>
    <t xml:space="preserve">Select!ID-161 — tap outside closes</t>
  </si>
  <si>
    <t xml:space="preserve">On a named iOS device, exercise current desktop pointer-down outside interaction closes Select and record OS, browser version, device, date, and reproduction notes.</t>
  </si>
  <si>
    <t xml:space="preserve">Outside tap dismissal occurs at the approved event boundary and cancels correctly after movement or scrolling.</t>
  </si>
  <si>
    <t xml:space="preserve">MRE-06-SELECT-006</t>
  </si>
  <si>
    <t xml:space="preserve">On a named Android device, exercise current desktop pointer-down outside interaction closes Select and record OS, browser version, device, date, and reproduction notes.</t>
  </si>
  <si>
    <t xml:space="preserve">MRE-01-SELECT-003</t>
  </si>
  <si>
    <t xml:space="preserve">listbox fit and scrolling in the manually tested desktop layout viewport</t>
  </si>
  <si>
    <t xml:space="preserve">Select!ID-162 — viewport fit and scroll</t>
  </si>
  <si>
    <t xml:space="preserve">On a named iOS device, exercise listbox fit and scrolling in the manually tested desktop layout viewport and record OS, browser version, device, date, and reproduction notes.</t>
  </si>
  <si>
    <t xml:space="preserve">The listbox remains reachable and scrollable with mobile browser chrome and virtual-keyboard changes.</t>
  </si>
  <si>
    <t xml:space="preserve">MRE-01-SELECT-004</t>
  </si>
  <si>
    <t xml:space="preserve">On a named Android device, exercise listbox fit and scrolling in the manually tested desktop layout viewport and record OS, browser version, device, date, and reproduction notes.</t>
  </si>
  <si>
    <t xml:space="preserve">MRE-01-COMBOBOX-001</t>
  </si>
  <si>
    <t xml:space="preserve">Combobox!ID-174 — collision/flip/shift behavior stays in viewport</t>
  </si>
  <si>
    <t xml:space="preserve">Combobox content remains reachable and correctly anchored during named mobile viewport and keyboard changes.</t>
  </si>
  <si>
    <t xml:space="preserve">MRE-01-COMBOBOX-002</t>
  </si>
  <si>
    <t xml:space="preserve">MRE-01-MENU-001</t>
  </si>
  <si>
    <t xml:space="preserve">placement flips or shifts near the edge of the manually tested desktop layout viewport</t>
  </si>
  <si>
    <t xml:space="preserve">Menu!ID-156 — placement flips or shifts near viewport edge</t>
  </si>
  <si>
    <t xml:space="preserve">On a named iOS device, exercise placement flips or shifts near the edge of the manually tested desktop layout viewport and record OS, browser version, device, date, and reproduction notes.</t>
  </si>
  <si>
    <t xml:space="preserve">Menu content remains reachable and correctly placed at mobile viewport edges.</t>
  </si>
  <si>
    <t xml:space="preserve">MRE-01-MENU-002</t>
  </si>
  <si>
    <t xml:space="preserve">On a named Android device, exercise placement flips or shifts near the edge of the manually tested desktop layout viewport and record OS, browser version, device, date, and reproduction notes.</t>
  </si>
  <si>
    <t xml:space="preserve">MRE-07-MENU-001</t>
  </si>
  <si>
    <t xml:space="preserve">pointer/click activation opens Menu in the existing desktop manual scenario</t>
  </si>
  <si>
    <t xml:space="preserve">Menu!ID-164 — touch opens menu</t>
  </si>
  <si>
    <t xml:space="preserve">On a named iOS device, exercise pointer/click activation opens Menu in the existing desktop manual scenario and record OS, browser version, device, date, and reproduction notes.</t>
  </si>
  <si>
    <t xml:space="preserve">A device tap opens Menu once and preserves the current activation contract.</t>
  </si>
  <si>
    <t xml:space="preserve">MRE-07-MENU-002</t>
  </si>
  <si>
    <t xml:space="preserve">On a named Android device, exercise pointer/click activation opens Menu in the existing desktop manual scenario and record OS, browser version, device, date, and reproduction notes.</t>
  </si>
  <si>
    <t xml:space="preserve">MRE-07-MENU-003</t>
  </si>
  <si>
    <t xml:space="preserve">pointer/click activation selects an action item in the existing desktop manual scenario</t>
  </si>
  <si>
    <t xml:space="preserve">Menu!ID-165 — touch selects action item</t>
  </si>
  <si>
    <t xml:space="preserve">On a named iOS device, exercise pointer/click activation selects an action item in the existing desktop manual scenario and record OS, browser version, device, date, and reproduction notes.</t>
  </si>
  <si>
    <t xml:space="preserve">A device tap selects the intended action once.</t>
  </si>
  <si>
    <t xml:space="preserve">MRE-07-MENU-004</t>
  </si>
  <si>
    <t xml:space="preserve">On a named Android device, exercise pointer/click activation selects an action item in the existing desktop manual scenario and record OS, browser version, device, date, and reproduction notes.</t>
  </si>
  <si>
    <t xml:space="preserve">MRE-07-MENU-005</t>
  </si>
  <si>
    <t xml:space="preserve">pointer/click activation toggles a checkbox item in the existing desktop manual scenario</t>
  </si>
  <si>
    <t xml:space="preserve">Menu!ID-166 — touch toggles checkbox item</t>
  </si>
  <si>
    <t xml:space="preserve">On a named iOS device, exercise pointer/click activation toggles a checkbox item in the existing desktop manual scenario and record OS, browser version, device, date, and reproduction notes.</t>
  </si>
  <si>
    <t xml:space="preserve">A device tap toggles the intended checkbox item once.</t>
  </si>
  <si>
    <t xml:space="preserve">MRE-07-MENU-006</t>
  </si>
  <si>
    <t xml:space="preserve">On a named Android device, exercise pointer/click activation toggles a checkbox item in the existing desktop manual scenario and record OS, browser version, device, date, and reproduction notes.</t>
  </si>
  <si>
    <t xml:space="preserve">MRE-07-MENU-007</t>
  </si>
  <si>
    <t xml:space="preserve">pointer/click activation selects a radio item in the existing desktop manual scenario</t>
  </si>
  <si>
    <t xml:space="preserve">Menu!ID-167 — touch selects radio item</t>
  </si>
  <si>
    <t xml:space="preserve">On a named iOS device, exercise pointer/click activation selects a radio item in the existing desktop manual scenario and record OS, browser version, device, date, and reproduction notes.</t>
  </si>
  <si>
    <t xml:space="preserve">A device tap selects the intended radio item once.</t>
  </si>
  <si>
    <t xml:space="preserve">MRE-07-MENU-008</t>
  </si>
  <si>
    <t xml:space="preserve">On a named Android device, exercise pointer/click activation selects a radio item in the existing desktop manual scenario and record OS, browser version, device, date, and reproduction notes.</t>
  </si>
  <si>
    <t xml:space="preserve">MRE-08-MENU-001</t>
  </si>
  <si>
    <t xml:space="preserve">pointer/click activation opens a submenu in the existing desktop manual scenario</t>
  </si>
  <si>
    <t xml:space="preserve">Menu!ID-168 — touch opens submenu</t>
  </si>
  <si>
    <t xml:space="preserve">On a named iOS device, exercise pointer/click activation opens a submenu in the existing desktop manual scenario and record OS, browser version, device, date, and reproduction notes.</t>
  </si>
  <si>
    <t xml:space="preserve">A device tap opens the intended submenu; any drill-in presentation remains an explicit approved contract.</t>
  </si>
  <si>
    <t xml:space="preserve">MRE-08-MENU-002</t>
  </si>
  <si>
    <t xml:space="preserve">On a named Android device, exercise pointer/click activation opens a submenu in the existing desktop manual scenario and record OS, browser version, device, date, and reproduction notes.</t>
  </si>
  <si>
    <t xml:space="preserve">MRE-06-MENU-001</t>
  </si>
  <si>
    <t xml:space="preserve">current desktop pointer-down outside interaction closes Menu</t>
  </si>
  <si>
    <t xml:space="preserve">Menu!ID-169 — outside touch closes menu</t>
  </si>
  <si>
    <t xml:space="preserve">On a named iOS device, exercise current desktop pointer-down outside interaction closes Menu and record OS, browser version, device, date, and reproduction notes.</t>
  </si>
  <si>
    <t xml:space="preserve">MRE-06-MENU-002</t>
  </si>
  <si>
    <t xml:space="preserve">On a named Android device, exercise current desktop pointer-down outside interaction closes Menu and record OS, browser version, device, date, and reproduction notes.</t>
  </si>
  <si>
    <t xml:space="preserve">MRE-01-DROPDOWNMENU-001</t>
  </si>
  <si>
    <t xml:space="preserve">DropdownMenu!ID-207 — placement flips or shifts near viewport edge</t>
  </si>
  <si>
    <t xml:space="preserve">DropdownMenu content remains reachable and correctly placed at mobile viewport edges.</t>
  </si>
  <si>
    <t xml:space="preserve">MRE-01-DROPDOWNMENU-002</t>
  </si>
  <si>
    <t xml:space="preserve">MRE-07-DROPDOWNMENU-001</t>
  </si>
  <si>
    <t xml:space="preserve">pointer/click trigger activation opens DropdownMenu in the existing desktop manual scenario</t>
  </si>
  <si>
    <t xml:space="preserve">DropdownMenu!ID-220 — touch trigger opens dropdown</t>
  </si>
  <si>
    <t xml:space="preserve">On a named iOS device, exercise pointer/click trigger activation opens DropdownMenu in the existing desktop manual scenario and record OS, browser version, device, date, and reproduction notes.</t>
  </si>
  <si>
    <t xml:space="preserve">A device tap opens DropdownMenu once and preserves the current activation contract.</t>
  </si>
  <si>
    <t xml:space="preserve">MRE-07-DROPDOWNMENU-002</t>
  </si>
  <si>
    <t xml:space="preserve">On a named Android device, exercise pointer/click trigger activation opens DropdownMenu in the existing desktop manual scenario and record OS, browser version, device, date, and reproduction notes.</t>
  </si>
  <si>
    <t xml:space="preserve">MRE-07-DROPDOWNMENU-003</t>
  </si>
  <si>
    <t xml:space="preserve">pointer/click trigger activation closes an open DropdownMenu in the existing desktop manual scenario</t>
  </si>
  <si>
    <t xml:space="preserve">DropdownMenu!ID-221 — touch trigger closes open dropdown</t>
  </si>
  <si>
    <t xml:space="preserve">On a named iOS device, exercise pointer/click trigger activation closes an open DropdownMenu in the existing desktop manual scenario and record OS, browser version, device, date, and reproduction notes.</t>
  </si>
  <si>
    <t xml:space="preserve">A device tap closes the open DropdownMenu once without reopen races.</t>
  </si>
  <si>
    <t xml:space="preserve">MRE-07-DROPDOWNMENU-004</t>
  </si>
  <si>
    <t xml:space="preserve">On a named Android device, exercise pointer/click trigger activation closes an open DropdownMenu in the existing desktop manual scenario and record OS, browser version, device, date, and reproduction notes.</t>
  </si>
  <si>
    <t xml:space="preserve">MRE-07-DROPDOWNMENU-005</t>
  </si>
  <si>
    <t xml:space="preserve">DropdownMenu!ID-222 — touch selects action item</t>
  </si>
  <si>
    <t xml:space="preserve">MRE-07-DROPDOWNMENU-006</t>
  </si>
  <si>
    <t xml:space="preserve">MRE-07-DROPDOWNMENU-007</t>
  </si>
  <si>
    <t xml:space="preserve">DropdownMenu!ID-223 — touch toggles checkbox item</t>
  </si>
  <si>
    <t xml:space="preserve">MRE-07-DROPDOWNMENU-008</t>
  </si>
  <si>
    <t xml:space="preserve">MRE-07-DROPDOWNMENU-009</t>
  </si>
  <si>
    <t xml:space="preserve">DropdownMenu!ID-224 — touch selects radio item</t>
  </si>
  <si>
    <t xml:space="preserve">MRE-07-DROPDOWNMENU-010</t>
  </si>
  <si>
    <t xml:space="preserve">MRE-08-DROPDOWNMENU-001</t>
  </si>
  <si>
    <t xml:space="preserve">DropdownMenu!ID-225 — touch opens submenu</t>
  </si>
  <si>
    <t xml:space="preserve">MRE-08-DROPDOWNMENU-002</t>
  </si>
  <si>
    <t xml:space="preserve">MRE-06-DROPDOWNMENU-001</t>
  </si>
  <si>
    <t xml:space="preserve">current desktop pointer-down outside interaction closes DropdownMenu</t>
  </si>
  <si>
    <t xml:space="preserve">DropdownMenu!ID-226 — outside touch closes dropdown</t>
  </si>
  <si>
    <t xml:space="preserve">On a named iOS device, exercise current desktop pointer-down outside interaction closes DropdownMenu and record OS, browser version, device, date, and reproduction notes.</t>
  </si>
  <si>
    <t xml:space="preserve">MRE-06-DROPDOWNMENU-002</t>
  </si>
  <si>
    <t xml:space="preserve">On a named Android device, exercise current desktop pointer-down outside interaction closes DropdownMenu and record OS, browser version, device, date, and reproduction notes.</t>
  </si>
  <si>
    <t xml:space="preserve">MRE-01-CONTEXTMENU-001</t>
  </si>
  <si>
    <t xml:space="preserve">ContextMenu!ID-173 — placement flips or shifts near viewport edge</t>
  </si>
  <si>
    <t xml:space="preserve">ContextMenu content remains reachable and correctly placed at mobile viewport edges.</t>
  </si>
  <si>
    <t xml:space="preserve">MRE-01-CONTEXTMENU-002</t>
  </si>
  <si>
    <t xml:space="preserve">MRE-06-CONTEXTMENU-001</t>
  </si>
  <si>
    <t xml:space="preserve">current desktop pointer-down outside interaction closes ContextMenu</t>
  </si>
  <si>
    <t xml:space="preserve">ContextMenu!ID-181 — touch outside closes context menu</t>
  </si>
  <si>
    <t xml:space="preserve">On a named iOS device, exercise current desktop pointer-down outside interaction closes ContextMenu and record OS, browser version, device, date, and reproduction notes.</t>
  </si>
  <si>
    <t xml:space="preserve">MRE-06-CONTEXTMENU-002</t>
  </si>
  <si>
    <t xml:space="preserve">On a named Android device, exercise current desktop pointer-down outside interaction closes ContextMenu and record OS, browser version, device, date, and reproduction notes.</t>
  </si>
  <si>
    <t xml:space="preserve">MRE-07-CONTEXTMENU-001</t>
  </si>
  <si>
    <t xml:space="preserve">ContextMenu!ID-182 — touch selects action item</t>
  </si>
  <si>
    <t xml:space="preserve">A device tap selects the intended action once; no native long-press trigger is implied.</t>
  </si>
  <si>
    <t xml:space="preserve">MRE-07-CONTEXTMENU-002</t>
  </si>
  <si>
    <t xml:space="preserve">MRE-07-CONTEXTMENU-003</t>
  </si>
  <si>
    <t xml:space="preserve">ContextMenu!ID-183 — touch toggles checkbox item</t>
  </si>
  <si>
    <t xml:space="preserve">A device tap toggles the intended checkbox item once; no native long-press trigger is implied.</t>
  </si>
  <si>
    <t xml:space="preserve">MRE-07-CONTEXTMENU-004</t>
  </si>
  <si>
    <t xml:space="preserve">MRE-07-CONTEXTMENU-005</t>
  </si>
  <si>
    <t xml:space="preserve">ContextMenu!ID-184 — touch selects radio item</t>
  </si>
  <si>
    <t xml:space="preserve">A device tap selects the intended radio item once; no native long-press trigger is implied.</t>
  </si>
  <si>
    <t xml:space="preserve">MRE-07-CONTEXTMENU-006</t>
  </si>
  <si>
    <t xml:space="preserve">MRE-08-CONTEXTMENU-001</t>
  </si>
  <si>
    <t xml:space="preserve">ContextMenu!ID-185 — touch opens submenu</t>
  </si>
  <si>
    <t xml:space="preserve">A device tap opens the intended submenu; no native long-press trigger or implicit drill-in mode is implied.</t>
  </si>
  <si>
    <t xml:space="preserve">MRE-08-CONTEXTMENU-002</t>
  </si>
  <si>
    <t xml:space="preserve">MRE-05-DIALOG-001</t>
  </si>
  <si>
    <t xml:space="preserve">modal background isolation during screen-reader touch exploration</t>
  </si>
  <si>
    <t xml:space="preserve">On a named iOS device with VoiceOver, open the modal and explore inside and outside it; record device, versions, date, and notes.</t>
  </si>
  <si>
    <t xml:space="preserve">Owned modal content remains operable and background content is unavailable to assistive-technology touch exploration.</t>
  </si>
  <si>
    <t xml:space="preserve">MRE-05-DIALOG-002</t>
  </si>
  <si>
    <t xml:space="preserve">On a named Android device with TalkBack, open the modal and explore inside and outside it; record device, versions, date, and notes.</t>
  </si>
  <si>
    <t xml:space="preserve">MRE-05-MODAL-001</t>
  </si>
  <si>
    <t xml:space="preserve">MRE-05-MODAL-002</t>
  </si>
  <si>
    <t xml:space="preserve">Accordion Playground Coverage</t>
  </si>
  <si>
    <t xml:space="preserve">Tracks manual playground coverage only. Rows that are not applicable to this component are removed, not counted as covered.</t>
  </si>
  <si>
    <t xml:space="preserve">Coverage</t>
  </si>
  <si>
    <t xml:space="preserve">Scoring: completion is SUM(Score) / total playground rows. Score is formula-driven from Implemented, Tested, and Coverage Status.</t>
  </si>
  <si>
    <t xml:space="preserve">ID</t>
  </si>
  <si>
    <t xml:space="preserve">Area</t>
  </si>
  <si>
    <t xml:space="preserve">Part</t>
  </si>
  <si>
    <t xml:space="preserve">Test item</t>
  </si>
  <si>
    <t xml:space="preserve">Implemented</t>
  </si>
  <si>
    <t xml:space="preserve">Tested</t>
  </si>
  <si>
    <t xml:space="preserve">Result</t>
  </si>
  <si>
    <t xml:space="preserve">Coverage Status</t>
  </si>
  <si>
    <t xml:space="preserve">Currently covered by</t>
  </si>
  <si>
    <t xml:space="preserve">Missing / next step</t>
  </si>
  <si>
    <t xml:space="preserve">Score</t>
  </si>
  <si>
    <t xml:space="preserve">Playground</t>
  </si>
  <si>
    <t xml:space="preserve">Props</t>
  </si>
  <si>
    <t xml:space="preserve">Props toolbar exposes Prop Check and keeps data-prop-check off by default</t>
  </si>
  <si>
    <t xml:space="preserve">yes</t>
  </si>
  <si>
    <t xml:space="preserve">passed manual protocol</t>
  </si>
  <si>
    <t xml:space="preserve">covered</t>
  </si>
  <si>
    <t xml:space="preserve">manual-tests/accordion.md</t>
  </si>
  <si>
    <t xml:space="preserve">custom data-slot override is available for every slot-owning anatomy part</t>
  </si>
  <si>
    <t xml:space="preserve">scenario is reachable from top menu</t>
  </si>
  <si>
    <t xml:space="preserve">canvas source reflects current toggles</t>
  </si>
  <si>
    <t xml:space="preserve">anatomy uses live DOM attributes, ARIA, and data groups</t>
  </si>
  <si>
    <t xml:space="preserve">inspector selected/focused/logs work for this scenario</t>
  </si>
  <si>
    <t xml:space="preserve">Feature</t>
  </si>
  <si>
    <t xml:space="preserve">Supports single and multiple expanded items</t>
  </si>
  <si>
    <t xml:space="preserve">Supports controlled and uncontrolled state</t>
  </si>
  <si>
    <t xml:space="preserve">Supports horizontal and vertical arrow-key navigation</t>
  </si>
  <si>
    <t xml:space="preserve">Links each trigger to its content with stable ARIA IDs</t>
  </si>
  <si>
    <t xml:space="preserve">Supports mounted and unmounted closed content</t>
  </si>
  <si>
    <t xml:space="preserve">Supports `asChild` and `render` on every part</t>
  </si>
  <si>
    <t xml:space="preserve">Anatomy</t>
  </si>
  <si>
    <t xml:space="preserve">Root</t>
  </si>
  <si>
    <t xml:space="preserve">renders correct part when expected</t>
  </si>
  <si>
    <t xml:space="preserve">appears in documented order</t>
  </si>
  <si>
    <t xml:space="preserve">Identity</t>
  </si>
  <si>
    <t xml:space="preserve">default tag is visible in Anatomy/Inspector</t>
  </si>
  <si>
    <t xml:space="preserve">data-slot is present and correct</t>
  </si>
  <si>
    <t xml:space="preserve">non-Atom native props pass through with data-prop-check marker</t>
  </si>
  <si>
    <t xml:space="preserve">Composition</t>
  </si>
  <si>
    <t xml:space="preserve">asChild prop behavior</t>
  </si>
  <si>
    <t xml:space="preserve">render prop behavior</t>
  </si>
  <si>
    <t xml:space="preserve">Public API</t>
  </si>
  <si>
    <t xml:space="preserve">type prop behavior</t>
  </si>
  <si>
    <t xml:space="preserve">State</t>
  </si>
  <si>
    <t xml:space="preserve">value prop behavior</t>
  </si>
  <si>
    <t xml:space="preserve">defaultValue prop behavior</t>
  </si>
  <si>
    <t xml:space="preserve">onValueChange prop behavior</t>
  </si>
  <si>
    <t xml:space="preserve">collapsible prop behavior</t>
  </si>
  <si>
    <t xml:space="preserve">disabled prop behavior</t>
  </si>
  <si>
    <t xml:space="preserve">orientation prop behavior</t>
  </si>
  <si>
    <t xml:space="preserve">[data-slot] prop behavior</t>
  </si>
  <si>
    <t xml:space="preserve">[data-orientation] prop behavior</t>
  </si>
  <si>
    <t xml:space="preserve">[data-disabled] prop behavior</t>
  </si>
  <si>
    <t xml:space="preserve">Trigger</t>
  </si>
  <si>
    <t xml:space="preserve">[data-state] prop behavior</t>
  </si>
  <si>
    <t xml:space="preserve">Content</t>
  </si>
  <si>
    <t xml:space="preserve">keepMounted prop behavior</t>
  </si>
  <si>
    <t xml:space="preserve">Item</t>
  </si>
  <si>
    <t xml:space="preserve">Header</t>
  </si>
  <si>
    <t xml:space="preserve">as prop behavior</t>
  </si>
  <si>
    <t xml:space="preserve">ARIA</t>
  </si>
  <si>
    <t xml:space="preserve">Live DOM</t>
  </si>
  <si>
    <t xml:space="preserve">aria-controls is present at the correct time</t>
  </si>
  <si>
    <t xml:space="preserve">aria-disabled is present at the correct time</t>
  </si>
  <si>
    <t xml:space="preserve">aria-expanded is present at the correct time</t>
  </si>
  <si>
    <t xml:space="preserve">aria-labelledby is present at the correct time</t>
  </si>
  <si>
    <t xml:space="preserve">Data</t>
  </si>
  <si>
    <t xml:space="preserve">data-disabled is present at the correct time</t>
  </si>
  <si>
    <t xml:space="preserve">data-orientation is present at the correct time</t>
  </si>
  <si>
    <t xml:space="preserve">data-slot is present at the correct time</t>
  </si>
  <si>
    <t xml:space="preserve">data-state is present at the correct time</t>
  </si>
  <si>
    <t xml:space="preserve">asChild preserves child content without double nesting</t>
  </si>
  <si>
    <t xml:space="preserve">asChild merges Atom props and consumer props</t>
  </si>
  <si>
    <t xml:space="preserve">asChild lets preventDefault block Atom behavior where supported</t>
  </si>
  <si>
    <t xml:space="preserve">render prop renders custom element</t>
  </si>
  <si>
    <t xml:space="preserve">render prop preserves refs and behavior props</t>
  </si>
  <si>
    <t xml:space="preserve">controlled state path</t>
  </si>
  <si>
    <t xml:space="preserve">uncontrolled default state path</t>
  </si>
  <si>
    <t xml:space="preserve">state change callback fires once with correct value</t>
  </si>
  <si>
    <t xml:space="preserve">Interaction</t>
  </si>
  <si>
    <t xml:space="preserve">mouse click or pointer activation</t>
  </si>
  <si>
    <t xml:space="preserve">Enter key activation</t>
  </si>
  <si>
    <t xml:space="preserve">Space key activation</t>
  </si>
  <si>
    <t xml:space="preserve">disabled trigger blocks pointer and keyboard</t>
  </si>
  <si>
    <t xml:space="preserve">Focus</t>
  </si>
  <si>
    <t xml:space="preserve">focus ring and focus restoration are correct</t>
  </si>
  <si>
    <t xml:space="preserve">Keyboard</t>
  </si>
  <si>
    <t xml:space="preserve">End behavior</t>
  </si>
  <si>
    <t xml:space="preserve">Home behavior</t>
  </si>
  <si>
    <t xml:space="preserve">Arrow key navigation follows documented orientation</t>
  </si>
  <si>
    <t xml:space="preserve">Home and End navigation where supported</t>
  </si>
  <si>
    <t xml:space="preserve">disabled items are skipped or exposed according to pattern</t>
  </si>
  <si>
    <t xml:space="preserve">roving focus or active descendant state is visible</t>
  </si>
  <si>
    <t xml:space="preserve">reads Direction.Provider context for horizontal keyboard navigation</t>
  </si>
  <si>
    <t xml:space="preserve">RTL mirrors horizontal ArrowLeft and ArrowRight navigation</t>
  </si>
  <si>
    <t xml:space="preserve">Direction controls</t>
  </si>
  <si>
    <t xml:space="preserve">scenario exposes provider direction controls</t>
  </si>
  <si>
    <t xml:space="preserve">AlertDialog Playground Coverage</t>
  </si>
  <si>
    <t xml:space="preserve">passed manual test</t>
  </si>
  <si>
    <t xml:space="preserve">Tester-first AlertDialog manual checklist.</t>
  </si>
  <si>
    <t xml:space="preserve">layout renders Anatomy, Canvas toolbar, Canvas stage, footer, and Inspector in expected order</t>
  </si>
  <si>
    <t xml:space="preserve">Canvas toolbar exposes State, Popup, Dismiss, ARIA, Composition, and Props groups</t>
  </si>
  <si>
    <t xml:space="preserve">Props toolbar keeps Prop Check off by default</t>
  </si>
  <si>
    <t xml:space="preserve">custom slot toggles are off by default</t>
  </si>
  <si>
    <t xml:space="preserve">Anatomy uses live DOM Attributes, ARIA, and Data groups for rendered parts</t>
  </si>
  <si>
    <t xml:space="preserve">content forces role="alertdialog"</t>
  </si>
  <si>
    <t xml:space="preserve">Content raw ARIA verified role="alertdialog".</t>
  </si>
  <si>
    <t xml:space="preserve">backdrop/overlay click does not dismiss by design</t>
  </si>
  <si>
    <t xml:space="preserve">Overlay click logged while AlertDialog stayed open.</t>
  </si>
  <si>
    <t xml:space="preserve">public anatomy parts render in documented order</t>
  </si>
  <si>
    <t xml:space="preserve">Anatomy order verified: Root, Trigger, Portal, Overlay, Content, Title, Description, Cancel, Action.</t>
  </si>
  <si>
    <t xml:space="preserve">Cancel autofocus is enabled by default</t>
  </si>
  <si>
    <t xml:space="preserve">Initial focus landed on Cancel with Cancel autofocus enabled.</t>
  </si>
  <si>
    <t xml:space="preserve">close reasons distinguish cancel and action flows</t>
  </si>
  <si>
    <t xml:space="preserve">Logs verified closed by cancelClick and closed by actionClick.</t>
  </si>
  <si>
    <t xml:space="preserve">Escape dismissal follows closeOnEscape state</t>
  </si>
  <si>
    <t xml:space="preserve">Escape closed when enabled and did not close when disabled.</t>
  </si>
  <si>
    <t xml:space="preserve">focus containment and focus restore work while open/after close</t>
  </si>
  <si>
    <t xml:space="preserve">Focus escape probe stayed inside; close restored focus to Trigger.</t>
  </si>
  <si>
    <t xml:space="preserve">nested overlay Escape order closes nested layer before parent</t>
  </si>
  <si>
    <t xml:space="preserve">Nested Select closed on first Escape; AlertDialog closed on second Escape.</t>
  </si>
  <si>
    <t xml:space="preserve">provider has no DOM identity row to inspect</t>
  </si>
  <si>
    <t xml:space="preserve">Root verified as behavior-only provider; no Root tag or data-slot expected.</t>
  </si>
  <si>
    <t xml:space="preserve">uncontrolled default starts closed</t>
  </si>
  <si>
    <t xml:space="preserve">Default Canvas starts closed with Trigger data-state="closed".</t>
  </si>
  <si>
    <t xml:space="preserve">controlled open prop updates visible open state</t>
  </si>
  <si>
    <t xml:space="preserve">Controlled Open/Close controls opened and closed AlertDialog.</t>
  </si>
  <si>
    <t xml:space="preserve">onOpenChange reports open, cancelClick, actionClick, and Escape close changes</t>
  </si>
  <si>
    <t xml:space="preserve">Logs verified open and close reasons from manual interactions.</t>
  </si>
  <si>
    <t xml:space="preserve">disabled prop prevents trigger activation</t>
  </si>
  <si>
    <t xml:space="preserve">Disabled Trigger blocked pointer, Enter, and Space activation.</t>
  </si>
  <si>
    <t xml:space="preserve">keepMounted keeps Overlay and Content mounted after close</t>
  </si>
  <si>
    <t xml:space="preserve">Overlay and Content remained mounted with data-state="closed".</t>
  </si>
  <si>
    <t xml:space="preserve">closeOnEscape=false prevents Escape dismissal</t>
  </si>
  <si>
    <t xml:space="preserve">Escape did not close while Dismiss &gt; Escape closes was off.</t>
  </si>
  <si>
    <t xml:space="preserve">backdrop dismissal remains disabled</t>
  </si>
  <si>
    <t xml:space="preserve">Anatomy Root Backdrop closes row stayed no; overlay click did not close.</t>
  </si>
  <si>
    <t xml:space="preserve">appears after Root in public anatomy order</t>
  </si>
  <si>
    <t xml:space="preserve">default tag is button</t>
  </si>
  <si>
    <t xml:space="preserve">Trigger raw Attributes verified button tag.</t>
  </si>
  <si>
    <t xml:space="preserve">consumer ref evidence records button in Anatomy</t>
  </si>
  <si>
    <t xml:space="preserve">Anatomy Trigger Ref verified button.</t>
  </si>
  <si>
    <t xml:space="preserve">default data-slot is alert-dialog-trigger</t>
  </si>
  <si>
    <t xml:space="preserve">Trigger raw Data verified data-slot="alert-dialog-trigger".</t>
  </si>
  <si>
    <t xml:space="preserve">closed state uses data-state="closed"</t>
  </si>
  <si>
    <t xml:space="preserve">Trigger raw Data verified closed state.</t>
  </si>
  <si>
    <t xml:space="preserve">open state uses data-state="open"</t>
  </si>
  <si>
    <t xml:space="preserve">Trigger raw Data verified open state.</t>
  </si>
  <si>
    <t xml:space="preserve">closed state uses aria-expanded="false"</t>
  </si>
  <si>
    <t xml:space="preserve">Trigger raw ARIA verified aria-expanded="false".</t>
  </si>
  <si>
    <t xml:space="preserve">open state uses aria-expanded="true"</t>
  </si>
  <si>
    <t xml:space="preserve">Trigger raw ARIA verified aria-expanded="true".</t>
  </si>
  <si>
    <t xml:space="preserve">aria-controls matches current Content id</t>
  </si>
  <si>
    <t xml:space="preserve">Trigger aria-controls matched generated Content id.</t>
  </si>
  <si>
    <t xml:space="preserve">disabled state blocks pointer and keyboard activation</t>
  </si>
  <si>
    <t xml:space="preserve">Disabled Trigger probes blocked click, Enter, and Space.</t>
  </si>
  <si>
    <t xml:space="preserve">Prop Check emits data-prop-check="trigger"</t>
  </si>
  <si>
    <t xml:space="preserve">Trigger raw Data verified data-prop-check="trigger".</t>
  </si>
  <si>
    <t xml:space="preserve">Slots</t>
  </si>
  <si>
    <t xml:space="preserve">custom slot emits data-slot="alert-dialog-trigger-custom"</t>
  </si>
  <si>
    <t xml:space="preserve">Trigger custom slot raw Data verified.</t>
  </si>
  <si>
    <t xml:space="preserve">Default mode renders button and opens on click, Enter, and Space</t>
  </si>
  <si>
    <t xml:space="preserve">As Child mode merges Trigger props into single child without duplicate control</t>
  </si>
  <si>
    <t xml:space="preserve">Render mode renders button through render={(props) =&gt; &lt;button {...props} /&gt;}</t>
  </si>
  <si>
    <t xml:space="preserve">preventDefault handler blocks Trigger open when Block trigger event is enabled</t>
  </si>
  <si>
    <t xml:space="preserve">Block trigger event kept dialog closed and logged blocked trigger text.</t>
  </si>
  <si>
    <t xml:space="preserve">focus is restored to Trigger after close</t>
  </si>
  <si>
    <t xml:space="preserve">Focus restored after Cancel, Action, and Escape closes.</t>
  </si>
  <si>
    <t xml:space="preserve">appears after Trigger in public anatomy order</t>
  </si>
  <si>
    <t xml:space="preserve">Portal verified as behavior-only portal; no Portal tag or data-slot expected.</t>
  </si>
  <si>
    <t xml:space="preserve">default portal renders Content outside .canvas</t>
  </si>
  <si>
    <t xml:space="preserve">Anatomy Portal Inside canvas verified no by default.</t>
  </si>
  <si>
    <t xml:space="preserve">disabled portal renders Content inside .canvas</t>
  </si>
  <si>
    <t xml:space="preserve">Popup &gt; Disable portal changed Inside canvas to yes.</t>
  </si>
  <si>
    <t xml:space="preserve">Overlay</t>
  </si>
  <si>
    <t xml:space="preserve">appears after Portal in public anatomy order</t>
  </si>
  <si>
    <t xml:space="preserve">default tag is div</t>
  </si>
  <si>
    <t xml:space="preserve">Overlay raw Attributes verified div tag.</t>
  </si>
  <si>
    <t xml:space="preserve">consumer ref evidence records div in Anatomy</t>
  </si>
  <si>
    <t xml:space="preserve">Anatomy Overlay Ref verified div.</t>
  </si>
  <si>
    <t xml:space="preserve">default data-slot is alert-dialog-overlay</t>
  </si>
  <si>
    <t xml:space="preserve">Overlay raw Data verified data-slot="alert-dialog-overlay".</t>
  </si>
  <si>
    <t xml:space="preserve">open state uses data-state="open" after positioning</t>
  </si>
  <si>
    <t xml:space="preserve">Overlay raw Data verified open state.</t>
  </si>
  <si>
    <t xml:space="preserve">closed keepMounted state uses data-state="closed"</t>
  </si>
  <si>
    <t xml:space="preserve">Overlay raw Data verified closed state after close with keepMounted.</t>
  </si>
  <si>
    <t xml:space="preserve">data-positioned appears after positioning</t>
  </si>
  <si>
    <t xml:space="preserve">Overlay raw Data verified data-positioned present.</t>
  </si>
  <si>
    <t xml:space="preserve">aria-hidden="true" is present</t>
  </si>
  <si>
    <t xml:space="preserve">Overlay raw ARIA verified aria-hidden="true".</t>
  </si>
  <si>
    <t xml:space="preserve">Prop Check emits data-prop-check="overlay"</t>
  </si>
  <si>
    <t xml:space="preserve">Overlay raw Data verified data-prop-check="overlay".</t>
  </si>
  <si>
    <t xml:space="preserve">disabled prop is exposed without enabling AlertDialog dismissal</t>
  </si>
  <si>
    <t xml:space="preserve">Popup &gt; Disable overlay updated Anatomy/Source; overlay click still did not close.</t>
  </si>
  <si>
    <t xml:space="preserve">custom slot emits data-slot="alert-dialog-overlay-custom"</t>
  </si>
  <si>
    <t xml:space="preserve">Overlay custom slot raw Data verified.</t>
  </si>
  <si>
    <t xml:space="preserve">click logs overlay click and does not close</t>
  </si>
  <si>
    <t xml:space="preserve">Overlay click logged and AlertDialog stayed open.</t>
  </si>
  <si>
    <t xml:space="preserve">appears after Overlay in public anatomy order</t>
  </si>
  <si>
    <t xml:space="preserve">Content raw Attributes verified div tag.</t>
  </si>
  <si>
    <t xml:space="preserve">Anatomy Content Ref verified div.</t>
  </si>
  <si>
    <t xml:space="preserve">generated id remains stable while mounted</t>
  </si>
  <si>
    <t xml:space="preserve">Content id stayed stable for mounted instance.</t>
  </si>
  <si>
    <t xml:space="preserve">default data-slot is alert-dialog-content</t>
  </si>
  <si>
    <t xml:space="preserve">Content raw Data verified data-slot="alert-dialog-content".</t>
  </si>
  <si>
    <t xml:space="preserve">Content raw Data verified open state.</t>
  </si>
  <si>
    <t xml:space="preserve">Content raw Data verified closed state after close with keepMounted.</t>
  </si>
  <si>
    <t xml:space="preserve">Content raw Data verified data-positioned present.</t>
  </si>
  <si>
    <t xml:space="preserve">role is alertdialog</t>
  </si>
  <si>
    <t xml:space="preserve">aria-modal is true</t>
  </si>
  <si>
    <t xml:space="preserve">Content raw ARIA verified aria-modal="true".</t>
  </si>
  <si>
    <t xml:space="preserve">aria-labelledby matches rendered Title id</t>
  </si>
  <si>
    <t xml:space="preserve">Content aria-labelledby matched generated Title id.</t>
  </si>
  <si>
    <t xml:space="preserve">aria-describedby matches rendered Description id</t>
  </si>
  <si>
    <t xml:space="preserve">Content aria-describedby matched generated Description id.</t>
  </si>
  <si>
    <t xml:space="preserve">ariaLabel mode uses aria-label="Delete project confirmation" and omits Title</t>
  </si>
  <si>
    <t xml:space="preserve">ARIA &gt; Use ariaLabel verified aria-label and Title not rendered.</t>
  </si>
  <si>
    <t xml:space="preserve">Prop Check emits data-prop-check="content"</t>
  </si>
  <si>
    <t xml:space="preserve">Content raw Data verified data-prop-check="content".</t>
  </si>
  <si>
    <t xml:space="preserve">custom slot emits data-slot="alert-dialog-content-custom"</t>
  </si>
  <si>
    <t xml:space="preserve">Content custom slot raw Data verified.</t>
  </si>
  <si>
    <t xml:space="preserve">focus escape probe remains inside AlertDialog content</t>
  </si>
  <si>
    <t xml:space="preserve">Test focus escape logged focus stayed inside alert dialog: yes.</t>
  </si>
  <si>
    <t xml:space="preserve">Title</t>
  </si>
  <si>
    <t xml:space="preserve">appears after Content in public anatomy order</t>
  </si>
  <si>
    <t xml:space="preserve">default tag is h2</t>
  </si>
  <si>
    <t xml:space="preserve">Title raw Attributes verified h2 by default.</t>
  </si>
  <si>
    <t xml:space="preserve">as prop renders h1 through h6 when selected</t>
  </si>
  <si>
    <t xml:space="preserve">ARIA &gt; Title as verified h1-h6 tags.</t>
  </si>
  <si>
    <t xml:space="preserve">consumer ref evidence records selected heading tag in Anatomy</t>
  </si>
  <si>
    <t xml:space="preserve">Anatomy Title Ref matched selected heading tag.</t>
  </si>
  <si>
    <t xml:space="preserve">Title id stayed stable for mounted instance.</t>
  </si>
  <si>
    <t xml:space="preserve">default data-slot is alert-dialog-title</t>
  </si>
  <si>
    <t xml:space="preserve">Title raw Data verified data-slot="alert-dialog-title".</t>
  </si>
  <si>
    <t xml:space="preserve">Content aria-labelledby matches Title id</t>
  </si>
  <si>
    <t xml:space="preserve">Title is omitted when Content ariaLabel is used</t>
  </si>
  <si>
    <t xml:space="preserve">ARIA &gt; Use ariaLabel removed Title from DOM/Anatomy.</t>
  </si>
  <si>
    <t xml:space="preserve">Prop Check emits data-prop-check="title" when Title renders</t>
  </si>
  <si>
    <t xml:space="preserve">Title raw Data verified data-prop-check="title".</t>
  </si>
  <si>
    <t xml:space="preserve">custom slot emits data-slot="alert-dialog-title-custom" when Title renders</t>
  </si>
  <si>
    <t xml:space="preserve">Title custom slot raw Data verified.</t>
  </si>
  <si>
    <t xml:space="preserve">Description</t>
  </si>
  <si>
    <t xml:space="preserve">appears after Title in public anatomy order</t>
  </si>
  <si>
    <t xml:space="preserve">default tag is p</t>
  </si>
  <si>
    <t xml:space="preserve">Description raw Attributes verified p tag.</t>
  </si>
  <si>
    <t xml:space="preserve">consumer ref evidence records p in Anatomy</t>
  </si>
  <si>
    <t xml:space="preserve">Anatomy Description Ref verified p.</t>
  </si>
  <si>
    <t xml:space="preserve">Description id stayed stable for mounted instance.</t>
  </si>
  <si>
    <t xml:space="preserve">default data-slot is alert-dialog-description</t>
  </si>
  <si>
    <t xml:space="preserve">Description raw Data verified data-slot="alert-dialog-description".</t>
  </si>
  <si>
    <t xml:space="preserve">Content aria-describedby matches Description id</t>
  </si>
  <si>
    <t xml:space="preserve">Prop Check emits data-prop-check="description"</t>
  </si>
  <si>
    <t xml:space="preserve">Description raw Data verified data-prop-check="description".</t>
  </si>
  <si>
    <t xml:space="preserve">custom slot emits data-slot="alert-dialog-description-custom"</t>
  </si>
  <si>
    <t xml:space="preserve">Description custom slot raw Data verified.</t>
  </si>
  <si>
    <t xml:space="preserve">Cancel</t>
  </si>
  <si>
    <t xml:space="preserve">appears after Description in public anatomy order</t>
  </si>
  <si>
    <t xml:space="preserve">Cancel raw Attributes verified button tag.</t>
  </si>
  <si>
    <t xml:space="preserve">default/render mode has type="button"</t>
  </si>
  <si>
    <t xml:space="preserve">Cancel raw Attributes verified type="button" in default/render modes.</t>
  </si>
  <si>
    <t xml:space="preserve">Anatomy Cancel Ref verified button in default mode.</t>
  </si>
  <si>
    <t xml:space="preserve">default data-slot is alert-dialog-cancel</t>
  </si>
  <si>
    <t xml:space="preserve">Cancel raw Data verified data-slot="alert-dialog-cancel".</t>
  </si>
  <si>
    <t xml:space="preserve">Prop Check emits data-prop-check="cancel"</t>
  </si>
  <si>
    <t xml:space="preserve">Cancel raw Data verified data-prop-check="cancel".</t>
  </si>
  <si>
    <t xml:space="preserve">custom slot emits data-slot="alert-dialog-cancel-custom"</t>
  </si>
  <si>
    <t xml:space="preserve">Cancel custom slot raw Data verified.</t>
  </si>
  <si>
    <t xml:space="preserve">Default mode renders button and closes with cancelClick</t>
  </si>
  <si>
    <t xml:space="preserve">As Child mode merges Cancel props into single child without duplicate control</t>
  </si>
  <si>
    <t xml:space="preserve">Render mode renders button and receives type="button" through spread props</t>
  </si>
  <si>
    <t xml:space="preserve">autoFocus defaults to true and initially focuses Cancel</t>
  </si>
  <si>
    <t xml:space="preserve">Initial focus landed on Cancel with Cancel autofocus on.</t>
  </si>
  <si>
    <t xml:space="preserve">click closes and logs cancelClick reason</t>
  </si>
  <si>
    <t xml:space="preserve">Cancel click closed and log included closed by cancelClick.</t>
  </si>
  <si>
    <t xml:space="preserve">preventDefault handler blocks close when Block cancel close is enabled</t>
  </si>
  <si>
    <t xml:space="preserve">Block cancel close kept dialog open and logged blocked cancel text.</t>
  </si>
  <si>
    <t xml:space="preserve">Action</t>
  </si>
  <si>
    <t xml:space="preserve">appears after Cancel in public anatomy order</t>
  </si>
  <si>
    <t xml:space="preserve">Action raw Attributes verified button tag.</t>
  </si>
  <si>
    <t xml:space="preserve">Action raw Attributes verified type="button" in default/render modes.</t>
  </si>
  <si>
    <t xml:space="preserve">Anatomy Action Ref verified button in default mode.</t>
  </si>
  <si>
    <t xml:space="preserve">default data-slot is alert-dialog-action</t>
  </si>
  <si>
    <t xml:space="preserve">Action raw Data verified data-slot="alert-dialog-action".</t>
  </si>
  <si>
    <t xml:space="preserve">Prop Check emits data-prop-check="action"</t>
  </si>
  <si>
    <t xml:space="preserve">Action raw Data verified data-prop-check="action".</t>
  </si>
  <si>
    <t xml:space="preserve">custom slot emits data-slot="alert-dialog-action-custom"</t>
  </si>
  <si>
    <t xml:space="preserve">Action custom slot raw Data verified.</t>
  </si>
  <si>
    <t xml:space="preserve">Default mode renders button and closes with actionClick</t>
  </si>
  <si>
    <t xml:space="preserve">As Child mode merges Action props into single child without duplicate control</t>
  </si>
  <si>
    <t xml:space="preserve">click closes and logs actionClick reason</t>
  </si>
  <si>
    <t xml:space="preserve">Action click closed and log included closed by actionClick.</t>
  </si>
  <si>
    <t xml:space="preserve">preventDefault handler blocks close when Block action close is enabled</t>
  </si>
  <si>
    <t xml:space="preserve">Block action close kept dialog open and logged blocked action text.</t>
  </si>
  <si>
    <t xml:space="preserve">Source</t>
  </si>
  <si>
    <t xml:space="preserve">default Source omits false/default props</t>
  </si>
  <si>
    <t xml:space="preserve">Source omitted disabled={false}, keepMounted={false}, and default false booleans.</t>
  </si>
  <si>
    <t xml:space="preserve">controlled mode Source shows open={open}</t>
  </si>
  <si>
    <t xml:space="preserve">Source verified controlled open prop appears only in controlled mode.</t>
  </si>
  <si>
    <t xml:space="preserve">disabled, keepMounted, and closeOnEscape={false} appear only when active</t>
  </si>
  <si>
    <t xml:space="preserve">disabled portal Source shows &lt;AlertDialog.Portal disabled&gt;</t>
  </si>
  <si>
    <t xml:space="preserve">disabled overlay Source shows disabled on AlertDialog.Overlay</t>
  </si>
  <si>
    <t xml:space="preserve">ariaLabel Source omits Title and shows ariaLabel="Delete project confirmation"</t>
  </si>
  <si>
    <t xml:space="preserve">heading Source shows selected as="h1" through as="h6"</t>
  </si>
  <si>
    <t xml:space="preserve">Prop Check Source shows exact data-prop-check values for rendered parts</t>
  </si>
  <si>
    <t xml:space="preserve">custom slot Source shows exact custom data-slot values for rendered parts</t>
  </si>
  <si>
    <t xml:space="preserve">render composition Source uses render={(props) =&gt; &lt;button {...props} /&gt;} for Trigger, Cancel, and Action</t>
  </si>
  <si>
    <t xml:space="preserve">Dismiss</t>
  </si>
  <si>
    <t xml:space="preserve">blocked event Source shows preventDefault handlers for Trigger, Cancel, and Action</t>
  </si>
  <si>
    <t xml:space="preserve">Nested Select</t>
  </si>
  <si>
    <t xml:space="preserve">nested Select Source includes Select.Root, Trigger, Content, Viewport, Item, and ItemText</t>
  </si>
  <si>
    <t xml:space="preserve">Inspector</t>
  </si>
  <si>
    <t xml:space="preserve">Selected</t>
  </si>
  <si>
    <t xml:space="preserve">clicking rendered parts updates Selected raw Attributes, ARIA, and Data</t>
  </si>
  <si>
    <t xml:space="preserve">Focused</t>
  </si>
  <si>
    <t xml:space="preserve">focusing controls updates Focused raw Attributes, ARIA, and Data</t>
  </si>
  <si>
    <t xml:space="preserve">Logs</t>
  </si>
  <si>
    <t xml:space="preserve">logs record trigger click/key, overlay, cancel, action, blocked events, and controlled open/close</t>
  </si>
  <si>
    <t xml:space="preserve">logs persist after AlertDialog closes</t>
  </si>
  <si>
    <t xml:space="preserve">logs use compact timestamp rows</t>
  </si>
  <si>
    <t xml:space="preserve">default portal path and disabled portal path are both manually verified</t>
  </si>
  <si>
    <t xml:space="preserve">Nesting</t>
  </si>
  <si>
    <t xml:space="preserve">Nested Select remains within AlertDialog layer stack</t>
  </si>
  <si>
    <t xml:space="preserve">Escape closes Nested Select before parent AlertDialog</t>
  </si>
  <si>
    <t xml:space="preserve">AppBar Playground Coverage</t>
  </si>
  <si>
    <t xml:space="preserve">manual-tests/app-bar.md</t>
  </si>
  <si>
    <t xml:space="preserve">Renders a native `header` root</t>
  </si>
  <si>
    <t xml:space="preserve">Provides toolbar, start, center, and end structural slots</t>
  </si>
  <si>
    <t xml:space="preserve">Exposes root position and toolbar density through data attributes</t>
  </si>
  <si>
    <t xml:space="preserve">Does not add ARIA toolbar behavior unless consumers compose a real `Toolbar`</t>
  </si>
  <si>
    <t xml:space="preserve">Refs</t>
  </si>
  <si>
    <t xml:space="preserve">consumer ref receives the rendered element</t>
  </si>
  <si>
    <t xml:space="preserve">position prop behavior</t>
  </si>
  <si>
    <t xml:space="preserve">[data-position] prop behavior</t>
  </si>
  <si>
    <t xml:space="preserve">Center</t>
  </si>
  <si>
    <t xml:space="preserve">End</t>
  </si>
  <si>
    <t xml:space="preserve">Start</t>
  </si>
  <si>
    <t xml:space="preserve">density prop behavior</t>
  </si>
  <si>
    <t xml:space="preserve">[data-density] prop behavior</t>
  </si>
  <si>
    <t xml:space="preserve">aria-label is present at the correct time</t>
  </si>
  <si>
    <t xml:space="preserve">data-density is present at the correct time</t>
  </si>
  <si>
    <t xml:space="preserve">data-position is present at the correct time</t>
  </si>
  <si>
    <t xml:space="preserve">AspectRatio Playground Coverage</t>
  </si>
  <si>
    <t xml:space="preserve">AspectRatio props manual verification.</t>
  </si>
  <si>
    <t xml:space="preserve">Aspect Ratio playground scenario.</t>
  </si>
  <si>
    <t xml:space="preserve">Applies an authoritative `aspect-ratio` inline style</t>
  </si>
  <si>
    <t xml:space="preserve">Normalizes invalid ratios back to `16 / 9`</t>
  </si>
  <si>
    <t xml:space="preserve">Preserves native DOM props and consumer styles outside the owned ratio style</t>
  </si>
  <si>
    <t xml:space="preserve">Supports `asChild` and `render`</t>
  </si>
  <si>
    <t xml:space="preserve">ratio prop behavior</t>
  </si>
  <si>
    <t xml:space="preserve">Utility</t>
  </si>
  <si>
    <t xml:space="preserve">ratio style is calculated correctly</t>
  </si>
  <si>
    <t xml:space="preserve">invalid ratios normalize safely</t>
  </si>
  <si>
    <t xml:space="preserve">Avatar Playground Coverage</t>
  </si>
  <si>
    <t xml:space="preserve">Avatar props manual verification.</t>
  </si>
  <si>
    <t xml:space="preserve">Avatar page is reachable from Display &gt; Avatar.</t>
  </si>
  <si>
    <t xml:space="preserve">Source updates for image source, alt mode, and fallback delay were manually verified.</t>
  </si>
  <si>
    <t xml:space="preserve">Avatar anatomy and inspector expose live attributes, ARIA, and data groups for image state changes.</t>
  </si>
  <si>
    <t xml:space="preserve">Inspector selected image updates live for src/alt changes and logs show useful image status events.</t>
  </si>
  <si>
    <t xml:space="preserve">Tracks image loading status</t>
  </si>
  <si>
    <t xml:space="preserve">Image loading status was manually verified for loaded, broken, and loading/idle modes.</t>
  </si>
  <si>
    <t xml:space="preserve">Renders fallback content while the image is missing, loading, or errored</t>
  </si>
  <si>
    <t xml:space="preserve">Fallback rendering was manually verified when the image is broken or not loaded.</t>
  </si>
  <si>
    <t xml:space="preserve">Supports delayed fallback rendering to avoid loading flashes</t>
  </si>
  <si>
    <t xml:space="preserve">Delayed fallback source output was manually verified with delayMs={600}.</t>
  </si>
  <si>
    <t xml:space="preserve">Provides a group wrapper for stacked or clustered avatars</t>
  </si>
  <si>
    <t xml:space="preserve">Avatar Group wrapper was manually verified with a primary avatar and secondary fallback avatar.</t>
  </si>
  <si>
    <t xml:space="preserve">Avatar Image asChild and render composition were manually verified.</t>
  </si>
  <si>
    <t xml:space="preserve">Root renders in the Avatar scenario and remains present while image/fallback state changes.</t>
  </si>
  <si>
    <t xml:space="preserve">Root anatomy order was verified during Avatar Root composition tests.</t>
  </si>
  <si>
    <t xml:space="preserve">Root default tag was verified as span.</t>
  </si>
  <si>
    <t xml:space="preserve">Root data-slot was verified as avatar-root.</t>
  </si>
  <si>
    <t xml:space="preserve">Root prop passthrough marker was verified in Anatomy/Inspector.</t>
  </si>
  <si>
    <t xml:space="preserve">Root ref target was verified in Anatomy.</t>
  </si>
  <si>
    <t xml:space="preserve">Root asChild behavior was manually verified.</t>
  </si>
  <si>
    <t xml:space="preserve">Root render behavior was manually verified after correcting the playground render pattern.</t>
  </si>
  <si>
    <t xml:space="preserve">src prop behavior</t>
  </si>
  <si>
    <t xml:space="preserve">Root src behavior was verified through loaded, broken, and loading source modes.</t>
  </si>
  <si>
    <t xml:space="preserve">onLoadingStatusChange prop behavior</t>
  </si>
  <si>
    <t xml:space="preserve">Root loading status callback was verified through the playground log/status state.</t>
  </si>
  <si>
    <t xml:space="preserve">Root data-slot behavior was verified through data-slot="avatar-root".</t>
  </si>
  <si>
    <t xml:space="preserve">Group</t>
  </si>
  <si>
    <t xml:space="preserve">Group renders when State &gt; Group is enabled.</t>
  </si>
  <si>
    <t xml:space="preserve">Group appears in the expected Avatar anatomy order.</t>
  </si>
  <si>
    <t xml:space="preserve">Group default tag was verified as div in Anatomy/Inspector.</t>
  </si>
  <si>
    <t xml:space="preserve">Group data-slot was verified as avatar-group.</t>
  </si>
  <si>
    <t xml:space="preserve">Group prop passthrough marker was verified in Inspector.</t>
  </si>
  <si>
    <t xml:space="preserve">Group ref target was verified as div in Anatomy.</t>
  </si>
  <si>
    <t xml:space="preserve">Group asChild behavior was manually verified.</t>
  </si>
  <si>
    <t xml:space="preserve">Group render behavior was manually verified with section output.</t>
  </si>
  <si>
    <t xml:space="preserve">Group data-slot behavior was verified through data-slot="avatar-group".</t>
  </si>
  <si>
    <t xml:space="preserve">Fallback</t>
  </si>
  <si>
    <t xml:space="preserve">Fallback renders when the image is broken or loading/idle and is absent when the image is loaded.</t>
  </si>
  <si>
    <t xml:space="preserve">Fallback appears in the expected Avatar anatomy order after Image.</t>
  </si>
  <si>
    <t xml:space="preserve">Fallback default tag was verified when fallback is rendered.</t>
  </si>
  <si>
    <t xml:space="preserve">Fallback data-slot was verified when fallback is rendered.</t>
  </si>
  <si>
    <t xml:space="preserve">Fallback native/data prop passthrough marker was verified in Inspector.</t>
  </si>
  <si>
    <t xml:space="preserve">Fallback ref target was verified as span in Anatomy.</t>
  </si>
  <si>
    <t xml:space="preserve">Fallback asChild behavior was manually verified.</t>
  </si>
  <si>
    <t xml:space="preserve">Fallback render behavior was manually verified.</t>
  </si>
  <si>
    <t xml:space="preserve">delayMs prop behavior</t>
  </si>
  <si>
    <t xml:space="preserve">Fallback delayMs behavior is represented in Source and verified with Delay fallback on.</t>
  </si>
  <si>
    <t xml:space="preserve">Fallback data-slot behavior was verified through data-slot="avatar-fallback".</t>
  </si>
  <si>
    <t xml:space="preserve">Image</t>
  </si>
  <si>
    <t xml:space="preserve">Image renders when loaded and is absent when broken/loading.</t>
  </si>
  <si>
    <t xml:space="preserve">Image appears in the expected Avatar anatomy order.</t>
  </si>
  <si>
    <t xml:space="preserve">Image default tag was verified as img when loaded.</t>
  </si>
  <si>
    <t xml:space="preserve">Image data-slot was verified as avatar-image when loaded.</t>
  </si>
  <si>
    <t xml:space="preserve">Image native/data prop passthrough marker was verified in Inspector.</t>
  </si>
  <si>
    <t xml:space="preserve">Image ref target was verified as img in Anatomy.</t>
  </si>
  <si>
    <t xml:space="preserve">Image asChild behavior was manually verified with live alt/data updates.</t>
  </si>
  <si>
    <t xml:space="preserve">Image render behavior was manually verified with live alt/data updates.</t>
  </si>
  <si>
    <t xml:space="preserve">Image src behavior was verified through loaded, broken, and loading source modes.</t>
  </si>
  <si>
    <t xml:space="preserve">alt prop behavior</t>
  </si>
  <si>
    <t xml:space="preserve">Image alt behavior was verified for meaningful alt text and decorative alt="".</t>
  </si>
  <si>
    <t xml:space="preserve">Image data-slot override/default behavior was verified through data-slot="avatar-image".</t>
  </si>
  <si>
    <t xml:space="preserve">Live data-slot and data attributes were verified in Anatomy/Inspector for the rendered Avatar parts.</t>
  </si>
  <si>
    <t xml:space="preserve">Avatar asChild composition preserved child image rendering without duplicate nesting.</t>
  </si>
  <si>
    <t xml:space="preserve">Avatar asChild composition merged Atom image props and consumer data props.</t>
  </si>
  <si>
    <t xml:space="preserve">Avatar render composition rendered the custom image element.</t>
  </si>
  <si>
    <t xml:space="preserve">Avatar render composition preserved refs and behavior props on the image.</t>
  </si>
  <si>
    <t xml:space="preserve">Status change logging was verified without duplicate consecutive loading events.</t>
  </si>
  <si>
    <t xml:space="preserve">Badge Playground Coverage</t>
  </si>
  <si>
    <t xml:space="preserve">Badge props manual verification.</t>
  </si>
  <si>
    <t xml:space="preserve">Badge playground manual verification.</t>
  </si>
  <si>
    <t xml:space="preserve">Renders a native `span`</t>
  </si>
  <si>
    <t xml:space="preserve">Keeps text content in the accessibility tree</t>
  </si>
  <si>
    <t xml:space="preserve">Supports native span props</t>
  </si>
  <si>
    <t xml:space="preserve">Badge playground manual verification; data-slot is badge and empty data markers render bare.</t>
  </si>
  <si>
    <t xml:space="preserve">Badge playground manual verification; asChild/render use strong custom element.</t>
  </si>
  <si>
    <t xml:space="preserve">BottomNavigation Playground Coverage</t>
  </si>
  <si>
    <t xml:space="preserve">manual-tests/bottom-navigation.md</t>
  </si>
  <si>
    <t xml:space="preserve">Renders a named `nav` landmark</t>
  </si>
  <si>
    <t xml:space="preserve">Supports link destinations and button destinations</t>
  </si>
  <si>
    <t xml:space="preserve">Supports controlled and uncontrolled active value</t>
  </si>
  <si>
    <t xml:space="preserve">Exposes active, disabled, and label-visibility state through data attributes</t>
  </si>
  <si>
    <t xml:space="preserve">onChange prop behavior</t>
  </si>
  <si>
    <t xml:space="preserve">showLabels prop behavior</t>
  </si>
  <si>
    <t xml:space="preserve">Accessibility</t>
  </si>
  <si>
    <t xml:space="preserve">aria-label prop behavior</t>
  </si>
  <si>
    <t xml:space="preserve">href prop behavior</t>
  </si>
  <si>
    <t xml:space="preserve">target prop behavior</t>
  </si>
  <si>
    <t xml:space="preserve">rel prop behavior</t>
  </si>
  <si>
    <t xml:space="preserve">[data-value] prop behavior</t>
  </si>
  <si>
    <t xml:space="preserve">[data-active] prop behavior</t>
  </si>
  <si>
    <t xml:space="preserve">[data-label-visible] prop behavior</t>
  </si>
  <si>
    <t xml:space="preserve">aria-current is present at the correct time</t>
  </si>
  <si>
    <t xml:space="preserve">data-active is present at the correct time</t>
  </si>
  <si>
    <t xml:space="preserve">data-label-visible is present at the correct time</t>
  </si>
  <si>
    <t xml:space="preserve">data-value is present at the correct time</t>
  </si>
  <si>
    <t xml:space="preserve">Breadcrumb Playground Coverage</t>
  </si>
  <si>
    <t xml:space="preserve">Breadcrumb playground scenario and draft Manual Test Protocol.</t>
  </si>
  <si>
    <t xml:space="preserve">Renders a named breadcrumb `nav` landmark</t>
  </si>
  <si>
    <t xml:space="preserve">Uses an ordered list for page hierarchy</t>
  </si>
  <si>
    <t xml:space="preserve">Marks the current page with `aria-current="page"`</t>
  </si>
  <si>
    <t xml:space="preserve">Provides separator and ellipsis parts</t>
  </si>
  <si>
    <t xml:space="preserve">ariaLabel prop behavior renders native aria-label</t>
  </si>
  <si>
    <t xml:space="preserve">Ellipsis</t>
  </si>
  <si>
    <t xml:space="preserve">Link</t>
  </si>
  <si>
    <t xml:space="preserve">Page</t>
  </si>
  <si>
    <t xml:space="preserve">Separator</t>
  </si>
  <si>
    <t xml:space="preserve">aria-hidden is present at the correct time</t>
  </si>
  <si>
    <t xml:space="preserve">Button Playground Coverage</t>
  </si>
  <si>
    <t xml:space="preserve">pass</t>
  </si>
  <si>
    <t xml:space="preserve">Button playground manual verification.</t>
  </si>
  <si>
    <t xml:space="preserve">renders a native button by default</t>
  </si>
  <si>
    <t xml:space="preserve">renders an anchor when href is present</t>
  </si>
  <si>
    <t xml:space="preserve">adds safe rel for target blank links</t>
  </si>
  <si>
    <t xml:space="preserve">supports disabled state</t>
  </si>
  <si>
    <t xml:space="preserve">supports loading state</t>
  </si>
  <si>
    <t xml:space="preserve">calls onClick before onPress</t>
  </si>
  <si>
    <t xml:space="preserve">consumer preventDefault blocks onPress</t>
  </si>
  <si>
    <t xml:space="preserve">custom non-native render receives button semantics</t>
  </si>
  <si>
    <t xml:space="preserve">is the only Button anatomy part</t>
  </si>
  <si>
    <t xml:space="preserve">anchor tag appears when href is enabled</t>
  </si>
  <si>
    <t xml:space="preserve">custom tag appears for asChild/render</t>
  </si>
  <si>
    <t xml:space="preserve">ref target matches rendered tag</t>
  </si>
  <si>
    <t xml:space="preserve">data-slot is button</t>
  </si>
  <si>
    <t xml:space="preserve">loading prop behavior</t>
  </si>
  <si>
    <t xml:space="preserve">onPress prop behavior</t>
  </si>
  <si>
    <t xml:space="preserve">onClick prop behavior</t>
  </si>
  <si>
    <t xml:space="preserve">Enter activates custom non-native render</t>
  </si>
  <si>
    <t xml:space="preserve">Space activates custom non-native render</t>
  </si>
  <si>
    <t xml:space="preserve">disabled/loading blocks keyboard activation</t>
  </si>
  <si>
    <t xml:space="preserve">aria-disabled is present for inactive non-native renders</t>
  </si>
  <si>
    <t xml:space="preserve">aria-busy is present while loading</t>
  </si>
  <si>
    <t xml:space="preserve">data-slot is present</t>
  </si>
  <si>
    <t xml:space="preserve">data-disabled is present when disabled</t>
  </si>
  <si>
    <t xml:space="preserve">data-loading is present when loading</t>
  </si>
  <si>
    <t xml:space="preserve">Forms</t>
  </si>
  <si>
    <t xml:space="preserve">native type button is default</t>
  </si>
  <si>
    <t xml:space="preserve">submit and reset type pass through</t>
  </si>
  <si>
    <t xml:space="preserve">Log</t>
  </si>
  <si>
    <t xml:space="preserve">logs click/press/default prevention clearly</t>
  </si>
  <si>
    <t xml:space="preserve">Checkbox Playground Coverage</t>
  </si>
  <si>
    <t xml:space="preserve">passes manual test</t>
  </si>
  <si>
    <t xml:space="preserve">Checkbox playground scenario.</t>
  </si>
  <si>
    <t xml:space="preserve">Checkbox playground page uses shared Canvas/Source, Anatomy, Inspector, and Log infrastructure.</t>
  </si>
  <si>
    <t xml:space="preserve">Supports checked, unchecked, and indeterminate states</t>
  </si>
  <si>
    <t xml:space="preserve">Can be controlled or uncontrolled</t>
  </si>
  <si>
    <t xml:space="preserve">Supports read-only and disabled state</t>
  </si>
  <si>
    <t xml:space="preserve">Renders an optional hidden checkbox input for native form submission</t>
  </si>
  <si>
    <t xml:space="preserve">Exposes state through ARIA and data attributes</t>
  </si>
  <si>
    <t xml:space="preserve">Package tests/source review verify consumer ref plumbing for Checkbox; playground manual pass can inspect rendered DOM behavior.</t>
  </si>
  <si>
    <t xml:space="preserve">checked prop behavior</t>
  </si>
  <si>
    <t xml:space="preserve">defaultChecked prop behavior</t>
  </si>
  <si>
    <t xml:space="preserve">onCheckedChange prop behavior</t>
  </si>
  <si>
    <t xml:space="preserve">readOnly prop behavior</t>
  </si>
  <si>
    <t xml:space="preserve">invalid prop behavior</t>
  </si>
  <si>
    <t xml:space="preserve">required prop behavior</t>
  </si>
  <si>
    <t xml:space="preserve">name prop behavior</t>
  </si>
  <si>
    <t xml:space="preserve">form prop behavior</t>
  </si>
  <si>
    <t xml:space="preserve">ariaLabel prop behavior</t>
  </si>
  <si>
    <t xml:space="preserve">[data-readonly] prop behavior</t>
  </si>
  <si>
    <t xml:space="preserve">[data-invalid] prop behavior</t>
  </si>
  <si>
    <t xml:space="preserve">Indicator</t>
  </si>
  <si>
    <t xml:space="preserve">forceMount prop behavior</t>
  </si>
  <si>
    <t xml:space="preserve">aria-checked is present at the correct time</t>
  </si>
  <si>
    <t xml:space="preserve">aria-invalid is present at the correct time</t>
  </si>
  <si>
    <t xml:space="preserve">aria-readonly is present at the correct time</t>
  </si>
  <si>
    <t xml:space="preserve">aria-required is present at the correct time</t>
  </si>
  <si>
    <t xml:space="preserve">data-invalid is present at the correct time</t>
  </si>
  <si>
    <t xml:space="preserve">data-readonly is present at the correct time</t>
  </si>
  <si>
    <t xml:space="preserve">Composition controls/package tests cover render/asChild behavior for Checkbox; ready for manual verification where exposed.</t>
  </si>
  <si>
    <t xml:space="preserve">disabled state blocks or exposes behavior correctly where supported</t>
  </si>
  <si>
    <t xml:space="preserve">readonly/readOnly state blocks or exposes behavior correctly where supported</t>
  </si>
  <si>
    <t xml:space="preserve">required state blocks or exposes behavior correctly where supported</t>
  </si>
  <si>
    <t xml:space="preserve">invalid state blocks or exposes behavior correctly where supported</t>
  </si>
  <si>
    <t xml:space="preserve">form value participates correctly where supported</t>
  </si>
  <si>
    <t xml:space="preserve">hidden input mirrors value/checked/disabled where supported</t>
  </si>
  <si>
    <t xml:space="preserve">  behavior</t>
  </si>
  <si>
    <t xml:space="preserve">Enter behavior</t>
  </si>
  <si>
    <t xml:space="preserve">CheckboxGroup Playground Coverage</t>
  </si>
  <si>
    <t xml:space="preserve">CheckboxGroup playground scenario.</t>
  </si>
  <si>
    <t xml:space="preserve">Manages an array of selected values</t>
  </si>
  <si>
    <t xml:space="preserve">Shares disabled, read-only, required, invalid, name, and form state with items</t>
  </si>
  <si>
    <t xml:space="preserve">Each item can render a hidden checkbox input for native form submission</t>
  </si>
  <si>
    <t xml:space="preserve">Exposes orientation and item state through data attributes</t>
  </si>
  <si>
    <t xml:space="preserve">GroupItem</t>
  </si>
  <si>
    <t xml:space="preserve">typeahead/search behavior where supported</t>
  </si>
  <si>
    <t xml:space="preserve">Collapsible Playground Coverage</t>
  </si>
  <si>
    <t xml:space="preserve">Props toolbar exposes Prop Check; raw Data verifies data-prop-check is absent by default and present when enabled.</t>
  </si>
  <si>
    <t xml:space="preserve">Props toolbar exposes Root, Trigger, and Content custom slot toggles; raw Data verifies custom data-slot values.</t>
  </si>
  <si>
    <t xml:space="preserve">Step 0 smoke check verified top menu reachability.</t>
  </si>
  <si>
    <t xml:space="preserve">Step 5 verified Source updates for state, composition, props, slots, and blocked trigger behavior.</t>
  </si>
  <si>
    <t xml:space="preserve">Anatomy exposes live Attributes, ARIA, and Data groups for Root, Trigger, and Content.</t>
  </si>
  <si>
    <t xml:space="preserve">Inspector Selected, Focused, and Logs verified for Collapsible.</t>
  </si>
  <si>
    <t xml:space="preserve">Supports controlled and uncontrolled open state</t>
  </si>
  <si>
    <t xml:space="preserve">Collapsible manual protocol in manual-tests/collapsible.md.</t>
  </si>
  <si>
    <t xml:space="preserve">Links trigger and content with stable ARIA IDs</t>
  </si>
  <si>
    <t xml:space="preserve">Trigger aria-controls matches rendered Content id; Content aria-labelledby matches Trigger id.</t>
  </si>
  <si>
    <t xml:space="preserve">Exposes measured content height for CSS animation</t>
  </si>
  <si>
    <t xml:space="preserve">Content exposes --content-height as a measured pixel value related to rendered content height.</t>
  </si>
  <si>
    <t xml:space="preserve">Root data-prop-check verified in raw Data only when Prop Check is enabled.</t>
  </si>
  <si>
    <t xml:space="preserve">Root ref verified through Anatomy Ref target row.</t>
  </si>
  <si>
    <t xml:space="preserve">open prop behavior</t>
  </si>
  <si>
    <t xml:space="preserve">defaultOpen prop behavior</t>
  </si>
  <si>
    <t xml:space="preserve">onOpenChange prop behavior</t>
  </si>
  <si>
    <t xml:space="preserve">Trigger data-prop-check verified in raw Data only when Prop Check is enabled.</t>
  </si>
  <si>
    <t xml:space="preserve">Trigger ref verified through Anatomy Ref target row.</t>
  </si>
  <si>
    <t xml:space="preserve">Content data-prop-check verified in raw Data only when Prop Check is enabled.</t>
  </si>
  <si>
    <t xml:space="preserve">Content ref verified through Anatomy Ref target row.</t>
  </si>
  <si>
    <t xml:space="preserve">--content-height prop behavior</t>
  </si>
  <si>
    <t xml:space="preserve">Content --content-height verified as a dynamic measured pixel value.</t>
  </si>
  <si>
    <t xml:space="preserve">aria-controls verified as a generated relationship matching Content id when Content is rendered.</t>
  </si>
  <si>
    <t xml:space="preserve">aria-labelledby verified as a generated relationship matching Trigger id.</t>
  </si>
  <si>
    <t xml:space="preserve">Root, Trigger, and Content asChild modes verified without extra wrappers.</t>
  </si>
  <si>
    <t xml:space="preserve">asChild modes verified with Atom data/ARIA behavior and consumer props merged.</t>
  </si>
  <si>
    <t xml:space="preserve">Block trigger control verifies consumer preventDefault blocks Atom trigger behavior.</t>
  </si>
  <si>
    <t xml:space="preserve">Root, Trigger, and Content render modes verified with custom elements.</t>
  </si>
  <si>
    <t xml:space="preserve">Render modes verified with behavior props and Ref target evidence.</t>
  </si>
  <si>
    <t xml:space="preserve">Disabled trigger verified to block pointer and keyboard activation.</t>
  </si>
  <si>
    <t xml:space="preserve">Collection Playground Coverage</t>
  </si>
  <si>
    <t xml:space="preserve">Collection manual batch 1: initial values, disabled skip, next/previous focus movement, footer, Anatomy, and Log verified.</t>
  </si>
  <si>
    <t xml:space="preserve">Collection playground manual verification.</t>
  </si>
  <si>
    <t xml:space="preserve">Registers items by stable value and DOM element</t>
  </si>
  <si>
    <t xml:space="preserve">Sorts items by live document order</t>
  </si>
  <si>
    <t xml:space="preserve">Tracks disabled state and custom item metadata</t>
  </si>
  <si>
    <t xml:space="preserve">Provides first, last, next, previous, enabled, and raw item lookup helpers</t>
  </si>
  <si>
    <t xml:space="preserve">Warns in development when duplicate values are registered</t>
  </si>
  <si>
    <t xml:space="preserve">Keeps roles, keyboard behavior, and rendered structure in the component that uses the collection</t>
  </si>
  <si>
    <t xml:space="preserve">Hook API</t>
  </si>
  <si>
    <t xml:space="preserve">hook API state appears in Anatomy</t>
  </si>
  <si>
    <t xml:space="preserve">hook API appears before consumer DOM evidence</t>
  </si>
  <si>
    <t xml:space="preserve">Consumer DOM</t>
  </si>
  <si>
    <t xml:space="preserve">demo item tag is visible in Anatomy/Inspector</t>
  </si>
  <si>
    <t xml:space="preserve">Collection emits no data-slot because it renders no DOM</t>
  </si>
  <si>
    <t xml:space="preserve">non-Atom marker data-prop-check appears on demo item</t>
  </si>
  <si>
    <t xml:space="preserve">registered items render in DOM evidence group</t>
  </si>
  <si>
    <t xml:space="preserve">item groups follow live DOM order</t>
  </si>
  <si>
    <t xml:space="preserve">item values are visible in Anatomy/Inspector</t>
  </si>
  <si>
    <t xml:space="preserve">Collection emits no Atom data attributes because it renders no DOM</t>
  </si>
  <si>
    <t xml:space="preserve">metadata and disabled state are visible in lookup/items</t>
  </si>
  <si>
    <t xml:space="preserve">registers enabled and disabled items in DOM order</t>
  </si>
  <si>
    <t xml:space="preserve">sorts disconnected items after connected items</t>
  </si>
  <si>
    <t xml:space="preserve">next/previous navigation respects loop</t>
  </si>
  <si>
    <t xml:space="preserve">Combobox Playground Coverage</t>
  </si>
  <si>
    <t xml:space="preserve">Combobox playground scenario.</t>
  </si>
  <si>
    <t xml:space="preserve">Controlled and uncontrolled selected value</t>
  </si>
  <si>
    <t xml:space="preserve">Controlled and uncontrolled input value</t>
  </si>
  <si>
    <t xml:space="preserve">Controlled and uncontrolled open state</t>
  </si>
  <si>
    <t xml:space="preserve">Keyboard navigation with `aria-activedescendant`</t>
  </si>
  <si>
    <t xml:space="preserve">Escape closes first, then clears when closed</t>
  </si>
  <si>
    <t xml:space="preserve">Stack-aware Escape dismissal when nested inside parent overlays</t>
  </si>
  <si>
    <t xml:space="preserve">Option groups, labels, empty/loading states, portal, and clear control</t>
  </si>
  <si>
    <t xml:space="preserve">Hidden input for native form submission</t>
  </si>
  <si>
    <t xml:space="preserve">options prop behavior</t>
  </si>
  <si>
    <t xml:space="preserve">inputValue prop behavior</t>
  </si>
  <si>
    <t xml:space="preserve">defaultInputValue prop behavior</t>
  </si>
  <si>
    <t xml:space="preserve">onInputValueChange prop behavior</t>
  </si>
  <si>
    <t xml:space="preserve">openOnFocus prop behavior</t>
  </si>
  <si>
    <t xml:space="preserve">clearOnSelect prop behavior</t>
  </si>
  <si>
    <t xml:space="preserve">Positioning</t>
  </si>
  <si>
    <t xml:space="preserve">container prop behavior</t>
  </si>
  <si>
    <t xml:space="preserve">aria-labelledby prop behavior</t>
  </si>
  <si>
    <t xml:space="preserve">label prop behavior</t>
  </si>
  <si>
    <t xml:space="preserve">[data-highlighted] prop behavior</t>
  </si>
  <si>
    <t xml:space="preserve">Clear</t>
  </si>
  <si>
    <t xml:space="preserve">data-slot prop behavior</t>
  </si>
  <si>
    <t xml:space="preserve">[data-hidden] prop behavior</t>
  </si>
  <si>
    <t xml:space="preserve">Empty</t>
  </si>
  <si>
    <t xml:space="preserve">[data-filled] prop behavior</t>
  </si>
  <si>
    <t xml:space="preserve">Loading</t>
  </si>
  <si>
    <t xml:space="preserve">aria-activedescendant is present at the correct time</t>
  </si>
  <si>
    <t xml:space="preserve">aria-autocomplete is present at the correct time</t>
  </si>
  <si>
    <t xml:space="preserve">aria-haspopup is present at the correct time</t>
  </si>
  <si>
    <t xml:space="preserve">aria-selected is present at the correct time</t>
  </si>
  <si>
    <t xml:space="preserve">data-hidden is present at the correct time</t>
  </si>
  <si>
    <t xml:space="preserve">data-highlighted is present at the correct time</t>
  </si>
  <si>
    <t xml:space="preserve">data-positioned is present at the correct time</t>
  </si>
  <si>
    <t xml:space="preserve">portal renders in body by default</t>
  </si>
  <si>
    <t xml:space="preserve">custom/disabled portal path works where supported</t>
  </si>
  <si>
    <t xml:space="preserve">side options position content correctly</t>
  </si>
  <si>
    <t xml:space="preserve">align options position content correctly</t>
  </si>
  <si>
    <t xml:space="preserve">passed existing desktop browser/manual baseline; mobile device qualification not run</t>
  </si>
  <si>
    <t xml:space="preserve">Existing desktop browser/manual baseline; not real iOS Safari or Android Chrome evidence.</t>
  </si>
  <si>
    <t xml:space="preserve">arrow or anchor geometry matches content where supported</t>
  </si>
  <si>
    <t xml:space="preserve">pointer selecting an already-selected option closes the listbox</t>
  </si>
  <si>
    <t xml:space="preserve">clearOnSelect clears input after keyboard and pointer selection</t>
  </si>
  <si>
    <t xml:space="preserve">openOnFocus opens the empty state when Combobox.Empty is mounted</t>
  </si>
  <si>
    <t xml:space="preserve">ContextMenu Playground Coverage</t>
  </si>
  <si>
    <t xml:space="preserve">ContextMenu playground Props toolbar; Anatomy/Inspector raw Data; Source view.</t>
  </si>
  <si>
    <t xml:space="preserve">ContextMenu playground Props custom slot toggles; Anatomy/Inspector raw Data; Source view.</t>
  </si>
  <si>
    <t xml:space="preserve">open prop controls context menu visibility</t>
  </si>
  <si>
    <t xml:space="preserve">ContextMenu playground scenario.</t>
  </si>
  <si>
    <t xml:space="preserve">defaultOpen initializes uncontrolled open state</t>
  </si>
  <si>
    <t xml:space="preserve">onOpenChange fires on open and close</t>
  </si>
  <si>
    <t xml:space="preserve">modal true locks scroll while open</t>
  </si>
  <si>
    <t xml:space="preserve">modal false leaves page scroll unlocked</t>
  </si>
  <si>
    <t xml:space="preserve">closeOnSelect true closes action items</t>
  </si>
  <si>
    <t xml:space="preserve">closeOnSelect false keeps menu open after item select</t>
  </si>
  <si>
    <t xml:space="preserve">loop true wraps keyboard highlight</t>
  </si>
  <si>
    <t xml:space="preserve">loop false stops at first and last item</t>
  </si>
  <si>
    <t xml:space="preserve">closeOnEscape true closes on Escape</t>
  </si>
  <si>
    <t xml:space="preserve">closeOnEscape false ignores Escape</t>
  </si>
  <si>
    <t xml:space="preserve">right-click anchor point controls content position</t>
  </si>
  <si>
    <t xml:space="preserve">keyboard anchor point uses trigger bounds</t>
  </si>
  <si>
    <t xml:space="preserve">renders span by default</t>
  </si>
  <si>
    <t xml:space="preserve">default trigger uses display contents</t>
  </si>
  <si>
    <t xml:space="preserve">trigger id is stable and present</t>
  </si>
  <si>
    <t xml:space="preserve">data-slot is context-menu-trigger</t>
  </si>
  <si>
    <t xml:space="preserve">data-state reflects open and closed</t>
  </si>
  <si>
    <t xml:space="preserve">disabled trigger exposes data-disabled flag</t>
  </si>
  <si>
    <t xml:space="preserve">right click prevents native browser menu</t>
  </si>
  <si>
    <t xml:space="preserve">right click opens context menu</t>
  </si>
  <si>
    <t xml:space="preserve">disabled right click does not open menu</t>
  </si>
  <si>
    <t xml:space="preserve">Shift+F10 opens context menu</t>
  </si>
  <si>
    <t xml:space="preserve">ContextMenu key opens context menu</t>
  </si>
  <si>
    <t xml:space="preserve">consumer onContextMenu runs before Atom open</t>
  </si>
  <si>
    <t xml:space="preserve">consumer onContextMenu can prevent Atom open</t>
  </si>
  <si>
    <t xml:space="preserve">consumer onKeyDown can prevent keyboard open</t>
  </si>
  <si>
    <t xml:space="preserve">native className and data props pass through</t>
  </si>
  <si>
    <t xml:space="preserve">asChild trigger preserves child content without nesting</t>
  </si>
  <si>
    <t xml:space="preserve">asChild trigger receives ContextMenu trigger data attributes</t>
  </si>
  <si>
    <t xml:space="preserve">render trigger preserves custom element content</t>
  </si>
  <si>
    <t xml:space="preserve">render trigger receives ContextMenu trigger data attributes</t>
  </si>
  <si>
    <t xml:space="preserve">renders only while open</t>
  </si>
  <si>
    <t xml:space="preserve">role is menu</t>
  </si>
  <si>
    <t xml:space="preserve">aria-orientation is vertical</t>
  </si>
  <si>
    <t xml:space="preserve">aria-label prop names menu</t>
  </si>
  <si>
    <t xml:space="preserve">aria-labelledby references trigger when ariaLabel is absent</t>
  </si>
  <si>
    <t xml:space="preserve">tabindex attr is -1</t>
  </si>
  <si>
    <t xml:space="preserve">id matches trigger aria-controls when available</t>
  </si>
  <si>
    <t xml:space="preserve">data-slot is menu-content</t>
  </si>
  <si>
    <t xml:space="preserve">data-state is open</t>
  </si>
  <si>
    <t xml:space="preserve">data-side reflects final placement</t>
  </si>
  <si>
    <t xml:space="preserve">data-align reflects final placement</t>
  </si>
  <si>
    <t xml:space="preserve">side prop changes placement</t>
  </si>
  <si>
    <t xml:space="preserve">align prop changes placement</t>
  </si>
  <si>
    <t xml:space="preserve">sideOffset changes menu distance</t>
  </si>
  <si>
    <t xml:space="preserve">loop prop overrides root loop</t>
  </si>
  <si>
    <t xml:space="preserve">onKeyDownCapture can block Atom key behavior</t>
  </si>
  <si>
    <t xml:space="preserve">renders role menuitem</t>
  </si>
  <si>
    <t xml:space="preserve">value appears as data-value</t>
  </si>
  <si>
    <t xml:space="preserve">data-slot is menu-item</t>
  </si>
  <si>
    <t xml:space="preserve">onSelect fires on click</t>
  </si>
  <si>
    <t xml:space="preserve">onSelect fires on Enter</t>
  </si>
  <si>
    <t xml:space="preserve">onSelect fires on Space</t>
  </si>
  <si>
    <t xml:space="preserve">disabled item exposes aria-disabled true</t>
  </si>
  <si>
    <t xml:space="preserve">disabled item exposes data-disabled flag</t>
  </si>
  <si>
    <t xml:space="preserve">disabled item is skipped by keyboard</t>
  </si>
  <si>
    <t xml:space="preserve">consumer onClick can prevent Atom behavior</t>
  </si>
  <si>
    <t xml:space="preserve">Checkbox Item</t>
  </si>
  <si>
    <t xml:space="preserve">renders role menuitemcheckbox</t>
  </si>
  <si>
    <t xml:space="preserve">aria-checked reflects checked false</t>
  </si>
  <si>
    <t xml:space="preserve">aria-checked reflects checked true</t>
  </si>
  <si>
    <t xml:space="preserve">data-checked appears when checked</t>
  </si>
  <si>
    <t xml:space="preserve">onCheckedChange fires on click</t>
  </si>
  <si>
    <t xml:space="preserve">closeOnSelect false keeps menu open</t>
  </si>
  <si>
    <t xml:space="preserve">closeOnSelect true closes menu</t>
  </si>
  <si>
    <t xml:space="preserve">disabled checkbox is skipped</t>
  </si>
  <si>
    <t xml:space="preserve">Radio Group</t>
  </si>
  <si>
    <t xml:space="preserve">renders role group</t>
  </si>
  <si>
    <t xml:space="preserve">data-slot is menu-radio-group</t>
  </si>
  <si>
    <t xml:space="preserve">value controls checked radio item</t>
  </si>
  <si>
    <t xml:space="preserve">onValueChange fires when radio changes</t>
  </si>
  <si>
    <t xml:space="preserve">Radio Item</t>
  </si>
  <si>
    <t xml:space="preserve">renders role menuitemradio</t>
  </si>
  <si>
    <t xml:space="preserve">aria-checked reflects selected item</t>
  </si>
  <si>
    <t xml:space="preserve">data-checked appears on selected item</t>
  </si>
  <si>
    <t xml:space="preserve">value appears as data-value without internal group id</t>
  </si>
  <si>
    <t xml:space="preserve">disabled radio item is skipped</t>
  </si>
  <si>
    <t xml:space="preserve">data-slot is menu-group</t>
  </si>
  <si>
    <t xml:space="preserve">renders role separator</t>
  </si>
  <si>
    <t xml:space="preserve">aria-orientation is horizontal</t>
  </si>
  <si>
    <t xml:space="preserve">data-slot is menu-separator</t>
  </si>
  <si>
    <t xml:space="preserve">Sub</t>
  </si>
  <si>
    <t xml:space="preserve">defaultOpen initializes uncontrolled submenu</t>
  </si>
  <si>
    <t xml:space="preserve">open prop controls submenu</t>
  </si>
  <si>
    <t xml:space="preserve">onOpenChange fires for controlled submenu</t>
  </si>
  <si>
    <t xml:space="preserve">only one uncontrolled submenu is open at a time</t>
  </si>
  <si>
    <t xml:space="preserve">Sub Trigger</t>
  </si>
  <si>
    <t xml:space="preserve">aria-haspopup is menu</t>
  </si>
  <si>
    <t xml:space="preserve">aria-expanded reflects submenu open state</t>
  </si>
  <si>
    <t xml:space="preserve">data-state reflects submenu state</t>
  </si>
  <si>
    <t xml:space="preserve">data-slot is menu-sub-trigger</t>
  </si>
  <si>
    <t xml:space="preserve">hover opens submenu after delay</t>
  </si>
  <si>
    <t xml:space="preserve">click toggles submenu</t>
  </si>
  <si>
    <t xml:space="preserve">ArrowRight opens submenu</t>
  </si>
  <si>
    <t xml:space="preserve">disabled sub trigger is skipped</t>
  </si>
  <si>
    <t xml:space="preserve">textValue is used for typeahead</t>
  </si>
  <si>
    <t xml:space="preserve">Sub Content</t>
  </si>
  <si>
    <t xml:space="preserve">renders role menu</t>
  </si>
  <si>
    <t xml:space="preserve">aria-label prop names submenu</t>
  </si>
  <si>
    <t xml:space="preserve">aria-labelledby references sub trigger when ariaLabel is absent</t>
  </si>
  <si>
    <t xml:space="preserve">data-slot is menu-sub-content</t>
  </si>
  <si>
    <t xml:space="preserve">sideOffset changes submenu distance</t>
  </si>
  <si>
    <t xml:space="preserve">loop prop controls submenu wrapping</t>
  </si>
  <si>
    <t xml:space="preserve">Open And Close</t>
  </si>
  <si>
    <t xml:space="preserve">right click opens at pointer location</t>
  </si>
  <si>
    <t xml:space="preserve">keyboard opens at trigger center</t>
  </si>
  <si>
    <t xml:space="preserve">outside click closes menu</t>
  </si>
  <si>
    <t xml:space="preserve">Tab closes menu and returns focus to trigger</t>
  </si>
  <si>
    <t xml:space="preserve">Escape closes menu when no submenu is open</t>
  </si>
  <si>
    <t xml:space="preserve">Escape closes submenu first and returns focus to parent content</t>
  </si>
  <si>
    <t xml:space="preserve">selecting action item closes menu when enabled</t>
  </si>
  <si>
    <t xml:space="preserve">selecting checkbox/radio can keep menu open</t>
  </si>
  <si>
    <t xml:space="preserve">selecting submenu item closes submenu and parent menu</t>
  </si>
  <si>
    <t xml:space="preserve">Navigation</t>
  </si>
  <si>
    <t xml:space="preserve">ArrowDown moves highlight forward</t>
  </si>
  <si>
    <t xml:space="preserve">ArrowUp moves highlight backward</t>
  </si>
  <si>
    <t xml:space="preserve">Home moves highlight to first item</t>
  </si>
  <si>
    <t xml:space="preserve">End moves highlight to last item</t>
  </si>
  <si>
    <t xml:space="preserve">disabled items are skipped</t>
  </si>
  <si>
    <t xml:space="preserve">loop forward wraps to first</t>
  </si>
  <si>
    <t xml:space="preserve">loop backward wraps to last</t>
  </si>
  <si>
    <t xml:space="preserve">loop off does not wrap forward</t>
  </si>
  <si>
    <t xml:space="preserve">loop off does not wrap backward</t>
  </si>
  <si>
    <t xml:space="preserve">Enter activates highlighted item</t>
  </si>
  <si>
    <t xml:space="preserve">Space activates highlighted item</t>
  </si>
  <si>
    <t xml:space="preserve">typeahead highlights matching item</t>
  </si>
  <si>
    <t xml:space="preserve">single-character typeahead cycles same-letter matches</t>
  </si>
  <si>
    <t xml:space="preserve">multi-character typeahead matches exact prefix</t>
  </si>
  <si>
    <t xml:space="preserve">submenu has independent highlight state</t>
  </si>
  <si>
    <t xml:space="preserve">ArrowLeft closes submenu</t>
  </si>
  <si>
    <t xml:space="preserve">ArrowRight opens nested submenu from submenu</t>
  </si>
  <si>
    <t xml:space="preserve">Pointer</t>
  </si>
  <si>
    <t xml:space="preserve">Highlight</t>
  </si>
  <si>
    <t xml:space="preserve">pointer open starts with no highlighted item</t>
  </si>
  <si>
    <t xml:space="preserve">hovering item highlights it</t>
  </si>
  <si>
    <t xml:space="preserve">hovering disabled item does not highlight it</t>
  </si>
  <si>
    <t xml:space="preserve">hovering item closes previously open submenu</t>
  </si>
  <si>
    <t xml:space="preserve">reopening from pointer does not alternate stale first highlight</t>
  </si>
  <si>
    <t xml:space="preserve">Relationships</t>
  </si>
  <si>
    <t xml:space="preserve">trigger has accessible text</t>
  </si>
  <si>
    <t xml:space="preserve">content has accessible name</t>
  </si>
  <si>
    <t xml:space="preserve">content references trigger when unnamed</t>
  </si>
  <si>
    <t xml:space="preserve">sub content references sub trigger when unnamed</t>
  </si>
  <si>
    <t xml:space="preserve">checked states are exposed through aria-checked</t>
  </si>
  <si>
    <t xml:space="preserve">disabled states are exposed through aria-disabled</t>
  </si>
  <si>
    <t xml:space="preserve">nested ContextMenu Escape does not close parent overlay</t>
  </si>
  <si>
    <t xml:space="preserve">Trigger Composition</t>
  </si>
  <si>
    <t xml:space="preserve">trigger asChild preserves child content</t>
  </si>
  <si>
    <t xml:space="preserve">trigger render preserves child content</t>
  </si>
  <si>
    <t xml:space="preserve">Item Composition</t>
  </si>
  <si>
    <t xml:space="preserve">Item asChild preserves child content</t>
  </si>
  <si>
    <t xml:space="preserve">Item render preserves child content</t>
  </si>
  <si>
    <t xml:space="preserve">Native Props</t>
  </si>
  <si>
    <t xml:space="preserve">Trigger native props pass through</t>
  </si>
  <si>
    <t xml:space="preserve">Content native props pass through</t>
  </si>
  <si>
    <t xml:space="preserve">Item native props pass through</t>
  </si>
  <si>
    <t xml:space="preserve">CheckboxItem native props pass through</t>
  </si>
  <si>
    <t xml:space="preserve">RadioGroup native props pass through</t>
  </si>
  <si>
    <t xml:space="preserve">RadioItem native props pass through</t>
  </si>
  <si>
    <t xml:space="preserve">Group native props pass through</t>
  </si>
  <si>
    <t xml:space="preserve">SubContent native props pass through</t>
  </si>
  <si>
    <t xml:space="preserve">Styling Hooks</t>
  </si>
  <si>
    <t xml:space="preserve">Data Attributes</t>
  </si>
  <si>
    <t xml:space="preserve">trigger open state visible through data-state</t>
  </si>
  <si>
    <t xml:space="preserve">content open state visible through data-state</t>
  </si>
  <si>
    <t xml:space="preserve">disabled trigger visible through data-disabled</t>
  </si>
  <si>
    <t xml:space="preserve">disabled item visible through data-disabled</t>
  </si>
  <si>
    <t xml:space="preserve">checked item visible through data-checked</t>
  </si>
  <si>
    <t xml:space="preserve">positioned state visible through data-positioned</t>
  </si>
  <si>
    <t xml:space="preserve">Portal And Positioning</t>
  </si>
  <si>
    <t xml:space="preserve">content portals to body</t>
  </si>
  <si>
    <t xml:space="preserve">sub content portals to body</t>
  </si>
  <si>
    <t xml:space="preserve">content positions relative to pointer anchor</t>
  </si>
  <si>
    <t xml:space="preserve">content positions relative to trigger for keyboard open</t>
  </si>
  <si>
    <t xml:space="preserve">Regression</t>
  </si>
  <si>
    <t xml:space="preserve">Recent Fixes</t>
  </si>
  <si>
    <t xml:space="preserve">Escape closes topmost context menu before parent overlay</t>
  </si>
  <si>
    <t xml:space="preserve">typeahead same-letter cycling works in context menu</t>
  </si>
  <si>
    <t xml:space="preserve">trigger disabled right click does not open menu</t>
  </si>
  <si>
    <t xml:space="preserve">trigger asChild composition keeps one child element</t>
  </si>
  <si>
    <t xml:space="preserve">outside click closes portalled context menu</t>
  </si>
  <si>
    <t xml:space="preserve">submenu focus returns to parent content on close</t>
  </si>
  <si>
    <t xml:space="preserve">hovering non-item content does not reset highlight to first item</t>
  </si>
  <si>
    <t xml:space="preserve">Outside interaction</t>
  </si>
  <si>
    <t xml:space="preserve">Checkbox item</t>
  </si>
  <si>
    <t xml:space="preserve">Radio item</t>
  </si>
  <si>
    <t xml:space="preserve">Submenu</t>
  </si>
  <si>
    <t xml:space="preserve">reads Direction.Provider context for submenu keyboard behavior</t>
  </si>
  <si>
    <t xml:space="preserve">ContextMenu playground direction scenario; manually verified.</t>
  </si>
  <si>
    <t xml:space="preserve">RTL mirrors submenu ArrowLeft and ArrowRight open/close behavior</t>
  </si>
  <si>
    <t xml:space="preserve">DataGrid Playground Coverage</t>
  </si>
  <si>
    <t xml:space="preserve">DataGrid playground; manual-tests/data-grid.md</t>
  </si>
  <si>
    <t xml:space="preserve">Implements `role="grid"` with row, column header, and gridcell parts</t>
  </si>
  <si>
    <t xml:space="preserve">Uses collection registration for DOM-ordered keyboard navigation</t>
  </si>
  <si>
    <t xml:space="preserve">Supports controlled and uncontrolled active cell state</t>
  </si>
  <si>
    <t xml:space="preserve">Supports none, single, and multiple row selection modes</t>
  </si>
  <si>
    <t xml:space="preserve">Supports row click selection, disabled/read-only state, row and column counts, and optional row wrapping</t>
  </si>
  <si>
    <t xml:space="preserve">Keeps sorting models, filtering, resizing, editing, and virtualization outside the primitive</t>
  </si>
  <si>
    <t xml:space="preserve">activeCell prop behavior</t>
  </si>
  <si>
    <t xml:space="preserve">defaultActiveCell prop behavior</t>
  </si>
  <si>
    <t xml:space="preserve">onActiveCellChange prop behavior</t>
  </si>
  <si>
    <t xml:space="preserve">selectionMode prop behavior</t>
  </si>
  <si>
    <t xml:space="preserve">loop prop behavior</t>
  </si>
  <si>
    <t xml:space="preserve">wrapRows prop behavior</t>
  </si>
  <si>
    <t xml:space="preserve">rowCount prop behavior</t>
  </si>
  <si>
    <t xml:space="preserve">columnCount prop behavior</t>
  </si>
  <si>
    <t xml:space="preserve">selectOnRowClick prop behavior</t>
  </si>
  <si>
    <t xml:space="preserve">[data-focused] prop behavior</t>
  </si>
  <si>
    <t xml:space="preserve">[data-selection-mode] prop behavior</t>
  </si>
  <si>
    <t xml:space="preserve">Body</t>
  </si>
  <si>
    <t xml:space="preserve">Caption</t>
  </si>
  <si>
    <t xml:space="preserve">Cell</t>
  </si>
  <si>
    <t xml:space="preserve">columnIndex prop behavior</t>
  </si>
  <si>
    <t xml:space="preserve">index prop behavior</t>
  </si>
  <si>
    <t xml:space="preserve">[data-selected] prop behavior</t>
  </si>
  <si>
    <t xml:space="preserve">ColumnHeader</t>
  </si>
  <si>
    <t xml:space="preserve">sortDirection prop behavior</t>
  </si>
  <si>
    <t xml:space="preserve">Footer</t>
  </si>
  <si>
    <t xml:space="preserve">Row</t>
  </si>
  <si>
    <t xml:space="preserve">rowIndex prop behavior</t>
  </si>
  <si>
    <t xml:space="preserve">selectable prop blocks click, Enter, and Space selection</t>
  </si>
  <si>
    <t xml:space="preserve">aria-colcount is present at the correct time</t>
  </si>
  <si>
    <t xml:space="preserve">aria-colindex is present at the correct time</t>
  </si>
  <si>
    <t xml:space="preserve">aria-multiselectable is present at the correct time</t>
  </si>
  <si>
    <t xml:space="preserve">aria-rowcount is present at the correct time</t>
  </si>
  <si>
    <t xml:space="preserve">aria-rowindex is present at the correct time</t>
  </si>
  <si>
    <t xml:space="preserve">aria-sort is present at the correct time</t>
  </si>
  <si>
    <t xml:space="preserve">data-column-count is present at the correct time</t>
  </si>
  <si>
    <t xml:space="preserve">data-column-index is present at the correct time</t>
  </si>
  <si>
    <t xml:space="preserve">data-focused is present at the correct time</t>
  </si>
  <si>
    <t xml:space="preserve">data-row-count is present at the correct time</t>
  </si>
  <si>
    <t xml:space="preserve">data-row-index is present at the correct time</t>
  </si>
  <si>
    <t xml:space="preserve">data-selected is present at the correct time</t>
  </si>
  <si>
    <t xml:space="preserve">data-selectable is present for selectable valued rows when selection is enabled</t>
  </si>
  <si>
    <t xml:space="preserve">data-selection-disabled is present for rows with selectable={false} when selection is enabled</t>
  </si>
  <si>
    <t xml:space="preserve">data-selection-mode is present at the correct time</t>
  </si>
  <si>
    <t xml:space="preserve">data-sort is present at the correct time</t>
  </si>
  <si>
    <t xml:space="preserve">All DOM parts</t>
  </si>
  <si>
    <t xml:space="preserve">Grid</t>
  </si>
  <si>
    <t xml:space="preserve">reads Direction.Provider context for horizontal cell navigation</t>
  </si>
  <si>
    <t xml:space="preserve">RTL mirrors ArrowLeft and ArrowRight cell movement</t>
  </si>
  <si>
    <t xml:space="preserve">local dir overrides Direction.Provider and raw dir is inspectable</t>
  </si>
  <si>
    <t xml:space="preserve">scenario exposes Default, Provider RTL, Local LTR, and Local RTL controls</t>
  </si>
  <si>
    <t xml:space="preserve">Dialog Playground Coverage</t>
  </si>
  <si>
    <t xml:space="preserve">Shared playground prop rule.</t>
  </si>
  <si>
    <t xml:space="preserve">controlled open prop</t>
  </si>
  <si>
    <t xml:space="preserve">Dialog playground scenario; manually verified.</t>
  </si>
  <si>
    <t xml:space="preserve">defaultOpen / uncontrolled state</t>
  </si>
  <si>
    <t xml:space="preserve">onOpenChange callback</t>
  </si>
  <si>
    <t xml:space="preserve">onOpenChange close reason</t>
  </si>
  <si>
    <t xml:space="preserve">disabled</t>
  </si>
  <si>
    <t xml:space="preserve">closeOnEscape</t>
  </si>
  <si>
    <t xml:space="preserve">closeOnBackdropClick</t>
  </si>
  <si>
    <t xml:space="preserve">keepMounted</t>
  </si>
  <si>
    <t xml:space="preserve">click opens</t>
  </si>
  <si>
    <t xml:space="preserve">Enter opens</t>
  </si>
  <si>
    <t xml:space="preserve">Space opens</t>
  </si>
  <si>
    <t xml:space="preserve">disabled blocks click</t>
  </si>
  <si>
    <t xml:space="preserve">disabled blocks Enter/Space</t>
  </si>
  <si>
    <t xml:space="preserve">data-state</t>
  </si>
  <si>
    <t xml:space="preserve">aria-controls id match</t>
  </si>
  <si>
    <t xml:space="preserve">aria-haspopup / aria-expanded</t>
  </si>
  <si>
    <t xml:space="preserve">asChild</t>
  </si>
  <si>
    <t xml:space="preserve">render prop</t>
  </si>
  <si>
    <t xml:space="preserve">merged onClick</t>
  </si>
  <si>
    <t xml:space="preserve">merged onKeyDown</t>
  </si>
  <si>
    <t xml:space="preserve">ref receives element</t>
  </si>
  <si>
    <t xml:space="preserve">native button props passthrough</t>
  </si>
  <si>
    <t xml:space="preserve">Verify the part forwards a non-Atom-owned data-prop-check marker in the live raw Data group or Inspector.</t>
  </si>
  <si>
    <t xml:space="preserve">Styling hooks</t>
  </si>
  <si>
    <t xml:space="preserve">className passthrough</t>
  </si>
  <si>
    <t xml:space="preserve">data-slot override</t>
  </si>
  <si>
    <t xml:space="preserve">content mounts in body</t>
  </si>
  <si>
    <t xml:space="preserve">content not inside canvas</t>
  </si>
  <si>
    <t xml:space="preserve">unmounts after close without keepMounted</t>
  </si>
  <si>
    <t xml:space="preserve">stays mounted with keepMounted</t>
  </si>
  <si>
    <t xml:space="preserve">renders when open</t>
  </si>
  <si>
    <t xml:space="preserve">backdrop click closes when enabled</t>
  </si>
  <si>
    <t xml:space="preserve">backdrop click does not close when disabled</t>
  </si>
  <si>
    <t xml:space="preserve">user onClick merges with close behavior</t>
  </si>
  <si>
    <t xml:space="preserve">native div props passthrough</t>
  </si>
  <si>
    <t xml:space="preserve">unmounts when closed</t>
  </si>
  <si>
    <t xml:space="preserve">hidden with keepMounted</t>
  </si>
  <si>
    <t xml:space="preserve">role dialog</t>
  </si>
  <si>
    <t xml:space="preserve">role alertdialog</t>
  </si>
  <si>
    <t xml:space="preserve">tabIndex -1</t>
  </si>
  <si>
    <t xml:space="preserve">data-positioned</t>
  </si>
  <si>
    <t xml:space="preserve">aria-modal</t>
  </si>
  <si>
    <t xml:space="preserve">aria-labelledby</t>
  </si>
  <si>
    <t xml:space="preserve">aria-describedby</t>
  </si>
  <si>
    <t xml:space="preserve">ariaLabel compatibility fallback applies only when native aria-label is absent</t>
  </si>
  <si>
    <t xml:space="preserve">passed focused manual qualification</t>
  </si>
  <si>
    <t xml:space="preserve">Dialog Modal Foundation Manual Test Protocol, 2026-07-17; desktop, macOS VoiceOver, iPhone Safari, and iPhone VoiceOver.</t>
  </si>
  <si>
    <t xml:space="preserve">click inside content does not close</t>
  </si>
  <si>
    <t xml:space="preserve">first focusable receives focus on open</t>
  </si>
  <si>
    <t xml:space="preserve">no focusable child focuses content</t>
  </si>
  <si>
    <t xml:space="preserve">focus trap Tab loop</t>
  </si>
  <si>
    <t xml:space="preserve">focus trap Shift+Tab loop</t>
  </si>
  <si>
    <t xml:space="preserve">focus cannot escape behind dialog</t>
  </si>
  <si>
    <t xml:space="preserve">focus restores to trigger after close</t>
  </si>
  <si>
    <t xml:space="preserve">scroll lock on open</t>
  </si>
  <si>
    <t xml:space="preserve">renders title</t>
  </si>
  <si>
    <t xml:space="preserve">id matches aria-labelledby</t>
  </si>
  <si>
    <t xml:space="preserve">heading level default</t>
  </si>
  <si>
    <t xml:space="preserve">heading level as prop</t>
  </si>
  <si>
    <t xml:space="preserve">ref receives heading</t>
  </si>
  <si>
    <t xml:space="preserve">heading props passthrough</t>
  </si>
  <si>
    <t xml:space="preserve">renders description</t>
  </si>
  <si>
    <t xml:space="preserve">id matches aria-describedby</t>
  </si>
  <si>
    <t xml:space="preserve">ref receives paragraph</t>
  </si>
  <si>
    <t xml:space="preserve">paragraph props passthrough</t>
  </si>
  <si>
    <t xml:space="preserve">Close</t>
  </si>
  <si>
    <t xml:space="preserve">Cancel close button closes</t>
  </si>
  <si>
    <t xml:space="preserve">Save close button closes</t>
  </si>
  <si>
    <t xml:space="preserve">closeClick reason</t>
  </si>
  <si>
    <t xml:space="preserve">Escape closes when enabled</t>
  </si>
  <si>
    <t xml:space="preserve">Escape does not close when disabled</t>
  </si>
  <si>
    <t xml:space="preserve">fullscreen browser Escape limitation documented</t>
  </si>
  <si>
    <t xml:space="preserve">Cycle</t>
  </si>
  <si>
    <t xml:space="preserve">multiple open/close cycles</t>
  </si>
  <si>
    <t xml:space="preserve">passed desktop and iPhone Safari qualification; Android deferred</t>
  </si>
  <si>
    <t xml:space="preserve">Android Chrome/TalkBack deferred — no device available.</t>
  </si>
  <si>
    <t xml:space="preserve">Backdrop</t>
  </si>
  <si>
    <t xml:space="preserve">native aria-label, aria-labelledby, and aria-describedby take precedence over compatibility and generated relationships</t>
  </si>
  <si>
    <t xml:space="preserve">conditional Description mount and unmount adds and removes aria-describedby without a dangling relationship</t>
  </si>
  <si>
    <t xml:space="preserve">initialFocus supports Content, explicit target, native autoFocus, and interaction-aware touch default</t>
  </si>
  <si>
    <t xml:space="preserve">finalFocus supports workflow target, trigger restoration, and disabled automatic restoration</t>
  </si>
  <si>
    <t xml:space="preserve">Isolation</t>
  </si>
  <si>
    <t xml:space="preserve">background is inert while open and author/background state is restored after close</t>
  </si>
  <si>
    <t xml:space="preserve">portalled Select retains its keyboard contract, focus containment, and allowed scrolling</t>
  </si>
  <si>
    <t xml:space="preserve">Modal.Branch</t>
  </si>
  <si>
    <t xml:space="preserve">consumer-owned branch remains focusable and scrollable while delegating its own Tab contract</t>
  </si>
  <si>
    <t xml:space="preserve">Layering</t>
  </si>
  <si>
    <t xml:space="preserve">Nested Dialog</t>
  </si>
  <si>
    <t xml:space="preserve">top layer alone owns Escape, overlay dismissal, focus, isolation, and scroll locking</t>
  </si>
  <si>
    <t xml:space="preserve">portalled or descendant click bubbling does not dismiss; direct overlay activation dismisses one layer</t>
  </si>
  <si>
    <t xml:space="preserve">Direction Playground Coverage</t>
  </si>
  <si>
    <t xml:space="preserve">Direction playground scenario.</t>
  </si>
  <si>
    <t xml:space="preserve">Provides `ltr` or `rtl` direction to Atom primitives</t>
  </si>
  <si>
    <t xml:space="preserve">Supports nested providers</t>
  </si>
  <si>
    <t xml:space="preserve">Exports `useDirection` for custom headless compositions</t>
  </si>
  <si>
    <t xml:space="preserve">Does not render a DOM wrapper</t>
  </si>
  <si>
    <t xml:space="preserve">Provider</t>
  </si>
  <si>
    <t xml:space="preserve">dir prop behavior</t>
  </si>
  <si>
    <t xml:space="preserve">direction provider changes descendant direction context</t>
  </si>
  <si>
    <t xml:space="preserve">rtl-sensitive keyboard behavior updates in composed widgets</t>
  </si>
  <si>
    <t xml:space="preserve">Divider Playground Coverage</t>
  </si>
  <si>
    <t xml:space="preserve">Divider props manual verification.</t>
  </si>
  <si>
    <t xml:space="preserve">Divider playground scenario.</t>
  </si>
  <si>
    <t xml:space="preserve">Renders `hr` when it has no children and `div` when it contains content</t>
  </si>
  <si>
    <t xml:space="preserve">Defaults to decorative output</t>
  </si>
  <si>
    <t xml:space="preserve">Supports horizontal and vertical semantic orientation</t>
  </si>
  <si>
    <t xml:space="preserve">decorative prop behavior</t>
  </si>
  <si>
    <t xml:space="preserve">aria-orientation is present at the correct time</t>
  </si>
  <si>
    <t xml:space="preserve">Drawer Playground Coverage</t>
  </si>
  <si>
    <t xml:space="preserve">manual-tests/drawer.md</t>
  </si>
  <si>
    <t xml:space="preserve">Trigger, portal, overlay, content, title, description, and close parts</t>
  </si>
  <si>
    <t xml:space="preserve">Focus trap, focus restore, Escape dismissal, backdrop dismissal, and scroll lock</t>
  </si>
  <si>
    <t xml:space="preserve">Stack-aware Escape dismissal so nested overlays close before the parent drawer</t>
  </si>
  <si>
    <t xml:space="preserve">`placement` value exposed as `data-placement` for styling</t>
  </si>
  <si>
    <t xml:space="preserve">Keep-mounted content support for exit animations</t>
  </si>
  <si>
    <t xml:space="preserve">Headless only: placement does not apply visual positioning by itself</t>
  </si>
  <si>
    <t xml:space="preserve">closeOnEscape prop behavior</t>
  </si>
  <si>
    <t xml:space="preserve">closeOnBackdropClick prop behavior</t>
  </si>
  <si>
    <t xml:space="preserve">[data-positioned] prop behavior</t>
  </si>
  <si>
    <t xml:space="preserve">placement prop behavior</t>
  </si>
  <si>
    <t xml:space="preserve">[data-placement] prop behavior</t>
  </si>
  <si>
    <t xml:space="preserve">data-placement is present at the correct time</t>
  </si>
  <si>
    <t xml:space="preserve">Escape closes only the topmost active layer</t>
  </si>
  <si>
    <t xml:space="preserve">outside click/interact closes when enabled</t>
  </si>
  <si>
    <t xml:space="preserve">outside click/interact is blocked when disabled</t>
  </si>
  <si>
    <t xml:space="preserve">focus returns to the correct trigger/anchor after close</t>
  </si>
  <si>
    <t xml:space="preserve">nested overlays keep focus and Escape order correct</t>
  </si>
  <si>
    <t xml:space="preserve">placement options expose data-placement and playground CSS positions content</t>
  </si>
  <si>
    <t xml:space="preserve">DropdownMenu Playground Coverage</t>
  </si>
  <si>
    <t xml:space="preserve">DropdownMenu playground manual verification.</t>
  </si>
  <si>
    <t xml:space="preserve">open prop controls menu visibility</t>
  </si>
  <si>
    <t xml:space="preserve">closeOnSelect false keeps selection menu open</t>
  </si>
  <si>
    <t xml:space="preserve">closeOnEscape true closes menu</t>
  </si>
  <si>
    <t xml:space="preserve">closeOnEscape false leaves menu open</t>
  </si>
  <si>
    <t xml:space="preserve">nested submenu disables parent Escape close</t>
  </si>
  <si>
    <t xml:space="preserve">renders native button by default</t>
  </si>
  <si>
    <t xml:space="preserve">default trigger has type button</t>
  </si>
  <si>
    <t xml:space="preserve">trigger data-slot is dropdown-menu-trigger</t>
  </si>
  <si>
    <t xml:space="preserve">trigger data-state is closed when menu is closed</t>
  </si>
  <si>
    <t xml:space="preserve">trigger data-state is open when menu is open</t>
  </si>
  <si>
    <t xml:space="preserve">trigger aria-haspopup is menu</t>
  </si>
  <si>
    <t xml:space="preserve">trigger aria-expanded reflects open state</t>
  </si>
  <si>
    <t xml:space="preserve">trigger aria-controls references content id</t>
  </si>
  <si>
    <t xml:space="preserve">trigger controls match content id</t>
  </si>
  <si>
    <t xml:space="preserve">disabled trigger exposes native disabled attr</t>
  </si>
  <si>
    <t xml:space="preserve">disabled trigger exposes aria-disabled true</t>
  </si>
  <si>
    <t xml:space="preserve">disabled trigger does not open on click</t>
  </si>
  <si>
    <t xml:space="preserve">disabled trigger does not open from keyboard</t>
  </si>
  <si>
    <t xml:space="preserve">consumer onClick runs before Atom toggle</t>
  </si>
  <si>
    <t xml:space="preserve">consumer onClick can prevent Atom toggle</t>
  </si>
  <si>
    <t xml:space="preserve">consumer onKeyDown runs before Atom key behavior</t>
  </si>
  <si>
    <t xml:space="preserve">consumer onKeyDown can prevent Atom key behavior</t>
  </si>
  <si>
    <t xml:space="preserve">click toggles menu open and closed</t>
  </si>
  <si>
    <t xml:space="preserve">pointer click opens without pre-highlighting first item</t>
  </si>
  <si>
    <t xml:space="preserve">Enter opens menu and seeds first highlight</t>
  </si>
  <si>
    <t xml:space="preserve">Space opens menu and seeds first highlight</t>
  </si>
  <si>
    <t xml:space="preserve">ArrowDown opens menu and seeds first highlight</t>
  </si>
  <si>
    <t xml:space="preserve">ArrowUp opens menu and seeds last highlight</t>
  </si>
  <si>
    <t xml:space="preserve">focus returns to trigger after Escape close</t>
  </si>
  <si>
    <t xml:space="preserve">focus returns to trigger after item selection close</t>
  </si>
  <si>
    <t xml:space="preserve">trigger ref points to rendered trigger element</t>
  </si>
  <si>
    <t xml:space="preserve">asChild trigger receives role button</t>
  </si>
  <si>
    <t xml:space="preserve">asChild trigger receives tabindex 0 when enabled</t>
  </si>
  <si>
    <t xml:space="preserve">asChild disabled trigger receives tabindex -1</t>
  </si>
  <si>
    <t xml:space="preserve">render trigger receives role button</t>
  </si>
  <si>
    <t xml:space="preserve">render trigger receives tabindex 0 when enabled</t>
  </si>
  <si>
    <t xml:space="preserve">render disabled trigger receives tabindex -1</t>
  </si>
  <si>
    <t xml:space="preserve">custom data-slot override applies to trigger</t>
  </si>
  <si>
    <t xml:space="preserve">id matches trigger aria-controls</t>
  </si>
  <si>
    <t xml:space="preserve">onSelect fires from keyboard activation</t>
  </si>
  <si>
    <t xml:space="preserve">disabled item is skipped by keyboard navigation</t>
  </si>
  <si>
    <t xml:space="preserve">disabled item exposes aria-disabled</t>
  </si>
  <si>
    <t xml:space="preserve">disabled item exposes data-disabled</t>
  </si>
  <si>
    <t xml:space="preserve">highlighted item exposes data-highlighted</t>
  </si>
  <si>
    <t xml:space="preserve">closeOnSelect overrides root close behavior</t>
  </si>
  <si>
    <t xml:space="preserve">asChild composition works</t>
  </si>
  <si>
    <t xml:space="preserve">render composition works</t>
  </si>
  <si>
    <t xml:space="preserve">checked true exposes aria-checked true</t>
  </si>
  <si>
    <t xml:space="preserve">checked false exposes aria-checked false</t>
  </si>
  <si>
    <t xml:space="preserve">checked true exposes data-checked</t>
  </si>
  <si>
    <t xml:space="preserve">onCheckedChange toggles checked state</t>
  </si>
  <si>
    <t xml:space="preserve">default closeOnSelect false keeps menu open</t>
  </si>
  <si>
    <t xml:space="preserve">value controls checked item</t>
  </si>
  <si>
    <t xml:space="preserve">onValueChange fires when selecting radio item</t>
  </si>
  <si>
    <t xml:space="preserve">duplicate public radio values in different groups do not conflict</t>
  </si>
  <si>
    <t xml:space="preserve">checked item exposes aria-checked true</t>
  </si>
  <si>
    <t xml:space="preserve">unchecked item exposes aria-checked false</t>
  </si>
  <si>
    <t xml:space="preserve">checked item exposes data-checked</t>
  </si>
  <si>
    <t xml:space="preserve">is not keyboard highlightable</t>
  </si>
  <si>
    <t xml:space="preserve">trigger click opens menu</t>
  </si>
  <si>
    <t xml:space="preserve">trigger click closes open menu</t>
  </si>
  <si>
    <t xml:space="preserve">controlled open button opens menu</t>
  </si>
  <si>
    <t xml:space="preserve">controlled close button closes menu</t>
  </si>
  <si>
    <t xml:space="preserve">outside click closes submenu</t>
  </si>
  <si>
    <t xml:space="preserve">Escape closes root menu and returns focus</t>
  </si>
  <si>
    <t xml:space="preserve">selecting checkbox/radio stays open by default</t>
  </si>
  <si>
    <t xml:space="preserve">ArrowDown opens from trigger and highlights first enabled item</t>
  </si>
  <si>
    <t xml:space="preserve">ArrowUp opens from trigger and highlights last enabled item</t>
  </si>
  <si>
    <t xml:space="preserve">Enter opens from trigger and highlights first enabled item</t>
  </si>
  <si>
    <t xml:space="preserve">Space opens from trigger and highlights first enabled item</t>
  </si>
  <si>
    <t xml:space="preserve">ArrowDown moves to next enabled item</t>
  </si>
  <si>
    <t xml:space="preserve">ArrowUp moves to previous enabled item</t>
  </si>
  <si>
    <t xml:space="preserve">Home highlights first enabled item</t>
  </si>
  <si>
    <t xml:space="preserve">End highlights last enabled item</t>
  </si>
  <si>
    <t xml:space="preserve">disabled items are skipped by Arrow keys</t>
  </si>
  <si>
    <t xml:space="preserve">separator is skipped by Arrow keys</t>
  </si>
  <si>
    <t xml:space="preserve">typeahead uses explicit textValue</t>
  </si>
  <si>
    <t xml:space="preserve">typeahead buffer resets after delay</t>
  </si>
  <si>
    <t xml:space="preserve">pointer enter highlights item</t>
  </si>
  <si>
    <t xml:space="preserve">pointer leave clears highlight</t>
  </si>
  <si>
    <t xml:space="preserve">pointer-opened menu does not pre-highlight first item</t>
  </si>
  <si>
    <t xml:space="preserve">hovering group labels or gaps does not reset initial highlight</t>
  </si>
  <si>
    <t xml:space="preserve">disabled item hover does not highlight</t>
  </si>
  <si>
    <t xml:space="preserve">trigger controls content by id</t>
  </si>
  <si>
    <t xml:space="preserve">focus stays inside modal parent when opened inside Dialog</t>
  </si>
  <si>
    <t xml:space="preserve">portalled dropdown registers with parent modal focus scope</t>
  </si>
  <si>
    <t xml:space="preserve">nested dropdown Escape does not close parent overlay</t>
  </si>
  <si>
    <t xml:space="preserve">trigger consumer event can block open</t>
  </si>
  <si>
    <t xml:space="preserve">Item consumer event can block selection</t>
  </si>
  <si>
    <t xml:space="preserve">highlighted item visible through data-highlighted</t>
  </si>
  <si>
    <t xml:space="preserve">placement visible through data-side and data-align</t>
  </si>
  <si>
    <t xml:space="preserve">content positions relative to trigger</t>
  </si>
  <si>
    <t xml:space="preserve">dropdown works inside Dialog without focus escape</t>
  </si>
  <si>
    <t xml:space="preserve">dropdown inside Dialog closes before Dialog on Escape</t>
  </si>
  <si>
    <t xml:space="preserve">Escape closes topmost dropdown before parent overlay</t>
  </si>
  <si>
    <t xml:space="preserve">portalled dropdown remains valid focus target inside Dialog</t>
  </si>
  <si>
    <t xml:space="preserve">trigger disabled click does not open menu</t>
  </si>
  <si>
    <t xml:space="preserve">trigger disabled asChild is removed from tab order</t>
  </si>
  <si>
    <t xml:space="preserve">pointer-opened menu does not preselect first item</t>
  </si>
  <si>
    <t xml:space="preserve">keyboard-opened menu highlights expected first or last item</t>
  </si>
  <si>
    <t xml:space="preserve">radio groups with duplicate values highlight independently</t>
  </si>
  <si>
    <t xml:space="preserve">outside click closes portalled dropdown</t>
  </si>
  <si>
    <t xml:space="preserve">Typeahead</t>
  </si>
  <si>
    <t xml:space="preserve">single-character typeahead cycles from current matching item after buffer reset</t>
  </si>
  <si>
    <t xml:space="preserve">Feed Playground Coverage</t>
  </si>
  <si>
    <t xml:space="preserve">Feed playground scenario.</t>
  </si>
  <si>
    <t xml:space="preserve">Implements `role="feed"` and `role="article"`</t>
  </si>
  <si>
    <t xml:space="preserve">Supports known and unknown feed sizes with `aria-setsize`</t>
  </si>
  <si>
    <t xml:space="preserve">Supports article position announcements with `aria-posinset`</t>
  </si>
  <si>
    <t xml:space="preserve">Supports feed loading state with `aria-busy`</t>
  </si>
  <si>
    <t xml:space="preserve">Implements Page Up, Page Down, Control/Command + Home, and Control/Command + End feed keyboard behavior</t>
  </si>
  <si>
    <t xml:space="preserve">Keeps layout, fetching, virtualization, and item rendering outside the primitive</t>
  </si>
  <si>
    <t xml:space="preserve">verified by Source and Canvas boundaries</t>
  </si>
  <si>
    <t xml:space="preserve">busy prop behavior</t>
  </si>
  <si>
    <t xml:space="preserve">setSize prop behavior</t>
  </si>
  <si>
    <t xml:space="preserve">[data-busy] prop behavior</t>
  </si>
  <si>
    <t xml:space="preserve">[data-setsize] prop behavior</t>
  </si>
  <si>
    <t xml:space="preserve">aria-busy is present at the correct time</t>
  </si>
  <si>
    <t xml:space="preserve">aria-posinset is present at the correct time</t>
  </si>
  <si>
    <t xml:space="preserve">aria-setsize is present at the correct time</t>
  </si>
  <si>
    <t xml:space="preserve">data-busy is present at the correct time</t>
  </si>
  <si>
    <t xml:space="preserve">data-setsize is present at the correct time</t>
  </si>
  <si>
    <t xml:space="preserve">Ctrl/Cmd+End behavior</t>
  </si>
  <si>
    <t xml:space="preserve">Ctrl/Cmd+Home behavior</t>
  </si>
  <si>
    <t xml:space="preserve">PageDown behavior</t>
  </si>
  <si>
    <t xml:space="preserve">Field Playground Coverage</t>
  </si>
  <si>
    <t xml:space="preserve">Field playground Props menu implemented with conditional data-prop-check and custom data-slot toggles.</t>
  </si>
  <si>
    <t xml:space="preserve">Field playground scenario.</t>
  </si>
  <si>
    <t xml:space="preserve">Field playground page uses shared Canvas/Source, Anatomy, Inspector, and Log infrastructure.</t>
  </si>
  <si>
    <t xml:space="preserve">Generates stable IDs for label, control, description, and error</t>
  </si>
  <si>
    <t xml:space="preserve">Wires Field-aware controls to descriptions and visible errors</t>
  </si>
  <si>
    <t xml:space="preserve">Shares disabled, required, readonly, and invalid state with child controls</t>
  </si>
  <si>
    <t xml:space="preserve">Supports required and optional label indicators</t>
  </si>
  <si>
    <t xml:space="preserve">Keeps layout outside Atom through `data-orientation`</t>
  </si>
  <si>
    <t xml:space="preserve">Field form-field playground page exposes this part/prop in Anatomy, Inspector, Source, or toolbar controls.</t>
  </si>
  <si>
    <t xml:space="preserve">Field source/anatomy documents whether Root renders DOM; Inspector verifies rendered descendants.</t>
  </si>
  <si>
    <t xml:space="preserve">id prop behavior</t>
  </si>
  <si>
    <t xml:space="preserve">[data-required] prop behavior</t>
  </si>
  <si>
    <t xml:space="preserve">requiredIndicator prop behavior</t>
  </si>
  <si>
    <t xml:space="preserve">optionalIndicator prop behavior</t>
  </si>
  <si>
    <t xml:space="preserve">Error</t>
  </si>
  <si>
    <t xml:space="preserve">match prop behavior</t>
  </si>
  <si>
    <t xml:space="preserve">forceMatch prop behavior</t>
  </si>
  <si>
    <t xml:space="preserve">RequiredIndicator</t>
  </si>
  <si>
    <t xml:space="preserve">fallback prop behavior</t>
  </si>
  <si>
    <t xml:space="preserve">Shared Anatomy/Inspector expose live ARIA/data attributes for Field when the part is rendered.</t>
  </si>
  <si>
    <t xml:space="preserve">data-required is present at the correct time</t>
  </si>
  <si>
    <t xml:space="preserve">Integration</t>
  </si>
  <si>
    <t xml:space="preserve">Native control</t>
  </si>
  <si>
    <t xml:space="preserve">Field.Root wires Label, Description, Error, and state to a native input control</t>
  </si>
  <si>
    <t xml:space="preserve">tested</t>
  </si>
  <si>
    <t xml:space="preserve">Field Content &gt; Control: Native.</t>
  </si>
  <si>
    <t xml:space="preserve">Atom control</t>
  </si>
  <si>
    <t xml:space="preserve">Field.Root wires Label, Description, Error, and state to Atom Input.Root</t>
  </si>
  <si>
    <t xml:space="preserve">Field Content &gt; Control: Atom.</t>
  </si>
  <si>
    <t xml:space="preserve">Fieldset Playground Coverage</t>
  </si>
  <si>
    <t xml:space="preserve">Fieldset playground Props menu implemented with conditional data-prop-check and custom data-slot toggles.</t>
  </si>
  <si>
    <t xml:space="preserve">Fieldset playground scenario.</t>
  </si>
  <si>
    <t xml:space="preserve">Renders native `&lt;fieldset&gt;` and `&lt;legend&gt;` semantics</t>
  </si>
  <si>
    <t xml:space="preserve">Shares disabled, required, and invalid state across grouped controls</t>
  </si>
  <si>
    <t xml:space="preserve">Wires description and visible error content with `aria-describedby`</t>
  </si>
  <si>
    <t xml:space="preserve">Supports required and optional legend indicators</t>
  </si>
  <si>
    <t xml:space="preserve">Keeps visual layout outside Atom</t>
  </si>
  <si>
    <t xml:space="preserve">Fieldset form-field playground page exposes this part/prop in Anatomy, Inspector, Source, or toolbar controls.</t>
  </si>
  <si>
    <t xml:space="preserve">Fieldset source/anatomy documents whether Root renders DOM; Inspector verifies rendered descendants.</t>
  </si>
  <si>
    <t xml:space="preserve">Legend</t>
  </si>
  <si>
    <t xml:space="preserve">aria-describedby is present at the correct time</t>
  </si>
  <si>
    <t xml:space="preserve">Shared Anatomy/Inspector expose live ARIA/data attributes for Fieldset when the part is rendered.</t>
  </si>
  <si>
    <t xml:space="preserve">aria-required is absent from Fieldset.Root when required</t>
  </si>
  <si>
    <t xml:space="preserve">Fieldset required toggle, Inspector, and axe verification.</t>
  </si>
  <si>
    <t xml:space="preserve">Native controls</t>
  </si>
  <si>
    <t xml:space="preserve">native radio controls work inside Fieldset with shared required, invalid, and disabled state</t>
  </si>
  <si>
    <t xml:space="preserve">Fieldset Content &gt; Controls: Native.</t>
  </si>
  <si>
    <t xml:space="preserve">Atom controls</t>
  </si>
  <si>
    <t xml:space="preserve">Atom RadioGroup works inside Fieldset with shared required, invalid, and disabled state</t>
  </si>
  <si>
    <t xml:space="preserve">Fieldset Content &gt; Controls: Atom.</t>
  </si>
  <si>
    <t xml:space="preserve">FileUpload Playground Coverage</t>
  </si>
  <si>
    <t xml:space="preserve">FileUpload playground scenario.</t>
  </si>
  <si>
    <t xml:space="preserve">Controlled and uncontrolled file list</t>
  </si>
  <si>
    <t xml:space="preserve">Native hidden file input</t>
  </si>
  <si>
    <t xml:space="preserve">Picker trigger and drag-and-drop dropzone</t>
  </si>
  <si>
    <t xml:space="preserve">Accept, max file count, max file size, and custom file validation</t>
  </si>
  <si>
    <t xml:space="preserve">Multiple-file append or replace behavior</t>
  </si>
  <si>
    <t xml:space="preserve">Rejected file reporting</t>
  </si>
  <si>
    <t xml:space="preserve">Item group and item metadata parts</t>
  </si>
  <si>
    <t xml:space="preserve">Same-file re-selection support after removing or clearing files</t>
  </si>
  <si>
    <t xml:space="preserve">Field context integration for ID, description, required, disabled, read-only, and invalid state</t>
  </si>
  <si>
    <t xml:space="preserve">files prop behavior</t>
  </si>
  <si>
    <t xml:space="preserve">defaultFiles prop behavior</t>
  </si>
  <si>
    <t xml:space="preserve">onFilesChange prop behavior</t>
  </si>
  <si>
    <t xml:space="preserve">onRejectedFilesChange prop behavior</t>
  </si>
  <si>
    <t xml:space="preserve">accept prop behavior</t>
  </si>
  <si>
    <t xml:space="preserve">multiple prop behavior</t>
  </si>
  <si>
    <t xml:space="preserve">appendFiles prop behavior</t>
  </si>
  <si>
    <t xml:space="preserve">maxFiles prop behavior</t>
  </si>
  <si>
    <t xml:space="preserve">maxSize prop behavior</t>
  </si>
  <si>
    <t xml:space="preserve">validateFile prop behavior</t>
  </si>
  <si>
    <t xml:space="preserve">[data-drag] prop behavior</t>
  </si>
  <si>
    <t xml:space="preserve">[data-rejected] prop behavior</t>
  </si>
  <si>
    <t xml:space="preserve">visible trigger text is shown in Anatomy and Inspector</t>
  </si>
  <si>
    <t xml:space="preserve">file prop behavior</t>
  </si>
  <si>
    <t xml:space="preserve">[data-name] prop behavior</t>
  </si>
  <si>
    <t xml:space="preserve">[data-size] prop behavior</t>
  </si>
  <si>
    <t xml:space="preserve">Dropzone</t>
  </si>
  <si>
    <t xml:space="preserve">visible dropzone text is shown in Anatomy and Inspector</t>
  </si>
  <si>
    <t xml:space="preserve">Enter prop behavior</t>
  </si>
  <si>
    <t xml:space="preserve">Space prop behavior</t>
  </si>
  <si>
    <t xml:space="preserve">Tab prop behavior</t>
  </si>
  <si>
    <t xml:space="preserve">HiddenInput</t>
  </si>
  <si>
    <t xml:space="preserve">Native Attrs</t>
  </si>
  <si>
    <t xml:space="preserve">accept mirrors Root accept on the native file input</t>
  </si>
  <si>
    <t xml:space="preserve">multiple mirrors Root multiple on the native file input</t>
  </si>
  <si>
    <t xml:space="preserve">name mirrors Root name on the native file input</t>
  </si>
  <si>
    <t xml:space="preserve">form mirrors Root form on the native file input</t>
  </si>
  <si>
    <t xml:space="preserve">required mirrors Root or Field required on the native file input</t>
  </si>
  <si>
    <t xml:space="preserve">disabled mirrors Root or Field disabled on the native file input</t>
  </si>
  <si>
    <t xml:space="preserve">aria-describedby mirrors Field description and error ids</t>
  </si>
  <si>
    <t xml:space="preserve">aria-invalid mirrors Root or Field invalid state</t>
  </si>
  <si>
    <t xml:space="preserve">ItemDeleteTrigger</t>
  </si>
  <si>
    <t xml:space="preserve">visible delete trigger text is shown in Anatomy and Inspector</t>
  </si>
  <si>
    <t xml:space="preserve">ItemGroup</t>
  </si>
  <si>
    <t xml:space="preserve">[data-count] prop behavior</t>
  </si>
  <si>
    <t xml:space="preserve">ItemName</t>
  </si>
  <si>
    <t xml:space="preserve">ItemSize</t>
  </si>
  <si>
    <t xml:space="preserve">data-count is present at the correct time</t>
  </si>
  <si>
    <t xml:space="preserve">data-drag is present at the correct time</t>
  </si>
  <si>
    <t xml:space="preserve">data-filled is present at the correct time</t>
  </si>
  <si>
    <t xml:space="preserve">data-name is present at the correct time</t>
  </si>
  <si>
    <t xml:space="preserve">data-rejected is present at the correct time</t>
  </si>
  <si>
    <t xml:space="preserve">data-size is present at the correct time</t>
  </si>
  <si>
    <t xml:space="preserve">Form Playground Coverage</t>
  </si>
  <si>
    <t xml:space="preserve">Form playground Props menu implemented with conditional data-prop-check and custom data-slot toggles.</t>
  </si>
  <si>
    <t xml:space="preserve">Form playground manual verification.</t>
  </si>
  <si>
    <t xml:space="preserve">renders a native form by default</t>
  </si>
  <si>
    <t xml:space="preserve">composes native onSubmit and onReset handlers</t>
  </si>
  <si>
    <t xml:space="preserve">supports optional preventDefaultOnSubmit</t>
  </si>
  <si>
    <t xml:space="preserve">supports no validation, passing validation, and failing validation</t>
  </si>
  <si>
    <t xml:space="preserve">supports async submit validation while exposing pending state</t>
  </si>
  <si>
    <t xml:space="preserve">exposes submitting, submitted, and invalid state through data attributes</t>
  </si>
  <si>
    <t xml:space="preserve">is the only Form anatomy part</t>
  </si>
  <si>
    <t xml:space="preserve">default tag is form in Anatomy/Inspector</t>
  </si>
  <si>
    <t xml:space="preserve">ref target is form</t>
  </si>
  <si>
    <t xml:space="preserve">data-slot is form</t>
  </si>
  <si>
    <t xml:space="preserve">preventDefaultOnSubmit prop behavior</t>
  </si>
  <si>
    <t xml:space="preserve">validateOnSubmit prop behavior</t>
  </si>
  <si>
    <t xml:space="preserve">onSubmit prop behavior</t>
  </si>
  <si>
    <t xml:space="preserve">onReset prop behavior</t>
  </si>
  <si>
    <t xml:space="preserve">data-submitting is present during async submit</t>
  </si>
  <si>
    <t xml:space="preserve">data-submitted is present after successful submit</t>
  </si>
  <si>
    <t xml:space="preserve">data-invalid is present after failed validation</t>
  </si>
  <si>
    <t xml:space="preserve">data-slot is visible in Anatomy/Inspector</t>
  </si>
  <si>
    <t xml:space="preserve">data-submitting is visible in Anatomy/Inspector</t>
  </si>
  <si>
    <t xml:space="preserve">data-submitted is visible in Anatomy/Inspector</t>
  </si>
  <si>
    <t xml:space="preserve">data-invalid is visible in Anatomy/Inspector</t>
  </si>
  <si>
    <t xml:space="preserve">asChild preserves child form content without double nesting</t>
  </si>
  <si>
    <t xml:space="preserve">asChild preserves submit/reset behavior</t>
  </si>
  <si>
    <t xml:space="preserve">render prop renders custom form element</t>
  </si>
  <si>
    <t xml:space="preserve">reset clears submitted, submitting, and invalid state</t>
  </si>
  <si>
    <t xml:space="preserve">logs validation, submit, reset, and navigation prevention clearly</t>
  </si>
  <si>
    <t xml:space="preserve">Form.Root submits and resets with a native input control</t>
  </si>
  <si>
    <t xml:space="preserve">Form State &gt; Control: Native.</t>
  </si>
  <si>
    <t xml:space="preserve">Form.Root submits and resets with Atom Input.Root</t>
  </si>
  <si>
    <t xml:space="preserve">Form State &gt; Control: Atom.</t>
  </si>
  <si>
    <t xml:space="preserve">HoverCard Playground Coverage</t>
  </si>
  <si>
    <t xml:space="preserve">HoverCard Manual Test Protocol</t>
  </si>
  <si>
    <t xml:space="preserve">Opens from hover and keyboard focus-visible trigger interactions</t>
  </si>
  <si>
    <t xml:space="preserve">Configurable open and close delays</t>
  </si>
  <si>
    <t xml:space="preserve">Floating UI positioning with side, align, side offset, collision shift, flip, and arrow coordinates</t>
  </si>
  <si>
    <t xml:space="preserve">Portal and arrow parts</t>
  </si>
  <si>
    <t xml:space="preserve">Headless only: no card styling, shadows, animation, or layout</t>
  </si>
  <si>
    <t xml:space="preserve">appears in documented order and exposes feature-wide state</t>
  </si>
  <si>
    <t xml:space="preserve">openDelay prop behavior</t>
  </si>
  <si>
    <t xml:space="preserve">closeDelay prop behavior</t>
  </si>
  <si>
    <t xml:space="preserve">renders correct part in documented order</t>
  </si>
  <si>
    <t xml:space="preserve">default tag is span</t>
  </si>
  <si>
    <t xml:space="preserve">data-slot and data-state are present and correct</t>
  </si>
  <si>
    <t xml:space="preserve">native/data props pass through with data-prop-check marker</t>
  </si>
  <si>
    <t xml:space="preserve">custom data-slot override is applied</t>
  </si>
  <si>
    <t xml:space="preserve">hover opens and mouse leave closes</t>
  </si>
  <si>
    <t xml:space="preserve">keyboard Tab focus-visible opens</t>
  </si>
  <si>
    <t xml:space="preserve">body, custom container, and disabled portal paths work</t>
  </si>
  <si>
    <t xml:space="preserve">custom container prop behavior</t>
  </si>
  <si>
    <t xml:space="preserve">data-slot, data-state, data-side, and data-positioned are present at the correct time</t>
  </si>
  <si>
    <t xml:space="preserve">side prop behavior</t>
  </si>
  <si>
    <t xml:space="preserve">align prop behavior</t>
  </si>
  <si>
    <t xml:space="preserve">sideOffset prop behavior</t>
  </si>
  <si>
    <t xml:space="preserve">Arrow</t>
  </si>
  <si>
    <t xml:space="preserve">default tag is svg and aria-hidden is true</t>
  </si>
  <si>
    <t xml:space="preserve">data-slot and data-side are present</t>
  </si>
  <si>
    <t xml:space="preserve">width and height prop behavior</t>
  </si>
  <si>
    <t xml:space="preserve">Source omits playground-only plumbing and default props</t>
  </si>
  <si>
    <t xml:space="preserve">Source reflects controlled/defaultOpen state, portal mode, composition, props, slots, and Arrow size</t>
  </si>
  <si>
    <t xml:space="preserve">Selected and Focused evidence update independently</t>
  </si>
  <si>
    <t xml:space="preserve">interaction logs remain visible after close</t>
  </si>
  <si>
    <t xml:space="preserve">Input Playground Coverage</t>
  </si>
  <si>
    <t xml:space="preserve">Input playground scenario.</t>
  </si>
  <si>
    <t xml:space="preserve">Input playground page uses shared Canvas/Source, Anatomy, Inspector, and Log infrastructure.</t>
  </si>
  <si>
    <t xml:space="preserve">Renders a native `&lt;input&gt;`</t>
  </si>
  <si>
    <t xml:space="preserve">Supports controlled and uncontrolled value</t>
  </si>
  <si>
    <t xml:space="preserve">Integrates with `Field.Root` for IDs, descriptions, errors, and state</t>
  </si>
  <si>
    <t xml:space="preserve">Exposes filled, focused, disabled, readonly, and invalid state</t>
  </si>
  <si>
    <t xml:space="preserve">Includes an optional clear button that clears and refocuses the input</t>
  </si>
  <si>
    <t xml:space="preserve">Preserves native input props and event handlers</t>
  </si>
  <si>
    <t xml:space="preserve">Input form-field playground page exposes this part/prop in Anatomy, Inspector, Source, or toolbar controls.</t>
  </si>
  <si>
    <t xml:space="preserve">Input source/anatomy documents whether Root renders DOM; Inspector verifies rendered descendants.</t>
  </si>
  <si>
    <t xml:space="preserve">onClear prop behavior</t>
  </si>
  <si>
    <t xml:space="preserve">Shared Anatomy/Inspector expose live ARIA/data attributes for Input when the part is rendered.</t>
  </si>
  <si>
    <t xml:space="preserve">Label Playground Coverage</t>
  </si>
  <si>
    <t xml:space="preserve">Label playground Props menu implemented with conditional data-prop-check and custom data-slot toggles.</t>
  </si>
  <si>
    <t xml:space="preserve">scenario is reachable from Fields &gt; Label</t>
  </si>
  <si>
    <t xml:space="preserve">Fields menu opens the Label playground page.</t>
  </si>
  <si>
    <t xml:space="preserve">canvas source reflects current toggles without false-prop noise</t>
  </si>
  <si>
    <t xml:space="preserve">Source view is generated from the Label scenario state.</t>
  </si>
  <si>
    <t xml:space="preserve">anatomy contains only the real Label Root part</t>
  </si>
  <si>
    <t xml:space="preserve">Anatomy shows Root only; helper input remains inspectable in Canvas.</t>
  </si>
  <si>
    <t xml:space="preserve">inspector selected/focused/logs work for the Label scenario</t>
  </si>
  <si>
    <t xml:space="preserve">Shared Inspector and log panel are wired to Label canvas elements.</t>
  </si>
  <si>
    <t xml:space="preserve">renders when expected</t>
  </si>
  <si>
    <t xml:space="preserve">Root anatomy uses the live [data-label-root] element.</t>
  </si>
  <si>
    <t xml:space="preserve">default tag is label</t>
  </si>
  <si>
    <t xml:space="preserve">Attributes group exposes the live tag.</t>
  </si>
  <si>
    <t xml:space="preserve">ref target receives the rendered element</t>
  </si>
  <si>
    <t xml:space="preserve">Root anatomy includes Ref target.</t>
  </si>
  <si>
    <t xml:space="preserve">label text remains Email</t>
  </si>
  <si>
    <t xml:space="preserve">Root summary and Inspector text expose the live text.</t>
  </si>
  <si>
    <t xml:space="preserve">data-slot is label</t>
  </si>
  <si>
    <t xml:space="preserve">Shared Anatomy/Inspector Data group exposes data-slot.</t>
  </si>
  <si>
    <t xml:space="preserve">data-prop-check marker passes through</t>
  </si>
  <si>
    <t xml:space="preserve">Canvas passes data-prop-check="root" to Label.Root.</t>
  </si>
  <si>
    <t xml:space="preserve">Native prop</t>
  </si>
  <si>
    <t xml:space="preserve">htmlFor renders native for attribute when enabled</t>
  </si>
  <si>
    <t xml:space="preserve">State menu toggles Use htmlFor; Anatomy/Inspector expose for.</t>
  </si>
  <si>
    <t xml:space="preserve">htmlFor can be removed</t>
  </si>
  <si>
    <t xml:space="preserve">Use htmlFor toggle removes the for attribute.</t>
  </si>
  <si>
    <t xml:space="preserve">Behavior</t>
  </si>
  <si>
    <t xml:space="preserve">for attribute matches the helper input id</t>
  </si>
  <si>
    <t xml:space="preserve">Root anatomy includes Matches input.</t>
  </si>
  <si>
    <t xml:space="preserve">clicking the label focuses the associated input when htmlFor is enabled</t>
  </si>
  <si>
    <t xml:space="preserve">Label click and input focus are logged.</t>
  </si>
  <si>
    <t xml:space="preserve">disabled prop exposes data-disabled</t>
  </si>
  <si>
    <t xml:space="preserve">State menu toggles Disabled and live Data exposes data-disabled.</t>
  </si>
  <si>
    <t xml:space="preserve">disabled does not create native disabled on label</t>
  </si>
  <si>
    <t xml:space="preserve">Attributes group should not show disabled on the label.</t>
  </si>
  <si>
    <t xml:space="preserve">required prop exposes data-required</t>
  </si>
  <si>
    <t xml:space="preserve">State menu toggles Required and live Data exposes data-required.</t>
  </si>
  <si>
    <t xml:space="preserve">required does not create native required on label</t>
  </si>
  <si>
    <t xml:space="preserve">Attributes group should not show required on the label.</t>
  </si>
  <si>
    <t xml:space="preserve">readOnly prop exposes data-readonly</t>
  </si>
  <si>
    <t xml:space="preserve">State menu toggles Read only and live Data exposes data-readonly.</t>
  </si>
  <si>
    <t xml:space="preserve">readOnly does not create native readonly on label</t>
  </si>
  <si>
    <t xml:space="preserve">Attributes group should not show readonly on the label.</t>
  </si>
  <si>
    <t xml:space="preserve">invalid prop exposes data-invalid</t>
  </si>
  <si>
    <t xml:space="preserve">State menu toggles Invalid and live Data exposes data-invalid.</t>
  </si>
  <si>
    <t xml:space="preserve">invalid does not create aria-invalid on label</t>
  </si>
  <si>
    <t xml:space="preserve">ARIA group should stay empty unless a real ARIA prop exists.</t>
  </si>
  <si>
    <t xml:space="preserve">default composition renders label</t>
  </si>
  <si>
    <t xml:space="preserve">Composition menu Root default renders native label.</t>
  </si>
  <si>
    <t xml:space="preserve">asChild renders the child span</t>
  </si>
  <si>
    <t xml:space="preserve">Composition menu Root asChild renders span and keeps text.</t>
  </si>
  <si>
    <t xml:space="preserve">asChild merges state and data props</t>
  </si>
  <si>
    <t xml:space="preserve">Live Data group should keep data-slot/data-prop-check/state markers.</t>
  </si>
  <si>
    <t xml:space="preserve">render prop renders a span</t>
  </si>
  <si>
    <t xml:space="preserve">Composition menu Root render uses render prop with a span.</t>
  </si>
  <si>
    <t xml:space="preserve">render prop preserves ref and behavior props</t>
  </si>
  <si>
    <t xml:space="preserve">Root ref and Data groups update under render mode.</t>
  </si>
  <si>
    <t xml:space="preserve">Label.Root associates with a native input using htmlFor</t>
  </si>
  <si>
    <t xml:space="preserve">Label Association &gt; Control: Native.</t>
  </si>
  <si>
    <t xml:space="preserve">Label.Root associates with Atom Input.Root using htmlFor</t>
  </si>
  <si>
    <t xml:space="preserve">Label Association &gt; Control: Atom.</t>
  </si>
  <si>
    <t xml:space="preserve">List Playground Coverage</t>
  </si>
  <si>
    <t xml:space="preserve">List props manual verification.</t>
  </si>
  <si>
    <t xml:space="preserve">List playground manual pass.</t>
  </si>
  <si>
    <t xml:space="preserve">Renders native `ul`, `ol`, and `li` semantics</t>
  </si>
  <si>
    <t xml:space="preserve">Supports ordered and unordered list roots</t>
  </si>
  <si>
    <t xml:space="preserve">Supports disabled item metadata through `aria-disabled` and `data-disabled`</t>
  </si>
  <si>
    <t xml:space="preserve">Supports `asChild` and `render` composition</t>
  </si>
  <si>
    <t xml:space="preserve">Stays server-safe with no client boundary</t>
  </si>
  <si>
    <t xml:space="preserve">ordered prop behavior</t>
  </si>
  <si>
    <t xml:space="preserve">[data-ordered] prop behavior</t>
  </si>
  <si>
    <t xml:space="preserve">data-ordered is present at the correct time</t>
  </si>
  <si>
    <t xml:space="preserve">Listbox Playground Coverage</t>
  </si>
  <si>
    <t xml:space="preserve">Listbox playground scenario.</t>
  </si>
  <si>
    <t xml:space="preserve">Implements WAI-ARIA listbox and option roles</t>
  </si>
  <si>
    <t xml:space="preserve">Supports single and multiple selection</t>
  </si>
  <si>
    <t xml:space="preserve">Supports controlled and uncontrolled values</t>
  </si>
  <si>
    <t xml:space="preserve">Supports option groups and labels</t>
  </si>
  <si>
    <t xml:space="preserve">Supports roving active option with `aria-activedescendant`</t>
  </si>
  <si>
    <t xml:space="preserve">Supports typeahead, Home/End, arrow navigation, disabled options, form submission, and Field context</t>
  </si>
  <si>
    <t xml:space="preserve">[data-multiple] prop behavior</t>
  </si>
  <si>
    <t xml:space="preserve">Group prop behavior</t>
  </si>
  <si>
    <t xml:space="preserve">Label prop behavior</t>
  </si>
  <si>
    <t xml:space="preserve">Option</t>
  </si>
  <si>
    <t xml:space="preserve">OptionText</t>
  </si>
  <si>
    <t xml:space="preserve">data-multiple is present at the correct time</t>
  </si>
  <si>
    <t xml:space="preserve">Menu Playground Coverage</t>
  </si>
  <si>
    <t xml:space="preserve">Menu playground manual verification.</t>
  </si>
  <si>
    <t xml:space="preserve">modal false skips scroll lock</t>
  </si>
  <si>
    <t xml:space="preserve">anchorPoint positions from pointer coordinates</t>
  </si>
  <si>
    <t xml:space="preserve">open button opens menu</t>
  </si>
  <si>
    <t xml:space="preserve">outside click closes root menu</t>
  </si>
  <si>
    <t xml:space="preserve">focus stays inside modal menu while open</t>
  </si>
  <si>
    <t xml:space="preserve">portalled menu registers with parent modal focus scope</t>
  </si>
  <si>
    <t xml:space="preserve">nested menu Escape does not close parent overlay</t>
  </si>
  <si>
    <t xml:space="preserve">Rendering</t>
  </si>
  <si>
    <t xml:space="preserve">root open state visible through content data-state</t>
  </si>
  <si>
    <t xml:space="preserve">root content portals to body</t>
  </si>
  <si>
    <t xml:space="preserve">anchorPoint opens at pointer location</t>
  </si>
  <si>
    <t xml:space="preserve">scroll lock applies only when modal</t>
  </si>
  <si>
    <t xml:space="preserve">menu works inside Dialog without focus escape</t>
  </si>
  <si>
    <t xml:space="preserve">outside click closes portalled menu</t>
  </si>
  <si>
    <t xml:space="preserve">Escape closes topmost overlay only</t>
  </si>
  <si>
    <t xml:space="preserve">Menubar Playground Coverage</t>
  </si>
  <si>
    <t xml:space="preserve">Step 7 Props And Slots.</t>
  </si>
  <si>
    <t xml:space="preserve">representative custom data-slot override controls are available for slot-owning DOM parts</t>
  </si>
  <si>
    <t xml:space="preserve">Step 0 Playground Smoke Check.</t>
  </si>
  <si>
    <t xml:space="preserve">Steps 0 and 8 Source / Inspector / Logs.</t>
  </si>
  <si>
    <t xml:space="preserve">Steps 0, 3, 6, and 7.</t>
  </si>
  <si>
    <t xml:space="preserve">renders role="menubar" with trigger and content behavior</t>
  </si>
  <si>
    <t xml:space="preserve">Steps 0, 3, and 6.</t>
  </si>
  <si>
    <t xml:space="preserve">opens adjacent top-level menus with arrow keys</t>
  </si>
  <si>
    <t xml:space="preserve">Steps 3 and 4.</t>
  </si>
  <si>
    <t xml:space="preserve">uses shared Menu item, checkbox, radio, group, separator, and submenu behavior as integration smoke</t>
  </si>
  <si>
    <t xml:space="preserve">Step 5 Shared Menu Integration Smoke.</t>
  </si>
  <si>
    <t xml:space="preserve">supports controlled and uncontrolled active menu state</t>
  </si>
  <si>
    <t xml:space="preserve">Step 1 Root State And Direction.</t>
  </si>
  <si>
    <t xml:space="preserve">supports configurable closeOnSelect, looping, and escape close per menu</t>
  </si>
  <si>
    <t xml:space="preserve">Step 2 Menu Behavior.</t>
  </si>
  <si>
    <t xml:space="preserve">supports Direction.Provider and Root dir modes for horizontal menubar navigation</t>
  </si>
  <si>
    <t xml:space="preserve">RTL mirrors submenu placement and keyboard open/close behavior in provider and root direction modes</t>
  </si>
  <si>
    <t xml:space="preserve">Step 1 Root State And Direction follow-up.</t>
  </si>
  <si>
    <t xml:space="preserve">renders Root in the documented anatomy order</t>
  </si>
  <si>
    <t xml:space="preserve">Steps 0 and 7.</t>
  </si>
  <si>
    <t xml:space="preserve">default tag, role, aria-orientation, and dir are visible in Anatomy/Inspector</t>
  </si>
  <si>
    <t xml:space="preserve">Steps 1 and 7.</t>
  </si>
  <si>
    <t xml:space="preserve">default and custom data-slot are visible in Anatomy/Inspector</t>
  </si>
  <si>
    <t xml:space="preserve">native props pass through with data-prop-check marker</t>
  </si>
  <si>
    <t xml:space="preserve">onValueChange behavior is visible through current value and logs</t>
  </si>
  <si>
    <t xml:space="preserve">loop prop behavior controls top-level trigger wrapping</t>
  </si>
  <si>
    <t xml:space="preserve">Steps 2 and 4.</t>
  </si>
  <si>
    <t xml:space="preserve">non-DOM Menu part coordinates File and View menu values</t>
  </si>
  <si>
    <t xml:space="preserve">closeOnSelect prop behavior</t>
  </si>
  <si>
    <t xml:space="preserve">loop prop behavior controls item wrapping inside content</t>
  </si>
  <si>
    <t xml:space="preserve">File and View triggers render in the documented anatomy order</t>
  </si>
  <si>
    <t xml:space="preserve">Step 3 Trigger And Top-Level Focus.</t>
  </si>
  <si>
    <t xml:space="preserve">default tag and role are visible in Anatomy/Inspector</t>
  </si>
  <si>
    <t xml:space="preserve">aria-haspopup, aria-expanded, and aria-controls are present at the correct time</t>
  </si>
  <si>
    <t xml:space="preserve">data-state reflects open and closed trigger state</t>
  </si>
  <si>
    <t xml:space="preserve">disabled trigger blocks pointer and keyboard activation and exposes data-disabled</t>
  </si>
  <si>
    <t xml:space="preserve">pointer activation opens and closes the focused menu</t>
  </si>
  <si>
    <t xml:space="preserve">Enter key activation opens and closes the focused menu</t>
  </si>
  <si>
    <t xml:space="preserve">Space key activation opens and closes the focused menu</t>
  </si>
  <si>
    <t xml:space="preserve">focus returns to the active trigger after adjacent menu handoff and close</t>
  </si>
  <si>
    <t xml:space="preserve">File and View content render when expected</t>
  </si>
  <si>
    <t xml:space="preserve">Step 6 Content Accessibility And Positioning Smoke.</t>
  </si>
  <si>
    <t xml:space="preserve">ariaLabel prop adds and removes aria-label</t>
  </si>
  <si>
    <t xml:space="preserve">Steps 6 and 7.</t>
  </si>
  <si>
    <t xml:space="preserve">data-state, data-side, data-align, and data-positioned are visible for open content</t>
  </si>
  <si>
    <t xml:space="preserve">ArrowLeft and ArrowRight behavior in LTR</t>
  </si>
  <si>
    <t xml:space="preserve">Step 4 Top-Level Keyboard And RTL.</t>
  </si>
  <si>
    <t xml:space="preserve">Home and End navigation</t>
  </si>
  <si>
    <t xml:space="preserve">ArrowDown and ArrowUp open content and seed first/last item highlight</t>
  </si>
  <si>
    <t xml:space="preserve">ArrowLeft and ArrowRight behavior mirrors in RTL</t>
  </si>
  <si>
    <t xml:space="preserve">roving focus state is visible in Focused inspector evidence</t>
  </si>
  <si>
    <t xml:space="preserve">Escape closes only the topmost active menu layer</t>
  </si>
  <si>
    <t xml:space="preserve">Steps 2 and 5.</t>
  </si>
  <si>
    <t xml:space="preserve">focus returns to the correct trigger after close</t>
  </si>
  <si>
    <t xml:space="preserve">Menu Integration</t>
  </si>
  <si>
    <t xml:space="preserve">item selection logs selected value and closes according to Menu settings</t>
  </si>
  <si>
    <t xml:space="preserve">CheckboxItem</t>
  </si>
  <si>
    <t xml:space="preserve">checkbox item toggles checked state and exposes menuitemcheckbox semantics</t>
  </si>
  <si>
    <t xml:space="preserve">RadioItem</t>
  </si>
  <si>
    <t xml:space="preserve">radio items are exclusive and expose menuitemradio semantics</t>
  </si>
  <si>
    <t xml:space="preserve">Group and Separator</t>
  </si>
  <si>
    <t xml:space="preserve">group and separator render as shared Menu integration anatomy</t>
  </si>
  <si>
    <t xml:space="preserve">SubTrigger</t>
  </si>
  <si>
    <t xml:space="preserve">submenu trigger opens SubContent</t>
  </si>
  <si>
    <t xml:space="preserve">SubContent</t>
  </si>
  <si>
    <t xml:space="preserve">submenu content exposes role menu and closes before parent on Escape</t>
  </si>
  <si>
    <t xml:space="preserve">Source panel shows public Atom JSX only</t>
  </si>
  <si>
    <t xml:space="preserve">Step 8 Source / Inspector / Logs.</t>
  </si>
  <si>
    <t xml:space="preserve">Selected and Focused tabs update independently</t>
  </si>
  <si>
    <t xml:space="preserve">logs record open, close, controlled actions, selection, and clear correctly</t>
  </si>
  <si>
    <t xml:space="preserve">Modal Playground Coverage</t>
  </si>
  <si>
    <t xml:space="preserve">Modal playground scenario.</t>
  </si>
  <si>
    <t xml:space="preserve">Escape-key and backdrop dismissal controls</t>
  </si>
  <si>
    <t xml:space="preserve">Stack-aware Escape dismissal so nested overlays close before the parent modal</t>
  </si>
  <si>
    <t xml:space="preserve">Focus trap, focus restore, scroll lock, and initial focus management</t>
  </si>
  <si>
    <t xml:space="preserve">Optional keep-mounted content support through `useModalContent`</t>
  </si>
  <si>
    <t xml:space="preserve">Close reasons for action, cancel, backdrop, Escape, and close-button flows</t>
  </si>
  <si>
    <t xml:space="preserve">Live DOM shows Modal remains headless: no Atom-owned visual classes, icons, or animation DOM</t>
  </si>
  <si>
    <t xml:space="preserve">Root provider state is represented without a fake DOM selector</t>
  </si>
  <si>
    <t xml:space="preserve">Source shows Root wrapping Trigger and Portal in documented order</t>
  </si>
  <si>
    <t xml:space="preserve">Root has no default DOM tag and Anatomy shows provider state only</t>
  </si>
  <si>
    <t xml:space="preserve">Root has no data-slot because it renders no DOM element</t>
  </si>
  <si>
    <t xml:space="preserve">Root props are verified through behavior, Source, and Anatomy state rows</t>
  </si>
  <si>
    <t xml:space="preserve">No Root DOM ref row is tracked because Root renders no element</t>
  </si>
  <si>
    <t xml:space="preserve">Portal behavior renders content/backdrop evidence under the Portal section</t>
  </si>
  <si>
    <t xml:space="preserve">Source shows Portal in documented order after Trigger</t>
  </si>
  <si>
    <t xml:space="preserve">Portal has no default DOM tag; rendered content parent is verified instead</t>
  </si>
  <si>
    <t xml:space="preserve">Portal has no data-slot because it renders no own DOM element</t>
  </si>
  <si>
    <t xml:space="preserve">Portal disabled and container props are verified through content parent behavior</t>
  </si>
  <si>
    <t xml:space="preserve">No Portal DOM ref row is tracked because Portal renders no own element</t>
  </si>
  <si>
    <t xml:space="preserve">container prop renders content into the custom container</t>
  </si>
  <si>
    <t xml:space="preserve">disabled prop renders content inline instead of portalling to body</t>
  </si>
  <si>
    <t xml:space="preserve">consumer click preventDefault blocks close behavior</t>
  </si>
  <si>
    <t xml:space="preserve">aria-modal is present at the correct time</t>
  </si>
  <si>
    <t xml:space="preserve">consumer click preventDefault blocks open behavior</t>
  </si>
  <si>
    <t xml:space="preserve">render prop renders custom close element</t>
  </si>
  <si>
    <t xml:space="preserve">Responsive smoke</t>
  </si>
  <si>
    <t xml:space="preserve">native ARIA values override ariaLabel compatibility and generated relationships</t>
  </si>
  <si>
    <t xml:space="preserve">registered optional Description does not leave a dangling aria-describedby relationship</t>
  </si>
  <si>
    <t xml:space="preserve">interaction-aware initialFocus supports Content, explicit targets, native autoFocus, and touch keyboard avoidance</t>
  </si>
  <si>
    <t xml:space="preserve">finalFocus supports workflow targets, trigger fallback, and opt-out</t>
  </si>
  <si>
    <t xml:space="preserve">owned branches remain operable while background isolation and cleanup preserve author state</t>
  </si>
  <si>
    <t xml:space="preserve">public Branch registers a consumer-owned portal for focus containment and allowed scrolling</t>
  </si>
  <si>
    <t xml:space="preserve">registered Select portal preserves delegated keyboard behavior without focus escape</t>
  </si>
  <si>
    <t xml:space="preserve">nested ownership hands off focus, dismissal, isolation, and scroll lock one layer at a time</t>
  </si>
  <si>
    <t xml:space="preserve">NavList Playground Coverage</t>
  </si>
  <si>
    <t xml:space="preserve">manual-tests/navlist.md Step 0, Step 10</t>
  </si>
  <si>
    <t xml:space="preserve">manual-tests/navlist.md part steps and Step 10</t>
  </si>
  <si>
    <t xml:space="preserve">manual-tests/navlist.md Step 0</t>
  </si>
  <si>
    <t xml:space="preserve">manual-tests/navlist.md Step 10</t>
  </si>
  <si>
    <t xml:space="preserve">manual-tests/navlist.md Steps 2-9</t>
  </si>
  <si>
    <t xml:space="preserve">manual-tests/navlist.md Step 11</t>
  </si>
  <si>
    <t xml:space="preserve">renders native nav, section, list, listitem, and anchor semantics</t>
  </si>
  <si>
    <t xml:space="preserve">manual-tests/navlist.md Steps 0, 2-9</t>
  </si>
  <si>
    <t xml:space="preserve">supports active/current link state with data-active, data-current, and aria-current</t>
  </si>
  <si>
    <t xml:space="preserve">manual-tests/navlist.md Step 1 and Step 9</t>
  </si>
  <si>
    <t xml:space="preserve">supports collapsible sections</t>
  </si>
  <si>
    <t xml:space="preserve">manual-tests/navlist.md Step 1, Step 5, Step 6</t>
  </si>
  <si>
    <t xml:space="preserve">supports controlled section open state</t>
  </si>
  <si>
    <t xml:space="preserve">manual-tests/navlist.md Step 1 and Step 6</t>
  </si>
  <si>
    <t xml:space="preserve">supports uncontrolled defaultOpen section state</t>
  </si>
  <si>
    <t xml:space="preserve">manual-tests/navlist.md Step 1 and Step 3</t>
  </si>
  <si>
    <t xml:space="preserve">supports vertical and horizontal orientation metadata</t>
  </si>
  <si>
    <t xml:space="preserve">manual-tests/navlist.md Step 1</t>
  </si>
  <si>
    <t xml:space="preserve">horizontal orientation has minimal visual row styling driven by data-orientation</t>
  </si>
  <si>
    <t xml:space="preserve">keeps route behavior in consumer links while Atom owns ARIA and data attributes</t>
  </si>
  <si>
    <t xml:space="preserve">manual-tests/navlist.md Step 9</t>
  </si>
  <si>
    <t xml:space="preserve">uses native Tab focus, not tree/menu roving focus</t>
  </si>
  <si>
    <t xml:space="preserve">manual-tests/navlist.md Step 12</t>
  </si>
  <si>
    <t xml:space="preserve">appears in documented public anatomy order</t>
  </si>
  <si>
    <t xml:space="preserve">manual-tests/navlist.md Step 0 and Step 2</t>
  </si>
  <si>
    <t xml:space="preserve">default tag is nav</t>
  </si>
  <si>
    <t xml:space="preserve">manual-tests/navlist.md Step 2</t>
  </si>
  <si>
    <t xml:space="preserve">data-slot defaults to nav-list and custom slot override works</t>
  </si>
  <si>
    <t xml:space="preserve">data-orientation reflects vertical and horizontal modes</t>
  </si>
  <si>
    <t xml:space="preserve">manual-tests/navlist.md Step 1 and Step 2</t>
  </si>
  <si>
    <t xml:space="preserve">default, asChild, and render composition work</t>
  </si>
  <si>
    <t xml:space="preserve">Section</t>
  </si>
  <si>
    <t xml:space="preserve">manual-tests/navlist.md Step 0 and Step 3</t>
  </si>
  <si>
    <t xml:space="preserve">default tag is section</t>
  </si>
  <si>
    <t xml:space="preserve">manual-tests/navlist.md Step 3</t>
  </si>
  <si>
    <t xml:space="preserve">data-slot defaults to nav-list-section and custom slot override works</t>
  </si>
  <si>
    <t xml:space="preserve">data-state and data-collapsible reflect open/closed collapsible state</t>
  </si>
  <si>
    <t xml:space="preserve">controlled open prop behavior works through toolbar Open and Close actions</t>
  </si>
  <si>
    <t xml:space="preserve">defaultOpen uncontrolled behavior works through Default Open remount</t>
  </si>
  <si>
    <t xml:space="preserve">onOpenChange logs section opened/closed changes</t>
  </si>
  <si>
    <t xml:space="preserve">manual-tests/navlist.md Step 1, Step 5, Step 11</t>
  </si>
  <si>
    <t xml:space="preserve">disabled section disables the Project trigger and exposes disabled data</t>
  </si>
  <si>
    <t xml:space="preserve">SectionLabel</t>
  </si>
  <si>
    <t xml:space="preserve">appears before SectionTrigger in public anatomy order</t>
  </si>
  <si>
    <t xml:space="preserve">manual-tests/navlist.md Step 0 and Step 4</t>
  </si>
  <si>
    <t xml:space="preserve">default scenario tag is h3 and composed tag can change to h4</t>
  </si>
  <si>
    <t xml:space="preserve">manual-tests/navlist.md Step 4</t>
  </si>
  <si>
    <t xml:space="preserve">data-slot defaults to nav-list-section-label and custom slot override works</t>
  </si>
  <si>
    <t xml:space="preserve">SectionContent aria-labelledby can reference the label id</t>
  </si>
  <si>
    <t xml:space="preserve">manual-tests/navlist.md Step 4 and Step 6</t>
  </si>
  <si>
    <t xml:space="preserve">SectionTrigger</t>
  </si>
  <si>
    <t xml:space="preserve">appears after SectionLabel in public anatomy order</t>
  </si>
  <si>
    <t xml:space="preserve">manual-tests/navlist.md Step 0 and Step 5</t>
  </si>
  <si>
    <t xml:space="preserve">default tag is button with type button</t>
  </si>
  <si>
    <t xml:space="preserve">manual-tests/navlist.md Step 5</t>
  </si>
  <si>
    <t xml:space="preserve">data-slot defaults to nav-list-section-trigger and custom slot override works</t>
  </si>
  <si>
    <t xml:space="preserve">data-state, data-collapsible, and data-disabled reflect section state</t>
  </si>
  <si>
    <t xml:space="preserve">manual-tests/navlist.md Step 1 and Step 5</t>
  </si>
  <si>
    <t xml:space="preserve">aria-expanded and aria-controls reflect collapsible content state</t>
  </si>
  <si>
    <t xml:space="preserve">Space and Enter toggle the section when enabled</t>
  </si>
  <si>
    <t xml:space="preserve">disabled trigger cannot toggle the section</t>
  </si>
  <si>
    <t xml:space="preserve">SectionContent</t>
  </si>
  <si>
    <t xml:space="preserve">appears after SectionTrigger in public anatomy order</t>
  </si>
  <si>
    <t xml:space="preserve">manual-tests/navlist.md Step 0 and Step 6</t>
  </si>
  <si>
    <t xml:space="preserve">manual-tests/navlist.md Step 6</t>
  </si>
  <si>
    <t xml:space="preserve">data-slot defaults to nav-list-section-content and custom slot override works</t>
  </si>
  <si>
    <t xml:space="preserve">data-state reflects open and closed states</t>
  </si>
  <si>
    <t xml:space="preserve">aria-labelledby matches SectionLabel id</t>
  </si>
  <si>
    <t xml:space="preserve">closed uncontrolled content unmounts when forceMount is off</t>
  </si>
  <si>
    <t xml:space="preserve">forceMount keeps closed content mounted with hidden attribute</t>
  </si>
  <si>
    <t xml:space="preserve">appears inside SectionContent in public anatomy order</t>
  </si>
  <si>
    <t xml:space="preserve">manual-tests/navlist.md Step 0 and Step 7</t>
  </si>
  <si>
    <t xml:space="preserve">default tag is ul and ordered tag is ol</t>
  </si>
  <si>
    <t xml:space="preserve">manual-tests/navlist.md Step 7</t>
  </si>
  <si>
    <t xml:space="preserve">data-slot defaults to nav-list-list and custom slot override works</t>
  </si>
  <si>
    <t xml:space="preserve">data-orientation and data-ordered reflect toolbar state</t>
  </si>
  <si>
    <t xml:space="preserve">manual-tests/navlist.md Step 1 and Step 7</t>
  </si>
  <si>
    <t xml:space="preserve">each Item is immediately followed by its child Link in Anatomy</t>
  </si>
  <si>
    <t xml:space="preserve">manual-tests/navlist.md Step 0 and Step 8</t>
  </si>
  <si>
    <t xml:space="preserve">default tag is li</t>
  </si>
  <si>
    <t xml:space="preserve">manual-tests/navlist.md Step 8</t>
  </si>
  <si>
    <t xml:space="preserve">data-slot defaults to nav-list-item and custom slot override works</t>
  </si>
  <si>
    <t xml:space="preserve">data-orientation and data-disabled reflect state</t>
  </si>
  <si>
    <t xml:space="preserve">manual-tests/navlist.md Step 1 and Step 8</t>
  </si>
  <si>
    <t xml:space="preserve">each Link appears immediately after its parent Item in Anatomy</t>
  </si>
  <si>
    <t xml:space="preserve">manual-tests/navlist.md Step 0 and Step 9</t>
  </si>
  <si>
    <t xml:space="preserve">default tag is a</t>
  </si>
  <si>
    <t xml:space="preserve">href is visible for enabled links and removed for disabled links</t>
  </si>
  <si>
    <t xml:space="preserve">data-slot defaults to nav-list-link and custom slot override works</t>
  </si>
  <si>
    <t xml:space="preserve">active link exposes data-active and data-current</t>
  </si>
  <si>
    <t xml:space="preserve">active link exposes aria-current page, step, or location</t>
  </si>
  <si>
    <t xml:space="preserve">disabled link exposes aria-disabled true and tabindex -1</t>
  </si>
  <si>
    <t xml:space="preserve">disabled link cannot become active and does not log active-link change</t>
  </si>
  <si>
    <t xml:space="preserve">manual-tests/navlist.md Step 1 and Step 11</t>
  </si>
  <si>
    <t xml:space="preserve">Source omits playground-only refs, classes, logs, and helper components</t>
  </si>
  <si>
    <t xml:space="preserve">logs record active-link and section open changes only</t>
  </si>
  <si>
    <t xml:space="preserve">NavigationMenu Playground Coverage</t>
  </si>
  <si>
    <t xml:space="preserve">scenario is reachable from the Navigation menu</t>
  </si>
  <si>
    <t xml:space="preserve">NavigationMenu playground; manual-tests/navigation-menu.md</t>
  </si>
  <si>
    <t xml:space="preserve">default Canvas and Source show the simplest valid uncontrolled closed usage</t>
  </si>
  <si>
    <t xml:space="preserve">Source updates for state, direction, nesting, composition, force mount, and prop checks</t>
  </si>
  <si>
    <t xml:space="preserve">public parts appear in documented order with repeated targets named separately</t>
  </si>
  <si>
    <t xml:space="preserve">live Attributes, ARIA, and Data groups expose rendered DOM evidence</t>
  </si>
  <si>
    <t xml:space="preserve">Inspector / Logs</t>
  </si>
  <si>
    <t xml:space="preserve">Selected, Focused, and Logs expose real interaction evidence</t>
  </si>
  <si>
    <t xml:space="preserve">Prop Check is off by default and adds data-prop-check only when enabled</t>
  </si>
  <si>
    <t xml:space="preserve">controlled and uncontrolled root value paths are available</t>
  </si>
  <si>
    <t xml:space="preserve">defaultValue remounts and initializes the uncontrolled active panel</t>
  </si>
  <si>
    <t xml:space="preserve">200 ms open delay and 300 ms skip-delay defaults can be compared with instant timing</t>
  </si>
  <si>
    <t xml:space="preserve">pointer hover, click, Enter, and Space open or close trigger content</t>
  </si>
  <si>
    <t xml:space="preserve">horizontal and vertical orientation are testable</t>
  </si>
  <si>
    <t xml:space="preserve">Default, Provider RTL, Local LTR, and Local RTL direction cases are testable</t>
  </si>
  <si>
    <t xml:space="preserve">shared Viewport emits only the active Content and adapts to its size</t>
  </si>
  <si>
    <t xml:space="preserve">optional Indicator tracks the active trigger geometry</t>
  </si>
  <si>
    <t xml:space="preserve">active links and aria-current are testable</t>
  </si>
  <si>
    <t xml:space="preserve">nested Sub scope supports independent controlled and uncontrolled state</t>
  </si>
  <si>
    <t xml:space="preserve">default tag is nav with data-slot="navigation-menu"</t>
  </si>
  <si>
    <t xml:space="preserve">default aria-label is "Main" and custom native aria-label passes through</t>
  </si>
  <si>
    <t xml:space="preserve">data-orientation defaults to horizontal and updates to vertical</t>
  </si>
  <si>
    <t xml:space="preserve">rendered dir resolves local prop before Direction.Provider before ltr default</t>
  </si>
  <si>
    <t xml:space="preserve">value controls active panel in controlled mode</t>
  </si>
  <si>
    <t xml:space="preserve">defaultValue initializes active panel in uncontrolled mode</t>
  </si>
  <si>
    <t xml:space="preserve">Events</t>
  </si>
  <si>
    <t xml:space="preserve">onValueChange logs each open, switch, and close value</t>
  </si>
  <si>
    <t xml:space="preserve">data-slot override survives default, asChild, and render composition on Root</t>
  </si>
  <si>
    <t xml:space="preserve">consumer ref receives nav or composed render element</t>
  </si>
  <si>
    <t xml:space="preserve">render prop replaces the default nav while preserving behavior props and ref</t>
  </si>
  <si>
    <t xml:space="preserve">default tag is ul with role="list" and data-slot="navigation-menu-list"</t>
  </si>
  <si>
    <t xml:space="preserve">data-orientation follows Root orientation</t>
  </si>
  <si>
    <t xml:space="preserve">data-slot override survives default, asChild, and render composition on List</t>
  </si>
  <si>
    <t xml:space="preserve">consumer ref receives the ul element</t>
  </si>
  <si>
    <t xml:space="preserve">Item: Learn</t>
  </si>
  <si>
    <t xml:space="preserve">default tag is li with data-slot="navigation-menu-item"</t>
  </si>
  <si>
    <t xml:space="preserve">value scopes its Trigger and Content pair</t>
  </si>
  <si>
    <t xml:space="preserve">data-slot override survives default, asChild, and render composition on Item: Learn</t>
  </si>
  <si>
    <t xml:space="preserve">consumer ref receives the li element</t>
  </si>
  <si>
    <t xml:space="preserve">Trigger: Learn</t>
  </si>
  <si>
    <t xml:space="preserve">default tag is button with type="button" and data-slot="navigation-menu-trigger"</t>
  </si>
  <si>
    <t xml:space="preserve">aria-expanded and data-state move between false/closed and true/open</t>
  </si>
  <si>
    <t xml:space="preserve">aria-controls stays present while closed and matches active Content id</t>
  </si>
  <si>
    <t xml:space="preserve">Trigger: Overview</t>
  </si>
  <si>
    <t xml:space="preserve">disabled emits disabled, aria-disabled="true", and data-disabled</t>
  </si>
  <si>
    <t xml:space="preserve">disabled blocks pointer and keyboard activation and is absent from roving registry</t>
  </si>
  <si>
    <t xml:space="preserve">consumer preventDefault blocks Atom click behavior</t>
  </si>
  <si>
    <t xml:space="preserve">data-slot override survives default, asChild, and render composition on Trigger: Learn</t>
  </si>
  <si>
    <t xml:space="preserve">consumer ref receives the rendered trigger element</t>
  </si>
  <si>
    <t xml:space="preserve">asChild preserves one button and merges behavior props</t>
  </si>
  <si>
    <t xml:space="preserve">render prop produces one button and preserves behavior props and ref</t>
  </si>
  <si>
    <t xml:space="preserve">Content: Learn</t>
  </si>
  <si>
    <t xml:space="preserve">Content registers and Viewport emits a div with data-slot="navigation-menu-content"</t>
  </si>
  <si>
    <t xml:space="preserve">active content has data-state="open" and tabIndex=-1</t>
  </si>
  <si>
    <t xml:space="preserve">Motion</t>
  </si>
  <si>
    <t xml:space="preserve">data-motion reports from-start or from-end when panels change</t>
  </si>
  <si>
    <t xml:space="preserve">generated id matches the owning Trigger aria-controls relationship</t>
  </si>
  <si>
    <t xml:space="preserve">data-slot override survives default, asChild, and render composition on Content: Learn</t>
  </si>
  <si>
    <t xml:space="preserve">Link: Atom UI</t>
  </si>
  <si>
    <t xml:space="preserve">default tag is a with href and data-slot="navigation-menu-link"</t>
  </si>
  <si>
    <t xml:space="preserve">Link: GitHub</t>
  </si>
  <si>
    <t xml:space="preserve">active emits data-active and aria-current="page"</t>
  </si>
  <si>
    <t xml:space="preserve">onSelect logs selection and closes an active root panel</t>
  </si>
  <si>
    <t xml:space="preserve">data-slot override survives default, asChild, and render composition on Link: Atom UI</t>
  </si>
  <si>
    <t xml:space="preserve">consumer ref receives the rendered anchor</t>
  </si>
  <si>
    <t xml:space="preserve">asChild preserves one anchor and uses the child href</t>
  </si>
  <si>
    <t xml:space="preserve">Presence</t>
  </si>
  <si>
    <t xml:space="preserve">optional Indicator is absent by default and appears when enabled</t>
  </si>
  <si>
    <t xml:space="preserve">default tag is div with data-slot="navigation-menu-indicator"</t>
  </si>
  <si>
    <t xml:space="preserve">aria-hidden="true" is always present</t>
  </si>
  <si>
    <t xml:space="preserve">data-state is visible for an active value and hidden when force-mounted closed</t>
  </si>
  <si>
    <t xml:space="preserve">Geometry</t>
  </si>
  <si>
    <t xml:space="preserve">trigger left, top, width, height, center-x, and center-y CSS variables are emitted</t>
  </si>
  <si>
    <t xml:space="preserve">data-slot override survives default, asChild, and render composition on Indicator</t>
  </si>
  <si>
    <t xml:space="preserve">asChild preserves one element and geometry behavior</t>
  </si>
  <si>
    <t xml:space="preserve">render prop replaces the default div and preserves geometry behavior and ref</t>
  </si>
  <si>
    <t xml:space="preserve">Viewport</t>
  </si>
  <si>
    <t xml:space="preserve">Viewport is absent while closed by default and forceMount keeps an empty closed element</t>
  </si>
  <si>
    <t xml:space="preserve">default tag is div with data-slot="navigation-menu-viewport"</t>
  </si>
  <si>
    <t xml:space="preserve">data-state is open with active content and closed when force-mounted empty</t>
  </si>
  <si>
    <t xml:space="preserve">viewport width and height CSS variables match active content measurements</t>
  </si>
  <si>
    <t xml:space="preserve">pointer enter cancels delayed close and pointer leave restarts it</t>
  </si>
  <si>
    <t xml:space="preserve">data-slot override survives default, asChild, and render composition on Viewport</t>
  </si>
  <si>
    <t xml:space="preserve">render prop replaces the default div and preserves state, content, and ref</t>
  </si>
  <si>
    <t xml:space="preserve">Sub is optional and renders only in the nested scenario</t>
  </si>
  <si>
    <t xml:space="preserve">default tag is div with data-slot="navigation-menu-sub"</t>
  </si>
  <si>
    <t xml:space="preserve">value and onValueChange control nested active content</t>
  </si>
  <si>
    <t xml:space="preserve">defaultValue initializes nested uncontrolled active content</t>
  </si>
  <si>
    <t xml:space="preserve">data-orientation and dir inherit the parent scope</t>
  </si>
  <si>
    <t xml:space="preserve">data-slot override survives default, asChild, and render composition on Sub</t>
  </si>
  <si>
    <t xml:space="preserve">asChild preserves one section and nested scope behavior</t>
  </si>
  <si>
    <t xml:space="preserve">render prop replaces the default div and preserves nested scope behavior and ref</t>
  </si>
  <si>
    <t xml:space="preserve">ArrowRight and ArrowLeft move horizontal top-level focus across triggers and direct links and hand off an open panel</t>
  </si>
  <si>
    <t xml:space="preserve">RTL mirrors ArrowRight and ArrowLeft trigger movement</t>
  </si>
  <si>
    <t xml:space="preserve">Home and End focus the first and last enabled horizontal top-level control</t>
  </si>
  <si>
    <t xml:space="preserve">ArrowDown opens and focuses the first focusable content element</t>
  </si>
  <si>
    <t xml:space="preserve">ArrowUp opens and focuses the last focusable content element</t>
  </si>
  <si>
    <t xml:space="preserve">Escape closes the root panel and restores focus to its trigger</t>
  </si>
  <si>
    <t xml:space="preserve">Escape closes nested Sub before the active root panel</t>
  </si>
  <si>
    <t xml:space="preserve">first hover respects delayDuration and active-panel hover switches immediately</t>
  </si>
  <si>
    <t xml:space="preserve">pointer leave closes after delay and skipDelayDuration accelerates reopen</t>
  </si>
  <si>
    <t xml:space="preserve">asChild preserves one section and Root behavior props and ref</t>
  </si>
  <si>
    <t xml:space="preserve">asChild preserves one list element, list semantics, children, and ref</t>
  </si>
  <si>
    <t xml:space="preserve">render prop replaces the default ul and preserves list semantics, children, and ref</t>
  </si>
  <si>
    <t xml:space="preserve">asChild preserves one list item and its NavigationMenu item scope</t>
  </si>
  <si>
    <t xml:space="preserve">render prop preserves one list item and its NavigationMenu item scope and ref</t>
  </si>
  <si>
    <t xml:space="preserve">asChild customizes the Content wrapper emitted through Viewport</t>
  </si>
  <si>
    <t xml:space="preserve">render prop customizes the Content wrapper emitted through Viewport</t>
  </si>
  <si>
    <t xml:space="preserve">render prop preserves one anchor, href, selection behavior, and ref</t>
  </si>
  <si>
    <t xml:space="preserve">asChild preserves one viewport element, active Content, sizing behavior, and ref</t>
  </si>
  <si>
    <t xml:space="preserve">Root loop defaults true and loop={false} is exposed by the playground source and Root anatomy</t>
  </si>
  <si>
    <t xml:space="preserve">ArrowDown and ArrowUp move through visible content focusables in DOM order</t>
  </si>
  <si>
    <t xml:space="preserve">Home and End focus the first and last visible content focusable</t>
  </si>
  <si>
    <t xml:space="preserve">loop=true wraps top-level Trigger and direct Link navigation at both boundaries</t>
  </si>
  <si>
    <t xml:space="preserve">loop=false stops top-level Trigger and direct Link navigation at both boundaries</t>
  </si>
  <si>
    <t xml:space="preserve">Shift+Tab from the first content focusable returns focus to its trigger</t>
  </si>
  <si>
    <t xml:space="preserve">Tab from the last content focusable closes the panel and focuses the next top-level control</t>
  </si>
  <si>
    <t xml:space="preserve">moving focus outside the root closes the active panel without trapping focus</t>
  </si>
  <si>
    <t xml:space="preserve">vertical ArrowDown and ArrowUp move across enabled top-level controls including direct links</t>
  </si>
  <si>
    <t xml:space="preserve">vertical ArrowRight in LTR and ArrowLeft in RTL open content and focus its first item</t>
  </si>
  <si>
    <t xml:space="preserve">Enter and Space toggle a trigger while retaining trigger focus</t>
  </si>
  <si>
    <t xml:space="preserve">omitted Content loop inherits Root and the playground exposes loop mode and effective value</t>
  </si>
  <si>
    <t xml:space="preserve">loop=false overrides Root loop=true and stops Content navigation at both boundaries</t>
  </si>
  <si>
    <t xml:space="preserve">loop=true overrides Root loop=false and wraps Content navigation at both boundaries</t>
  </si>
  <si>
    <t xml:space="preserve">NumberInput Playground Coverage</t>
  </si>
  <si>
    <t xml:space="preserve">NumberInput playground manual verification.</t>
  </si>
  <si>
    <t xml:space="preserve">Renders an editable text input with `role="spinbutton"`</t>
  </si>
  <si>
    <t xml:space="preserve">Supports `min`, `max`, `step`, `largeStep`, and precision formatting</t>
  </si>
  <si>
    <t xml:space="preserve">Supports keyboard stepping with arrows, Page Up/Down, Home, and End</t>
  </si>
  <si>
    <t xml:space="preserve">Supports custom parser and formatter functions</t>
  </si>
  <si>
    <t xml:space="preserve">Renders a hidden input for native form submission when named</t>
  </si>
  <si>
    <t xml:space="preserve">min prop behavior</t>
  </si>
  <si>
    <t xml:space="preserve">max prop behavior</t>
  </si>
  <si>
    <t xml:space="preserve">step prop behavior</t>
  </si>
  <si>
    <t xml:space="preserve">largeStep prop behavior</t>
  </si>
  <si>
    <t xml:space="preserve">precision prop behavior</t>
  </si>
  <si>
    <t xml:space="preserve">clampOnBlur prop behavior</t>
  </si>
  <si>
    <t xml:space="preserve">formatter prop behavior</t>
  </si>
  <si>
    <t xml:space="preserve">parser prop behavior</t>
  </si>
  <si>
    <t xml:space="preserve">ariaValueText prop behavior</t>
  </si>
  <si>
    <t xml:space="preserve">ariaDescribedBy prop behavior</t>
  </si>
  <si>
    <t xml:space="preserve">aria-valuemax is present at the correct time</t>
  </si>
  <si>
    <t xml:space="preserve">aria-valuemin is present at the correct time</t>
  </si>
  <si>
    <t xml:space="preserve">aria-valuenow is present at the correct time</t>
  </si>
  <si>
    <t xml:space="preserve">aria-valuetext is present at the correct time</t>
  </si>
  <si>
    <t xml:space="preserve">OTPField Playground Coverage</t>
  </si>
  <si>
    <t xml:space="preserve">ready for manual test</t>
  </si>
  <si>
    <t xml:space="preserve">OTPField playground scenario.</t>
  </si>
  <si>
    <t xml:space="preserve">Controlled and uncontrolled full value</t>
  </si>
  <si>
    <t xml:space="preserve">Auto-generated input cells based on `length`</t>
  </si>
  <si>
    <t xml:space="preserve">Optional explicit input indexes</t>
  </si>
  <si>
    <t xml:space="preserve">Roving tab stop so the field behaves as one logical control</t>
  </si>
  <si>
    <t xml:space="preserve">Paste distribution across cells</t>
  </si>
  <si>
    <t xml:space="preserve">Arrow, Backspace, Delete, Home, and End navigation</t>
  </si>
  <si>
    <t xml:space="preserve">Numeric, alphabetic, alphanumeric, or custom pattern filtering</t>
  </si>
  <si>
    <t xml:space="preserve">length prop behavior</t>
  </si>
  <si>
    <t xml:space="preserve">pattern prop behavior</t>
  </si>
  <si>
    <t xml:space="preserve">autoFocus prop behavior</t>
  </si>
  <si>
    <t xml:space="preserve">[data-index] prop behavior</t>
  </si>
  <si>
    <t xml:space="preserve">data-index is present at the correct time</t>
  </si>
  <si>
    <t xml:space="preserve">Pagination Playground Coverage</t>
  </si>
  <si>
    <t xml:space="preserve">manual-tests/pagination.md</t>
  </si>
  <si>
    <t xml:space="preserve">Renders a navigation landmark and ordered page list</t>
  </si>
  <si>
    <t xml:space="preserve">Supports controlled and uncontrolled current page</t>
  </si>
  <si>
    <t xml:space="preserve">Generates stable-length page ranges to reduce layout shift</t>
  </si>
  <si>
    <t xml:space="preserve">Supports sibling and boundary page counts</t>
  </si>
  <si>
    <t xml:space="preserve">Supports previous, next, page item, and decorative ellipsis parts</t>
  </si>
  <si>
    <t xml:space="preserve">Allows localized page labels through native `aria-label`</t>
  </si>
  <si>
    <t xml:space="preserve">totalPages prop behavior</t>
  </si>
  <si>
    <t xml:space="preserve">page prop behavior</t>
  </si>
  <si>
    <t xml:space="preserve">defaultPage prop behavior</t>
  </si>
  <si>
    <t xml:space="preserve">onPageChange prop behavior</t>
  </si>
  <si>
    <t xml:space="preserve">siblingCount prop behavior</t>
  </si>
  <si>
    <t xml:space="preserve">boundaryCount prop behavior</t>
  </si>
  <si>
    <t xml:space="preserve">[data-page] prop behavior</t>
  </si>
  <si>
    <t xml:space="preserve">Previous</t>
  </si>
  <si>
    <t xml:space="preserve">owns generated outer list item wrapper</t>
  </si>
  <si>
    <t xml:space="preserve">generated outer wrapper has data-slot="pagination-list-item"</t>
  </si>
  <si>
    <t xml:space="preserve">Next</t>
  </si>
  <si>
    <t xml:space="preserve">[data-direction] prop behavior</t>
  </si>
  <si>
    <t xml:space="preserve">data-direction is present at the correct time</t>
  </si>
  <si>
    <t xml:space="preserve">data-page is present at the correct time</t>
  </si>
  <si>
    <t xml:space="preserve">normal Tab order skips disabled pagination buttons</t>
  </si>
  <si>
    <t xml:space="preserve">PasswordToggleField Playground Coverage</t>
  </si>
  <si>
    <t xml:space="preserve">PasswordToggleField playground scenario.</t>
  </si>
  <si>
    <t xml:space="preserve">PasswordToggleField playground page uses shared Canvas/Source, Anatomy, Inspector, and Log infrastructure.</t>
  </si>
  <si>
    <t xml:space="preserve">Controlled and uncontrolled password visibility</t>
  </si>
  <si>
    <t xml:space="preserve">Native password input type switching</t>
  </si>
  <si>
    <t xml:space="preserve">Toggle button with dynamic accessible label</t>
  </si>
  <si>
    <t xml:space="preserve">Optional icon part that switches visible/hidden content</t>
  </si>
  <si>
    <t xml:space="preserve">Disabled, read-only, required, and invalid state propagation</t>
  </si>
  <si>
    <t xml:space="preserve">Headless only: no icon, layout, or visual affordance is included</t>
  </si>
  <si>
    <t xml:space="preserve">PasswordToggleField form-field playground page exposes this part/prop in Anatomy, Inspector, Source, or toolbar controls.</t>
  </si>
  <si>
    <t xml:space="preserve">visible prop behavior</t>
  </si>
  <si>
    <t xml:space="preserve">defaultVisible prop behavior</t>
  </si>
  <si>
    <t xml:space="preserve">onVisibleChange prop behavior</t>
  </si>
  <si>
    <t xml:space="preserve">Icon</t>
  </si>
  <si>
    <t xml:space="preserve">hidden prop behavior</t>
  </si>
  <si>
    <t xml:space="preserve">Popover Playground Coverage</t>
  </si>
  <si>
    <t xml:space="preserve">Popover manual protocol and live playground evidence.</t>
  </si>
  <si>
    <t xml:space="preserve">Click or hover trigger mode</t>
  </si>
  <si>
    <t xml:space="preserve">Optional anchor separate from the trigger</t>
  </si>
  <si>
    <t xml:space="preserve">Modal mode with focus trap and scroll lock</t>
  </si>
  <si>
    <t xml:space="preserve">Non-modal focus guards and outside interaction dismissal</t>
  </si>
  <si>
    <t xml:space="preserve">Stack-aware Escape dismissal for nested overlays</t>
  </si>
  <si>
    <t xml:space="preserve">Close button part and portal support</t>
  </si>
  <si>
    <t xml:space="preserve">Root is behavior-only and renders no DOM tag</t>
  </si>
  <si>
    <t xml:space="preserve">passed manual test; Root has state rows only and no raw DOM element</t>
  </si>
  <si>
    <t xml:space="preserve">Root Anatomy state rows; Root has no Attributes, ARIA, or Data groups.</t>
  </si>
  <si>
    <t xml:space="preserve">passed manual test; data-slot is not applicable to Root</t>
  </si>
  <si>
    <t xml:space="preserve">Root Anatomy confirms behavior-only context with no DOM slot.</t>
  </si>
  <si>
    <t xml:space="preserve">Root native DOM prop passthrough is not applicable</t>
  </si>
  <si>
    <t xml:space="preserve">passed manual test; Root exposes behavior through child DOM parts</t>
  </si>
  <si>
    <t xml:space="preserve">Root is non-DOM; prop checks apply to Anchor, Trigger, Content, Arrow, and Close.</t>
  </si>
  <si>
    <t xml:space="preserve">Root consumer DOM ref is not applicable</t>
  </si>
  <si>
    <t xml:space="preserve">passed manual test; Root has no rendered element for a DOM ref</t>
  </si>
  <si>
    <t xml:space="preserve">Root renders context only; refs are verified on DOM parts where applicable.</t>
  </si>
  <si>
    <t xml:space="preserve">modal prop behavior</t>
  </si>
  <si>
    <t xml:space="preserve">triggerMode prop behavior</t>
  </si>
  <si>
    <t xml:space="preserve">closeOnInteractOutside prop behavior</t>
  </si>
  <si>
    <t xml:space="preserve">Portal wrapper has no default DOM tag</t>
  </si>
  <si>
    <t xml:space="preserve">passed manual test; portal behavior verified through content parent evidence</t>
  </si>
  <si>
    <t xml:space="preserve">Portal Anatomy shows body, custom container, and disabled inline placement through Content parent rows.</t>
  </si>
  <si>
    <t xml:space="preserve">Portal has no data-slot because it renders no Atom DOM part</t>
  </si>
  <si>
    <t xml:space="preserve">passed manual test; data-slot is not applicable to Portal</t>
  </si>
  <si>
    <t xml:space="preserve">Portal behavior is verified through Content parent and Source portal props.</t>
  </si>
  <si>
    <t xml:space="preserve">Portal native DOM prop passthrough is not applicable</t>
  </si>
  <si>
    <t xml:space="preserve">passed manual test; Portal exposes portal utility props instead of DOM props</t>
  </si>
  <si>
    <t xml:space="preserve">Portal rows verify body, container, and disabled portal behavior.</t>
  </si>
  <si>
    <t xml:space="preserve">Portal consumer DOM ref is not applicable</t>
  </si>
  <si>
    <t xml:space="preserve">passed manual test; Portal has no rendered element for a DOM ref</t>
  </si>
  <si>
    <t xml:space="preserve">Portal behavior is verified through rendered Content placement evidence.</t>
  </si>
  <si>
    <t xml:space="preserve">Anchor</t>
  </si>
  <si>
    <t xml:space="preserve">[data-trigger-mode] prop behavior</t>
  </si>
  <si>
    <t xml:space="preserve">[data-side] prop behavior</t>
  </si>
  <si>
    <t xml:space="preserve">width prop behavior</t>
  </si>
  <si>
    <t xml:space="preserve">passed manual test; default Arrow width/height verified as 10 by 5</t>
  </si>
  <si>
    <t xml:space="preserve">Arrow Anatomy width/height rows and package geometry tests.</t>
  </si>
  <si>
    <t xml:space="preserve">height prop behavior</t>
  </si>
  <si>
    <t xml:space="preserve">passed manual test; wide Arrow width/height verified as 16 by 8</t>
  </si>
  <si>
    <t xml:space="preserve">Arrow Size toolbar option, Arrow Anatomy rows, and package geometry tests.</t>
  </si>
  <si>
    <t xml:space="preserve">data-side is present at the correct time</t>
  </si>
  <si>
    <t xml:space="preserve">data-trigger-mode is present at the correct time</t>
  </si>
  <si>
    <t xml:space="preserve">passed manual test; Escape closes nested layer before parent Popover</t>
  </si>
  <si>
    <t xml:space="preserve">Nested Popover manual protocol and package dismissable layer behavior.</t>
  </si>
  <si>
    <t xml:space="preserve">passed manual test; nested portalled Popover interaction stays inside parent layer</t>
  </si>
  <si>
    <t xml:space="preserve">Nested Popover manual protocol; package click-away ignores descendant portalled layers controlled inside parent content.</t>
  </si>
  <si>
    <t xml:space="preserve">passed manual test; body, custom container, and disabled portal paths verified</t>
  </si>
  <si>
    <t xml:space="preserve">Portal toolbar mode, Portal Anatomy rows, and Source output.</t>
  </si>
  <si>
    <t xml:space="preserve">passed manual test; Arrow geometry and default Anchor child reference behavior verified</t>
  </si>
  <si>
    <t xml:space="preserve">Anchor positioning manual test, Arrow Anatomy rows, and package PopoverContent reference tests.</t>
  </si>
  <si>
    <t xml:space="preserve">Visible Title and Description provide the default accessible name and description</t>
  </si>
  <si>
    <t xml:space="preserve">passed owner manual protocol</t>
  </si>
  <si>
    <t xml:space="preserve">Popover manual protocol Step 12 owner evidence and focused automated package regression.</t>
  </si>
  <si>
    <t xml:space="preserve">renders the visible Title part in documented order</t>
  </si>
  <si>
    <t xml:space="preserve">default h2 tag, stable ID, and data-slot are visible in Anatomy/Inspector</t>
  </si>
  <si>
    <t xml:space="preserve">renders the visible Description part in documented order</t>
  </si>
  <si>
    <t xml:space="preserve">default p tag, stable ID, and data-slot are visible in Anatomy/Inspector</t>
  </si>
  <si>
    <t xml:space="preserve">generated aria-labelledby and aria-describedby reference the exact visible part IDs</t>
  </si>
  <si>
    <t xml:space="preserve">native aria-label supplies the explicit name without a custom camel-case alias</t>
  </si>
  <si>
    <t xml:space="preserve">mouse activation moves initial focus to the first intended descendant</t>
  </si>
  <si>
    <t xml:space="preserve">keyboard activation moves initial focus and Escape restores Trigger focus</t>
  </si>
  <si>
    <t xml:space="preserve">explicit initialFocus and finalFocus targets are honored</t>
  </si>
  <si>
    <t xml:space="preserve">Close and Escape restoration use the correct dismissal reason</t>
  </si>
  <si>
    <t xml:space="preserve">hover opening never steals focus</t>
  </si>
  <si>
    <t xml:space="preserve">outside pointer dismissal preserves the outside destination</t>
  </si>
  <si>
    <t xml:space="preserve">Touch</t>
  </si>
  <si>
    <t xml:space="preserve">touch activation focuses Content without opening the first input or virtual keyboard</t>
  </si>
  <si>
    <t xml:space="preserve">Portal Playground Coverage</t>
  </si>
  <si>
    <t xml:space="preserve">Portal playground manual verification.</t>
  </si>
  <si>
    <t xml:space="preserve">Portals to `document.body` after mount by default</t>
  </si>
  <si>
    <t xml:space="preserve">Accepts a custom container element</t>
  </si>
  <si>
    <t xml:space="preserve">Can be disabled to render children in place</t>
  </si>
  <si>
    <t xml:space="preserve">Returns `null` before a client-side target exists</t>
  </si>
  <si>
    <t xml:space="preserve">shows Portal behavioral state when expected</t>
  </si>
  <si>
    <t xml:space="preserve">documents that Portal renders no DOM tag</t>
  </si>
  <si>
    <t xml:space="preserve">documents that Portal exposes no data-slot because it renders no wrapper</t>
  </si>
  <si>
    <t xml:space="preserve">Portaled child</t>
  </si>
  <si>
    <t xml:space="preserve">child content can carry native props/data-prop-check marker</t>
  </si>
  <si>
    <t xml:space="preserve">child content can be inspected when mounted</t>
  </si>
  <si>
    <t xml:space="preserve">child inspection is separate from Portal behavior anatomy</t>
  </si>
  <si>
    <t xml:space="preserve">child default tag is visible in Inspector</t>
  </si>
  <si>
    <t xml:space="preserve">child data attributes are visible in Inspector</t>
  </si>
  <si>
    <t xml:space="preserve">child non-Atom props pass through with data-prop-check marker</t>
  </si>
  <si>
    <t xml:space="preserve">default container is document.body</t>
  </si>
  <si>
    <t xml:space="preserve">custom container receives children</t>
  </si>
  <si>
    <t xml:space="preserve">disabled portal renders in place where supported</t>
  </si>
  <si>
    <t xml:space="preserve">Pressable Playground Coverage</t>
  </si>
  <si>
    <t xml:space="preserve">Pressable playground manual verification.</t>
  </si>
  <si>
    <t xml:space="preserve">Renders a native `&lt;button&gt;` by default</t>
  </si>
  <si>
    <t xml:space="preserve">Adds button semantics for custom non-native renders</t>
  </si>
  <si>
    <t xml:space="preserve">Supports pointer press state through `data-pressed`</t>
  </si>
  <si>
    <t xml:space="preserve">Supports disabled state and press cancellation</t>
  </si>
  <si>
    <t xml:space="preserve">Fires `onPress` for pointer and keyboard activation</t>
  </si>
  <si>
    <t xml:space="preserve">Handles Space activation on keyup for ARIA button parity</t>
  </si>
  <si>
    <t xml:space="preserve">onKeyDown prop behavior</t>
  </si>
  <si>
    <t xml:space="preserve">onKeyUp prop behavior</t>
  </si>
  <si>
    <t xml:space="preserve">onPointerDown prop behavior</t>
  </si>
  <si>
    <t xml:space="preserve">onPointerUp prop behavior</t>
  </si>
  <si>
    <t xml:space="preserve">onPointerCancel prop behavior</t>
  </si>
  <si>
    <t xml:space="preserve">onLostPointerCapture prop behavior</t>
  </si>
  <si>
    <t xml:space="preserve">[data-pressed] prop behavior</t>
  </si>
  <si>
    <t xml:space="preserve">data-pressed is present at the correct time</t>
  </si>
  <si>
    <t xml:space="preserve">Root composition</t>
  </si>
  <si>
    <t xml:space="preserve">custom render/asChild pointer down then release outside does not fire press</t>
  </si>
  <si>
    <t xml:space="preserve">Progress Playground Coverage</t>
  </si>
  <si>
    <t xml:space="preserve">Progress playground manual pass.</t>
  </si>
  <si>
    <t xml:space="preserve">Implements `role="progressbar"`</t>
  </si>
  <si>
    <t xml:space="preserve">Supports determinate values and indeterminate progress</t>
  </si>
  <si>
    <t xml:space="preserve">Normalizes invalid `min`/`max` ranges</t>
  </si>
  <si>
    <t xml:space="preserve">Exposes progress state, value, min, max, and percent through data attributes</t>
  </si>
  <si>
    <t xml:space="preserve">Supports custom assistive value text</t>
  </si>
  <si>
    <t xml:space="preserve">aria-valuetext prop behavior</t>
  </si>
  <si>
    <t xml:space="preserve">getValueLabel prop behavior</t>
  </si>
  <si>
    <t xml:space="preserve">[data-min] prop behavior</t>
  </si>
  <si>
    <t xml:space="preserve">[data-max] prop behavior</t>
  </si>
  <si>
    <t xml:space="preserve">[data-percent] prop behavior</t>
  </si>
  <si>
    <t xml:space="preserve">data-max is present at the correct time</t>
  </si>
  <si>
    <t xml:space="preserve">data-min is present at the correct time</t>
  </si>
  <si>
    <t xml:space="preserve">data-percent is present at the correct time</t>
  </si>
  <si>
    <t xml:space="preserve">RadioGroup Playground Coverage</t>
  </si>
  <si>
    <t xml:space="preserve">RadioGroup playground scenario.</t>
  </si>
  <si>
    <t xml:space="preserve">RadioGroup playground page uses shared Canvas/Source, Anatomy, Inspector, and Log infrastructure.</t>
  </si>
  <si>
    <t xml:space="preserve">Manages one selected value</t>
  </si>
  <si>
    <t xml:space="preserve">Supports horizontal and vertical keyboard navigation</t>
  </si>
  <si>
    <t xml:space="preserve">Supports optional looping</t>
  </si>
  <si>
    <t xml:space="preserve">Renders hidden native radio inputs for form submission when named</t>
  </si>
  <si>
    <t xml:space="preserve">Keeps only the selected or first enabled item in the tab order</t>
  </si>
  <si>
    <t xml:space="preserve">Package tests/source review verify consumer ref plumbing for RadioGroup; playground manual pass can inspect rendered DOM behavior.</t>
  </si>
  <si>
    <t xml:space="preserve">Composition controls/package tests cover render/asChild behavior for RadioGroup; ready for manual verification where exposed.</t>
  </si>
  <si>
    <t xml:space="preserve">Rating Playground Coverage</t>
  </si>
  <si>
    <t xml:space="preserve">Rating playground scenario.</t>
  </si>
  <si>
    <t xml:space="preserve">Implements rating as a WAI-ARIA slider</t>
  </si>
  <si>
    <t xml:space="preserve">Supports fractional values with configurable `step`</t>
  </si>
  <si>
    <t xml:space="preserve">Supports pointer selection, drag updates, keyboard control, and click-to-clear</t>
  </si>
  <si>
    <t xml:space="preserve">Supports disabled, read-only, invalid, and required states</t>
  </si>
  <si>
    <t xml:space="preserve">Renders an optional hidden input for form submission</t>
  </si>
  <si>
    <t xml:space="preserve">formValue prop behavior</t>
  </si>
  <si>
    <t xml:space="preserve">tabIndex prop behavior</t>
  </si>
  <si>
    <t xml:space="preserve">[data-step] prop behavior</t>
  </si>
  <si>
    <t xml:space="preserve">[data-fill] prop behavior</t>
  </si>
  <si>
    <t xml:space="preserve">data-fill is present at the correct time</t>
  </si>
  <si>
    <t xml:space="preserve">data-step is present at the correct time</t>
  </si>
  <si>
    <t xml:space="preserve">reads Direction.Provider context for horizontal rating movement</t>
  </si>
  <si>
    <t xml:space="preserve">RTL mirrors ArrowLeft and ArrowRight rating changes</t>
  </si>
  <si>
    <t xml:space="preserve">ScrollArea Playground Coverage</t>
  </si>
  <si>
    <t xml:space="preserve">ScrollArea playground scenario.</t>
  </si>
  <si>
    <t xml:space="preserve">Provides root and viewport parts</t>
  </si>
  <si>
    <t xml:space="preserve">Supports vertical, horizontal, and both-axis orientation metadata</t>
  </si>
  <si>
    <t xml:space="preserve">Keeps the viewport out of the Tab order by default</t>
  </si>
  <si>
    <t xml:space="preserve">Adds `role="region"` only when the viewport has an accessible name</t>
  </si>
  <si>
    <t xml:space="preserve">focusable prop behavior</t>
  </si>
  <si>
    <t xml:space="preserve">role prop behavior</t>
  </si>
  <si>
    <t xml:space="preserve">viewport keyboard accessibility is opt-in</t>
  </si>
  <si>
    <t xml:space="preserve">named region semantics only appear when labelled</t>
  </si>
  <si>
    <t xml:space="preserve">Select Playground Coverage</t>
  </si>
  <si>
    <t xml:space="preserve">Select playground manual verification.</t>
  </si>
  <si>
    <t xml:space="preserve">controlled value prop</t>
  </si>
  <si>
    <t xml:space="preserve">defaultValue / uncontrolled value</t>
  </si>
  <si>
    <t xml:space="preserve">onValueChange callback</t>
  </si>
  <si>
    <t xml:space="preserve">defaultOpen / uncontrolled open</t>
  </si>
  <si>
    <t xml:space="preserve">required</t>
  </si>
  <si>
    <t xml:space="preserve">name hidden input</t>
  </si>
  <si>
    <t xml:space="preserve">form hidden input association</t>
  </si>
  <si>
    <t xml:space="preserve">Field integration</t>
  </si>
  <si>
    <t xml:space="preserve">inherits Field disabled</t>
  </si>
  <si>
    <t xml:space="preserve">inherits Field required</t>
  </si>
  <si>
    <t xml:space="preserve">inherits Field control id</t>
  </si>
  <si>
    <t xml:space="preserve">inherits Field label</t>
  </si>
  <si>
    <t xml:space="preserve">inherits Field description/error</t>
  </si>
  <si>
    <t xml:space="preserve">explicit aria-label overrides Field label</t>
  </si>
  <si>
    <t xml:space="preserve">click closes when open</t>
  </si>
  <si>
    <t xml:space="preserve">role combobox</t>
  </si>
  <si>
    <t xml:space="preserve">type button on default render</t>
  </si>
  <si>
    <t xml:space="preserve">aria-expanded</t>
  </si>
  <si>
    <t xml:space="preserve">aria-haspopup listbox</t>
  </si>
  <si>
    <t xml:space="preserve">aria-controls matches listbox id</t>
  </si>
  <si>
    <t xml:space="preserve">aria-activedescendant tracks highlight</t>
  </si>
  <si>
    <t xml:space="preserve">aria-disabled / disabled attribute</t>
  </si>
  <si>
    <t xml:space="preserve">data-disabled</t>
  </si>
  <si>
    <t xml:space="preserve">ArrowDown opens and highlights first enabled item</t>
  </si>
  <si>
    <t xml:space="preserve">ArrowUp opens and highlights last enabled item</t>
  </si>
  <si>
    <t xml:space="preserve">arrow navigation wraps</t>
  </si>
  <si>
    <t xml:space="preserve">Enter opens when closed</t>
  </si>
  <si>
    <t xml:space="preserve">Enter selects highlighted item when open</t>
  </si>
  <si>
    <t xml:space="preserve">Space opens when closed</t>
  </si>
  <si>
    <t xml:space="preserve">Space selects highlighted item when open</t>
  </si>
  <si>
    <t xml:space="preserve">Escape closes and keeps focus on trigger</t>
  </si>
  <si>
    <t xml:space="preserve">Tab closes and moves focus normally</t>
  </si>
  <si>
    <t xml:space="preserve">typeahead opens and highlights match</t>
  </si>
  <si>
    <t xml:space="preserve">typeahead buffer resets</t>
  </si>
  <si>
    <t xml:space="preserve">Value</t>
  </si>
  <si>
    <t xml:space="preserve">renders selected item label</t>
  </si>
  <si>
    <t xml:space="preserve">renders placeholder with no value</t>
  </si>
  <si>
    <t xml:space="preserve">children override displayed text</t>
  </si>
  <si>
    <t xml:space="preserve">data-placeholder</t>
  </si>
  <si>
    <t xml:space="preserve">ref receives span</t>
  </si>
  <si>
    <t xml:space="preserve">native span props passthrough</t>
  </si>
  <si>
    <t xml:space="preserve">data-slot</t>
  </si>
  <si>
    <t xml:space="preserve">renders decorative icon</t>
  </si>
  <si>
    <t xml:space="preserve">aria-hidden</t>
  </si>
  <si>
    <t xml:space="preserve">content mounts in body by default</t>
  </si>
  <si>
    <t xml:space="preserve">disabled keeps content inline</t>
  </si>
  <si>
    <t xml:space="preserve">container prop</t>
  </si>
  <si>
    <t xml:space="preserve">Focus scope</t>
  </si>
  <si>
    <t xml:space="preserve">registers with parent modal focus scope</t>
  </si>
  <si>
    <t xml:space="preserve">Content/Listbox</t>
  </si>
  <si>
    <t xml:space="preserve">Content alias renders listbox</t>
  </si>
  <si>
    <t xml:space="preserve">Listbox part renders directly</t>
  </si>
  <si>
    <t xml:space="preserve">renders only when open</t>
  </si>
  <si>
    <t xml:space="preserve">disablePortal</t>
  </si>
  <si>
    <t xml:space="preserve">role listbox</t>
  </si>
  <si>
    <t xml:space="preserve">aria-label</t>
  </si>
  <si>
    <t xml:space="preserve">data-state open</t>
  </si>
  <si>
    <t xml:space="preserve">min width matches trigger</t>
  </si>
  <si>
    <t xml:space="preserve">outside pointer closes</t>
  </si>
  <si>
    <t xml:space="preserve">inside click does not close unless selecting item</t>
  </si>
  <si>
    <t xml:space="preserve">Escape closes from open listbox</t>
  </si>
  <si>
    <t xml:space="preserve">highlighted item scrolls into view</t>
  </si>
  <si>
    <t xml:space="preserve">ref receives div</t>
  </si>
  <si>
    <t xml:space="preserve">renders item viewport</t>
  </si>
  <si>
    <t xml:space="preserve">renders group role</t>
  </si>
  <si>
    <t xml:space="preserve">aria-labelledby matches Label</t>
  </si>
  <si>
    <t xml:space="preserve">renders group label</t>
  </si>
  <si>
    <t xml:space="preserve">id registration</t>
  </si>
  <si>
    <t xml:space="preserve">renders option role</t>
  </si>
  <si>
    <t xml:space="preserve">value is required identity</t>
  </si>
  <si>
    <t xml:space="preserve">label prop controls typeahead/value display</t>
  </si>
  <si>
    <t xml:space="preserve">selected item aria-selected</t>
  </si>
  <si>
    <t xml:space="preserve">data-state checked/unchecked</t>
  </si>
  <si>
    <t xml:space="preserve">disabled item aria-disabled/data-disabled</t>
  </si>
  <si>
    <t xml:space="preserve">aria-labelledby appears after ItemText</t>
  </si>
  <si>
    <t xml:space="preserve">omits aria-labelledby without ItemText</t>
  </si>
  <si>
    <t xml:space="preserve">click selects item</t>
  </si>
  <si>
    <t xml:space="preserve">click closes listbox</t>
  </si>
  <si>
    <t xml:space="preserve">click restores focus to trigger</t>
  </si>
  <si>
    <t xml:space="preserve">disabled item click is ignored</t>
  </si>
  <si>
    <t xml:space="preserve">pointer move highlights enabled item</t>
  </si>
  <si>
    <t xml:space="preserve">merged onPointerMove</t>
  </si>
  <si>
    <t xml:space="preserve">merged onPointerLeave</t>
  </si>
  <si>
    <t xml:space="preserve">data-highlighted</t>
  </si>
  <si>
    <t xml:space="preserve">data-value</t>
  </si>
  <si>
    <t xml:space="preserve">ItemText</t>
  </si>
  <si>
    <t xml:space="preserve">registers item text</t>
  </si>
  <si>
    <t xml:space="preserve">id used by item aria-labelledby</t>
  </si>
  <si>
    <t xml:space="preserve">ItemIndicator</t>
  </si>
  <si>
    <t xml:space="preserve">renders only when selected by default</t>
  </si>
  <si>
    <t xml:space="preserve">forceMount renders unchecked indicator</t>
  </si>
  <si>
    <t xml:space="preserve">renders separator role</t>
  </si>
  <si>
    <t xml:space="preserve">aria-orientation horizontal</t>
  </si>
  <si>
    <t xml:space="preserve">ScrollUpButton</t>
  </si>
  <si>
    <t xml:space="preserve">renders only when can scroll up</t>
  </si>
  <si>
    <t xml:space="preserve">ScrollDownButton</t>
  </si>
  <si>
    <t xml:space="preserve">renders only when can scroll down</t>
  </si>
  <si>
    <t xml:space="preserve">Scroll buttons</t>
  </si>
  <si>
    <t xml:space="preserve">click scrolls viewport</t>
  </si>
  <si>
    <t xml:space="preserve">aria-hidden and tabIndex -1</t>
  </si>
  <si>
    <t xml:space="preserve">refs receive button</t>
  </si>
  <si>
    <t xml:space="preserve">data-slot direction</t>
  </si>
  <si>
    <t xml:space="preserve">renders decorative arrow</t>
  </si>
  <si>
    <t xml:space="preserve">single-character typeahead cycles from current matching option after buffer reset</t>
  </si>
  <si>
    <t xml:space="preserve">Sidebar Playground Coverage</t>
  </si>
  <si>
    <t xml:space="preserve">manual-tests/sidebar.md</t>
  </si>
  <si>
    <t xml:space="preserve">Supports controlled and uncontrolled sidebar state</t>
  </si>
  <si>
    <t xml:space="preserve">Supports `expanded`, `rail`, and `offcanvas` states</t>
  </si>
  <si>
    <t xml:space="preserve">Supports left and right sidebars</t>
  </si>
  <si>
    <t xml:space="preserve">Provides trigger, panel, and main content relationships</t>
  </si>
  <si>
    <t xml:space="preserve">Keeps layout and visual sizing in consumer styles</t>
  </si>
  <si>
    <t xml:space="preserve">Removes offcanvas panels from the accessibility tree</t>
  </si>
  <si>
    <t xml:space="preserve">state prop behavior</t>
  </si>
  <si>
    <t xml:space="preserve">defaultState prop behavior</t>
  </si>
  <si>
    <t xml:space="preserve">onStateChange prop behavior</t>
  </si>
  <si>
    <t xml:space="preserve">collapsedState prop behavior</t>
  </si>
  <si>
    <t xml:space="preserve">[data-collapsed-state] prop behavior</t>
  </si>
  <si>
    <t xml:space="preserve">Root disabled state disables Trigger behavior</t>
  </si>
  <si>
    <t xml:space="preserve">Main</t>
  </si>
  <si>
    <t xml:space="preserve">Panel</t>
  </si>
  <si>
    <t xml:space="preserve">data-collapsed-state is present at the correct time</t>
  </si>
  <si>
    <t xml:space="preserve">data-target-state is present at the correct time</t>
  </si>
  <si>
    <t xml:space="preserve">SkipLink Playground Coverage</t>
  </si>
  <si>
    <t xml:space="preserve">SkipLink playground scenario.</t>
  </si>
  <si>
    <t xml:space="preserve">Renders a native anchor for progressive enhancement</t>
  </si>
  <si>
    <t xml:space="preserve">Focuses and scrolls the hash target on activation</t>
  </si>
  <si>
    <t xml:space="preserve">Safely handles malformed hash encoding</t>
  </si>
  <si>
    <t xml:space="preserve">Provides a programmatically focusable target</t>
  </si>
  <si>
    <t xml:space="preserve">Supports `asChild` and `render` on both parts</t>
  </si>
  <si>
    <t xml:space="preserve">focusTarget prop behavior</t>
  </si>
  <si>
    <t xml:space="preserve">Target</t>
  </si>
  <si>
    <t xml:space="preserve">skip link target receives programmatic focus</t>
  </si>
  <si>
    <t xml:space="preserve">malformed hashes do not break navigation</t>
  </si>
  <si>
    <t xml:space="preserve">Slider Playground Coverage</t>
  </si>
  <si>
    <t xml:space="preserve">Slider playground scenario.</t>
  </si>
  <si>
    <t xml:space="preserve">Supports single-value and multi-thumb range values</t>
  </si>
  <si>
    <t xml:space="preserve">Supports horizontal and vertical orientation</t>
  </si>
  <si>
    <t xml:space="preserve">Supports pointer dragging, keyboard changes, and commit callbacks</t>
  </si>
  <si>
    <t xml:space="preserve">Supports hidden form inputs</t>
  </si>
  <si>
    <t xml:space="preserve">Exposes geometry through data attributes and inline offset styles</t>
  </si>
  <si>
    <t xml:space="preserve">onValueCommit prop behavior</t>
  </si>
  <si>
    <t xml:space="preserve">minStepsBetweenThumbs prop behavior</t>
  </si>
  <si>
    <t xml:space="preserve">Range</t>
  </si>
  <si>
    <t xml:space="preserve">PageUp prop behavior</t>
  </si>
  <si>
    <t xml:space="preserve">PageDown prop behavior</t>
  </si>
  <si>
    <t xml:space="preserve">Home prop behavior</t>
  </si>
  <si>
    <t xml:space="preserve">End prop behavior</t>
  </si>
  <si>
    <t xml:space="preserve">Thumb</t>
  </si>
  <si>
    <t xml:space="preserve">Track</t>
  </si>
  <si>
    <t xml:space="preserve">data-end is present at the correct time</t>
  </si>
  <si>
    <t xml:space="preserve">data-start is present at the correct time</t>
  </si>
  <si>
    <t xml:space="preserve">reads Direction.Provider context for horizontal slider math</t>
  </si>
  <si>
    <t xml:space="preserve">RTL mirrors ArrowLeft and ArrowRight value changes</t>
  </si>
  <si>
    <t xml:space="preserve">RTL mirrors pointer math for horizontal value changes</t>
  </si>
  <si>
    <t xml:space="preserve">SwipeableItem Playground Coverage</t>
  </si>
  <si>
    <t xml:space="preserve">SwipeableItem playground scenario.</t>
  </si>
  <si>
    <t xml:space="preserve">Supports start and end action panels</t>
  </si>
  <si>
    <t xml:space="preserve">Supports pointer dragging and keyboard opening</t>
  </si>
  <si>
    <t xml:space="preserve">Supports controlled and uncontrolled open side state</t>
  </si>
  <si>
    <t xml:space="preserve">Supports left-to-right and right-to-left direction</t>
  </si>
  <si>
    <t xml:space="preserve">Supports optional full-swipe actions</t>
  </si>
  <si>
    <t xml:space="preserve">openSide prop behavior</t>
  </si>
  <si>
    <t xml:space="preserve">defaultOpenSide prop behavior</t>
  </si>
  <si>
    <t xml:space="preserve">onOpenSideChange prop behavior</t>
  </si>
  <si>
    <t xml:space="preserve">onFullSwipe prop behavior</t>
  </si>
  <si>
    <t xml:space="preserve">threshold prop behavior</t>
  </si>
  <si>
    <t xml:space="preserve">fullSwipeThreshold prop behavior</t>
  </si>
  <si>
    <t xml:space="preserve">[data-dragging] prop behavior</t>
  </si>
  <si>
    <t xml:space="preserve">--atom-swipeable-item-offset prop behavior</t>
  </si>
  <si>
    <t xml:space="preserve">--atom-swipeable-item-start-size prop behavior</t>
  </si>
  <si>
    <t xml:space="preserve">--atom-swipeable-item-end-size prop behavior</t>
  </si>
  <si>
    <t xml:space="preserve">Actions</t>
  </si>
  <si>
    <t xml:space="preserve">data-dragging is present at the correct time</t>
  </si>
  <si>
    <t xml:space="preserve">Escape behavior</t>
  </si>
  <si>
    <t xml:space="preserve">reads Direction.Provider context before defaulting to ltr</t>
  </si>
  <si>
    <t xml:space="preserve">Direction-sensitive behavior is supported by source; manual verification needed.</t>
  </si>
  <si>
    <t xml:space="preserve">direct dir prop overrides provider direction</t>
  </si>
  <si>
    <t xml:space="preserve">RTL mirrors start and end swipe sides</t>
  </si>
  <si>
    <t xml:space="preserve">RTL mirrors ArrowLeft and ArrowRight open side behavior</t>
  </si>
  <si>
    <t xml:space="preserve">scenario exposes provider direction and direct dir override separately</t>
  </si>
  <si>
    <t xml:space="preserve">Actions close the open item on click by default and can opt out with closeOnClick={false}</t>
  </si>
  <si>
    <t xml:space="preserve">Switch Playground Coverage</t>
  </si>
  <si>
    <t xml:space="preserve">Switch playground scenario.</t>
  </si>
  <si>
    <t xml:space="preserve">Switch playground page uses shared Canvas/Source, Anatomy, Inspector, and Log infrastructure.</t>
  </si>
  <si>
    <t xml:space="preserve">Renders a WAI-ARIA switch</t>
  </si>
  <si>
    <t xml:space="preserve">Supports disabled, read-only, required, and invalid states</t>
  </si>
  <si>
    <t xml:space="preserve">Includes a decorative thumb part that mirrors root state</t>
  </si>
  <si>
    <t xml:space="preserve">Package tests/source review verify consumer ref plumbing for Switch; playground manual pass can inspect rendered DOM behavior.</t>
  </si>
  <si>
    <t xml:space="preserve">Composition controls/package tests cover render/asChild behavior for Switch; ready for manual verification where exposed.</t>
  </si>
  <si>
    <t xml:space="preserve">Table Playground Coverage</t>
  </si>
  <si>
    <t xml:space="preserve">Table playground scenario; manual-tests/table.md draft executed.</t>
  </si>
  <si>
    <t xml:space="preserve">Renders native table semantics</t>
  </si>
  <si>
    <t xml:space="preserve">Provides all standard table structural parts</t>
  </si>
  <si>
    <t xml:space="preserve">Supports `aria-sort` and `data-sort` on header cells</t>
  </si>
  <si>
    <t xml:space="preserve">Leaves sorting, filtering, selection, and keyboard grid behavior to higher-level primitives</t>
  </si>
  <si>
    <t xml:space="preserve">Head</t>
  </si>
  <si>
    <t xml:space="preserve">scope prop behavior</t>
  </si>
  <si>
    <t xml:space="preserve">[data-sort] prop behavior</t>
  </si>
  <si>
    <t xml:space="preserve">Tabs Playground Coverage</t>
  </si>
  <si>
    <t xml:space="preserve">manual-tests/tabs.md</t>
  </si>
  <si>
    <t xml:space="preserve">Implements linked tab and tabpanel ARIA</t>
  </si>
  <si>
    <t xml:space="preserve">Supports controlled and uncontrolled selected value</t>
  </si>
  <si>
    <t xml:space="preserve">Supports automatic or manual activation</t>
  </si>
  <si>
    <t xml:space="preserve">Supports disabled tabs, keep-mounted panels, focusable panels, and an optional indicator</t>
  </si>
  <si>
    <t xml:space="preserve">activationMode prop behavior</t>
  </si>
  <si>
    <t xml:space="preserve">roving focus and tab stop state are visible</t>
  </si>
  <si>
    <t xml:space="preserve">ArrowLeft behavior</t>
  </si>
  <si>
    <t xml:space="preserve">Textarea Playground Coverage</t>
  </si>
  <si>
    <t xml:space="preserve">Textarea playground manual verification.</t>
  </si>
  <si>
    <t xml:space="preserve">Renders a native `&lt;textarea&gt;`</t>
  </si>
  <si>
    <t xml:space="preserve">Supports optional auto-resize with `minRows` and `maxRows`</t>
  </si>
  <si>
    <t xml:space="preserve">Includes an optional character count part</t>
  </si>
  <si>
    <t xml:space="preserve">Exposes filled, focused, disabled, readonly, invalid, and over-limit state</t>
  </si>
  <si>
    <t xml:space="preserve">autoResize prop behavior</t>
  </si>
  <si>
    <t xml:space="preserve">minRows prop behavior</t>
  </si>
  <si>
    <t xml:space="preserve">maxRows prop behavior</t>
  </si>
  <si>
    <t xml:space="preserve">[data-autoresize] prop behavior</t>
  </si>
  <si>
    <t xml:space="preserve">Count</t>
  </si>
  <si>
    <t xml:space="preserve">[data-over-limit] prop behavior</t>
  </si>
  <si>
    <t xml:space="preserve">aria-live is present at the correct time</t>
  </si>
  <si>
    <t xml:space="preserve">data-autoresize is present at the correct time</t>
  </si>
  <si>
    <t xml:space="preserve">data-over-limit is present at the correct time</t>
  </si>
  <si>
    <t xml:space="preserve">Toast Playground Coverage</t>
  </si>
  <si>
    <t xml:space="preserve">manual-tests/toast.md</t>
  </si>
  <si>
    <t xml:space="preserve">Supports declarative and imperative toast rendering</t>
  </si>
  <si>
    <t xml:space="preserve">Includes a global toast store and `toast.*` helpers</t>
  </si>
  <si>
    <t xml:space="preserve">Supports queueing with a maximum visible count</t>
  </si>
  <si>
    <t xml:space="preserve">Announces toast titles/descriptions through persistent live regions</t>
  </si>
  <si>
    <t xml:space="preserve">Supports hover/focus-loss pause behavior</t>
  </si>
  <si>
    <t xml:space="preserve">Supports custom viewport rendering</t>
  </si>
  <si>
    <t xml:space="preserve">Supports `asChild` and `render` on visual parts</t>
  </si>
  <si>
    <t xml:space="preserve">toast prop behavior</t>
  </si>
  <si>
    <t xml:space="preserve">duration prop behavior</t>
  </si>
  <si>
    <t xml:space="preserve">paused prop behavior</t>
  </si>
  <si>
    <t xml:space="preserve">dismissible prop behavior</t>
  </si>
  <si>
    <t xml:space="preserve">closeButton prop behavior</t>
  </si>
  <si>
    <t xml:space="preserve">expanded prop behavior</t>
  </si>
  <si>
    <t xml:space="preserve">removeDelay prop behavior</t>
  </si>
  <si>
    <t xml:space="preserve">onAutoClose prop behavior</t>
  </si>
  <si>
    <t xml:space="preserve">onDismiss prop behavior</t>
  </si>
  <si>
    <t xml:space="preserve">[data-type] prop behavior</t>
  </si>
  <si>
    <t xml:space="preserve">[data-expanded] prop behavior</t>
  </si>
  <si>
    <t xml:space="preserve">maxVisible prop behavior</t>
  </si>
  <si>
    <t xml:space="preserve">expandOnHover prop behavior</t>
  </si>
  <si>
    <t xml:space="preserve">pauseOnHover prop behavior</t>
  </si>
  <si>
    <t xml:space="preserve">pauseOnFocusLoss prop behavior</t>
  </si>
  <si>
    <t xml:space="preserve">portalDisabled prop behavior</t>
  </si>
  <si>
    <t xml:space="preserve">renderToast prop behavior</t>
  </si>
  <si>
    <t xml:space="preserve">[data-slot="toast-announcer-polite"] prop behavior</t>
  </si>
  <si>
    <t xml:space="preserve">[data-slot="toast-announcer-assertive"] prop behavior</t>
  </si>
  <si>
    <t xml:space="preserve">altText prop behavior</t>
  </si>
  <si>
    <t xml:space="preserve">aria-atomic is present at the correct time</t>
  </si>
  <si>
    <t xml:space="preserve">data-expanded is present at the correct time</t>
  </si>
  <si>
    <t xml:space="preserve">data-type is present at the correct time</t>
  </si>
  <si>
    <t xml:space="preserve">Toggle Playground Coverage</t>
  </si>
  <si>
    <t xml:space="preserve">Toggle playground manual verification.</t>
  </si>
  <si>
    <t xml:space="preserve">canvas source reflects controlled, pressed, disabled, events, and composition</t>
  </si>
  <si>
    <t xml:space="preserve">anatomy uses live DOM attributes, ARIA, data, text, and ref evidence</t>
  </si>
  <si>
    <t xml:space="preserve">inspector selected/focused/logs update for this scenario</t>
  </si>
  <si>
    <t xml:space="preserve">Root is the only anatomy part</t>
  </si>
  <si>
    <t xml:space="preserve">Root summary follows data-state on/off</t>
  </si>
  <si>
    <t xml:space="preserve">default render is native button</t>
  </si>
  <si>
    <t xml:space="preserve">consumer ref receives rendered element</t>
  </si>
  <si>
    <t xml:space="preserve">visible text is Bold</t>
  </si>
  <si>
    <t xml:space="preserve">non-Atom native/data props pass through with data-prop-check marker</t>
  </si>
  <si>
    <t xml:space="preserve">value prop appears as data-value</t>
  </si>
  <si>
    <t xml:space="preserve">aria-label comes from ariaLabel</t>
  </si>
  <si>
    <t xml:space="preserve">aria-pressed reflects pressed state</t>
  </si>
  <si>
    <t xml:space="preserve">uncontrolled defaultPressed path starts from toolbar state</t>
  </si>
  <si>
    <t xml:space="preserve">controlled pressed path follows toolbar state</t>
  </si>
  <si>
    <t xml:space="preserve">click toggles pressed state</t>
  </si>
  <si>
    <t xml:space="preserve">Enter toggles pressed state</t>
  </si>
  <si>
    <t xml:space="preserve">Space toggles pressed state</t>
  </si>
  <si>
    <t xml:space="preserve">onPressedChange fires with the next value</t>
  </si>
  <si>
    <t xml:space="preserve">disabled blocks click and keyboard toggling</t>
  </si>
  <si>
    <t xml:space="preserve">Attributes</t>
  </si>
  <si>
    <t xml:space="preserve">type button is present for native button</t>
  </si>
  <si>
    <t xml:space="preserve">native disabled attribute appears when disabled</t>
  </si>
  <si>
    <t xml:space="preserve">data-slot is toggle</t>
  </si>
  <si>
    <t xml:space="preserve">data-state is on or off</t>
  </si>
  <si>
    <t xml:space="preserve">data-disabled appears only when disabled</t>
  </si>
  <si>
    <t xml:space="preserve">data-value is bold</t>
  </si>
  <si>
    <t xml:space="preserve">asChild renders the provided child element</t>
  </si>
  <si>
    <t xml:space="preserve">asChild keeps behavior, ARIA, data, and text</t>
  </si>
  <si>
    <t xml:space="preserve">render renders the custom element</t>
  </si>
  <si>
    <t xml:space="preserve">render keeps behavior, ARIA, data, and text</t>
  </si>
  <si>
    <t xml:space="preserve">consumer onClick logs before Atom state change</t>
  </si>
  <si>
    <t xml:space="preserve">consumer onKeyDown logs Enter and Space</t>
  </si>
  <si>
    <t xml:space="preserve">preventDefault on click blocks Atom toggle</t>
  </si>
  <si>
    <t xml:space="preserve">preventDefault on keyboard blocks Atom toggle</t>
  </si>
  <si>
    <t xml:space="preserve">Source hides false booleans and uses shorthand true booleans</t>
  </si>
  <si>
    <t xml:space="preserve">ToggleGroup Playground Coverage</t>
  </si>
  <si>
    <t xml:space="preserve">ToggleGroup playground manual verification.</t>
  </si>
  <si>
    <t xml:space="preserve">canvas source reflects current state, direction, and composition</t>
  </si>
  <si>
    <t xml:space="preserve">anatomy uses live DOM Attributes, ARIA, and Data groups</t>
  </si>
  <si>
    <t xml:space="preserve">inspector selected, focused, and logs work for this scenario</t>
  </si>
  <si>
    <t xml:space="preserve">Root appears before Item sections</t>
  </si>
  <si>
    <t xml:space="preserve">Bold, Italic, and Underline items are inspectable separately</t>
  </si>
  <si>
    <t xml:space="preserve">default tag is div and ref target matches rendered element</t>
  </si>
  <si>
    <t xml:space="preserve">role group and aria-label are present</t>
  </si>
  <si>
    <t xml:space="preserve">data-slot is toggle-group</t>
  </si>
  <si>
    <t xml:space="preserve">single type toggles one selected value</t>
  </si>
  <si>
    <t xml:space="preserve">multiple type toggles multiple selected values</t>
  </si>
  <si>
    <t xml:space="preserve">controlled value path updates from toolbar and item press</t>
  </si>
  <si>
    <t xml:space="preserve">uncontrolled defaultValue path updates from item press</t>
  </si>
  <si>
    <t xml:space="preserve">onValueChange logs the next value exactly once per change</t>
  </si>
  <si>
    <t xml:space="preserve">disabled disables every item and blocks value changes</t>
  </si>
  <si>
    <t xml:space="preserve">loop true wraps arrow focus</t>
  </si>
  <si>
    <t xml:space="preserve">loop false stops arrow focus at edges</t>
  </si>
  <si>
    <t xml:space="preserve">horizontal orientation uses ArrowLeft and ArrowRight</t>
  </si>
  <si>
    <t xml:space="preserve">vertical orientation uses ArrowUp and ArrowDown</t>
  </si>
  <si>
    <t xml:space="preserve">LTR horizontal ArrowRight moves forward and ArrowLeft moves backward</t>
  </si>
  <si>
    <t xml:space="preserve">RTL horizontal ArrowRight moves backward and ArrowLeft moves forward</t>
  </si>
  <si>
    <t xml:space="preserve">Home focuses the first enabled item</t>
  </si>
  <si>
    <t xml:space="preserve">End focuses the last enabled item</t>
  </si>
  <si>
    <t xml:space="preserve">disabled items are skipped during keyboard navigation</t>
  </si>
  <si>
    <t xml:space="preserve">roving tab stop follows selected item or first enabled item</t>
  </si>
  <si>
    <t xml:space="preserve">data-orientation changes with orientation</t>
  </si>
  <si>
    <t xml:space="preserve">data-disabled appears only when root is disabled</t>
  </si>
  <si>
    <t xml:space="preserve">asChild renders section without double nesting</t>
  </si>
  <si>
    <t xml:space="preserve">render renders section and preserves children</t>
  </si>
  <si>
    <t xml:space="preserve">default tag is button and ref target matches rendered element</t>
  </si>
  <si>
    <t xml:space="preserve">item text and value are visible</t>
  </si>
  <si>
    <t xml:space="preserve">aria-label is present for item labels</t>
  </si>
  <si>
    <t xml:space="preserve">aria-pressed tracks on and off states</t>
  </si>
  <si>
    <t xml:space="preserve">native disabled item does not add redundant aria-disabled</t>
  </si>
  <si>
    <t xml:space="preserve">non-native disabled item receives aria-disabled</t>
  </si>
  <si>
    <t xml:space="preserve">item press toggles selected state in multiple mode</t>
  </si>
  <si>
    <t xml:space="preserve">item press replaces selected state in single mode</t>
  </si>
  <si>
    <t xml:space="preserve">disabled item cannot be toggled</t>
  </si>
  <si>
    <t xml:space="preserve">data-slot is toggle-group-item</t>
  </si>
  <si>
    <t xml:space="preserve">data-value matches public value</t>
  </si>
  <si>
    <t xml:space="preserve">data-disabled appears only for disabled item</t>
  </si>
  <si>
    <t xml:space="preserve">asChild renders span and preserves behavior props</t>
  </si>
  <si>
    <t xml:space="preserve">render renders span and preserves behavior props</t>
  </si>
  <si>
    <t xml:space="preserve">preventDefault on item click blocks Atom toggle behavior</t>
  </si>
  <si>
    <t xml:space="preserve">preventDefault on Enter or Space blocks Atom toggle behavior</t>
  </si>
  <si>
    <t xml:space="preserve">Enter toggles the focused item</t>
  </si>
  <si>
    <t xml:space="preserve">Space toggles the focused item</t>
  </si>
  <si>
    <t xml:space="preserve">source omits false boolean props and shows disabled shorthand</t>
  </si>
  <si>
    <t xml:space="preserve">source shows Direction.Provider only for rtl</t>
  </si>
  <si>
    <t xml:space="preserve">value changes, item events, and root keyboard events are useful and not spammy</t>
  </si>
  <si>
    <t xml:space="preserve">Toolbar Playground Coverage</t>
  </si>
  <si>
    <t xml:space="preserve">Draft Manual Test Protocol manual-tests/toolbar.md passed in browser.</t>
  </si>
  <si>
    <t xml:space="preserve">Renders `role="toolbar"` with orientation</t>
  </si>
  <si>
    <t xml:space="preserve">Supports buttons, links, separators, and toggle groups</t>
  </si>
  <si>
    <t xml:space="preserve">Registers toolbar items in DOM order</t>
  </si>
  <si>
    <t xml:space="preserve">Keeps styling, icons, and visual grouping outside the primitive</t>
  </si>
  <si>
    <t xml:space="preserve">ToggleItem</t>
  </si>
  <si>
    <t xml:space="preserve">aria-pressed is present at the correct time</t>
  </si>
  <si>
    <t xml:space="preserve">ArrowDown behavior</t>
  </si>
  <si>
    <t xml:space="preserve">ArrowRight behavior</t>
  </si>
  <si>
    <t xml:space="preserve">ArrowUp behavior</t>
  </si>
  <si>
    <t xml:space="preserve">scenario exposes provider direction and direct dir override through a single Direction control</t>
  </si>
  <si>
    <t xml:space="preserve">asChild and render composition modes preserve toolbar behavior</t>
  </si>
  <si>
    <t xml:space="preserve">asChild and render composition modes preserve button behavior</t>
  </si>
  <si>
    <t xml:space="preserve">asChild and render composition modes preserve link behavior</t>
  </si>
  <si>
    <t xml:space="preserve">asChild and render composition modes preserve separator behavior</t>
  </si>
  <si>
    <t xml:space="preserve">asChild and render composition modes preserve toggle group behavior</t>
  </si>
  <si>
    <t xml:space="preserve">asChild and render composition modes preserve toggle item behavior</t>
  </si>
  <si>
    <t xml:space="preserve">Tooltip Playground Coverage</t>
  </si>
  <si>
    <t xml:space="preserve">manual-tests/tooltip.md</t>
  </si>
  <si>
    <t xml:space="preserve">Provider-level delay configuration</t>
  </si>
  <si>
    <t xml:space="preserve">`aria-describedby` wiring between trigger and tooltip content</t>
  </si>
  <si>
    <t xml:space="preserve">skipDelay prop behavior</t>
  </si>
  <si>
    <t xml:space="preserve">data-variant is present at the correct time</t>
  </si>
  <si>
    <t xml:space="preserve">render prop preserves behavior props</t>
  </si>
  <si>
    <t xml:space="preserve">quick tap does not open through touch-generated compatibility hover/focus; ordinary tap remains available</t>
  </si>
  <si>
    <t xml:space="preserve">passed physical iPhone Safari manual test, 2026-07-19</t>
  </si>
  <si>
    <t xml:space="preserve">manual-tests/tooltip.md Steps 11–12; Mobile Readiness evidence MRE-14-TOOLTIP-001 and MRE-14-TOOLTIP-003</t>
  </si>
  <si>
    <t xml:space="preserve">Touch long press</t>
  </si>
  <si>
    <t xml:space="preserve">stationary single touch opens once at approximately 700 ms and remains open while held</t>
  </si>
  <si>
    <t xml:space="preserve">Touch dismissal</t>
  </si>
  <si>
    <t xml:space="preserve">plain closes 1500 ms and rich closes 3000 ms after release; rich remains non-interactive</t>
  </si>
  <si>
    <t xml:space="preserve">Touch cancellation</t>
  </si>
  <si>
    <t xml:space="preserve">early release, movement beyond 10 CSS pixels, native scroll, second touch, touchcancel, disabled change, and unmount cancel the pending session</t>
  </si>
  <si>
    <t xml:space="preserve">movement or scroll after opening closes the touch session; repeated gestures remain usable</t>
  </si>
  <si>
    <t xml:space="preserve">Touch native behavior</t>
  </si>
  <si>
    <t xml:space="preserve">selection and context callout are suppressed only during active touch tracking while vertical scrolling remains native</t>
  </si>
  <si>
    <t xml:space="preserve">Tree Playground Coverage</t>
  </si>
  <si>
    <t xml:space="preserve">manual-tests/tree.md</t>
  </si>
  <si>
    <t xml:space="preserve">Implements WAI-ARIA `tree`, `treeitem`, and `group` roles</t>
  </si>
  <si>
    <t xml:space="preserve">Supports controlled and uncontrolled selection</t>
  </si>
  <si>
    <t xml:space="preserve">Supports controlled and uncontrolled expansion</t>
  </si>
  <si>
    <t xml:space="preserve">Supports typeahead, roving active item, disabled items, Field context, and form submission</t>
  </si>
  <si>
    <t xml:space="preserve">Supports nested groups with automatic levels</t>
  </si>
  <si>
    <t xml:space="preserve">expandedValue prop behavior</t>
  </si>
  <si>
    <t xml:space="preserve">defaultExpandedValue prop behavior</t>
  </si>
  <si>
    <t xml:space="preserve">onExpandedValueChange prop behavior</t>
  </si>
  <si>
    <t xml:space="preserve">expandable prop behavior</t>
  </si>
  <si>
    <t xml:space="preserve">aria-level is present at the correct time</t>
  </si>
  <si>
    <t xml:space="preserve">data-expandable is present at the correct time</t>
  </si>
  <si>
    <t xml:space="preserve">data-level is present at the correct time</t>
  </si>
  <si>
    <t xml:space="preserve">reads Direction.Provider context for horizontal tree navigation</t>
  </si>
  <si>
    <t xml:space="preserve">RTL mirrors ArrowLeft and ArrowRight expand/collapse behavior</t>
  </si>
  <si>
    <t xml:space="preserve">TreeGrid Playground Coverage</t>
  </si>
  <si>
    <t xml:space="preserve">TreeGrid playground; manual-tests/tree-grid.md</t>
  </si>
  <si>
    <t xml:space="preserve">Implements `role="treegrid"` with row, row header, column header, and gridcell parts</t>
  </si>
  <si>
    <t xml:space="preserve">Supports optional row selection with selectable parent rows</t>
  </si>
  <si>
    <t xml:space="preserve">Hides descendant rows when parent rows are collapsed</t>
  </si>
  <si>
    <t xml:space="preserve">Keeps sorting, filtering, resizing, editing, and virtualization outside the primitive</t>
  </si>
  <si>
    <t xml:space="preserve">GridBody</t>
  </si>
  <si>
    <t xml:space="preserve">GridCaption</t>
  </si>
  <si>
    <t xml:space="preserve">GridCell</t>
  </si>
  <si>
    <t xml:space="preserve">GridColumnHeader</t>
  </si>
  <si>
    <t xml:space="preserve">GridFooter</t>
  </si>
  <si>
    <t xml:space="preserve">GridHeader</t>
  </si>
  <si>
    <t xml:space="preserve">GridRow</t>
  </si>
  <si>
    <t xml:space="preserve">GridRowHeader</t>
  </si>
  <si>
    <t xml:space="preserve">parentValue prop behavior</t>
  </si>
  <si>
    <t xml:space="preserve">level prop behavior</t>
  </si>
  <si>
    <t xml:space="preserve">selectable prop behavior</t>
  </si>
  <si>
    <t xml:space="preserve">RowHeader</t>
  </si>
  <si>
    <t xml:space="preserve">data-parent-value is present at the correct time</t>
  </si>
  <si>
    <t xml:space="preserve">data-selectable is present at the correct time</t>
  </si>
  <si>
    <t xml:space="preserve">data-selection-disabled is present at the correct time</t>
  </si>
  <si>
    <t xml:space="preserve">asChild preserves semantic roles and Atom behavior per public DOM part</t>
  </si>
  <si>
    <t xml:space="preserve">render prop preserves refs, semantic roles, and behavior props per public DOM part</t>
  </si>
  <si>
    <t xml:space="preserve">Home and End retain documented row-edge behavior in RTL</t>
  </si>
  <si>
    <t xml:space="preserve">Virtualizer Playground Coverage</t>
  </si>
  <si>
    <t xml:space="preserve">Virtualizer playground manual verification.</t>
  </si>
  <si>
    <t xml:space="preserve">Computes visible virtual items from item count, scroll offset, viewport size, and overscan</t>
  </si>
  <si>
    <t xml:space="preserve">Supports measured item sizes with `ResizeObserver`</t>
  </si>
  <si>
    <t xml:space="preserve">Supports stable item keys</t>
  </si>
  <si>
    <t xml:space="preserve">Provides `scrollToOffset` and `scrollToIndex` helpers</t>
  </si>
  <si>
    <t xml:space="preserve">Keeps DOM structure, ARIA roles, keyboard behavior, and styling in the component that uses it</t>
  </si>
  <si>
    <t xml:space="preserve">scroll container tag is visible in Anatomy/Inspector</t>
  </si>
  <si>
    <t xml:space="preserve">Virtualizer emits no data-slot because it renders no DOM</t>
  </si>
  <si>
    <t xml:space="preserve">non-Atom marker data-prop-check is not used for hook output</t>
  </si>
  <si>
    <t xml:space="preserve">visible virtual items render in DOM evidence group</t>
  </si>
  <si>
    <t xml:space="preserve">visible range rows follow hook output order</t>
  </si>
  <si>
    <t xml:space="preserve">virtual item indexes are visible in Anatomy/Inspector</t>
  </si>
  <si>
    <t xml:space="preserve">Virtualizer emits no Atom data attributes because it renders no DOM</t>
  </si>
  <si>
    <t xml:space="preserve">scroll container native tabIndex is visible</t>
  </si>
  <si>
    <t xml:space="preserve">visible range updates from item size and overscan</t>
  </si>
  <si>
    <t xml:space="preserve">scrollToIndex honors start, center, end, and auto alignment</t>
  </si>
  <si>
    <t xml:space="preserve">variable item sizes and zero-size items are handled</t>
  </si>
  <si>
    <t xml:space="preserve">Pure helpers</t>
  </si>
  <si>
    <t xml:space="preserve">getVirtualTotalSize export and behavior</t>
  </si>
  <si>
    <t xml:space="preserve">Unit tests cover pure helper behavior; playground shows total size.</t>
  </si>
  <si>
    <t xml:space="preserve">getVirtualOffsetForIndex export and behavior</t>
  </si>
  <si>
    <t xml:space="preserve">Unit tests cover pure helper behavior; playground shows item starts.</t>
  </si>
  <si>
    <t xml:space="preserve">getVirtualScrollOffsetForIndex export and behavior</t>
  </si>
  <si>
    <t xml:space="preserve">Unit tests cover pure helper behavior; playground tests scrollToIndex alignments.</t>
  </si>
  <si>
    <t xml:space="preserve">VisuallyHidden Playground Coverage</t>
  </si>
  <si>
    <t xml:space="preserve">Visually Hidden playground scenario.</t>
  </si>
  <si>
    <t xml:space="preserve">Keeps content available to assistive technology</t>
  </si>
  <si>
    <t xml:space="preserve">Applies an authoritative visually-hidden style contract</t>
  </si>
  <si>
    <t xml:space="preserve">Merges consumer styles before hiding styles</t>
  </si>
  <si>
    <t xml:space="preserve">content remains accessible while visually hidden</t>
  </si>
  <si>
    <t xml:space="preserve">asChild/render composition works without styling concerns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</si>
</sst>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0"/>
    <numFmt numFmtId="167" formatCode="yyyy\-mm\-dd"/>
    <numFmt numFmtId="168" formatCode="yyyy\-mm\-dd\ h:mm:ss"/>
    <numFmt numFmtId="169" formatCode="0.0"/>
  </numFmts>
  <fonts count="19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937"/>
      <name val="Calibri"/>
      <family val="0"/>
      <charset val="1"/>
    </font>
    <font>
      <sz val="11"/>
      <color rgb="FF667085"/>
      <name val="Calibri"/>
      <family val="0"/>
      <charset val="1"/>
    </font>
    <font>
      <b val="true"/>
      <sz val="11"/>
      <color rgb="FF64748B"/>
      <name val="Calibri"/>
      <family val="0"/>
      <charset val="1"/>
    </font>
    <font>
      <b val="true"/>
      <sz val="11"/>
      <color rgb="FF111827"/>
      <name val="Calibri"/>
      <family val="0"/>
      <charset val="1"/>
    </font>
    <font>
      <b val="true"/>
      <sz val="11"/>
      <color rgb="FF1F2937"/>
      <name val="Calibri"/>
      <family val="0"/>
      <charset val="1"/>
    </font>
    <font>
      <b val="true"/>
      <sz val="11"/>
      <color rgb="FF9C0006"/>
      <name val="Calibri"/>
      <family val="0"/>
      <charset val="1"/>
    </font>
    <font>
      <b val="true"/>
      <sz val="11"/>
      <color rgb="FF006100"/>
      <name val="Calibri"/>
      <family val="0"/>
      <charset val="1"/>
    </font>
    <font>
      <sz val="11"/>
      <color rgb="FF006100"/>
      <name val="Calibri"/>
      <family val="0"/>
      <charset val="1"/>
    </font>
    <font>
      <b val="true"/>
      <sz val="16"/>
      <color rgb="FF111827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i val="true"/>
      <sz val="11"/>
      <color rgb="FF64748B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1F2937"/>
      <name val="Calibri"/>
      <family val="0"/>
      <charset val="1"/>
    </font>
    <font>
      <sz val="10"/>
      <color rgb="FF64748B"/>
      <name val="Calibri"/>
      <family val="0"/>
      <charset val="1"/>
    </font>
    <font>
      <i val="true"/>
      <sz val="9"/>
      <color rgb="FF64748B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DDE5EF"/>
        <bgColor rgb="FFD9E2F3"/>
      </patternFill>
    </fill>
    <fill>
      <patternFill patternType="solid">
        <fgColor rgb="FFFCE4D6"/>
        <bgColor rgb="FFFEE2E2"/>
      </patternFill>
    </fill>
    <fill>
      <patternFill patternType="solid">
        <fgColor rgb="FFE2F0D9"/>
        <bgColor rgb="FFD9EAD3"/>
      </patternFill>
    </fill>
    <fill>
      <patternFill patternType="solid">
        <fgColor rgb="FF111827"/>
        <bgColor rgb="FF1F2937"/>
      </patternFill>
    </fill>
    <fill>
      <patternFill patternType="solid">
        <fgColor rgb="FFFEF3C7"/>
        <bgColor rgb="FFFFF2CC"/>
      </patternFill>
    </fill>
    <fill>
      <patternFill patternType="solid">
        <fgColor rgb="FFDBEAFE"/>
        <bgColor rgb="FFDDE5EF"/>
      </patternFill>
    </fill>
    <fill>
      <patternFill patternType="solid">
        <fgColor rgb="FFFEE2E2"/>
        <bgColor rgb="FFFCE4D6"/>
      </patternFill>
    </fill>
    <fill>
      <patternFill patternType="solid">
        <fgColor rgb="FFDCFCE7"/>
        <bgColor rgb="FFE2F0D9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6DEE8"/>
      </bottom>
      <diagonal/>
    </border>
    <border diagonalUp="false" diagonalDown="false"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 diagonalUp="false" diagonalDown="false">
      <left/>
      <right/>
      <top style="medium">
        <color rgb="FFCBD5E1"/>
      </top>
      <bottom style="medium">
        <color rgb="FFCBD5E1"/>
      </bottom>
      <diagonal/>
    </border>
    <border diagonalUp="false" diagonalDown="false">
      <left/>
      <right/>
      <top/>
      <bottom style="thin">
        <color rgb="FFE5E7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2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2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6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6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7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8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16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9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1" fillId="5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1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5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1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5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6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5E7EB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C0006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color rgb="FF475569"/>
      </font>
      <fill>
        <patternFill>
          <bgColor rgb="FFF1F5F9"/>
        </patternFill>
      </fill>
    </dxf>
    <dxf>
      <font>
        <color rgb="FF075985"/>
      </font>
      <fill>
        <patternFill>
          <bgColor rgb="FFE0F2FE"/>
        </patternFill>
      </fill>
    </dxf>
    <dxf>
      <fill>
        <patternFill patternType="solid">
          <fgColor rgb="FFDBEAF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EAD3"/>
      <rgbColor rgb="FFFF00FF"/>
      <rgbColor rgb="FF00FFFF"/>
      <rgbColor rgb="FF9C0006"/>
      <rgbColor rgb="FF006100"/>
      <rgbColor rgb="FF000080"/>
      <rgbColor rgb="FF808000"/>
      <rgbColor rgb="FF800080"/>
      <rgbColor rgb="FF166534"/>
      <rgbColor rgb="FFD6DEE8"/>
      <rgbColor rgb="FF64748B"/>
      <rgbColor rgb="FFDBEAFE"/>
      <rgbColor rgb="FF993366"/>
      <rgbColor rgb="FFFEF3C7"/>
      <rgbColor rgb="FFDCFCE7"/>
      <rgbColor rgb="FF660066"/>
      <rgbColor rgb="FFF8FAFC"/>
      <rgbColor rgb="FF075985"/>
      <rgbColor rgb="FFCBD5E1"/>
      <rgbColor rgb="FF000080"/>
      <rgbColor rgb="FFFF00FF"/>
      <rgbColor rgb="FFF1F5F9"/>
      <rgbColor rgb="FF00FFFF"/>
      <rgbColor rgb="FF800080"/>
      <rgbColor rgb="FF800000"/>
      <rgbColor rgb="FF008080"/>
      <rgbColor rgb="FF0000FF"/>
      <rgbColor rgb="FF00CCFF"/>
      <rgbColor rgb="FFE0F2FE"/>
      <rgbColor rgb="FFE2F0D9"/>
      <rgbColor rgb="FFFFF2CC"/>
      <rgbColor rgb="FFD9E2F3"/>
      <rgbColor rgb="FFFEE2E2"/>
      <rgbColor rgb="FFDDE5EF"/>
      <rgbColor rgb="FFF4CCCC"/>
      <rgbColor rgb="FF3366FF"/>
      <rgbColor rgb="FF33CCCC"/>
      <rgbColor rgb="FF99CC00"/>
      <rgbColor rgb="FFFCE4D6"/>
      <rgbColor rgb="FFFF9900"/>
      <rgbColor rgb="FFFF6600"/>
      <rgbColor rgb="FF667085"/>
      <rgbColor rgb="FFE5E7EB"/>
      <rgbColor rgb="FF003366"/>
      <rgbColor rgb="FF339966"/>
      <rgbColor rgb="FF111827"/>
      <rgbColor rgb="FF333300"/>
      <rgbColor rgb="FF92400E"/>
      <rgbColor rgb="FF993366"/>
      <rgbColor rgb="FF47556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1"/>
  <sheetViews>
    <sheetView showFormulas="false" showGridLines="false" showRowColHeaders="true" showZeros="true" rightToLeft="false" tabSelected="true" showOutlineSymbols="true" defaultGridColor="true" view="normal" topLeftCell="A1" colorId="64" zoomScale="229" zoomScaleNormal="229" zoomScalePageLayoutView="100" workbookViewId="0">
      <selection pane="topLeft" activeCell="E41" activeCellId="0" sqref="E4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2"/>
    <col collapsed="false" customWidth="true" hidden="false" outlineLevel="0" max="6" min="3" style="1" width="10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10"/>
  </cols>
  <sheetData>
    <row r="1" customFormat="false" ht="22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</row>
    <row r="2" customFormat="false" ht="13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</row>
    <row r="3" customFormat="false" ht="13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</row>
    <row r="4" customFormat="false" ht="15" hidden="false" customHeight="true" outlineLevel="0" collapsed="false">
      <c r="A4" s="5" t="s">
        <v>2</v>
      </c>
      <c r="B4" s="6" t="n">
        <f aca="false">COUNTA(A7:A500)</f>
        <v>65</v>
      </c>
      <c r="C4" s="5" t="s">
        <v>3</v>
      </c>
      <c r="D4" s="7" t="n">
        <f aca="false">IFERROR(SUMPRODUCT(B7:B500,G7:G500)/SUM(B7:B500),0)</f>
        <v>1</v>
      </c>
      <c r="E4" s="5" t="s">
        <v>4</v>
      </c>
      <c r="F4" s="6" t="n">
        <f aca="false">COUNTIF(H7:H500,"Done")</f>
        <v>65</v>
      </c>
      <c r="G4" s="8" t="s">
        <v>5</v>
      </c>
      <c r="H4" s="9" t="n">
        <f aca="false">MAX(0,B4-F4)</f>
        <v>0</v>
      </c>
      <c r="I4" s="4"/>
    </row>
    <row r="5" customFormat="false" ht="13.5" hidden="false" customHeight="true" outlineLevel="0" collapsed="false">
      <c r="A5" s="4"/>
      <c r="B5" s="4"/>
      <c r="C5" s="4"/>
      <c r="D5" s="4"/>
      <c r="E5" s="4"/>
      <c r="F5" s="4"/>
      <c r="G5" s="4"/>
      <c r="H5" s="4"/>
      <c r="I5" s="4"/>
    </row>
    <row r="6" customFormat="false" ht="15" hidden="false" customHeight="true" outlineLevel="0" collapsed="false">
      <c r="A6" s="10" t="s">
        <v>6</v>
      </c>
      <c r="B6" s="10" t="s">
        <v>7</v>
      </c>
      <c r="C6" s="10" t="s">
        <v>8</v>
      </c>
      <c r="D6" s="10" t="s">
        <v>9</v>
      </c>
      <c r="E6" s="10" t="s">
        <v>10</v>
      </c>
      <c r="F6" s="10" t="s">
        <v>11</v>
      </c>
      <c r="G6" s="10" t="s">
        <v>12</v>
      </c>
      <c r="H6" s="10" t="s">
        <v>13</v>
      </c>
      <c r="I6" s="10" t="s">
        <v>5</v>
      </c>
    </row>
    <row r="7" customFormat="false" ht="15" hidden="false" customHeight="true" outlineLevel="0" collapsed="false">
      <c r="A7" s="11" t="s">
        <v>14</v>
      </c>
      <c r="B7" s="12" t="n">
        <f aca="false">COUNT(Accordion!A9:A500)</f>
        <v>100</v>
      </c>
      <c r="C7" s="12" t="n">
        <f aca="false">COUNTIF(Accordion!H9:H500,"covered")</f>
        <v>100</v>
      </c>
      <c r="D7" s="12" t="n">
        <f aca="false">COUNTIF(Accordion!H9:H500,"partial")</f>
        <v>0</v>
      </c>
      <c r="E7" s="12" t="n">
        <f aca="false">COUNTIF(Accordion!H9:H500,"missing")</f>
        <v>0</v>
      </c>
      <c r="F7" s="12" t="n">
        <f aca="false">COUNTIF(Accordion!H9:H500,"untested")</f>
        <v>0</v>
      </c>
      <c r="G7" s="13" t="n">
        <f aca="false">IFERROR(C7/B7,0)</f>
        <v>1</v>
      </c>
      <c r="H7" s="14" t="str">
        <f aca="false">IF(AND(B7&gt;0,I7=0,G7=1),"Done","Open")</f>
        <v>Done</v>
      </c>
      <c r="I7" s="14" t="n">
        <f aca="false">MAX(0,B7-C7)</f>
        <v>0</v>
      </c>
    </row>
    <row r="8" customFormat="false" ht="15" hidden="false" customHeight="true" outlineLevel="0" collapsed="false">
      <c r="A8" s="11" t="s">
        <v>15</v>
      </c>
      <c r="B8" s="12" t="n">
        <f aca="false">COUNT(AlertDialog!A9:A500)</f>
        <v>134</v>
      </c>
      <c r="C8" s="12" t="n">
        <f aca="false">COUNTIF(AlertDialog!H9:H500,"covered")</f>
        <v>134</v>
      </c>
      <c r="D8" s="12" t="n">
        <f aca="false">COUNTIF(AlertDialog!H9:H500,"partial")</f>
        <v>0</v>
      </c>
      <c r="E8" s="12" t="n">
        <f aca="false">COUNTIF(AlertDialog!H9:H500,"missing")</f>
        <v>0</v>
      </c>
      <c r="F8" s="12" t="n">
        <f aca="false">COUNTIF(AlertDialog!H9:H500,"untested")</f>
        <v>0</v>
      </c>
      <c r="G8" s="13" t="n">
        <f aca="false">IFERROR(C8/B8,0)</f>
        <v>1</v>
      </c>
      <c r="H8" s="14" t="str">
        <f aca="false">IF(AND(B8&gt;0,I8=0,G8=1),"Done","Open")</f>
        <v>Done</v>
      </c>
      <c r="I8" s="14" t="n">
        <f aca="false">MAX(0,B8-C8)</f>
        <v>0</v>
      </c>
    </row>
    <row r="9" customFormat="false" ht="15" hidden="false" customHeight="true" outlineLevel="0" collapsed="false">
      <c r="A9" s="11" t="s">
        <v>16</v>
      </c>
      <c r="B9" s="12" t="n">
        <f aca="false">COUNT(AppBar!A9:A500)</f>
        <v>68</v>
      </c>
      <c r="C9" s="12" t="n">
        <f aca="false">COUNTIF(AppBar!H9:H500,"covered")</f>
        <v>68</v>
      </c>
      <c r="D9" s="12" t="n">
        <f aca="false">COUNTIF(AppBar!H9:H500,"partial")</f>
        <v>0</v>
      </c>
      <c r="E9" s="12" t="n">
        <f aca="false">COUNTIF(AppBar!H9:H500,"missing")</f>
        <v>0</v>
      </c>
      <c r="F9" s="12" t="n">
        <f aca="false">COUNTIF(AppBar!H9:H500,"untested")</f>
        <v>0</v>
      </c>
      <c r="G9" s="13" t="n">
        <f aca="false">IFERROR(C9/B9,0)</f>
        <v>1</v>
      </c>
      <c r="H9" s="14" t="str">
        <f aca="false">IF(AND(B9&gt;0,I9=0,G9=1),"Done","Open")</f>
        <v>Done</v>
      </c>
      <c r="I9" s="14" t="n">
        <f aca="false">MAX(0,B9-C9)</f>
        <v>0</v>
      </c>
    </row>
    <row r="10" customFormat="false" ht="15" hidden="false" customHeight="true" outlineLevel="0" collapsed="false">
      <c r="A10" s="15" t="s">
        <v>17</v>
      </c>
      <c r="B10" s="16" t="n">
        <f aca="false">COUNT(AspectRatio!A9:A500)</f>
        <v>28</v>
      </c>
      <c r="C10" s="16" t="n">
        <f aca="false">COUNTIF(AspectRatio!H9:H500,"covered")</f>
        <v>28</v>
      </c>
      <c r="D10" s="16" t="n">
        <f aca="false">COUNTIF(AspectRatio!H9:H500,"partial")</f>
        <v>0</v>
      </c>
      <c r="E10" s="16" t="n">
        <f aca="false">COUNTIF(AspectRatio!H9:H500,"missing")</f>
        <v>0</v>
      </c>
      <c r="F10" s="16" t="n">
        <f aca="false">COUNTIF(AspectRatio!H9:H500,"untested")</f>
        <v>0</v>
      </c>
      <c r="G10" s="17" t="n">
        <f aca="false">IFERROR(C10/B10,0)</f>
        <v>1</v>
      </c>
      <c r="H10" s="16" t="str">
        <f aca="false">IF(AND(B10&gt;0,I10=0,G10=1),"Done","Open")</f>
        <v>Done</v>
      </c>
      <c r="I10" s="16" t="n">
        <f aca="false">MAX(0,B10-C10)</f>
        <v>0</v>
      </c>
    </row>
    <row r="11" customFormat="false" ht="15" hidden="false" customHeight="true" outlineLevel="0" collapsed="false">
      <c r="A11" s="18" t="s">
        <v>18</v>
      </c>
      <c r="B11" s="19" t="n">
        <f aca="false">COUNT(Avatar!A9:A500)</f>
        <v>58</v>
      </c>
      <c r="C11" s="19" t="n">
        <f aca="false">COUNTIF(Avatar!H9:H500,"covered")</f>
        <v>58</v>
      </c>
      <c r="D11" s="19" t="n">
        <f aca="false">COUNTIF(Avatar!H9:H500,"partial")</f>
        <v>0</v>
      </c>
      <c r="E11" s="19" t="n">
        <f aca="false">COUNTIF(Avatar!H9:H500,"missing")</f>
        <v>0</v>
      </c>
      <c r="F11" s="19" t="n">
        <f aca="false">COUNTIF(Avatar!H9:H500,"untested")</f>
        <v>0</v>
      </c>
      <c r="G11" s="17" t="n">
        <f aca="false">IFERROR(C11/B11,0)</f>
        <v>1</v>
      </c>
      <c r="H11" s="16" t="str">
        <f aca="false">IF(AND(B11&gt;0,I11=0,G11=1),"Done","Open")</f>
        <v>Done</v>
      </c>
      <c r="I11" s="16" t="n">
        <f aca="false">MAX(0,B11-C11)</f>
        <v>0</v>
      </c>
    </row>
    <row r="12" customFormat="false" ht="15" hidden="false" customHeight="true" outlineLevel="0" collapsed="false">
      <c r="A12" s="18" t="s">
        <v>19</v>
      </c>
      <c r="B12" s="19" t="n">
        <f aca="false">COUNT(Badge!A9:A500)</f>
        <v>25</v>
      </c>
      <c r="C12" s="19" t="n">
        <f aca="false">COUNTIF(Badge!H9:H500,"covered")</f>
        <v>25</v>
      </c>
      <c r="D12" s="19" t="n">
        <f aca="false">COUNTIF(Badge!H9:H500,"partial")</f>
        <v>0</v>
      </c>
      <c r="E12" s="19" t="n">
        <f aca="false">COUNTIF(Badge!H9:H500,"missing")</f>
        <v>0</v>
      </c>
      <c r="F12" s="19" t="n">
        <f aca="false">COUNTIF(Badge!H9:H500,"untested")</f>
        <v>0</v>
      </c>
      <c r="G12" s="17" t="n">
        <f aca="false">IFERROR(C12/B12,0)</f>
        <v>1</v>
      </c>
      <c r="H12" s="16" t="str">
        <f aca="false">IF(AND(B12&gt;0,I12=0,G12=1),"Done","Open")</f>
        <v>Done</v>
      </c>
      <c r="I12" s="16" t="n">
        <f aca="false">MAX(0,B12-C12)</f>
        <v>0</v>
      </c>
    </row>
    <row r="13" customFormat="false" ht="15" hidden="false" customHeight="true" outlineLevel="0" collapsed="false">
      <c r="A13" s="11" t="s">
        <v>20</v>
      </c>
      <c r="B13" s="12" t="n">
        <f aca="false">COUNT(BottomNavigation!A9:A500)</f>
        <v>61</v>
      </c>
      <c r="C13" s="12" t="n">
        <f aca="false">COUNTIF(BottomNavigation!H9:H500,"covered")</f>
        <v>61</v>
      </c>
      <c r="D13" s="12" t="n">
        <f aca="false">COUNTIF(BottomNavigation!H9:H500,"partial")</f>
        <v>0</v>
      </c>
      <c r="E13" s="12" t="n">
        <f aca="false">COUNTIF(BottomNavigation!H9:H500,"missing")</f>
        <v>0</v>
      </c>
      <c r="F13" s="12" t="n">
        <f aca="false">COUNTIF(BottomNavigation!H9:H500,"untested")</f>
        <v>0</v>
      </c>
      <c r="G13" s="13" t="n">
        <f aca="false">IFERROR(C13/B13,0)</f>
        <v>1</v>
      </c>
      <c r="H13" s="14" t="str">
        <f aca="false">IF(AND(B13&gt;0,I13=0,G13=1),"Done","Open")</f>
        <v>Done</v>
      </c>
      <c r="I13" s="14" t="n">
        <f aca="false">MAX(0,B13-C13)</f>
        <v>0</v>
      </c>
    </row>
    <row r="14" customFormat="false" ht="15" hidden="false" customHeight="true" outlineLevel="0" collapsed="false">
      <c r="A14" s="11" t="s">
        <v>21</v>
      </c>
      <c r="B14" s="12" t="n">
        <f aca="false">COUNT(Breadcrumb!A9:A500)</f>
        <v>83</v>
      </c>
      <c r="C14" s="12" t="n">
        <f aca="false">COUNTIF(Breadcrumb!H9:H500,"covered")</f>
        <v>83</v>
      </c>
      <c r="D14" s="12" t="n">
        <f aca="false">COUNTIF(Breadcrumb!H9:H500,"partial")</f>
        <v>0</v>
      </c>
      <c r="E14" s="12" t="n">
        <f aca="false">COUNTIF(Breadcrumb!H9:H500,"missing")</f>
        <v>0</v>
      </c>
      <c r="F14" s="12" t="n">
        <f aca="false">COUNTIF(Breadcrumb!H9:H500,"untested")</f>
        <v>0</v>
      </c>
      <c r="G14" s="13" t="n">
        <f aca="false">IFERROR(C14/B14,0)</f>
        <v>1</v>
      </c>
      <c r="H14" s="14" t="str">
        <f aca="false">IF(AND(B14&gt;0,I14=0,G14=1),"Done","Open")</f>
        <v>Done</v>
      </c>
      <c r="I14" s="14" t="n">
        <f aca="false">MAX(0,B14-C14)</f>
        <v>0</v>
      </c>
    </row>
    <row r="15" customFormat="false" ht="15" hidden="false" customHeight="true" outlineLevel="0" collapsed="false">
      <c r="A15" s="18" t="s">
        <v>22</v>
      </c>
      <c r="B15" s="19" t="n">
        <f aca="false">COUNT(Button!A9:A500)</f>
        <v>46</v>
      </c>
      <c r="C15" s="19" t="n">
        <f aca="false">COUNTIF(Button!H9:H500,"covered")</f>
        <v>46</v>
      </c>
      <c r="D15" s="19" t="n">
        <f aca="false">COUNTIF(Button!H9:H500,"partial")</f>
        <v>0</v>
      </c>
      <c r="E15" s="19" t="n">
        <f aca="false">COUNTIF(Button!H9:H500,"missing")</f>
        <v>0</v>
      </c>
      <c r="F15" s="19" t="n">
        <f aca="false">COUNTIF(Button!H9:H500,"untested")</f>
        <v>0</v>
      </c>
      <c r="G15" s="17" t="n">
        <f aca="false">IFERROR(C15/B15,0)</f>
        <v>1</v>
      </c>
      <c r="H15" s="16" t="str">
        <f aca="false">IF(AND(B15&gt;0,I15=0,G15=1),"Done","Open")</f>
        <v>Done</v>
      </c>
      <c r="I15" s="16" t="n">
        <f aca="false">MAX(0,B15-C15)</f>
        <v>0</v>
      </c>
    </row>
    <row r="16" customFormat="false" ht="15" hidden="false" customHeight="true" outlineLevel="0" collapsed="false">
      <c r="A16" s="18" t="s">
        <v>23</v>
      </c>
      <c r="B16" s="19" t="n">
        <f aca="false">COUNT(Checkbox!A9:A500)</f>
        <v>74</v>
      </c>
      <c r="C16" s="19" t="n">
        <f aca="false">COUNTIF(Checkbox!H9:H500,"covered")</f>
        <v>74</v>
      </c>
      <c r="D16" s="19" t="n">
        <f aca="false">COUNTIF(Checkbox!H9:H500,"partial")</f>
        <v>0</v>
      </c>
      <c r="E16" s="19" t="n">
        <f aca="false">COUNTIF(Checkbox!H9:H500,"missing")</f>
        <v>0</v>
      </c>
      <c r="F16" s="19" t="n">
        <f aca="false">COUNTIF(Checkbox!H9:H500,"untested")</f>
        <v>0</v>
      </c>
      <c r="G16" s="17" t="n">
        <f aca="false">IFERROR(C16/B16,0)</f>
        <v>1</v>
      </c>
      <c r="H16" s="16" t="str">
        <f aca="false">IF(AND(B16&gt;0,I16=0,G16=1),"Done","Open")</f>
        <v>Done</v>
      </c>
      <c r="I16" s="16" t="n">
        <f aca="false">MAX(0,B16-C16)</f>
        <v>0</v>
      </c>
    </row>
    <row r="17" customFormat="false" ht="15" hidden="false" customHeight="true" outlineLevel="0" collapsed="false">
      <c r="A17" s="11" t="s">
        <v>24</v>
      </c>
      <c r="B17" s="12" t="n">
        <f aca="false">COUNT(CheckboxGroup!A9:A500)</f>
        <v>98</v>
      </c>
      <c r="C17" s="12" t="n">
        <f aca="false">COUNTIF(CheckboxGroup!H9:H500,"covered")</f>
        <v>98</v>
      </c>
      <c r="D17" s="12" t="n">
        <f aca="false">COUNTIF(CheckboxGroup!H9:H500,"partial")</f>
        <v>0</v>
      </c>
      <c r="E17" s="12" t="n">
        <f aca="false">COUNTIF(CheckboxGroup!H9:H500,"missing")</f>
        <v>0</v>
      </c>
      <c r="F17" s="12" t="n">
        <f aca="false">COUNTIF(CheckboxGroup!H9:H500,"untested")</f>
        <v>0</v>
      </c>
      <c r="G17" s="13" t="n">
        <f aca="false">IFERROR(C17/B17,0)</f>
        <v>1</v>
      </c>
      <c r="H17" s="14" t="str">
        <f aca="false">IF(AND(B17&gt;0,I17=0,G17=1),"Done","Open")</f>
        <v>Done</v>
      </c>
      <c r="I17" s="14" t="n">
        <f aca="false">MAX(0,B17-C17)</f>
        <v>0</v>
      </c>
    </row>
    <row r="18" customFormat="false" ht="15" hidden="false" customHeight="true" outlineLevel="0" collapsed="false">
      <c r="A18" s="11" t="s">
        <v>25</v>
      </c>
      <c r="B18" s="12" t="n">
        <f aca="false">COUNT(Collapsible!A9:A500)</f>
        <v>69</v>
      </c>
      <c r="C18" s="12" t="n">
        <f aca="false">COUNTIF(Collapsible!H9:H500,"covered")</f>
        <v>69</v>
      </c>
      <c r="D18" s="12" t="n">
        <f aca="false">COUNTIF(Collapsible!H9:H500,"partial")</f>
        <v>0</v>
      </c>
      <c r="E18" s="12" t="n">
        <f aca="false">COUNTIF(Collapsible!H9:H500,"missing")</f>
        <v>0</v>
      </c>
      <c r="F18" s="12" t="n">
        <f aca="false">COUNTIF(Collapsible!H9:H500,"untested")</f>
        <v>0</v>
      </c>
      <c r="G18" s="13" t="n">
        <f aca="false">IFERROR(C18/B18,0)</f>
        <v>1</v>
      </c>
      <c r="H18" s="14" t="str">
        <f aca="false">IF(AND(B18&gt;0,I18=0,G18=1),"Done","Open")</f>
        <v>Done</v>
      </c>
      <c r="I18" s="14" t="n">
        <f aca="false">MAX(0,B18-C18)</f>
        <v>0</v>
      </c>
    </row>
    <row r="19" customFormat="false" ht="15" hidden="false" customHeight="true" outlineLevel="0" collapsed="false">
      <c r="A19" s="15" t="s">
        <v>26</v>
      </c>
      <c r="B19" s="16" t="n">
        <f aca="false">COUNT(Collection!A9:A500)</f>
        <v>23</v>
      </c>
      <c r="C19" s="16" t="n">
        <f aca="false">COUNTIF(Collection!H9:H500,"covered")</f>
        <v>23</v>
      </c>
      <c r="D19" s="16" t="n">
        <f aca="false">COUNTIF(Collection!H9:H500,"partial")</f>
        <v>0</v>
      </c>
      <c r="E19" s="16" t="n">
        <f aca="false">COUNTIF(Collection!H9:H500,"missing")</f>
        <v>0</v>
      </c>
      <c r="F19" s="16" t="n">
        <f aca="false">COUNTIF(Collection!H9:H500,"untested")</f>
        <v>0</v>
      </c>
      <c r="G19" s="17" t="n">
        <f aca="false">IFERROR(C19/B19,0)</f>
        <v>1</v>
      </c>
      <c r="H19" s="16" t="str">
        <f aca="false">IF(AND(B19&gt;0,I19=0,G19=1),"Done","Open")</f>
        <v>Done</v>
      </c>
      <c r="I19" s="16" t="n">
        <f aca="false">MAX(0,B19-C19)</f>
        <v>0</v>
      </c>
    </row>
    <row r="20" customFormat="false" ht="15" hidden="false" customHeight="true" outlineLevel="0" collapsed="false">
      <c r="A20" s="18" t="s">
        <v>27</v>
      </c>
      <c r="B20" s="19" t="n">
        <f aca="false">COUNT(Combobox!A9:A500)</f>
        <v>178</v>
      </c>
      <c r="C20" s="19" t="n">
        <f aca="false">COUNTIF(Combobox!H9:H500,"covered")</f>
        <v>178</v>
      </c>
      <c r="D20" s="19" t="n">
        <f aca="false">COUNTIF(Combobox!H9:H500,"partial")</f>
        <v>0</v>
      </c>
      <c r="E20" s="19" t="n">
        <f aca="false">COUNTIF(Combobox!H9:H500,"missing")</f>
        <v>0</v>
      </c>
      <c r="F20" s="19" t="n">
        <f aca="false">COUNTIF(Combobox!H9:H500,"untested")</f>
        <v>0</v>
      </c>
      <c r="G20" s="17" t="n">
        <f aca="false">IFERROR(C20/B20,0)</f>
        <v>1</v>
      </c>
      <c r="H20" s="16" t="str">
        <f aca="false">IF(AND(B20&gt;0,I20=0,G20=1),"Done","Open")</f>
        <v>Done</v>
      </c>
      <c r="I20" s="16" t="n">
        <f aca="false">MAX(0,B20-C20)</f>
        <v>0</v>
      </c>
    </row>
    <row r="21" customFormat="false" ht="15" hidden="false" customHeight="true" outlineLevel="0" collapsed="false">
      <c r="A21" s="11" t="s">
        <v>28</v>
      </c>
      <c r="B21" s="12" t="n">
        <f aca="false">COUNT(ContextMenu!A9:A500)</f>
        <v>188</v>
      </c>
      <c r="C21" s="12" t="n">
        <f aca="false">COUNTIF(ContextMenu!H9:H500,"covered")</f>
        <v>188</v>
      </c>
      <c r="D21" s="12" t="n">
        <f aca="false">COUNTIF(ContextMenu!H9:H500,"partial")</f>
        <v>0</v>
      </c>
      <c r="E21" s="12" t="n">
        <f aca="false">COUNTIF(ContextMenu!H9:H500,"missing")</f>
        <v>0</v>
      </c>
      <c r="F21" s="12" t="n">
        <f aca="false">COUNTIF(ContextMenu!H9:H500,"untested")</f>
        <v>0</v>
      </c>
      <c r="G21" s="13" t="n">
        <f aca="false">IFERROR(C21/B21,0)</f>
        <v>1</v>
      </c>
      <c r="H21" s="14" t="str">
        <f aca="false">IF(AND(B21&gt;0,I21=0,G21=1),"Done","Open")</f>
        <v>Done</v>
      </c>
      <c r="I21" s="14" t="n">
        <f aca="false">MAX(0,B21-C21)</f>
        <v>0</v>
      </c>
    </row>
    <row r="22" customFormat="false" ht="15" hidden="false" customHeight="true" outlineLevel="0" collapsed="false">
      <c r="A22" s="11" t="s">
        <v>29</v>
      </c>
      <c r="B22" s="12" t="n">
        <f aca="false">COUNT(DataGrid!A9:A500)</f>
        <v>134</v>
      </c>
      <c r="C22" s="12" t="n">
        <f aca="false">COUNTIF(DataGrid!H9:H500,"covered")</f>
        <v>134</v>
      </c>
      <c r="D22" s="12" t="n">
        <f aca="false">COUNTIF(DataGrid!H9:H500,"partial")</f>
        <v>0</v>
      </c>
      <c r="E22" s="12" t="n">
        <f aca="false">COUNTIF(DataGrid!H9:H500,"missing")</f>
        <v>0</v>
      </c>
      <c r="F22" s="12" t="n">
        <f aca="false">COUNTIF(DataGrid!H9:H500,"untested")</f>
        <v>0</v>
      </c>
      <c r="G22" s="13" t="n">
        <f aca="false">IFERROR(C22/B22,0)</f>
        <v>1</v>
      </c>
      <c r="H22" s="14" t="str">
        <f aca="false">IF(AND(B22&gt;0,I22=0,G22=1),"Done","Open")</f>
        <v>Done</v>
      </c>
      <c r="I22" s="14" t="n">
        <f aca="false">MAX(0,B22-C22)</f>
        <v>0</v>
      </c>
    </row>
    <row r="23" customFormat="false" ht="15" hidden="false" customHeight="true" outlineLevel="0" collapsed="false">
      <c r="A23" s="18" t="s">
        <v>30</v>
      </c>
      <c r="B23" s="19" t="n">
        <f aca="false">COUNT(Dialog!A9:A500)</f>
        <v>104</v>
      </c>
      <c r="C23" s="19" t="n">
        <f aca="false">COUNTIF(Dialog!H9:H500,"covered")</f>
        <v>104</v>
      </c>
      <c r="D23" s="19" t="n">
        <f aca="false">COUNTIF(Dialog!H9:H500,"partial")</f>
        <v>0</v>
      </c>
      <c r="E23" s="19" t="n">
        <f aca="false">COUNTIF(Dialog!H9:H500,"missing")</f>
        <v>0</v>
      </c>
      <c r="F23" s="19" t="n">
        <f aca="false">COUNTIF(Dialog!H9:H500,"untested")</f>
        <v>0</v>
      </c>
      <c r="G23" s="17" t="n">
        <f aca="false">IFERROR(C23/B23,0)</f>
        <v>1</v>
      </c>
      <c r="H23" s="16" t="str">
        <f aca="false">IF(AND(B23&gt;0,I23=0,G23=1),"Done","Open")</f>
        <v>Done</v>
      </c>
      <c r="I23" s="16" t="n">
        <f aca="false">MAX(0,B23-C23)</f>
        <v>0</v>
      </c>
    </row>
    <row r="24" customFormat="false" ht="15" hidden="false" customHeight="true" outlineLevel="0" collapsed="false">
      <c r="A24" s="15" t="s">
        <v>31</v>
      </c>
      <c r="B24" s="16" t="n">
        <f aca="false">COUNT(Direction!A9:A500)</f>
        <v>26</v>
      </c>
      <c r="C24" s="16" t="n">
        <f aca="false">COUNTIF(Direction!H9:H500,"covered")</f>
        <v>26</v>
      </c>
      <c r="D24" s="16" t="n">
        <f aca="false">COUNTIF(Direction!H9:H500,"partial")</f>
        <v>0</v>
      </c>
      <c r="E24" s="16" t="n">
        <f aca="false">COUNTIF(Direction!H9:H500,"missing")</f>
        <v>0</v>
      </c>
      <c r="F24" s="16" t="n">
        <f aca="false">COUNTIF(Direction!H9:H500,"untested")</f>
        <v>0</v>
      </c>
      <c r="G24" s="17" t="n">
        <f aca="false">IFERROR(C24/B24,0)</f>
        <v>1</v>
      </c>
      <c r="H24" s="16" t="str">
        <f aca="false">IF(AND(B24&gt;0,I24=0,G24=1),"Done","Open")</f>
        <v>Done</v>
      </c>
      <c r="I24" s="16" t="n">
        <f aca="false">MAX(0,B24-C24)</f>
        <v>0</v>
      </c>
    </row>
    <row r="25" customFormat="false" ht="15" hidden="false" customHeight="true" outlineLevel="0" collapsed="false">
      <c r="A25" s="15" t="s">
        <v>32</v>
      </c>
      <c r="B25" s="16" t="n">
        <f aca="false">COUNT(Divider!A9:A500)</f>
        <v>27</v>
      </c>
      <c r="C25" s="16" t="n">
        <f aca="false">COUNTIF(Divider!H9:H500,"covered")</f>
        <v>27</v>
      </c>
      <c r="D25" s="16" t="n">
        <f aca="false">COUNTIF(Divider!H9:H500,"partial")</f>
        <v>0</v>
      </c>
      <c r="E25" s="16" t="n">
        <f aca="false">COUNTIF(Divider!H9:H500,"missing")</f>
        <v>0</v>
      </c>
      <c r="F25" s="16" t="n">
        <f aca="false">COUNTIF(Divider!H9:H500,"untested")</f>
        <v>0</v>
      </c>
      <c r="G25" s="17" t="n">
        <f aca="false">IFERROR(C25/B25,0)</f>
        <v>1</v>
      </c>
      <c r="H25" s="16" t="str">
        <f aca="false">IF(AND(B25&gt;0,I25=0,G25=1),"Done","Open")</f>
        <v>Done</v>
      </c>
      <c r="I25" s="16" t="n">
        <f aca="false">MAX(0,B25-C25)</f>
        <v>0</v>
      </c>
    </row>
    <row r="26" customFormat="false" ht="15" hidden="false" customHeight="true" outlineLevel="0" collapsed="false">
      <c r="A26" s="11" t="s">
        <v>33</v>
      </c>
      <c r="B26" s="12" t="n">
        <f aca="false">COUNT(Drawer!A9:A500)</f>
        <v>101</v>
      </c>
      <c r="C26" s="12" t="n">
        <f aca="false">COUNTIF(Drawer!H9:H500,"covered")</f>
        <v>101</v>
      </c>
      <c r="D26" s="12" t="n">
        <f aca="false">COUNTIF(Drawer!H9:H500,"partial")</f>
        <v>0</v>
      </c>
      <c r="E26" s="12" t="n">
        <f aca="false">COUNTIF(Drawer!H9:H500,"missing")</f>
        <v>0</v>
      </c>
      <c r="F26" s="12" t="n">
        <f aca="false">COUNTIF(Drawer!H9:H500,"untested")</f>
        <v>0</v>
      </c>
      <c r="G26" s="13" t="n">
        <f aca="false">IFERROR(C26/B26,0)</f>
        <v>1</v>
      </c>
      <c r="H26" s="14" t="str">
        <f aca="false">IF(AND(B26&gt;0,I26=0,G26=1),"Done","Open")</f>
        <v>Done</v>
      </c>
      <c r="I26" s="14" t="n">
        <f aca="false">MAX(0,B26-C26)</f>
        <v>0</v>
      </c>
    </row>
    <row r="27" customFormat="false" ht="15" hidden="false" customHeight="true" outlineLevel="0" collapsed="false">
      <c r="A27" s="18" t="s">
        <v>34</v>
      </c>
      <c r="B27" s="19" t="n">
        <f aca="false">COUNT(DropdownMenu!A9:A500)</f>
        <v>230</v>
      </c>
      <c r="C27" s="19" t="n">
        <f aca="false">COUNTIF(DropdownMenu!H9:H500,"covered")</f>
        <v>230</v>
      </c>
      <c r="D27" s="19" t="n">
        <f aca="false">COUNTIF(DropdownMenu!H9:H500,"partial")</f>
        <v>0</v>
      </c>
      <c r="E27" s="19" t="n">
        <f aca="false">COUNTIF(DropdownMenu!H9:H500,"missing")</f>
        <v>0</v>
      </c>
      <c r="F27" s="19" t="n">
        <f aca="false">COUNTIF(DropdownMenu!H9:H500,"untested")</f>
        <v>0</v>
      </c>
      <c r="G27" s="17" t="n">
        <f aca="false">IFERROR(C27/B27,0)</f>
        <v>1</v>
      </c>
      <c r="H27" s="16" t="str">
        <f aca="false">IF(AND(B27&gt;0,I27=0,G27=1),"Done","Open")</f>
        <v>Done</v>
      </c>
      <c r="I27" s="16" t="n">
        <f aca="false">MAX(0,B27-C27)</f>
        <v>0</v>
      </c>
    </row>
    <row r="28" customFormat="false" ht="15" hidden="false" customHeight="true" outlineLevel="0" collapsed="false">
      <c r="A28" s="11" t="s">
        <v>35</v>
      </c>
      <c r="B28" s="12" t="n">
        <f aca="false">COUNT(Feed!A9:A500)</f>
        <v>53</v>
      </c>
      <c r="C28" s="12" t="n">
        <f aca="false">COUNTIF(Feed!H9:H500,"covered")</f>
        <v>53</v>
      </c>
      <c r="D28" s="12" t="n">
        <f aca="false">COUNTIF(Feed!H9:H500,"partial")</f>
        <v>0</v>
      </c>
      <c r="E28" s="12" t="n">
        <f aca="false">COUNTIF(Feed!H9:H500,"missing")</f>
        <v>0</v>
      </c>
      <c r="F28" s="12" t="n">
        <f aca="false">COUNTIF(Feed!H9:H500,"untested")</f>
        <v>0</v>
      </c>
      <c r="G28" s="13" t="n">
        <f aca="false">IFERROR(C28/B28,0)</f>
        <v>1</v>
      </c>
      <c r="H28" s="14" t="str">
        <f aca="false">IF(AND(B28&gt;0,I28=0,G28=1),"Done","Open")</f>
        <v>Done</v>
      </c>
      <c r="I28" s="14" t="n">
        <f aca="false">MAX(0,B28-C28)</f>
        <v>0</v>
      </c>
    </row>
    <row r="29" customFormat="false" ht="15" hidden="false" customHeight="true" outlineLevel="0" collapsed="false">
      <c r="A29" s="18" t="s">
        <v>36</v>
      </c>
      <c r="B29" s="19" t="n">
        <f aca="false">COUNT(Field!A9:A500)</f>
        <v>100</v>
      </c>
      <c r="C29" s="19" t="n">
        <f aca="false">COUNTIF(Field!H9:H500,"covered")</f>
        <v>100</v>
      </c>
      <c r="D29" s="19" t="n">
        <f aca="false">COUNTIF(Field!H9:H500,"partial")</f>
        <v>0</v>
      </c>
      <c r="E29" s="19" t="n">
        <f aca="false">COUNTIF(Field!H9:H500,"missing")</f>
        <v>0</v>
      </c>
      <c r="F29" s="19" t="n">
        <f aca="false">COUNTIF(Field!H9:H500,"untested")</f>
        <v>0</v>
      </c>
      <c r="G29" s="17" t="n">
        <f aca="false">IFERROR(C29/B29,0)</f>
        <v>1</v>
      </c>
      <c r="H29" s="16" t="str">
        <f aca="false">IF(AND(B29&gt;0,I29=0,G29=1),"Done","Open")</f>
        <v>Done</v>
      </c>
      <c r="I29" s="16" t="n">
        <f aca="false">MAX(0,B29-C29)</f>
        <v>0</v>
      </c>
    </row>
    <row r="30" customFormat="false" ht="15" hidden="false" customHeight="true" outlineLevel="0" collapsed="false">
      <c r="A30" s="18" t="s">
        <v>37</v>
      </c>
      <c r="B30" s="19" t="n">
        <f aca="false">COUNT(Fieldset!A9:A500)</f>
        <v>73</v>
      </c>
      <c r="C30" s="19" t="n">
        <f aca="false">COUNTIF(Fieldset!H9:H500,"covered")</f>
        <v>73</v>
      </c>
      <c r="D30" s="19" t="n">
        <f aca="false">COUNTIF(Fieldset!H9:H500,"partial")</f>
        <v>0</v>
      </c>
      <c r="E30" s="19" t="n">
        <f aca="false">COUNTIF(Fieldset!H9:H500,"missing")</f>
        <v>0</v>
      </c>
      <c r="F30" s="19" t="n">
        <f aca="false">COUNTIF(Fieldset!H9:H500,"untested")</f>
        <v>0</v>
      </c>
      <c r="G30" s="17" t="n">
        <f aca="false">IFERROR(C30/B30,0)</f>
        <v>1</v>
      </c>
      <c r="H30" s="16" t="str">
        <f aca="false">IF(AND(B30&gt;0,I30=0,G30=1),"Done","Open")</f>
        <v>Done</v>
      </c>
      <c r="I30" s="16" t="n">
        <f aca="false">MAX(0,B30-C30)</f>
        <v>0</v>
      </c>
    </row>
    <row r="31" customFormat="false" ht="15" hidden="false" customHeight="true" outlineLevel="0" collapsed="false">
      <c r="A31" s="18" t="s">
        <v>38</v>
      </c>
      <c r="B31" s="19" t="n">
        <f aca="false">COUNT(FileUpload!A9:A500)</f>
        <v>176</v>
      </c>
      <c r="C31" s="19" t="n">
        <f aca="false">COUNTIF(FileUpload!H9:H500,"covered")</f>
        <v>176</v>
      </c>
      <c r="D31" s="19" t="n">
        <f aca="false">COUNTIF(FileUpload!H9:H500,"partial")</f>
        <v>0</v>
      </c>
      <c r="E31" s="19" t="n">
        <f aca="false">COUNTIF(FileUpload!H9:H500,"missing")</f>
        <v>0</v>
      </c>
      <c r="F31" s="19" t="n">
        <f aca="false">COUNTIF(FileUpload!H9:H500,"untested")</f>
        <v>0</v>
      </c>
      <c r="G31" s="17" t="n">
        <f aca="false">IFERROR(C31/B31,0)</f>
        <v>1</v>
      </c>
      <c r="H31" s="16" t="str">
        <f aca="false">IF(AND(B31&gt;0,I31=0,G31=1),"Done","Open")</f>
        <v>Done</v>
      </c>
      <c r="I31" s="16" t="n">
        <f aca="false">MAX(0,B31-C31)</f>
        <v>0</v>
      </c>
    </row>
    <row r="32" customFormat="false" ht="15" hidden="false" customHeight="true" outlineLevel="0" collapsed="false">
      <c r="A32" s="18" t="s">
        <v>39</v>
      </c>
      <c r="B32" s="19" t="n">
        <f aca="false">COUNT(Form!A9:A500)</f>
        <v>41</v>
      </c>
      <c r="C32" s="19" t="n">
        <f aca="false">COUNTIF(Form!H9:H500,"covered")</f>
        <v>41</v>
      </c>
      <c r="D32" s="19" t="n">
        <f aca="false">COUNTIF(Form!H9:H500,"partial")</f>
        <v>0</v>
      </c>
      <c r="E32" s="19" t="n">
        <f aca="false">COUNTIF(Form!H9:H500,"missing")</f>
        <v>0</v>
      </c>
      <c r="F32" s="19" t="n">
        <f aca="false">COUNTIF(Form!H9:H500,"untested")</f>
        <v>0</v>
      </c>
      <c r="G32" s="17" t="n">
        <f aca="false">IFERROR(C32/B32,0)</f>
        <v>1</v>
      </c>
      <c r="H32" s="16" t="str">
        <f aca="false">IF(AND(B32&gt;0,I32=0,G32=1),"Done","Open")</f>
        <v>Done</v>
      </c>
      <c r="I32" s="16" t="n">
        <f aca="false">MAX(0,B32-C32)</f>
        <v>0</v>
      </c>
    </row>
    <row r="33" customFormat="false" ht="15" hidden="false" customHeight="true" outlineLevel="0" collapsed="false">
      <c r="A33" s="11" t="s">
        <v>40</v>
      </c>
      <c r="B33" s="12" t="n">
        <f aca="false">COUNT(HoverCard!A9:A500)</f>
        <v>51</v>
      </c>
      <c r="C33" s="12" t="n">
        <f aca="false">COUNTIF(HoverCard!H9:H500,"covered")</f>
        <v>51</v>
      </c>
      <c r="D33" s="12" t="n">
        <f aca="false">COUNTIF(HoverCard!H9:H500,"partial")</f>
        <v>0</v>
      </c>
      <c r="E33" s="12" t="n">
        <f aca="false">COUNTIF(HoverCard!H9:H500,"missing")</f>
        <v>0</v>
      </c>
      <c r="F33" s="12" t="n">
        <f aca="false">COUNTIF(HoverCard!H9:H500,"untested")</f>
        <v>0</v>
      </c>
      <c r="G33" s="13" t="n">
        <f aca="false">IFERROR(C33/B33,0)</f>
        <v>1</v>
      </c>
      <c r="H33" s="14" t="str">
        <f aca="false">IF(AND(B33&gt;0,I33=0,G33=1),"Done","Open")</f>
        <v>Done</v>
      </c>
      <c r="I33" s="14" t="n">
        <f aca="false">MAX(0,B33-C33)</f>
        <v>0</v>
      </c>
    </row>
    <row r="34" customFormat="false" ht="15" hidden="false" customHeight="true" outlineLevel="0" collapsed="false">
      <c r="A34" s="18" t="s">
        <v>41</v>
      </c>
      <c r="B34" s="19" t="n">
        <f aca="false">COUNT(Input!A9:A500)</f>
        <v>67</v>
      </c>
      <c r="C34" s="19" t="n">
        <f aca="false">COUNTIF(Input!H9:H500,"covered")</f>
        <v>67</v>
      </c>
      <c r="D34" s="19" t="n">
        <f aca="false">COUNTIF(Input!H9:H500,"partial")</f>
        <v>0</v>
      </c>
      <c r="E34" s="19" t="n">
        <f aca="false">COUNTIF(Input!H9:H500,"missing")</f>
        <v>0</v>
      </c>
      <c r="F34" s="19" t="n">
        <f aca="false">COUNTIF(Input!H9:H500,"untested")</f>
        <v>0</v>
      </c>
      <c r="G34" s="17" t="n">
        <f aca="false">IFERROR(C34/B34,0)</f>
        <v>1</v>
      </c>
      <c r="H34" s="16" t="str">
        <f aca="false">IF(AND(B34&gt;0,I34=0,G34=1),"Done","Open")</f>
        <v>Done</v>
      </c>
      <c r="I34" s="16" t="n">
        <f aca="false">MAX(0,B34-C34)</f>
        <v>0</v>
      </c>
    </row>
    <row r="35" customFormat="false" ht="15" hidden="false" customHeight="true" outlineLevel="0" collapsed="false">
      <c r="A35" s="18" t="s">
        <v>42</v>
      </c>
      <c r="B35" s="19" t="n">
        <f aca="false">COUNT(Label!A9:A500)</f>
        <v>31</v>
      </c>
      <c r="C35" s="19" t="n">
        <f aca="false">COUNTIF(Label!H9:H500,"covered")</f>
        <v>31</v>
      </c>
      <c r="D35" s="19" t="n">
        <f aca="false">COUNTIF(Label!H9:H500,"partial")</f>
        <v>0</v>
      </c>
      <c r="E35" s="19" t="n">
        <f aca="false">COUNTIF(Label!H9:H500,"missing")</f>
        <v>0</v>
      </c>
      <c r="F35" s="19" t="n">
        <f aca="false">COUNTIF(Label!H9:H500,"untested")</f>
        <v>0</v>
      </c>
      <c r="G35" s="17" t="n">
        <f aca="false">IFERROR(C35/B35,0)</f>
        <v>1</v>
      </c>
      <c r="H35" s="16" t="str">
        <f aca="false">IF(AND(B35&gt;0,I35=0,G35=1),"Done","Open")</f>
        <v>Done</v>
      </c>
      <c r="I35" s="16" t="n">
        <f aca="false">MAX(0,B35-C35)</f>
        <v>0</v>
      </c>
    </row>
    <row r="36" customFormat="false" ht="15" hidden="false" customHeight="true" outlineLevel="0" collapsed="false">
      <c r="A36" s="18" t="s">
        <v>43</v>
      </c>
      <c r="B36" s="19" t="n">
        <f aca="false">COUNT(List!A9:A500)</f>
        <v>42</v>
      </c>
      <c r="C36" s="19" t="n">
        <f aca="false">COUNTIF(List!H9:H500,"covered")</f>
        <v>42</v>
      </c>
      <c r="D36" s="19" t="n">
        <f aca="false">COUNTIF(List!H9:H500,"partial")</f>
        <v>0</v>
      </c>
      <c r="E36" s="19" t="n">
        <f aca="false">COUNTIF(List!H9:H500,"missing")</f>
        <v>0</v>
      </c>
      <c r="F36" s="19" t="n">
        <f aca="false">COUNTIF(List!H9:H500,"untested")</f>
        <v>0</v>
      </c>
      <c r="G36" s="17" t="n">
        <f aca="false">IFERROR(C36/B36,0)</f>
        <v>1</v>
      </c>
      <c r="H36" s="16" t="str">
        <f aca="false">IF(AND(B36&gt;0,I36=0,G36=1),"Done","Open")</f>
        <v>Done</v>
      </c>
      <c r="I36" s="16" t="n">
        <f aca="false">MAX(0,B36-C36)</f>
        <v>0</v>
      </c>
    </row>
    <row r="37" customFormat="false" ht="15" hidden="false" customHeight="true" outlineLevel="0" collapsed="false">
      <c r="A37" s="18" t="s">
        <v>44</v>
      </c>
      <c r="B37" s="19" t="n">
        <f aca="false">COUNT(Listbox!A9:A500)</f>
        <v>120</v>
      </c>
      <c r="C37" s="19" t="n">
        <f aca="false">COUNTIF(Listbox!H9:H500,"covered")</f>
        <v>120</v>
      </c>
      <c r="D37" s="19" t="n">
        <f aca="false">COUNTIF(Listbox!H9:H500,"partial")</f>
        <v>0</v>
      </c>
      <c r="E37" s="19" t="n">
        <f aca="false">COUNTIF(Listbox!H9:H500,"missing")</f>
        <v>0</v>
      </c>
      <c r="F37" s="19" t="n">
        <f aca="false">COUNTIF(Listbox!H9:H500,"untested")</f>
        <v>0</v>
      </c>
      <c r="G37" s="17" t="n">
        <f aca="false">IFERROR(C37/B37,0)</f>
        <v>1</v>
      </c>
      <c r="H37" s="16" t="str">
        <f aca="false">IF(AND(B37&gt;0,I37=0,G37=1),"Done","Open")</f>
        <v>Done</v>
      </c>
      <c r="I37" s="16" t="n">
        <f aca="false">MAX(0,B37-C37)</f>
        <v>0</v>
      </c>
    </row>
    <row r="38" customFormat="false" ht="15" hidden="false" customHeight="true" outlineLevel="0" collapsed="false">
      <c r="A38" s="18" t="s">
        <v>45</v>
      </c>
      <c r="B38" s="19" t="n">
        <f aca="false">COUNT(Menu!A9:A500)</f>
        <v>173</v>
      </c>
      <c r="C38" s="19" t="n">
        <f aca="false">COUNTIF(Menu!H9:H500,"covered")</f>
        <v>173</v>
      </c>
      <c r="D38" s="19" t="n">
        <f aca="false">COUNTIF(Menu!H9:H500,"partial")</f>
        <v>0</v>
      </c>
      <c r="E38" s="19" t="n">
        <f aca="false">COUNTIF(Menu!H9:H500,"missing")</f>
        <v>0</v>
      </c>
      <c r="F38" s="19" t="n">
        <f aca="false">COUNTIF(Menu!H9:H500,"untested")</f>
        <v>0</v>
      </c>
      <c r="G38" s="17" t="n">
        <f aca="false">IFERROR(C38/B38,0)</f>
        <v>1</v>
      </c>
      <c r="H38" s="16" t="str">
        <f aca="false">IF(AND(B38&gt;0,I38=0,G38=1),"Done","Open")</f>
        <v>Done</v>
      </c>
      <c r="I38" s="16" t="n">
        <f aca="false">MAX(0,B38-C38)</f>
        <v>0</v>
      </c>
    </row>
    <row r="39" customFormat="false" ht="15" hidden="false" customHeight="true" outlineLevel="0" collapsed="false">
      <c r="A39" s="11" t="s">
        <v>46</v>
      </c>
      <c r="B39" s="12" t="n">
        <f aca="false">COUNT(Menubar!A9:A500)</f>
        <v>59</v>
      </c>
      <c r="C39" s="12" t="n">
        <f aca="false">COUNTIF(Menubar!H9:H500,"covered")</f>
        <v>59</v>
      </c>
      <c r="D39" s="12" t="n">
        <f aca="false">COUNTIF(Menubar!H9:H500,"partial")</f>
        <v>0</v>
      </c>
      <c r="E39" s="12" t="n">
        <f aca="false">COUNTIF(Menubar!H9:H500,"missing")</f>
        <v>0</v>
      </c>
      <c r="F39" s="12" t="n">
        <f aca="false">COUNTIF(Menubar!H9:H500,"untested")</f>
        <v>0</v>
      </c>
      <c r="G39" s="13" t="n">
        <f aca="false">IFERROR(C39/B39,0)</f>
        <v>1</v>
      </c>
      <c r="H39" s="14" t="str">
        <f aca="false">IF(AND(B39&gt;0,I39=0,G39=1),"Done","Open")</f>
        <v>Done</v>
      </c>
      <c r="I39" s="14" t="n">
        <f aca="false">MAX(0,B39-C39)</f>
        <v>0</v>
      </c>
    </row>
    <row r="40" customFormat="false" ht="15" hidden="false" customHeight="true" outlineLevel="0" collapsed="false">
      <c r="A40" s="11" t="s">
        <v>47</v>
      </c>
      <c r="B40" s="12" t="n">
        <f aca="false">COUNT(Modal!A9:A500)</f>
        <v>112</v>
      </c>
      <c r="C40" s="12" t="n">
        <f aca="false">COUNTIF(Modal!H9:H500,"covered")</f>
        <v>112</v>
      </c>
      <c r="D40" s="12" t="n">
        <f aca="false">COUNTIF(Modal!H9:H500,"partial")</f>
        <v>0</v>
      </c>
      <c r="E40" s="12" t="n">
        <f aca="false">COUNTIF(Modal!H9:H500,"missing")</f>
        <v>0</v>
      </c>
      <c r="F40" s="12" t="n">
        <f aca="false">COUNTIF(Modal!H9:H500,"untested")</f>
        <v>0</v>
      </c>
      <c r="G40" s="13" t="n">
        <f aca="false">IFERROR(C40/B40,0)</f>
        <v>1</v>
      </c>
      <c r="H40" s="14" t="str">
        <f aca="false">IF(AND(B40&gt;0,I40=0,G40=1),"Done","Open")</f>
        <v>Done</v>
      </c>
      <c r="I40" s="14" t="n">
        <f aca="false">MAX(0,B40-C40)</f>
        <v>0</v>
      </c>
    </row>
    <row r="41" customFormat="false" ht="15" hidden="false" customHeight="true" outlineLevel="0" collapsed="false">
      <c r="A41" s="11" t="s">
        <v>48</v>
      </c>
      <c r="B41" s="12" t="n">
        <f aca="false">COUNT(NavigationMenu!A9:A500)</f>
        <v>125</v>
      </c>
      <c r="C41" s="12" t="n">
        <f aca="false">COUNTIF(NavigationMenu!H9:H500,"covered")</f>
        <v>125</v>
      </c>
      <c r="D41" s="12" t="n">
        <f aca="false">COUNTIF(NavigationMenu!H9:H500,"partial")</f>
        <v>0</v>
      </c>
      <c r="E41" s="12" t="n">
        <f aca="false">COUNTIF(NavigationMenu!H9:H500,"missing")</f>
        <v>0</v>
      </c>
      <c r="F41" s="12" t="n">
        <f aca="false">COUNTIF(NavigationMenu!H9:H500,"untested")</f>
        <v>0</v>
      </c>
      <c r="G41" s="13" t="n">
        <f aca="false">IFERROR(C41/B41,0)</f>
        <v>1</v>
      </c>
      <c r="H41" s="14" t="str">
        <f aca="false">IF(AND(B41&gt;0,I41=0,G41=1),"Done","Open")</f>
        <v>Done</v>
      </c>
      <c r="I41" s="14" t="n">
        <f aca="false">MAX(0,B41-C41)</f>
        <v>0</v>
      </c>
    </row>
    <row r="42" customFormat="false" ht="15" hidden="false" customHeight="true" outlineLevel="0" collapsed="false">
      <c r="A42" s="11" t="s">
        <v>49</v>
      </c>
      <c r="B42" s="12" t="n">
        <f aca="false">COUNT(NavList!A9:A500)</f>
        <v>88</v>
      </c>
      <c r="C42" s="12" t="n">
        <f aca="false">COUNTIF(NavList!H9:H500,"covered")</f>
        <v>88</v>
      </c>
      <c r="D42" s="12" t="n">
        <f aca="false">COUNTIF(NavList!H9:H500,"partial")</f>
        <v>0</v>
      </c>
      <c r="E42" s="12" t="n">
        <f aca="false">COUNTIF(NavList!H9:H500,"missing")</f>
        <v>0</v>
      </c>
      <c r="F42" s="12" t="n">
        <f aca="false">COUNTIF(NavList!H9:H500,"untested")</f>
        <v>0</v>
      </c>
      <c r="G42" s="13" t="n">
        <f aca="false">IFERROR(C42/B42,0)</f>
        <v>1</v>
      </c>
      <c r="H42" s="14" t="str">
        <f aca="false">IF(AND(B42&gt;0,I42=0,G42=1),"Done","Open")</f>
        <v>Done</v>
      </c>
      <c r="I42" s="14" t="n">
        <f aca="false">MAX(0,B42-C42)</f>
        <v>0</v>
      </c>
    </row>
    <row r="43" customFormat="false" ht="15" hidden="false" customHeight="true" outlineLevel="0" collapsed="false">
      <c r="A43" s="18" t="s">
        <v>50</v>
      </c>
      <c r="B43" s="19" t="n">
        <f aca="false">COUNT(NumberInput!A9:A500)</f>
        <v>64</v>
      </c>
      <c r="C43" s="19" t="n">
        <f aca="false">COUNTIF(NumberInput!H9:H500,"covered")</f>
        <v>64</v>
      </c>
      <c r="D43" s="19" t="n">
        <f aca="false">COUNTIF(NumberInput!H9:H500,"partial")</f>
        <v>0</v>
      </c>
      <c r="E43" s="19" t="n">
        <f aca="false">COUNTIF(NumberInput!H9:H500,"missing")</f>
        <v>0</v>
      </c>
      <c r="F43" s="19" t="n">
        <f aca="false">COUNTIF(NumberInput!H9:H500,"untested")</f>
        <v>0</v>
      </c>
      <c r="G43" s="17" t="n">
        <f aca="false">IFERROR(C43/B43,0)</f>
        <v>1</v>
      </c>
      <c r="H43" s="16" t="str">
        <f aca="false">IF(AND(B43&gt;0,I43=0,G43=1),"Done","Open")</f>
        <v>Done</v>
      </c>
      <c r="I43" s="16" t="n">
        <f aca="false">MAX(0,B43-C43)</f>
        <v>0</v>
      </c>
    </row>
    <row r="44" customFormat="false" ht="15" hidden="false" customHeight="true" outlineLevel="0" collapsed="false">
      <c r="A44" s="18" t="s">
        <v>51</v>
      </c>
      <c r="B44" s="19" t="n">
        <f aca="false">COUNT(OTPField!A9:A500)</f>
        <v>91</v>
      </c>
      <c r="C44" s="19" t="n">
        <f aca="false">COUNTIF(OTPField!H9:H500,"covered")</f>
        <v>91</v>
      </c>
      <c r="D44" s="19" t="n">
        <f aca="false">COUNTIF(OTPField!H9:H500,"partial")</f>
        <v>0</v>
      </c>
      <c r="E44" s="19" t="n">
        <f aca="false">COUNTIF(OTPField!H9:H500,"missing")</f>
        <v>0</v>
      </c>
      <c r="F44" s="19" t="n">
        <f aca="false">COUNTIF(OTPField!H9:H500,"untested")</f>
        <v>0</v>
      </c>
      <c r="G44" s="20" t="n">
        <f aca="false">IFERROR(C44/B44,0)</f>
        <v>1</v>
      </c>
      <c r="H44" s="19" t="str">
        <f aca="false">IF(AND(B44&gt;0,I44=0,G44=1),"Done","Open")</f>
        <v>Done</v>
      </c>
      <c r="I44" s="19" t="n">
        <f aca="false">MAX(0,B44-C44)</f>
        <v>0</v>
      </c>
    </row>
    <row r="45" customFormat="false" ht="15" hidden="false" customHeight="true" outlineLevel="0" collapsed="false">
      <c r="A45" s="11" t="s">
        <v>52</v>
      </c>
      <c r="B45" s="12" t="n">
        <f aca="false">COUNT(Pagination!A9:A500)</f>
        <v>109</v>
      </c>
      <c r="C45" s="12" t="n">
        <f aca="false">COUNTIF(Pagination!H9:H500,"covered")</f>
        <v>109</v>
      </c>
      <c r="D45" s="12" t="n">
        <f aca="false">COUNTIF(Pagination!H9:H500,"partial")</f>
        <v>0</v>
      </c>
      <c r="E45" s="12" t="n">
        <f aca="false">COUNTIF(Pagination!H9:H500,"missing")</f>
        <v>0</v>
      </c>
      <c r="F45" s="12" t="n">
        <f aca="false">COUNTIF(Pagination!H9:H500,"untested")</f>
        <v>0</v>
      </c>
      <c r="G45" s="13" t="n">
        <f aca="false">IFERROR(C45/B45,0)</f>
        <v>1</v>
      </c>
      <c r="H45" s="14" t="str">
        <f aca="false">IF(AND(B45&gt;0,I45=0,G45=1),"Done","Open")</f>
        <v>Done</v>
      </c>
      <c r="I45" s="14" t="n">
        <f aca="false">MAX(0,B45-C45)</f>
        <v>0</v>
      </c>
    </row>
    <row r="46" customFormat="false" ht="15" hidden="false" customHeight="true" outlineLevel="0" collapsed="false">
      <c r="A46" s="18" t="s">
        <v>53</v>
      </c>
      <c r="B46" s="19" t="n">
        <f aca="false">COUNT(PasswordToggleField!A9:A500)</f>
        <v>80</v>
      </c>
      <c r="C46" s="19" t="n">
        <f aca="false">COUNTIF(PasswordToggleField!H9:H500,"covered")</f>
        <v>80</v>
      </c>
      <c r="D46" s="19" t="n">
        <f aca="false">COUNTIF(PasswordToggleField!H9:H500,"partial")</f>
        <v>0</v>
      </c>
      <c r="E46" s="19" t="n">
        <f aca="false">COUNTIF(PasswordToggleField!H9:H500,"missing")</f>
        <v>0</v>
      </c>
      <c r="F46" s="19" t="n">
        <f aca="false">COUNTIF(PasswordToggleField!H9:H500,"untested")</f>
        <v>0</v>
      </c>
      <c r="G46" s="17" t="n">
        <f aca="false">IFERROR(C46/B46,0)</f>
        <v>1</v>
      </c>
      <c r="H46" s="16" t="str">
        <f aca="false">IF(AND(B46&gt;0,I46=0,G46=1),"Done","Open")</f>
        <v>Done</v>
      </c>
      <c r="I46" s="16" t="n">
        <f aca="false">MAX(0,B46-C46)</f>
        <v>0</v>
      </c>
    </row>
    <row r="47" customFormat="false" ht="15" hidden="false" customHeight="true" outlineLevel="0" collapsed="false">
      <c r="A47" s="11" t="s">
        <v>54</v>
      </c>
      <c r="B47" s="12" t="n">
        <f aca="false">COUNT(Popover!A9:A500)</f>
        <v>145</v>
      </c>
      <c r="C47" s="12" t="n">
        <f aca="false">COUNTIF(Popover!H9:H500,"covered")</f>
        <v>145</v>
      </c>
      <c r="D47" s="12" t="n">
        <f aca="false">COUNTIF(Popover!H9:H500,"partial")</f>
        <v>0</v>
      </c>
      <c r="E47" s="12" t="n">
        <f aca="false">COUNTIF(Popover!H9:H500,"missing")</f>
        <v>0</v>
      </c>
      <c r="F47" s="12" t="n">
        <f aca="false">COUNTIF(Popover!H9:H500,"untested")</f>
        <v>0</v>
      </c>
      <c r="G47" s="13" t="n">
        <f aca="false">IFERROR(C47/B47,0)</f>
        <v>1</v>
      </c>
      <c r="H47" s="14" t="str">
        <f aca="false">IF(AND(B47&gt;0,I47=0,G47=1),"Done","Open")</f>
        <v>Done</v>
      </c>
      <c r="I47" s="14" t="n">
        <f aca="false">MAX(0,B47-C47)</f>
        <v>0</v>
      </c>
    </row>
    <row r="48" customFormat="false" ht="15" hidden="false" customHeight="true" outlineLevel="0" collapsed="false">
      <c r="A48" s="15" t="s">
        <v>55</v>
      </c>
      <c r="B48" s="16" t="n">
        <f aca="false">COUNT(Portal!A9:A500)</f>
        <v>23</v>
      </c>
      <c r="C48" s="16" t="n">
        <f aca="false">COUNTIF(Portal!H9:H500,"covered")</f>
        <v>23</v>
      </c>
      <c r="D48" s="16" t="n">
        <f aca="false">COUNTIF(Portal!H9:H500,"partial")</f>
        <v>0</v>
      </c>
      <c r="E48" s="16" t="n">
        <f aca="false">COUNTIF(Portal!H9:H500,"missing")</f>
        <v>0</v>
      </c>
      <c r="F48" s="16" t="n">
        <f aca="false">COUNTIF(Portal!H9:H500,"untested")</f>
        <v>0</v>
      </c>
      <c r="G48" s="17" t="n">
        <f aca="false">IFERROR(C48/B48,0)</f>
        <v>1</v>
      </c>
      <c r="H48" s="16" t="str">
        <f aca="false">IF(AND(B48&gt;0,I48=0,G48=1),"Done","Open")</f>
        <v>Done</v>
      </c>
      <c r="I48" s="16" t="n">
        <f aca="false">MAX(0,B48-C48)</f>
        <v>0</v>
      </c>
    </row>
    <row r="49" customFormat="false" ht="15" hidden="false" customHeight="true" outlineLevel="0" collapsed="false">
      <c r="A49" s="18" t="s">
        <v>56</v>
      </c>
      <c r="B49" s="19" t="n">
        <f aca="false">COUNT(Pressable!A9:A500)</f>
        <v>42</v>
      </c>
      <c r="C49" s="19" t="n">
        <f aca="false">COUNTIF(Pressable!H9:H500,"covered")</f>
        <v>42</v>
      </c>
      <c r="D49" s="19" t="n">
        <f aca="false">COUNTIF(Pressable!H9:H500,"partial")</f>
        <v>0</v>
      </c>
      <c r="E49" s="19" t="n">
        <f aca="false">COUNTIF(Pressable!H9:H500,"missing")</f>
        <v>0</v>
      </c>
      <c r="F49" s="19" t="n">
        <f aca="false">COUNTIF(Pressable!H9:H500,"untested")</f>
        <v>0</v>
      </c>
      <c r="G49" s="17" t="n">
        <f aca="false">IFERROR(C49/B49,0)</f>
        <v>1</v>
      </c>
      <c r="H49" s="16" t="str">
        <f aca="false">IF(AND(B49&gt;0,I49=0,G49=1),"Done","Open")</f>
        <v>Done</v>
      </c>
      <c r="I49" s="16" t="n">
        <f aca="false">MAX(0,B49-C49)</f>
        <v>0</v>
      </c>
    </row>
    <row r="50" customFormat="false" ht="15" hidden="false" customHeight="true" outlineLevel="0" collapsed="false">
      <c r="A50" s="18" t="s">
        <v>57</v>
      </c>
      <c r="B50" s="19" t="n">
        <f aca="false">COUNT(Progress!A9:A500)</f>
        <v>59</v>
      </c>
      <c r="C50" s="19" t="n">
        <f aca="false">COUNTIF(Progress!H9:H500,"covered")</f>
        <v>59</v>
      </c>
      <c r="D50" s="19" t="n">
        <f aca="false">COUNTIF(Progress!H9:H500,"partial")</f>
        <v>0</v>
      </c>
      <c r="E50" s="19" t="n">
        <f aca="false">COUNTIF(Progress!H9:H500,"missing")</f>
        <v>0</v>
      </c>
      <c r="F50" s="19" t="n">
        <f aca="false">COUNTIF(Progress!H9:H500,"untested")</f>
        <v>0</v>
      </c>
      <c r="G50" s="17" t="n">
        <f aca="false">IFERROR(C50/B50,0)</f>
        <v>1</v>
      </c>
      <c r="H50" s="16" t="str">
        <f aca="false">IF(AND(B50&gt;0,I50=0,G50=1),"Done","Open")</f>
        <v>Done</v>
      </c>
      <c r="I50" s="16" t="n">
        <f aca="false">MAX(0,B50-C50)</f>
        <v>0</v>
      </c>
    </row>
    <row r="51" customFormat="false" ht="15" hidden="false" customHeight="true" outlineLevel="0" collapsed="false">
      <c r="A51" s="11" t="s">
        <v>58</v>
      </c>
      <c r="B51" s="12" t="n">
        <f aca="false">COUNT(RadioGroup!A9:A500)</f>
        <v>86</v>
      </c>
      <c r="C51" s="12" t="n">
        <f aca="false">COUNTIF(RadioGroup!H9:H500,"covered")</f>
        <v>86</v>
      </c>
      <c r="D51" s="12" t="n">
        <f aca="false">COUNTIF(RadioGroup!H9:H500,"partial")</f>
        <v>0</v>
      </c>
      <c r="E51" s="12" t="n">
        <f aca="false">COUNTIF(RadioGroup!H9:H500,"missing")</f>
        <v>0</v>
      </c>
      <c r="F51" s="12" t="n">
        <f aca="false">COUNTIF(RadioGroup!H9:H500,"untested")</f>
        <v>0</v>
      </c>
      <c r="G51" s="13" t="n">
        <f aca="false">IFERROR(C51/B51,0)</f>
        <v>1</v>
      </c>
      <c r="H51" s="14" t="str">
        <f aca="false">IF(AND(B51&gt;0,I51=0,G51=1),"Done","Open")</f>
        <v>Done</v>
      </c>
      <c r="I51" s="14" t="n">
        <f aca="false">MAX(0,B51-C51)</f>
        <v>0</v>
      </c>
    </row>
    <row r="52" customFormat="false" ht="15" hidden="false" customHeight="true" outlineLevel="0" collapsed="false">
      <c r="A52" s="11" t="s">
        <v>59</v>
      </c>
      <c r="B52" s="12" t="n">
        <f aca="false">COUNT(Rating!A9:A500)</f>
        <v>99</v>
      </c>
      <c r="C52" s="12" t="n">
        <f aca="false">COUNTIF(Rating!H9:H500,"covered")</f>
        <v>99</v>
      </c>
      <c r="D52" s="12" t="n">
        <f aca="false">COUNTIF(Rating!H9:H500,"partial")</f>
        <v>0</v>
      </c>
      <c r="E52" s="12" t="n">
        <f aca="false">COUNTIF(Rating!H9:H500,"missing")</f>
        <v>0</v>
      </c>
      <c r="F52" s="12" t="n">
        <f aca="false">COUNTIF(Rating!H9:H500,"untested")</f>
        <v>0</v>
      </c>
      <c r="G52" s="13" t="n">
        <f aca="false">IFERROR(C52/B52,0)</f>
        <v>1</v>
      </c>
      <c r="H52" s="14" t="str">
        <f aca="false">IF(AND(B52&gt;0,I52=0,G52=1),"Done","Open")</f>
        <v>Done</v>
      </c>
      <c r="I52" s="14" t="n">
        <f aca="false">MAX(0,B52-C52)</f>
        <v>0</v>
      </c>
    </row>
    <row r="53" customFormat="false" ht="15" hidden="false" customHeight="true" outlineLevel="0" collapsed="false">
      <c r="A53" s="15" t="s">
        <v>60</v>
      </c>
      <c r="B53" s="16" t="n">
        <f aca="false">COUNT(ScrollArea!A9:A500)</f>
        <v>46</v>
      </c>
      <c r="C53" s="16" t="n">
        <f aca="false">COUNTIF(ScrollArea!H9:H500,"covered")</f>
        <v>46</v>
      </c>
      <c r="D53" s="16" t="n">
        <f aca="false">COUNTIF(ScrollArea!H9:H500,"partial")</f>
        <v>0</v>
      </c>
      <c r="E53" s="16" t="n">
        <f aca="false">COUNTIF(ScrollArea!H9:H500,"missing")</f>
        <v>0</v>
      </c>
      <c r="F53" s="16" t="n">
        <f aca="false">COUNTIF(ScrollArea!H9:H500,"untested")</f>
        <v>0</v>
      </c>
      <c r="G53" s="17" t="n">
        <f aca="false">IFERROR(C53/B53,0)</f>
        <v>1</v>
      </c>
      <c r="H53" s="16" t="str">
        <f aca="false">IF(AND(B53&gt;0,I53=0,G53=1),"Done","Open")</f>
        <v>Done</v>
      </c>
      <c r="I53" s="16" t="n">
        <f aca="false">MAX(0,B53-C53)</f>
        <v>0</v>
      </c>
    </row>
    <row r="54" customFormat="false" ht="15" hidden="false" customHeight="true" outlineLevel="0" collapsed="false">
      <c r="A54" s="18" t="s">
        <v>61</v>
      </c>
      <c r="B54" s="19" t="n">
        <f aca="false">COUNT(Select!A9:A500)</f>
        <v>163</v>
      </c>
      <c r="C54" s="19" t="n">
        <f aca="false">COUNTIF(Select!H9:H500,"covered")</f>
        <v>163</v>
      </c>
      <c r="D54" s="19" t="n">
        <f aca="false">COUNTIF(Select!H9:H500,"partial")</f>
        <v>0</v>
      </c>
      <c r="E54" s="19" t="n">
        <f aca="false">COUNTIF(Select!H9:H500,"missing")</f>
        <v>0</v>
      </c>
      <c r="F54" s="19" t="n">
        <f aca="false">COUNTIF(Select!H9:H500,"untested")</f>
        <v>0</v>
      </c>
      <c r="G54" s="17" t="n">
        <f aca="false">IFERROR(C54/B54,0)</f>
        <v>1</v>
      </c>
      <c r="H54" s="16" t="str">
        <f aca="false">IF(AND(B54&gt;0,I54=0,G54=1),"Done","Open")</f>
        <v>Done</v>
      </c>
      <c r="I54" s="16" t="n">
        <f aca="false">MAX(0,B54-C54)</f>
        <v>0</v>
      </c>
    </row>
    <row r="55" customFormat="false" ht="15" hidden="false" customHeight="true" outlineLevel="0" collapsed="false">
      <c r="A55" s="11" t="s">
        <v>62</v>
      </c>
      <c r="B55" s="12" t="n">
        <f aca="false">COUNT(Sidebar!A9:A500)</f>
        <v>84</v>
      </c>
      <c r="C55" s="12" t="n">
        <f aca="false">COUNTIF(Sidebar!H9:H500,"covered")</f>
        <v>84</v>
      </c>
      <c r="D55" s="12" t="n">
        <f aca="false">COUNTIF(Sidebar!H9:H500,"partial")</f>
        <v>0</v>
      </c>
      <c r="E55" s="12" t="n">
        <f aca="false">COUNTIF(Sidebar!H9:H500,"missing")</f>
        <v>0</v>
      </c>
      <c r="F55" s="12" t="n">
        <f aca="false">COUNTIF(Sidebar!H9:H500,"untested")</f>
        <v>0</v>
      </c>
      <c r="G55" s="13" t="n">
        <f aca="false">IFERROR(C55/B55,0)</f>
        <v>1</v>
      </c>
      <c r="H55" s="14" t="str">
        <f aca="false">IF(AND(B55&gt;0,I55=0,G55=1),"Done","Open")</f>
        <v>Done</v>
      </c>
      <c r="I55" s="14" t="n">
        <f aca="false">MAX(0,B55-C55)</f>
        <v>0</v>
      </c>
    </row>
    <row r="56" customFormat="false" ht="15" hidden="false" customHeight="true" outlineLevel="0" collapsed="false">
      <c r="A56" s="15" t="s">
        <v>63</v>
      </c>
      <c r="B56" s="16" t="n">
        <f aca="false">COUNT(SkipLink!A9:A500)</f>
        <v>42</v>
      </c>
      <c r="C56" s="16" t="n">
        <f aca="false">COUNTIF(SkipLink!H9:H500,"covered")</f>
        <v>42</v>
      </c>
      <c r="D56" s="16" t="n">
        <f aca="false">COUNTIF(SkipLink!H9:H500,"partial")</f>
        <v>0</v>
      </c>
      <c r="E56" s="16" t="n">
        <f aca="false">COUNTIF(SkipLink!H9:H500,"missing")</f>
        <v>0</v>
      </c>
      <c r="F56" s="16" t="n">
        <f aca="false">COUNTIF(SkipLink!H9:H500,"untested")</f>
        <v>0</v>
      </c>
      <c r="G56" s="17" t="n">
        <f aca="false">IFERROR(C56/B56,0)</f>
        <v>1</v>
      </c>
      <c r="H56" s="16" t="str">
        <f aca="false">IF(AND(B56&gt;0,I56=0,G56=1),"Done","Open")</f>
        <v>Done</v>
      </c>
      <c r="I56" s="16" t="n">
        <f aca="false">MAX(0,B56-C56)</f>
        <v>0</v>
      </c>
    </row>
    <row r="57" customFormat="false" ht="15" hidden="false" customHeight="true" outlineLevel="0" collapsed="false">
      <c r="A57" s="11" t="s">
        <v>64</v>
      </c>
      <c r="B57" s="12" t="n">
        <f aca="false">COUNT(Slider!A9:A500)</f>
        <v>104</v>
      </c>
      <c r="C57" s="12" t="n">
        <f aca="false">COUNTIF(Slider!H9:H500,"covered")</f>
        <v>104</v>
      </c>
      <c r="D57" s="12" t="n">
        <f aca="false">COUNTIF(Slider!H9:H500,"partial")</f>
        <v>0</v>
      </c>
      <c r="E57" s="12" t="n">
        <f aca="false">COUNTIF(Slider!H9:H500,"missing")</f>
        <v>0</v>
      </c>
      <c r="F57" s="12" t="n">
        <f aca="false">COUNTIF(Slider!H9:H500,"untested")</f>
        <v>0</v>
      </c>
      <c r="G57" s="13" t="n">
        <f aca="false">IFERROR(C57/B57,0)</f>
        <v>1</v>
      </c>
      <c r="H57" s="14" t="str">
        <f aca="false">IF(AND(B57&gt;0,I57=0,G57=1),"Done","Open")</f>
        <v>Done</v>
      </c>
      <c r="I57" s="14" t="n">
        <f aca="false">MAX(0,B57-C57)</f>
        <v>0</v>
      </c>
    </row>
    <row r="58" customFormat="false" ht="15" hidden="false" customHeight="true" outlineLevel="0" collapsed="false">
      <c r="A58" s="21" t="s">
        <v>65</v>
      </c>
      <c r="B58" s="22" t="n">
        <f aca="false">COUNT(SwipeableItem!A9:A500)</f>
        <v>90</v>
      </c>
      <c r="C58" s="22" t="n">
        <f aca="false">COUNTIF(SwipeableItem!H9:H500,"covered")</f>
        <v>90</v>
      </c>
      <c r="D58" s="22" t="n">
        <f aca="false">COUNTIF(SwipeableItem!H9:H500,"partial")</f>
        <v>0</v>
      </c>
      <c r="E58" s="22" t="n">
        <f aca="false">COUNTIF(SwipeableItem!H9:H500,"missing")</f>
        <v>0</v>
      </c>
      <c r="F58" s="22" t="n">
        <f aca="false">COUNTIF(SwipeableItem!H9:H500,"untested")</f>
        <v>0</v>
      </c>
      <c r="G58" s="23" t="n">
        <f aca="false">IFERROR(C58/B58,0)</f>
        <v>1</v>
      </c>
      <c r="H58" s="24" t="str">
        <f aca="false">IF(AND(B58&gt;0,I58=0,G58=1),"Done","Open")</f>
        <v>Done</v>
      </c>
      <c r="I58" s="24" t="n">
        <f aca="false">MAX(0,B58-C58)</f>
        <v>0</v>
      </c>
    </row>
    <row r="59" customFormat="false" ht="15" hidden="false" customHeight="true" outlineLevel="0" collapsed="false">
      <c r="A59" s="11" t="s">
        <v>66</v>
      </c>
      <c r="B59" s="12" t="n">
        <f aca="false">COUNT(Switch!A9:A500)</f>
        <v>77</v>
      </c>
      <c r="C59" s="12" t="n">
        <f aca="false">COUNTIF(Switch!H9:H500,"covered")</f>
        <v>77</v>
      </c>
      <c r="D59" s="12" t="n">
        <f aca="false">COUNTIF(Switch!H9:H500,"partial")</f>
        <v>0</v>
      </c>
      <c r="E59" s="12" t="n">
        <f aca="false">COUNTIF(Switch!H9:H500,"missing")</f>
        <v>0</v>
      </c>
      <c r="F59" s="12" t="n">
        <f aca="false">COUNTIF(Switch!H9:H500,"untested")</f>
        <v>0</v>
      </c>
      <c r="G59" s="13" t="n">
        <f aca="false">IFERROR(C59/B59,0)</f>
        <v>1</v>
      </c>
      <c r="H59" s="14" t="str">
        <f aca="false">IF(AND(B59&gt;0,I59=0,G59=1),"Done","Open")</f>
        <v>Done</v>
      </c>
      <c r="I59" s="14" t="n">
        <f aca="false">MAX(0,B59-C59)</f>
        <v>0</v>
      </c>
    </row>
    <row r="60" customFormat="false" ht="15" hidden="false" customHeight="true" outlineLevel="0" collapsed="false">
      <c r="A60" s="11" t="s">
        <v>67</v>
      </c>
      <c r="B60" s="12" t="n">
        <f aca="false">COUNT(Table!A9:A500)</f>
        <v>88</v>
      </c>
      <c r="C60" s="12" t="n">
        <f aca="false">COUNTIF(Table!H9:H500,"covered")</f>
        <v>88</v>
      </c>
      <c r="D60" s="12" t="n">
        <f aca="false">COUNTIF(Table!H9:H500,"partial")</f>
        <v>0</v>
      </c>
      <c r="E60" s="12" t="n">
        <f aca="false">COUNTIF(Table!H9:H500,"missing")</f>
        <v>0</v>
      </c>
      <c r="F60" s="12" t="n">
        <f aca="false">COUNTIF(Table!H9:H500,"untested")</f>
        <v>0</v>
      </c>
      <c r="G60" s="13" t="n">
        <f aca="false">IFERROR(C60/B60,0)</f>
        <v>1</v>
      </c>
      <c r="H60" s="14" t="str">
        <f aca="false">IF(AND(B60&gt;0,I60=0,G60=1),"Done","Open")</f>
        <v>Done</v>
      </c>
      <c r="I60" s="14" t="n">
        <f aca="false">MAX(0,B60-C60)</f>
        <v>0</v>
      </c>
    </row>
    <row r="61" customFormat="false" ht="15" hidden="false" customHeight="true" outlineLevel="0" collapsed="false">
      <c r="A61" s="11" t="s">
        <v>68</v>
      </c>
      <c r="B61" s="12" t="n">
        <f aca="false">COUNT(Tabs!A9:A500)</f>
        <v>98</v>
      </c>
      <c r="C61" s="12" t="n">
        <f aca="false">COUNTIF(Tabs!H9:H500,"covered")</f>
        <v>98</v>
      </c>
      <c r="D61" s="12" t="n">
        <f aca="false">COUNTIF(Tabs!H9:H500,"partial")</f>
        <v>0</v>
      </c>
      <c r="E61" s="12" t="n">
        <f aca="false">COUNTIF(Tabs!H9:H500,"missing")</f>
        <v>0</v>
      </c>
      <c r="F61" s="12" t="n">
        <f aca="false">COUNTIF(Tabs!H9:H500,"untested")</f>
        <v>0</v>
      </c>
      <c r="G61" s="13" t="n">
        <f aca="false">IFERROR(C61/B61,0)</f>
        <v>1</v>
      </c>
      <c r="H61" s="14" t="str">
        <f aca="false">IF(AND(B61&gt;0,I61=0,G61=1),"Done","Open")</f>
        <v>Done</v>
      </c>
      <c r="I61" s="14" t="n">
        <f aca="false">MAX(0,B61-C61)</f>
        <v>0</v>
      </c>
    </row>
    <row r="62" customFormat="false" ht="15" hidden="false" customHeight="true" outlineLevel="0" collapsed="false">
      <c r="A62" s="18" t="s">
        <v>69</v>
      </c>
      <c r="B62" s="19" t="n">
        <f aca="false">COUNT(Textarea!A9:A500)</f>
        <v>71</v>
      </c>
      <c r="C62" s="19" t="n">
        <f aca="false">COUNTIF(Textarea!H9:H500,"covered")</f>
        <v>71</v>
      </c>
      <c r="D62" s="19" t="n">
        <f aca="false">COUNTIF(Textarea!H9:H500,"partial")</f>
        <v>0</v>
      </c>
      <c r="E62" s="19" t="n">
        <f aca="false">COUNTIF(Textarea!H9:H500,"missing")</f>
        <v>0</v>
      </c>
      <c r="F62" s="19" t="n">
        <f aca="false">COUNTIF(Textarea!H9:H500,"untested")</f>
        <v>0</v>
      </c>
      <c r="G62" s="17" t="n">
        <f aca="false">IFERROR(C62/B62,0)</f>
        <v>1</v>
      </c>
      <c r="H62" s="16" t="str">
        <f aca="false">IF(AND(B62&gt;0,I62=0,G62=1),"Done","Open")</f>
        <v>Done</v>
      </c>
      <c r="I62" s="16" t="n">
        <f aca="false">MAX(0,B62-C62)</f>
        <v>0</v>
      </c>
    </row>
    <row r="63" customFormat="false" ht="15" hidden="false" customHeight="true" outlineLevel="0" collapsed="false">
      <c r="A63" s="11" t="s">
        <v>70</v>
      </c>
      <c r="B63" s="12" t="n">
        <f aca="false">COUNT(Toast!A9:A500)</f>
        <v>121</v>
      </c>
      <c r="C63" s="12" t="n">
        <f aca="false">COUNTIF(Toast!H9:H500,"covered")</f>
        <v>121</v>
      </c>
      <c r="D63" s="12" t="n">
        <f aca="false">COUNTIF(Toast!H9:H500,"partial")</f>
        <v>0</v>
      </c>
      <c r="E63" s="12" t="n">
        <f aca="false">COUNTIF(Toast!H9:H500,"missing")</f>
        <v>0</v>
      </c>
      <c r="F63" s="12" t="n">
        <f aca="false">COUNTIF(Toast!H9:H500,"untested")</f>
        <v>0</v>
      </c>
      <c r="G63" s="13" t="n">
        <f aca="false">IFERROR(C63/B63,0)</f>
        <v>1</v>
      </c>
      <c r="H63" s="14" t="str">
        <f aca="false">IF(AND(B63&gt;0,I63=0,G63=1),"Done","Open")</f>
        <v>Done</v>
      </c>
      <c r="I63" s="14" t="n">
        <f aca="false">MAX(0,B63-C63)</f>
        <v>0</v>
      </c>
    </row>
    <row r="64" customFormat="false" ht="15" hidden="false" customHeight="true" outlineLevel="0" collapsed="false">
      <c r="A64" s="18" t="s">
        <v>71</v>
      </c>
      <c r="B64" s="19" t="n">
        <f aca="false">COUNT(Toggle!A9:A500)</f>
        <v>37</v>
      </c>
      <c r="C64" s="19" t="n">
        <f aca="false">COUNTIF(Toggle!H9:H500,"covered")</f>
        <v>37</v>
      </c>
      <c r="D64" s="19" t="n">
        <f aca="false">COUNTIF(Toggle!H9:H500,"partial")</f>
        <v>0</v>
      </c>
      <c r="E64" s="19" t="n">
        <f aca="false">COUNTIF(Toggle!H9:H500,"missing")</f>
        <v>0</v>
      </c>
      <c r="F64" s="19" t="n">
        <f aca="false">COUNTIF(Toggle!H9:H500,"untested")</f>
        <v>0</v>
      </c>
      <c r="G64" s="17" t="n">
        <f aca="false">IFERROR(C64/B64,0)</f>
        <v>1</v>
      </c>
      <c r="H64" s="16" t="str">
        <f aca="false">IF(AND(B64&gt;0,I64=0,G64=1),"Done","Open")</f>
        <v>Done</v>
      </c>
      <c r="I64" s="16" t="n">
        <f aca="false">MAX(0,B64-C64)</f>
        <v>0</v>
      </c>
    </row>
    <row r="65" customFormat="false" ht="15" hidden="false" customHeight="true" outlineLevel="0" collapsed="false">
      <c r="A65" s="18" t="s">
        <v>72</v>
      </c>
      <c r="B65" s="19" t="n">
        <f aca="false">COUNT(ToggleGroup!A9:A500)</f>
        <v>54</v>
      </c>
      <c r="C65" s="19" t="n">
        <f aca="false">COUNTIF(ToggleGroup!H9:H500,"covered")</f>
        <v>54</v>
      </c>
      <c r="D65" s="19" t="n">
        <f aca="false">COUNTIF(ToggleGroup!H9:H500,"partial")</f>
        <v>0</v>
      </c>
      <c r="E65" s="19" t="n">
        <f aca="false">COUNTIF(ToggleGroup!H9:H500,"missing")</f>
        <v>0</v>
      </c>
      <c r="F65" s="19" t="n">
        <f aca="false">COUNTIF(ToggleGroup!H9:H500,"untested")</f>
        <v>0</v>
      </c>
      <c r="G65" s="17" t="n">
        <f aca="false">IFERROR(C65/B65,0)</f>
        <v>1</v>
      </c>
      <c r="H65" s="16" t="str">
        <f aca="false">IF(AND(B65&gt;0,I65=0,G65=1),"Done","Open")</f>
        <v>Done</v>
      </c>
      <c r="I65" s="16" t="n">
        <f aca="false">MAX(0,B65-C65)</f>
        <v>0</v>
      </c>
    </row>
    <row r="66" customFormat="false" ht="15" hidden="false" customHeight="true" outlineLevel="0" collapsed="false">
      <c r="A66" s="11" t="s">
        <v>73</v>
      </c>
      <c r="B66" s="12" t="n">
        <f aca="false">COUNT(Toolbar!A9:A500)</f>
        <v>110</v>
      </c>
      <c r="C66" s="12" t="n">
        <f aca="false">COUNTIF(Toolbar!H9:H500,"covered")</f>
        <v>110</v>
      </c>
      <c r="D66" s="12" t="n">
        <f aca="false">COUNTIF(Toolbar!H9:H500,"partial")</f>
        <v>0</v>
      </c>
      <c r="E66" s="12" t="n">
        <f aca="false">COUNTIF(Toolbar!H9:H500,"missing")</f>
        <v>0</v>
      </c>
      <c r="F66" s="12" t="n">
        <f aca="false">COUNTIF(Toolbar!H9:H500,"untested")</f>
        <v>0</v>
      </c>
      <c r="G66" s="13" t="n">
        <f aca="false">IFERROR(C66/B66,0)</f>
        <v>1</v>
      </c>
      <c r="H66" s="14" t="str">
        <f aca="false">IF(AND(B66&gt;0,I66=0,G66=1),"Done","Open")</f>
        <v>Done</v>
      </c>
      <c r="I66" s="14" t="n">
        <f aca="false">MAX(0,B66-C66)</f>
        <v>0</v>
      </c>
    </row>
    <row r="67" customFormat="false" ht="15" hidden="false" customHeight="true" outlineLevel="0" collapsed="false">
      <c r="A67" s="11" t="s">
        <v>74</v>
      </c>
      <c r="B67" s="12" t="n">
        <f aca="false">COUNT(Tooltip!A9:A500)</f>
        <v>90</v>
      </c>
      <c r="C67" s="12" t="n">
        <f aca="false">COUNTIF(Tooltip!H9:H500,"covered")</f>
        <v>90</v>
      </c>
      <c r="D67" s="12" t="n">
        <f aca="false">COUNTIF(Tooltip!H9:H500,"partial")</f>
        <v>0</v>
      </c>
      <c r="E67" s="12" t="n">
        <f aca="false">COUNTIF(Tooltip!H9:H500,"missing")</f>
        <v>0</v>
      </c>
      <c r="F67" s="12" t="n">
        <f aca="false">COUNTIF(Tooltip!H9:H500,"untested")</f>
        <v>0</v>
      </c>
      <c r="G67" s="13" t="n">
        <f aca="false">IFERROR(C67/B67,0)</f>
        <v>1</v>
      </c>
      <c r="H67" s="14" t="str">
        <f aca="false">IF(AND(B67&gt;0,I67=0,G67=1),"Done","Open")</f>
        <v>Done</v>
      </c>
      <c r="I67" s="14" t="n">
        <f aca="false">MAX(0,B67-C67)</f>
        <v>0</v>
      </c>
    </row>
    <row r="68" customFormat="false" ht="15" hidden="false" customHeight="true" outlineLevel="0" collapsed="false">
      <c r="A68" s="11" t="s">
        <v>75</v>
      </c>
      <c r="B68" s="12" t="n">
        <f aca="false">COUNT(Tree!A9:A500)</f>
        <v>102</v>
      </c>
      <c r="C68" s="12" t="n">
        <f aca="false">COUNTIF(Tree!H9:H500,"covered")</f>
        <v>102</v>
      </c>
      <c r="D68" s="12" t="n">
        <f aca="false">COUNTIF(Tree!H9:H500,"partial")</f>
        <v>0</v>
      </c>
      <c r="E68" s="12" t="n">
        <f aca="false">COUNTIF(Tree!H9:H500,"missing")</f>
        <v>0</v>
      </c>
      <c r="F68" s="12" t="n">
        <f aca="false">COUNTIF(Tree!H9:H500,"untested")</f>
        <v>0</v>
      </c>
      <c r="G68" s="13" t="n">
        <f aca="false">IFERROR(C68/B68,0)</f>
        <v>1</v>
      </c>
      <c r="H68" s="14" t="str">
        <f aca="false">IF(AND(B68&gt;0,I68=0,G68=1),"Done","Open")</f>
        <v>Done</v>
      </c>
      <c r="I68" s="14" t="n">
        <f aca="false">MAX(0,B68-C68)</f>
        <v>0</v>
      </c>
    </row>
    <row r="69" customFormat="false" ht="15" hidden="false" customHeight="true" outlineLevel="0" collapsed="false">
      <c r="A69" s="11" t="s">
        <v>76</v>
      </c>
      <c r="B69" s="12" t="n">
        <f aca="false">COUNT(TreeGrid!A9:A500)</f>
        <v>186</v>
      </c>
      <c r="C69" s="12" t="n">
        <f aca="false">COUNTIF(TreeGrid!H9:H500,"covered")</f>
        <v>186</v>
      </c>
      <c r="D69" s="12" t="n">
        <f aca="false">COUNTIF(TreeGrid!H9:H500,"partial")</f>
        <v>0</v>
      </c>
      <c r="E69" s="12" t="n">
        <f aca="false">COUNTIF(TreeGrid!H9:H500,"missing")</f>
        <v>0</v>
      </c>
      <c r="F69" s="12" t="n">
        <f aca="false">COUNTIF(TreeGrid!H9:H500,"untested")</f>
        <v>0</v>
      </c>
      <c r="G69" s="13" t="n">
        <f aca="false">IFERROR(C69/B69,0)</f>
        <v>1</v>
      </c>
      <c r="H69" s="14" t="str">
        <f aca="false">IF(AND(B69&gt;0,I69=0,G69=1),"Done","Open")</f>
        <v>Done</v>
      </c>
      <c r="I69" s="14" t="n">
        <f aca="false">MAX(0,B69-C69)</f>
        <v>0</v>
      </c>
    </row>
    <row r="70" customFormat="false" ht="15" hidden="false" customHeight="true" outlineLevel="0" collapsed="false">
      <c r="A70" s="15" t="s">
        <v>77</v>
      </c>
      <c r="B70" s="16" t="n">
        <f aca="false">COUNT(Virtualizer!A9:A500)</f>
        <v>25</v>
      </c>
      <c r="C70" s="16" t="n">
        <f aca="false">COUNTIF(Virtualizer!H9:H500,"covered")</f>
        <v>25</v>
      </c>
      <c r="D70" s="16" t="n">
        <f aca="false">COUNTIF(Virtualizer!H9:H500,"partial")</f>
        <v>0</v>
      </c>
      <c r="E70" s="16" t="n">
        <f aca="false">COUNTIF(Virtualizer!H9:H500,"missing")</f>
        <v>0</v>
      </c>
      <c r="F70" s="16" t="n">
        <f aca="false">COUNTIF(Virtualizer!H9:H500,"untested")</f>
        <v>0</v>
      </c>
      <c r="G70" s="17" t="n">
        <f aca="false">IFERROR(C70/B70,0)</f>
        <v>1</v>
      </c>
      <c r="H70" s="16" t="str">
        <f aca="false">IF(AND(B70&gt;0,I70=0,G70=1),"Done","Open")</f>
        <v>Done</v>
      </c>
      <c r="I70" s="16" t="n">
        <f aca="false">MAX(0,B70-C70)</f>
        <v>0</v>
      </c>
    </row>
    <row r="71" customFormat="false" ht="15" hidden="false" customHeight="true" outlineLevel="0" collapsed="false">
      <c r="A71" s="15" t="s">
        <v>78</v>
      </c>
      <c r="B71" s="16" t="n">
        <f aca="false">COUNT(VisuallyHidden!A9:A500)</f>
        <v>27</v>
      </c>
      <c r="C71" s="16" t="n">
        <f aca="false">COUNTIF(VisuallyHidden!H9:H500,"covered")</f>
        <v>27</v>
      </c>
      <c r="D71" s="16" t="n">
        <f aca="false">COUNTIF(VisuallyHidden!H9:H500,"partial")</f>
        <v>0</v>
      </c>
      <c r="E71" s="16" t="n">
        <f aca="false">COUNTIF(VisuallyHidden!H9:H500,"missing")</f>
        <v>0</v>
      </c>
      <c r="F71" s="16" t="n">
        <f aca="false">COUNTIF(VisuallyHidden!H9:H500,"untested")</f>
        <v>0</v>
      </c>
      <c r="G71" s="17" t="n">
        <f aca="false">IFERROR(C71/B71,0)</f>
        <v>1</v>
      </c>
      <c r="H71" s="16" t="str">
        <f aca="false">IF(AND(B71&gt;0,I71=0,G71=1),"Done","Open")</f>
        <v>Done</v>
      </c>
      <c r="I71" s="16" t="n">
        <f aca="false">MAX(0,B71-C71)</f>
        <v>0</v>
      </c>
    </row>
  </sheetData>
  <mergeCells count="2">
    <mergeCell ref="A1:I1"/>
    <mergeCell ref="A2:I2"/>
  </mergeCells>
  <conditionalFormatting sqref="A7:I71">
    <cfRule type="expression" priority="2" aboveAverage="0" equalAverage="0" bottom="0" percent="0" rank="0" text="" dxfId="0">
      <formula>$H7="Done"</formula>
    </cfRule>
    <cfRule type="expression" priority="3" aboveAverage="0" equalAverage="0" bottom="0" percent="0" rank="0" text="" dxfId="1">
      <formula>$H7="Open"</formula>
    </cfRule>
  </conditionalFormatting>
  <conditionalFormatting sqref="H7:H71">
    <cfRule type="expression" priority="4" aboveAverage="0" equalAverage="0" bottom="0" percent="0" rank="0" text="" dxfId="2">
      <formula>$H7="Done"</formula>
    </cfRule>
    <cfRule type="expression" priority="5" aboveAverage="0" equalAverage="0" bottom="0" percent="0" rank="0" text="" dxfId="3">
      <formula>$H7="Needs work"</formula>
    </cfRule>
    <cfRule type="expression" priority="6" aboveAverage="0" equalAverage="0" bottom="0" percent="0" rank="0" text="" dxfId="4">
      <formula>$H7="In progress"</formula>
    </cfRule>
    <cfRule type="expression" priority="7" aboveAverage="0" equalAverage="0" bottom="0" percent="0" rank="0" text="" dxfId="5">
      <formula>$H7="No tests"</formula>
    </cfRule>
  </conditionalFormatting>
  <conditionalFormatting sqref="I7:I71">
    <cfRule type="cellIs" priority="8" operator="equal" aboveAverage="0" equalAverage="0" bottom="0" percent="0" rank="0" text="" dxfId="2">
      <formula>0</formula>
    </cfRule>
    <cfRule type="cellIs" priority="9" operator="greater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K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2"/>
    <col collapsed="false" customWidth="true" hidden="false" outlineLevel="0" max="3" min="3" style="1" width="10"/>
    <col collapsed="false" customWidth="true" hidden="false" outlineLevel="0" max="4" min="4" style="1" width="18"/>
    <col collapsed="false" customWidth="true" hidden="false" outlineLevel="0" max="5" min="5" style="1" width="48"/>
    <col collapsed="false" customWidth="true" hidden="false" outlineLevel="0" max="6" min="6" style="1" width="42"/>
    <col collapsed="false" customWidth="true" hidden="false" outlineLevel="0" max="7" min="7" style="1" width="28"/>
    <col collapsed="false" customWidth="true" hidden="false" outlineLevel="0" max="8" min="8" style="1" width="38"/>
    <col collapsed="false" customWidth="true" hidden="false" outlineLevel="0" max="9" min="9" style="1" width="40"/>
    <col collapsed="false" customWidth="true" hidden="false" outlineLevel="0" max="10" min="10" style="1" width="18"/>
    <col collapsed="false" customWidth="true" hidden="false" outlineLevel="0" max="11" min="11" style="1" width="16"/>
    <col collapsed="false" customWidth="true" hidden="false" outlineLevel="0" max="12" min="12" style="1" width="18"/>
    <col collapsed="false" customWidth="true" hidden="false" outlineLevel="0" max="13" min="13" style="1" width="20"/>
    <col collapsed="false" customWidth="true" hidden="false" outlineLevel="0" max="16" min="14" style="1" width="22"/>
    <col collapsed="false" customWidth="true" hidden="false" outlineLevel="0" max="18" min="17" style="1" width="54"/>
    <col collapsed="false" customWidth="true" hidden="false" outlineLevel="0" max="19" min="19" style="1" width="44"/>
    <col collapsed="false" customWidth="true" hidden="false" outlineLevel="0" max="20" min="20" style="1" width="32"/>
    <col collapsed="false" customWidth="true" hidden="false" outlineLevel="0" max="21" min="21" style="1" width="16"/>
    <col collapsed="false" customWidth="true" hidden="false" outlineLevel="0" max="22" min="22" style="25" width="14"/>
    <col collapsed="false" customWidth="true" hidden="false" outlineLevel="0" max="23" min="23" style="1" width="32"/>
    <col collapsed="false" customWidth="true" hidden="false" outlineLevel="0" max="24" min="24" style="1" width="52"/>
    <col collapsed="false" customWidth="true" hidden="false" outlineLevel="0" max="25" min="25" style="1" width="24"/>
    <col collapsed="false" customWidth="true" hidden="true" outlineLevel="0" max="37" min="27" style="1" width="13"/>
  </cols>
  <sheetData>
    <row r="1" customFormat="false" ht="30" hidden="false" customHeight="true" outlineLevel="0" collapsed="false">
      <c r="A1" s="26" t="s">
        <v>79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AA1" s="1" t="s">
        <v>80</v>
      </c>
      <c r="AB1" s="1" t="s">
        <v>81</v>
      </c>
      <c r="AC1" s="1" t="s">
        <v>82</v>
      </c>
      <c r="AD1" s="1" t="s">
        <v>83</v>
      </c>
      <c r="AE1" s="1" t="s">
        <v>84</v>
      </c>
      <c r="AF1" s="1" t="s">
        <v>85</v>
      </c>
      <c r="AG1" s="1" t="s">
        <v>86</v>
      </c>
      <c r="AH1" s="1" t="s">
        <v>87</v>
      </c>
      <c r="AI1" s="1" t="s">
        <v>88</v>
      </c>
      <c r="AJ1" s="1" t="s">
        <v>89</v>
      </c>
      <c r="AK1" s="1" t="s">
        <v>90</v>
      </c>
    </row>
    <row r="2" customFormat="false" ht="30" hidden="false" customHeight="true" outlineLevel="0" collapsed="false">
      <c r="A2" s="27" t="s">
        <v>91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AA2" s="1" t="s">
        <v>92</v>
      </c>
      <c r="AB2" s="1" t="s">
        <v>93</v>
      </c>
      <c r="AC2" s="1" t="s">
        <v>94</v>
      </c>
      <c r="AD2" s="1" t="s">
        <v>95</v>
      </c>
      <c r="AE2" s="1" t="s">
        <v>96</v>
      </c>
      <c r="AF2" s="1" t="s">
        <v>97</v>
      </c>
      <c r="AG2" s="1" t="s">
        <v>98</v>
      </c>
      <c r="AH2" s="1" t="s">
        <v>99</v>
      </c>
      <c r="AI2" s="1" t="s">
        <v>100</v>
      </c>
      <c r="AJ2" s="1" t="s">
        <v>101</v>
      </c>
      <c r="AK2" s="1" t="s">
        <v>14</v>
      </c>
    </row>
    <row r="3" customFormat="false" ht="15" hidden="false" customHeight="true" outlineLevel="0" collapsed="false">
      <c r="AA3" s="1" t="s">
        <v>102</v>
      </c>
      <c r="AB3" s="1" t="s">
        <v>103</v>
      </c>
      <c r="AC3" s="1" t="s">
        <v>104</v>
      </c>
      <c r="AD3" s="1" t="s">
        <v>105</v>
      </c>
      <c r="AE3" s="1" t="s">
        <v>106</v>
      </c>
      <c r="AF3" s="1" t="s">
        <v>107</v>
      </c>
      <c r="AG3" s="1" t="s">
        <v>108</v>
      </c>
      <c r="AH3" s="1" t="s">
        <v>109</v>
      </c>
      <c r="AI3" s="1" t="s">
        <v>110</v>
      </c>
      <c r="AJ3" s="1" t="s">
        <v>111</v>
      </c>
      <c r="AK3" s="1" t="s">
        <v>15</v>
      </c>
    </row>
    <row r="4" customFormat="false" ht="24" hidden="false" customHeight="true" outlineLevel="0" collapsed="false">
      <c r="A4" s="28" t="s">
        <v>112</v>
      </c>
      <c r="B4" s="28" t="n">
        <f aca="false">COUNTA($A$9:$A$200)</f>
        <v>78</v>
      </c>
      <c r="C4" s="28" t="s">
        <v>113</v>
      </c>
      <c r="D4" s="28" t="n">
        <f aca="false">COUNTIF($U$9:$U$200,"passed")</f>
        <v>9</v>
      </c>
      <c r="E4" s="28" t="s">
        <v>114</v>
      </c>
      <c r="F4" s="28" t="n">
        <f aca="false">COUNTIF($U$9:$U$200,"failed")</f>
        <v>0</v>
      </c>
      <c r="G4" s="28" t="s">
        <v>115</v>
      </c>
      <c r="H4" s="28" t="n">
        <f aca="false">COUNTIF($U$9:$U$200,"blocked")</f>
        <v>0</v>
      </c>
      <c r="I4" s="28" t="s">
        <v>116</v>
      </c>
      <c r="J4" s="28" t="n">
        <f aca="false">COUNTIF($U$9:$U$200,"not run")</f>
        <v>69</v>
      </c>
      <c r="K4" s="28" t="s">
        <v>117</v>
      </c>
      <c r="L4" s="28" t="n">
        <f aca="false">COUNTIF($U$9:$U$200,"not applicable")</f>
        <v>0</v>
      </c>
      <c r="M4" s="28" t="s">
        <v>118</v>
      </c>
      <c r="N4" s="28" t="n">
        <f aca="false">COUNTIFS($A$9:$A$200,"&lt;&gt;",$Y$9:$Y$200,"&lt;&gt;ready")</f>
        <v>69</v>
      </c>
      <c r="AA4" s="1" t="s">
        <v>119</v>
      </c>
      <c r="AB4" s="1" t="s">
        <v>120</v>
      </c>
      <c r="AC4" s="1" t="s">
        <v>121</v>
      </c>
      <c r="AD4" s="1" t="s">
        <v>122</v>
      </c>
      <c r="AE4" s="1" t="s">
        <v>123</v>
      </c>
      <c r="AF4" s="1" t="s">
        <v>124</v>
      </c>
      <c r="AG4" s="1" t="s">
        <v>125</v>
      </c>
      <c r="AH4" s="1" t="s">
        <v>126</v>
      </c>
      <c r="AI4" s="1" t="s">
        <v>127</v>
      </c>
      <c r="AJ4" s="1" t="s">
        <v>128</v>
      </c>
      <c r="AK4" s="1" t="s">
        <v>16</v>
      </c>
    </row>
    <row r="5" customFormat="false" ht="15" hidden="false" customHeight="true" outlineLevel="0" collapsed="false">
      <c r="AA5" s="1" t="s">
        <v>129</v>
      </c>
      <c r="AB5" s="1" t="s">
        <v>130</v>
      </c>
      <c r="AC5" s="1" t="s">
        <v>131</v>
      </c>
      <c r="AD5" s="1" t="s">
        <v>132</v>
      </c>
      <c r="AE5" s="1" t="s">
        <v>133</v>
      </c>
      <c r="AF5" s="1" t="s">
        <v>134</v>
      </c>
      <c r="AG5" s="1" t="s">
        <v>135</v>
      </c>
      <c r="AH5" s="1" t="s">
        <v>136</v>
      </c>
      <c r="AI5" s="1" t="s">
        <v>137</v>
      </c>
      <c r="AJ5" s="1" t="s">
        <v>138</v>
      </c>
      <c r="AK5" s="1" t="s">
        <v>17</v>
      </c>
    </row>
    <row r="6" customFormat="false" ht="24" hidden="false" customHeight="true" outlineLevel="0" collapsed="false">
      <c r="A6" s="29" t="s">
        <v>139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AA6" s="1" t="s">
        <v>140</v>
      </c>
      <c r="AB6" s="1" t="s">
        <v>141</v>
      </c>
      <c r="AC6" s="1" t="s">
        <v>142</v>
      </c>
      <c r="AD6" s="1" t="s">
        <v>143</v>
      </c>
      <c r="AE6" s="1" t="s">
        <v>144</v>
      </c>
      <c r="AF6" s="1" t="s">
        <v>145</v>
      </c>
      <c r="AG6" s="1" t="s">
        <v>146</v>
      </c>
      <c r="AH6" s="1" t="s">
        <v>142</v>
      </c>
      <c r="AI6" s="1" t="s">
        <v>142</v>
      </c>
      <c r="AJ6" s="1" t="s">
        <v>147</v>
      </c>
      <c r="AK6" s="1" t="s">
        <v>18</v>
      </c>
    </row>
    <row r="7" customFormat="false" ht="15" hidden="false" customHeight="true" outlineLevel="0" collapsed="false">
      <c r="AA7" s="1" t="s">
        <v>148</v>
      </c>
      <c r="AB7" s="1" t="s">
        <v>149</v>
      </c>
      <c r="AD7" s="1" t="s">
        <v>150</v>
      </c>
      <c r="AE7" s="1" t="s">
        <v>151</v>
      </c>
      <c r="AF7" s="1" t="s">
        <v>142</v>
      </c>
      <c r="AG7" s="1" t="s">
        <v>152</v>
      </c>
      <c r="AJ7" s="1" t="s">
        <v>136</v>
      </c>
      <c r="AK7" s="1" t="s">
        <v>19</v>
      </c>
    </row>
    <row r="8" customFormat="false" ht="36" hidden="false" customHeight="true" outlineLevel="0" collapsed="false">
      <c r="A8" s="30" t="s">
        <v>153</v>
      </c>
      <c r="B8" s="30" t="s">
        <v>154</v>
      </c>
      <c r="C8" s="30" t="s">
        <v>155</v>
      </c>
      <c r="D8" s="30" t="s">
        <v>6</v>
      </c>
      <c r="E8" s="30" t="s">
        <v>156</v>
      </c>
      <c r="F8" s="30" t="s">
        <v>157</v>
      </c>
      <c r="G8" s="30" t="s">
        <v>158</v>
      </c>
      <c r="H8" s="30" t="s">
        <v>159</v>
      </c>
      <c r="I8" s="30" t="s">
        <v>160</v>
      </c>
      <c r="J8" s="30" t="s">
        <v>161</v>
      </c>
      <c r="K8" s="30" t="s">
        <v>162</v>
      </c>
      <c r="L8" s="30" t="s">
        <v>163</v>
      </c>
      <c r="M8" s="30" t="s">
        <v>164</v>
      </c>
      <c r="N8" s="30" t="s">
        <v>165</v>
      </c>
      <c r="O8" s="30" t="s">
        <v>166</v>
      </c>
      <c r="P8" s="30" t="s">
        <v>167</v>
      </c>
      <c r="Q8" s="30" t="s">
        <v>168</v>
      </c>
      <c r="R8" s="30" t="s">
        <v>169</v>
      </c>
      <c r="S8" s="30" t="s">
        <v>170</v>
      </c>
      <c r="T8" s="30" t="s">
        <v>171</v>
      </c>
      <c r="U8" s="30" t="s">
        <v>13</v>
      </c>
      <c r="V8" s="30" t="s">
        <v>172</v>
      </c>
      <c r="W8" s="30" t="s">
        <v>173</v>
      </c>
      <c r="X8" s="30" t="s">
        <v>174</v>
      </c>
      <c r="Y8" s="30" t="s">
        <v>175</v>
      </c>
      <c r="AA8" s="1" t="s">
        <v>176</v>
      </c>
      <c r="AB8" s="1" t="s">
        <v>177</v>
      </c>
      <c r="AE8" s="1" t="s">
        <v>178</v>
      </c>
      <c r="AG8" s="1" t="s">
        <v>142</v>
      </c>
      <c r="AJ8" s="1" t="s">
        <v>142</v>
      </c>
      <c r="AK8" s="1" t="s">
        <v>20</v>
      </c>
    </row>
    <row r="9" customFormat="false" ht="48" hidden="false" customHeight="true" outlineLevel="0" collapsed="false">
      <c r="A9" s="31" t="s">
        <v>179</v>
      </c>
      <c r="B9" s="31" t="s">
        <v>129</v>
      </c>
      <c r="C9" s="31" t="s">
        <v>141</v>
      </c>
      <c r="D9" s="32" t="s">
        <v>30</v>
      </c>
      <c r="E9" s="32" t="s">
        <v>180</v>
      </c>
      <c r="F9" s="32" t="s">
        <v>181</v>
      </c>
      <c r="G9" s="33" t="s">
        <v>104</v>
      </c>
      <c r="H9" s="32" t="s">
        <v>143</v>
      </c>
      <c r="I9" s="33" t="s">
        <v>178</v>
      </c>
      <c r="J9" s="31" t="s">
        <v>134</v>
      </c>
      <c r="K9" s="31" t="s">
        <v>182</v>
      </c>
      <c r="L9" s="31" t="s">
        <v>101</v>
      </c>
      <c r="M9" s="31" t="s">
        <v>183</v>
      </c>
      <c r="N9" s="31" t="s">
        <v>184</v>
      </c>
      <c r="O9" s="31" t="s">
        <v>125</v>
      </c>
      <c r="P9" s="31" t="s">
        <v>99</v>
      </c>
      <c r="Q9" s="32" t="s">
        <v>185</v>
      </c>
      <c r="R9" s="32" t="s">
        <v>186</v>
      </c>
      <c r="S9" s="32" t="s">
        <v>187</v>
      </c>
      <c r="T9" s="32"/>
      <c r="U9" s="34" t="s">
        <v>110</v>
      </c>
      <c r="V9" s="35" t="n">
        <v>46220</v>
      </c>
      <c r="W9" s="32" t="s">
        <v>188</v>
      </c>
      <c r="X9" s="32" t="s">
        <v>189</v>
      </c>
      <c r="Y9" s="34" t="str">
        <f aca="false">IF(A9="","",IF(COUNTBLANK(A9:E9)+COUNTBLANK(G9:J9)+COUNTBLANK(Q9:R9)+COUNTBLANK(U9)&gt;0,"needs core fields",IF(AND(OR(I9="previous baseline — desktop manual",I9="browser emulation — manual",LEFT(I9,11)="real device"),S9=""),"needs protocol ref",IF(AND(LEFT(I9,18)="browser automation",T9=""),"needs automation ref",IF(AND(LEFT(I9,11)="real device",OR(K9="",L9="",M9="",N9="",P9="")),"needs device details",IF(AND(OR(U9="passed",U9="failed",U9="blocked"),V9=""),"needs result date","ready"))))))</f>
        <v>ready</v>
      </c>
      <c r="AA9" s="1" t="s">
        <v>190</v>
      </c>
      <c r="AB9" s="1" t="s">
        <v>191</v>
      </c>
      <c r="AE9" s="1" t="s">
        <v>192</v>
      </c>
      <c r="AK9" s="1" t="s">
        <v>21</v>
      </c>
    </row>
    <row r="10" customFormat="false" ht="48" hidden="false" customHeight="true" outlineLevel="0" collapsed="false">
      <c r="A10" s="31" t="s">
        <v>193</v>
      </c>
      <c r="B10" s="31" t="s">
        <v>129</v>
      </c>
      <c r="C10" s="31" t="s">
        <v>141</v>
      </c>
      <c r="D10" s="32" t="s">
        <v>30</v>
      </c>
      <c r="E10" s="32" t="s">
        <v>180</v>
      </c>
      <c r="F10" s="32" t="s">
        <v>181</v>
      </c>
      <c r="G10" s="33" t="s">
        <v>104</v>
      </c>
      <c r="H10" s="32" t="s">
        <v>143</v>
      </c>
      <c r="I10" s="33" t="s">
        <v>192</v>
      </c>
      <c r="J10" s="31" t="s">
        <v>145</v>
      </c>
      <c r="K10" s="31"/>
      <c r="L10" s="31" t="s">
        <v>111</v>
      </c>
      <c r="M10" s="31"/>
      <c r="N10" s="31"/>
      <c r="O10" s="31" t="s">
        <v>125</v>
      </c>
      <c r="P10" s="31" t="s">
        <v>99</v>
      </c>
      <c r="Q10" s="32" t="s">
        <v>194</v>
      </c>
      <c r="R10" s="32" t="s">
        <v>186</v>
      </c>
      <c r="S10" s="32" t="s">
        <v>187</v>
      </c>
      <c r="T10" s="32"/>
      <c r="U10" s="34" t="s">
        <v>100</v>
      </c>
      <c r="V10" s="31"/>
      <c r="W10" s="32"/>
      <c r="X10" s="32" t="s">
        <v>195</v>
      </c>
      <c r="Y10" s="34" t="str">
        <f aca="false">IF(A10="","",IF(COUNTBLANK(A10:E10)+COUNTBLANK(G10:J10)+COUNTBLANK(Q10:R10)+COUNTBLANK(U10)&gt;0,"needs core fields",IF(AND(OR(I10="previous baseline — desktop manual",I10="browser emulation — manual",LEFT(I10,11)="real device"),S10=""),"needs protocol ref",IF(AND(LEFT(I10,18)="browser automation",T10=""),"needs automation ref",IF(AND(LEFT(I10,11)="real device",OR(K10="",L10="",M10="",N10="",P10="")),"needs device details",IF(AND(OR(U10="passed",U10="failed",U10="blocked"),V10=""),"needs result date","ready"))))))</f>
        <v>needs device details</v>
      </c>
      <c r="AA10" s="1" t="s">
        <v>196</v>
      </c>
      <c r="AB10" s="1" t="s">
        <v>197</v>
      </c>
      <c r="AE10" s="1" t="s">
        <v>198</v>
      </c>
      <c r="AK10" s="1" t="s">
        <v>22</v>
      </c>
    </row>
    <row r="11" customFormat="false" ht="48" hidden="false" customHeight="true" outlineLevel="0" collapsed="false">
      <c r="A11" s="31" t="s">
        <v>199</v>
      </c>
      <c r="B11" s="31" t="s">
        <v>129</v>
      </c>
      <c r="C11" s="31" t="s">
        <v>141</v>
      </c>
      <c r="D11" s="32" t="s">
        <v>30</v>
      </c>
      <c r="E11" s="32" t="s">
        <v>200</v>
      </c>
      <c r="F11" s="32" t="s">
        <v>201</v>
      </c>
      <c r="G11" s="33" t="s">
        <v>104</v>
      </c>
      <c r="H11" s="32" t="s">
        <v>143</v>
      </c>
      <c r="I11" s="33" t="s">
        <v>178</v>
      </c>
      <c r="J11" s="31" t="s">
        <v>134</v>
      </c>
      <c r="K11" s="31" t="s">
        <v>182</v>
      </c>
      <c r="L11" s="31" t="s">
        <v>101</v>
      </c>
      <c r="M11" s="31" t="s">
        <v>183</v>
      </c>
      <c r="N11" s="31" t="s">
        <v>184</v>
      </c>
      <c r="O11" s="31" t="s">
        <v>125</v>
      </c>
      <c r="P11" s="31" t="s">
        <v>99</v>
      </c>
      <c r="Q11" s="32" t="s">
        <v>202</v>
      </c>
      <c r="R11" s="32" t="s">
        <v>203</v>
      </c>
      <c r="S11" s="32" t="s">
        <v>187</v>
      </c>
      <c r="T11" s="32"/>
      <c r="U11" s="34" t="s">
        <v>110</v>
      </c>
      <c r="V11" s="35" t="n">
        <v>46220</v>
      </c>
      <c r="W11" s="32" t="s">
        <v>188</v>
      </c>
      <c r="X11" s="32" t="s">
        <v>189</v>
      </c>
      <c r="Y11" s="34" t="str">
        <f aca="false">IF(A11="","",IF(COUNTBLANK(A11:E11)+COUNTBLANK(G11:J11)+COUNTBLANK(Q11:R11)+COUNTBLANK(U11)&gt;0,"needs core fields",IF(AND(OR(I11="previous baseline — desktop manual",I11="browser emulation — manual",LEFT(I11,11)="real device"),S11=""),"needs protocol ref",IF(AND(LEFT(I11,18)="browser automation",T11=""),"needs automation ref",IF(AND(LEFT(I11,11)="real device",OR(K11="",L11="",M11="",N11="",P11="")),"needs device details",IF(AND(OR(U11="passed",U11="failed",U11="blocked"),V11=""),"needs result date","ready"))))))</f>
        <v>ready</v>
      </c>
      <c r="AA11" s="1" t="s">
        <v>204</v>
      </c>
      <c r="AE11" s="1" t="s">
        <v>205</v>
      </c>
      <c r="AK11" s="1" t="s">
        <v>23</v>
      </c>
    </row>
    <row r="12" customFormat="false" ht="48" hidden="false" customHeight="true" outlineLevel="0" collapsed="false">
      <c r="A12" s="31" t="s">
        <v>206</v>
      </c>
      <c r="B12" s="31" t="s">
        <v>129</v>
      </c>
      <c r="C12" s="31" t="s">
        <v>141</v>
      </c>
      <c r="D12" s="32" t="s">
        <v>30</v>
      </c>
      <c r="E12" s="32" t="s">
        <v>200</v>
      </c>
      <c r="F12" s="32" t="s">
        <v>201</v>
      </c>
      <c r="G12" s="33" t="s">
        <v>104</v>
      </c>
      <c r="H12" s="32" t="s">
        <v>143</v>
      </c>
      <c r="I12" s="33" t="s">
        <v>192</v>
      </c>
      <c r="J12" s="31" t="s">
        <v>145</v>
      </c>
      <c r="K12" s="31"/>
      <c r="L12" s="31" t="s">
        <v>111</v>
      </c>
      <c r="M12" s="31"/>
      <c r="N12" s="31"/>
      <c r="O12" s="31" t="s">
        <v>125</v>
      </c>
      <c r="P12" s="31" t="s">
        <v>99</v>
      </c>
      <c r="Q12" s="32" t="s">
        <v>207</v>
      </c>
      <c r="R12" s="32" t="s">
        <v>203</v>
      </c>
      <c r="S12" s="32" t="s">
        <v>187</v>
      </c>
      <c r="T12" s="32"/>
      <c r="U12" s="34" t="s">
        <v>100</v>
      </c>
      <c r="V12" s="31"/>
      <c r="W12" s="32"/>
      <c r="X12" s="32" t="s">
        <v>195</v>
      </c>
      <c r="Y12" s="34" t="str">
        <f aca="false">IF(A12="","",IF(COUNTBLANK(A12:E12)+COUNTBLANK(G12:J12)+COUNTBLANK(Q12:R12)+COUNTBLANK(U12)&gt;0,"needs core fields",IF(AND(OR(I12="previous baseline — desktop manual",I12="browser emulation — manual",LEFT(I12,11)="real device"),S12=""),"needs protocol ref",IF(AND(LEFT(I12,18)="browser automation",T12=""),"needs automation ref",IF(AND(LEFT(I12,11)="real device",OR(K12="",L12="",M12="",N12="",P12="")),"needs device details",IF(AND(OR(U12="passed",U12="failed",U12="blocked"),V12=""),"needs result date","ready"))))))</f>
        <v>needs device details</v>
      </c>
      <c r="AA12" s="1" t="s">
        <v>208</v>
      </c>
      <c r="AE12" s="1" t="s">
        <v>209</v>
      </c>
      <c r="AK12" s="1" t="s">
        <v>24</v>
      </c>
    </row>
    <row r="13" customFormat="false" ht="48" hidden="false" customHeight="true" outlineLevel="0" collapsed="false">
      <c r="A13" s="31" t="s">
        <v>210</v>
      </c>
      <c r="B13" s="31" t="s">
        <v>102</v>
      </c>
      <c r="C13" s="31" t="s">
        <v>149</v>
      </c>
      <c r="D13" s="32" t="s">
        <v>30</v>
      </c>
      <c r="E13" s="32" t="s">
        <v>211</v>
      </c>
      <c r="F13" s="32" t="s">
        <v>212</v>
      </c>
      <c r="G13" s="33" t="s">
        <v>104</v>
      </c>
      <c r="H13" s="32" t="s">
        <v>132</v>
      </c>
      <c r="I13" s="33" t="s">
        <v>178</v>
      </c>
      <c r="J13" s="31" t="s">
        <v>134</v>
      </c>
      <c r="K13" s="31" t="s">
        <v>182</v>
      </c>
      <c r="L13" s="31" t="s">
        <v>101</v>
      </c>
      <c r="M13" s="31" t="s">
        <v>183</v>
      </c>
      <c r="N13" s="31" t="s">
        <v>184</v>
      </c>
      <c r="O13" s="31" t="s">
        <v>146</v>
      </c>
      <c r="P13" s="31" t="s">
        <v>99</v>
      </c>
      <c r="Q13" s="32" t="s">
        <v>213</v>
      </c>
      <c r="R13" s="32" t="s">
        <v>214</v>
      </c>
      <c r="S13" s="32" t="s">
        <v>187</v>
      </c>
      <c r="T13" s="32"/>
      <c r="U13" s="34" t="s">
        <v>110</v>
      </c>
      <c r="V13" s="35" t="n">
        <v>46220</v>
      </c>
      <c r="W13" s="32" t="s">
        <v>188</v>
      </c>
      <c r="X13" s="32" t="s">
        <v>189</v>
      </c>
      <c r="Y13" s="34" t="str">
        <f aca="false">IF(A13="","",IF(COUNTBLANK(A13:E13)+COUNTBLANK(G13:J13)+COUNTBLANK(Q13:R13)+COUNTBLANK(U13)&gt;0,"needs core fields",IF(AND(OR(I13="previous baseline — desktop manual",I13="browser emulation — manual",LEFT(I13,11)="real device"),S13=""),"needs protocol ref",IF(AND(LEFT(I13,18)="browser automation",T13=""),"needs automation ref",IF(AND(LEFT(I13,11)="real device",OR(K13="",L13="",M13="",N13="",P13="")),"needs device details",IF(AND(OR(U13="passed",U13="failed",U13="blocked"),V13=""),"needs result date","ready"))))))</f>
        <v>ready</v>
      </c>
      <c r="AA13" s="1" t="s">
        <v>215</v>
      </c>
      <c r="AK13" s="1" t="s">
        <v>25</v>
      </c>
    </row>
    <row r="14" customFormat="false" ht="48" hidden="false" customHeight="true" outlineLevel="0" collapsed="false">
      <c r="A14" s="31" t="s">
        <v>216</v>
      </c>
      <c r="B14" s="31" t="s">
        <v>102</v>
      </c>
      <c r="C14" s="31" t="s">
        <v>149</v>
      </c>
      <c r="D14" s="32" t="s">
        <v>30</v>
      </c>
      <c r="E14" s="32" t="s">
        <v>211</v>
      </c>
      <c r="F14" s="32" t="s">
        <v>212</v>
      </c>
      <c r="G14" s="33" t="s">
        <v>104</v>
      </c>
      <c r="H14" s="32" t="s">
        <v>132</v>
      </c>
      <c r="I14" s="33" t="s">
        <v>192</v>
      </c>
      <c r="J14" s="31" t="s">
        <v>145</v>
      </c>
      <c r="K14" s="31"/>
      <c r="L14" s="31" t="s">
        <v>111</v>
      </c>
      <c r="M14" s="31"/>
      <c r="N14" s="31"/>
      <c r="O14" s="31" t="s">
        <v>146</v>
      </c>
      <c r="P14" s="31" t="s">
        <v>99</v>
      </c>
      <c r="Q14" s="32" t="s">
        <v>217</v>
      </c>
      <c r="R14" s="32" t="s">
        <v>214</v>
      </c>
      <c r="S14" s="32" t="s">
        <v>187</v>
      </c>
      <c r="T14" s="32"/>
      <c r="U14" s="34" t="s">
        <v>100</v>
      </c>
      <c r="V14" s="31"/>
      <c r="W14" s="32"/>
      <c r="X14" s="32" t="s">
        <v>195</v>
      </c>
      <c r="Y14" s="34" t="str">
        <f aca="false">IF(A14="","",IF(COUNTBLANK(A14:E14)+COUNTBLANK(G14:J14)+COUNTBLANK(Q14:R14)+COUNTBLANK(U14)&gt;0,"needs core fields",IF(AND(OR(I14="previous baseline — desktop manual",I14="browser emulation — manual",LEFT(I14,11)="real device"),S14=""),"needs protocol ref",IF(AND(LEFT(I14,18)="browser automation",T14=""),"needs automation ref",IF(AND(LEFT(I14,11)="real device",OR(K14="",L14="",M14="",N14="",P14="")),"needs device details",IF(AND(OR(U14="passed",U14="failed",U14="blocked"),V14=""),"needs result date","ready"))))))</f>
        <v>needs device details</v>
      </c>
      <c r="AA14" s="1" t="s">
        <v>218</v>
      </c>
      <c r="AK14" s="1" t="s">
        <v>26</v>
      </c>
    </row>
    <row r="15" customFormat="false" ht="48" hidden="false" customHeight="true" outlineLevel="0" collapsed="false">
      <c r="A15" s="31" t="s">
        <v>219</v>
      </c>
      <c r="B15" s="31" t="s">
        <v>129</v>
      </c>
      <c r="C15" s="31" t="s">
        <v>141</v>
      </c>
      <c r="D15" s="32" t="s">
        <v>30</v>
      </c>
      <c r="E15" s="32" t="s">
        <v>220</v>
      </c>
      <c r="F15" s="32" t="s">
        <v>221</v>
      </c>
      <c r="G15" s="33" t="s">
        <v>104</v>
      </c>
      <c r="H15" s="32" t="s">
        <v>143</v>
      </c>
      <c r="I15" s="33" t="s">
        <v>178</v>
      </c>
      <c r="J15" s="31" t="s">
        <v>134</v>
      </c>
      <c r="K15" s="31" t="s">
        <v>182</v>
      </c>
      <c r="L15" s="31" t="s">
        <v>101</v>
      </c>
      <c r="M15" s="31" t="s">
        <v>183</v>
      </c>
      <c r="N15" s="31" t="s">
        <v>184</v>
      </c>
      <c r="O15" s="31" t="s">
        <v>125</v>
      </c>
      <c r="P15" s="31" t="s">
        <v>99</v>
      </c>
      <c r="Q15" s="32" t="s">
        <v>222</v>
      </c>
      <c r="R15" s="32" t="s">
        <v>223</v>
      </c>
      <c r="S15" s="32" t="s">
        <v>187</v>
      </c>
      <c r="T15" s="32"/>
      <c r="U15" s="34" t="s">
        <v>110</v>
      </c>
      <c r="V15" s="35" t="n">
        <v>46220</v>
      </c>
      <c r="W15" s="32" t="s">
        <v>188</v>
      </c>
      <c r="X15" s="32" t="s">
        <v>189</v>
      </c>
      <c r="Y15" s="34" t="str">
        <f aca="false">IF(A15="","",IF(COUNTBLANK(A15:E15)+COUNTBLANK(G15:J15)+COUNTBLANK(Q15:R15)+COUNTBLANK(U15)&gt;0,"needs core fields",IF(AND(OR(I15="previous baseline — desktop manual",I15="browser emulation — manual",LEFT(I15,11)="real device"),S15=""),"needs protocol ref",IF(AND(LEFT(I15,18)="browser automation",T15=""),"needs automation ref",IF(AND(LEFT(I15,11)="real device",OR(K15="",L15="",M15="",N15="",P15="")),"needs device details",IF(AND(OR(U15="passed",U15="failed",U15="blocked"),V15=""),"needs result date","ready"))))))</f>
        <v>ready</v>
      </c>
      <c r="AA15" s="1" t="s">
        <v>224</v>
      </c>
      <c r="AK15" s="1" t="s">
        <v>27</v>
      </c>
    </row>
    <row r="16" customFormat="false" ht="48" hidden="false" customHeight="true" outlineLevel="0" collapsed="false">
      <c r="A16" s="31" t="s">
        <v>225</v>
      </c>
      <c r="B16" s="31" t="s">
        <v>129</v>
      </c>
      <c r="C16" s="31" t="s">
        <v>141</v>
      </c>
      <c r="D16" s="32" t="s">
        <v>30</v>
      </c>
      <c r="E16" s="32" t="s">
        <v>220</v>
      </c>
      <c r="F16" s="32" t="s">
        <v>221</v>
      </c>
      <c r="G16" s="33" t="s">
        <v>104</v>
      </c>
      <c r="H16" s="32" t="s">
        <v>143</v>
      </c>
      <c r="I16" s="33" t="s">
        <v>192</v>
      </c>
      <c r="J16" s="31" t="s">
        <v>145</v>
      </c>
      <c r="K16" s="31"/>
      <c r="L16" s="31" t="s">
        <v>111</v>
      </c>
      <c r="M16" s="31"/>
      <c r="N16" s="31"/>
      <c r="O16" s="31" t="s">
        <v>125</v>
      </c>
      <c r="P16" s="31" t="s">
        <v>99</v>
      </c>
      <c r="Q16" s="32" t="s">
        <v>226</v>
      </c>
      <c r="R16" s="32" t="s">
        <v>223</v>
      </c>
      <c r="S16" s="32" t="s">
        <v>187</v>
      </c>
      <c r="T16" s="32"/>
      <c r="U16" s="34" t="s">
        <v>100</v>
      </c>
      <c r="V16" s="31"/>
      <c r="W16" s="32"/>
      <c r="X16" s="32" t="s">
        <v>195</v>
      </c>
      <c r="Y16" s="34" t="str">
        <f aca="false">IF(A16="","",IF(COUNTBLANK(A16:E16)+COUNTBLANK(G16:J16)+COUNTBLANK(Q16:R16)+COUNTBLANK(U16)&gt;0,"needs core fields",IF(AND(OR(I16="previous baseline — desktop manual",I16="browser emulation — manual",LEFT(I16,11)="real device"),S16=""),"needs protocol ref",IF(AND(LEFT(I16,18)="browser automation",T16=""),"needs automation ref",IF(AND(LEFT(I16,11)="real device",OR(K16="",L16="",M16="",N16="",P16="")),"needs device details",IF(AND(OR(U16="passed",U16="failed",U16="blocked"),V16=""),"needs result date","ready"))))))</f>
        <v>needs device details</v>
      </c>
      <c r="AA16" s="1" t="s">
        <v>227</v>
      </c>
      <c r="AK16" s="1" t="s">
        <v>28</v>
      </c>
    </row>
    <row r="17" customFormat="false" ht="48" hidden="false" customHeight="true" outlineLevel="0" collapsed="false">
      <c r="A17" s="31" t="s">
        <v>228</v>
      </c>
      <c r="B17" s="31" t="s">
        <v>129</v>
      </c>
      <c r="C17" s="31" t="s">
        <v>141</v>
      </c>
      <c r="D17" s="32" t="s">
        <v>47</v>
      </c>
      <c r="E17" s="32" t="s">
        <v>229</v>
      </c>
      <c r="F17" s="32" t="s">
        <v>230</v>
      </c>
      <c r="G17" s="33" t="s">
        <v>104</v>
      </c>
      <c r="H17" s="32" t="s">
        <v>143</v>
      </c>
      <c r="I17" s="33" t="s">
        <v>178</v>
      </c>
      <c r="J17" s="31" t="s">
        <v>134</v>
      </c>
      <c r="K17" s="31" t="s">
        <v>182</v>
      </c>
      <c r="L17" s="31" t="s">
        <v>101</v>
      </c>
      <c r="M17" s="31" t="s">
        <v>183</v>
      </c>
      <c r="N17" s="31" t="s">
        <v>184</v>
      </c>
      <c r="O17" s="31" t="s">
        <v>125</v>
      </c>
      <c r="P17" s="31" t="s">
        <v>99</v>
      </c>
      <c r="Q17" s="32" t="s">
        <v>231</v>
      </c>
      <c r="R17" s="32" t="s">
        <v>232</v>
      </c>
      <c r="S17" s="32" t="s">
        <v>187</v>
      </c>
      <c r="T17" s="32"/>
      <c r="U17" s="34" t="s">
        <v>110</v>
      </c>
      <c r="V17" s="35" t="n">
        <v>46220</v>
      </c>
      <c r="W17" s="32" t="s">
        <v>188</v>
      </c>
      <c r="X17" s="32" t="s">
        <v>189</v>
      </c>
      <c r="Y17" s="34" t="str">
        <f aca="false">IF(A17="","",IF(COUNTBLANK(A17:E17)+COUNTBLANK(G17:J17)+COUNTBLANK(Q17:R17)+COUNTBLANK(U17)&gt;0,"needs core fields",IF(AND(OR(I17="previous baseline — desktop manual",I17="browser emulation — manual",LEFT(I17,11)="real device"),S17=""),"needs protocol ref",IF(AND(LEFT(I17,18)="browser automation",T17=""),"needs automation ref",IF(AND(LEFT(I17,11)="real device",OR(K17="",L17="",M17="",N17="",P17="")),"needs device details",IF(AND(OR(U17="passed",U17="failed",U17="blocked"),V17=""),"needs result date","ready"))))))</f>
        <v>ready</v>
      </c>
      <c r="AA17" s="1" t="s">
        <v>233</v>
      </c>
      <c r="AK17" s="1" t="s">
        <v>29</v>
      </c>
    </row>
    <row r="18" customFormat="false" ht="48" hidden="false" customHeight="true" outlineLevel="0" collapsed="false">
      <c r="A18" s="31" t="s">
        <v>234</v>
      </c>
      <c r="B18" s="31" t="s">
        <v>129</v>
      </c>
      <c r="C18" s="31" t="s">
        <v>141</v>
      </c>
      <c r="D18" s="32" t="s">
        <v>47</v>
      </c>
      <c r="E18" s="32" t="s">
        <v>229</v>
      </c>
      <c r="F18" s="32" t="s">
        <v>230</v>
      </c>
      <c r="G18" s="33" t="s">
        <v>104</v>
      </c>
      <c r="H18" s="32" t="s">
        <v>143</v>
      </c>
      <c r="I18" s="33" t="s">
        <v>192</v>
      </c>
      <c r="J18" s="31" t="s">
        <v>145</v>
      </c>
      <c r="K18" s="31"/>
      <c r="L18" s="31" t="s">
        <v>111</v>
      </c>
      <c r="M18" s="31"/>
      <c r="N18" s="31"/>
      <c r="O18" s="31" t="s">
        <v>125</v>
      </c>
      <c r="P18" s="31" t="s">
        <v>99</v>
      </c>
      <c r="Q18" s="32" t="s">
        <v>235</v>
      </c>
      <c r="R18" s="32" t="s">
        <v>232</v>
      </c>
      <c r="S18" s="32" t="s">
        <v>187</v>
      </c>
      <c r="T18" s="32"/>
      <c r="U18" s="34" t="s">
        <v>100</v>
      </c>
      <c r="V18" s="31"/>
      <c r="W18" s="32"/>
      <c r="X18" s="32" t="s">
        <v>195</v>
      </c>
      <c r="Y18" s="34" t="str">
        <f aca="false">IF(A18="","",IF(COUNTBLANK(A18:E18)+COUNTBLANK(G18:J18)+COUNTBLANK(Q18:R18)+COUNTBLANK(U18)&gt;0,"needs core fields",IF(AND(OR(I18="previous baseline — desktop manual",I18="browser emulation — manual",LEFT(I18,11)="real device"),S18=""),"needs protocol ref",IF(AND(LEFT(I18,18)="browser automation",T18=""),"needs automation ref",IF(AND(LEFT(I18,11)="real device",OR(K18="",L18="",M18="",N18="",P18="")),"needs device details",IF(AND(OR(U18="passed",U18="failed",U18="blocked"),V18=""),"needs result date","ready"))))))</f>
        <v>needs device details</v>
      </c>
      <c r="AA18" s="1" t="s">
        <v>236</v>
      </c>
      <c r="AK18" s="1" t="s">
        <v>30</v>
      </c>
    </row>
    <row r="19" customFormat="false" ht="48" hidden="false" customHeight="true" outlineLevel="0" collapsed="false">
      <c r="A19" s="31" t="s">
        <v>237</v>
      </c>
      <c r="B19" s="31" t="s">
        <v>224</v>
      </c>
      <c r="C19" s="31" t="s">
        <v>103</v>
      </c>
      <c r="D19" s="32" t="s">
        <v>74</v>
      </c>
      <c r="E19" s="32" t="s">
        <v>238</v>
      </c>
      <c r="F19" s="32" t="s">
        <v>239</v>
      </c>
      <c r="G19" s="33" t="s">
        <v>104</v>
      </c>
      <c r="H19" s="32" t="s">
        <v>95</v>
      </c>
      <c r="I19" s="33" t="s">
        <v>178</v>
      </c>
      <c r="J19" s="31" t="s">
        <v>134</v>
      </c>
      <c r="K19" s="31" t="s">
        <v>182</v>
      </c>
      <c r="L19" s="31" t="s">
        <v>101</v>
      </c>
      <c r="M19" s="31" t="s">
        <v>183</v>
      </c>
      <c r="N19" s="31" t="s">
        <v>184</v>
      </c>
      <c r="O19" s="31" t="s">
        <v>125</v>
      </c>
      <c r="P19" s="31" t="s">
        <v>99</v>
      </c>
      <c r="Q19" s="32" t="s">
        <v>240</v>
      </c>
      <c r="R19" s="32" t="s">
        <v>241</v>
      </c>
      <c r="S19" s="32" t="s">
        <v>242</v>
      </c>
      <c r="T19" s="32"/>
      <c r="U19" s="34" t="s">
        <v>110</v>
      </c>
      <c r="V19" s="36" t="n">
        <v>46222</v>
      </c>
      <c r="W19" s="32" t="s">
        <v>243</v>
      </c>
      <c r="X19" s="32" t="s">
        <v>244</v>
      </c>
      <c r="Y19" s="34" t="str">
        <f aca="false">IF(A19="","",IF(COUNTBLANK(A19:E19)+COUNTBLANK(G19:J19)+COUNTBLANK(Q19:R19)+COUNTBLANK(U19)&gt;0,"needs core fields",IF(AND(OR(I19="previous baseline — desktop manual",I19="browser emulation — manual",LEFT(I19,11)="real device"),S19=""),"needs protocol ref",IF(AND(LEFT(I19,18)="browser automation",T19=""),"needs automation ref",IF(AND(LEFT(I19,11)="real device",OR(K19="",L19="",M19="",N19="",P19="")),"needs device details",IF(AND(OR(U19="passed",U19="failed",U19="blocked"),V19=""),"needs result date","ready"))))))</f>
        <v>ready</v>
      </c>
      <c r="AA19" s="1" t="s">
        <v>245</v>
      </c>
      <c r="AK19" s="1" t="s">
        <v>31</v>
      </c>
    </row>
    <row r="20" customFormat="false" ht="48" hidden="false" customHeight="true" outlineLevel="0" collapsed="false">
      <c r="A20" s="31" t="s">
        <v>246</v>
      </c>
      <c r="B20" s="31" t="s">
        <v>224</v>
      </c>
      <c r="C20" s="31" t="s">
        <v>103</v>
      </c>
      <c r="D20" s="32" t="s">
        <v>74</v>
      </c>
      <c r="E20" s="32" t="s">
        <v>247</v>
      </c>
      <c r="F20" s="32" t="s">
        <v>248</v>
      </c>
      <c r="G20" s="33" t="s">
        <v>104</v>
      </c>
      <c r="H20" s="32" t="s">
        <v>95</v>
      </c>
      <c r="I20" s="33" t="s">
        <v>192</v>
      </c>
      <c r="J20" s="31" t="s">
        <v>145</v>
      </c>
      <c r="K20" s="31"/>
      <c r="L20" s="31" t="s">
        <v>111</v>
      </c>
      <c r="M20" s="31"/>
      <c r="N20" s="31"/>
      <c r="O20" s="31" t="s">
        <v>125</v>
      </c>
      <c r="P20" s="31" t="s">
        <v>99</v>
      </c>
      <c r="Q20" s="32" t="s">
        <v>249</v>
      </c>
      <c r="R20" s="32" t="s">
        <v>250</v>
      </c>
      <c r="S20" s="32"/>
      <c r="T20" s="32"/>
      <c r="U20" s="34" t="s">
        <v>100</v>
      </c>
      <c r="V20" s="31"/>
      <c r="W20" s="32"/>
      <c r="X20" s="32" t="s">
        <v>251</v>
      </c>
      <c r="Y20" s="34" t="str">
        <f aca="false">IF(A20="","",IF(COUNTBLANK(A20:E20)+COUNTBLANK(G20:J20)+COUNTBLANK(Q20:R20)+COUNTBLANK(U20)&gt;0,"needs core fields",IF(AND(OR(I20="previous baseline — desktop manual",I20="browser emulation — manual",LEFT(I20,11)="real device"),S20=""),"needs protocol ref",IF(AND(LEFT(I20,18)="browser automation",T20=""),"needs automation ref",IF(AND(LEFT(I20,11)="real device",OR(K20="",L20="",M20="",N20="",P20="")),"needs device details",IF(AND(OR(U20="passed",U20="failed",U20="blocked"),V20=""),"needs result date","ready"))))))</f>
        <v>needs protocol ref</v>
      </c>
      <c r="AA20" s="1" t="s">
        <v>252</v>
      </c>
      <c r="AK20" s="1" t="s">
        <v>32</v>
      </c>
    </row>
    <row r="21" customFormat="false" ht="48" hidden="false" customHeight="true" outlineLevel="0" collapsed="false">
      <c r="A21" s="31" t="s">
        <v>253</v>
      </c>
      <c r="B21" s="31" t="s">
        <v>224</v>
      </c>
      <c r="C21" s="31" t="s">
        <v>103</v>
      </c>
      <c r="D21" s="32" t="s">
        <v>74</v>
      </c>
      <c r="E21" s="32" t="s">
        <v>254</v>
      </c>
      <c r="F21" s="32" t="s">
        <v>255</v>
      </c>
      <c r="G21" s="33" t="s">
        <v>104</v>
      </c>
      <c r="H21" s="32" t="s">
        <v>95</v>
      </c>
      <c r="I21" s="33" t="s">
        <v>178</v>
      </c>
      <c r="J21" s="31" t="s">
        <v>134</v>
      </c>
      <c r="K21" s="31" t="s">
        <v>182</v>
      </c>
      <c r="L21" s="31" t="s">
        <v>101</v>
      </c>
      <c r="M21" s="31" t="s">
        <v>183</v>
      </c>
      <c r="N21" s="31" t="s">
        <v>184</v>
      </c>
      <c r="O21" s="31" t="s">
        <v>125</v>
      </c>
      <c r="P21" s="31" t="s">
        <v>99</v>
      </c>
      <c r="Q21" s="32" t="s">
        <v>256</v>
      </c>
      <c r="R21" s="32" t="s">
        <v>257</v>
      </c>
      <c r="S21" s="32" t="s">
        <v>242</v>
      </c>
      <c r="T21" s="32"/>
      <c r="U21" s="34" t="s">
        <v>110</v>
      </c>
      <c r="V21" s="36" t="n">
        <v>46222</v>
      </c>
      <c r="W21" s="32" t="s">
        <v>243</v>
      </c>
      <c r="X21" s="32" t="s">
        <v>244</v>
      </c>
      <c r="Y21" s="34" t="str">
        <f aca="false">IF(A21="","",IF(COUNTBLANK(A21:E21)+COUNTBLANK(G21:J21)+COUNTBLANK(Q21:R21)+COUNTBLANK(U21)&gt;0,"needs core fields",IF(AND(OR(I21="previous baseline — desktop manual",I21="browser emulation — manual",LEFT(I21,11)="real device"),S21=""),"needs protocol ref",IF(AND(LEFT(I21,18)="browser automation",T21=""),"needs automation ref",IF(AND(LEFT(I21,11)="real device",OR(K21="",L21="",M21="",N21="",P21="")),"needs device details",IF(AND(OR(U21="passed",U21="failed",U21="blocked"),V21=""),"needs result date","ready"))))))</f>
        <v>ready</v>
      </c>
      <c r="AA21" s="1" t="s">
        <v>258</v>
      </c>
      <c r="AK21" s="1" t="s">
        <v>33</v>
      </c>
    </row>
    <row r="22" customFormat="false" ht="48" hidden="false" customHeight="true" outlineLevel="0" collapsed="false">
      <c r="A22" s="31" t="s">
        <v>259</v>
      </c>
      <c r="B22" s="31" t="s">
        <v>224</v>
      </c>
      <c r="C22" s="31" t="s">
        <v>103</v>
      </c>
      <c r="D22" s="32" t="s">
        <v>74</v>
      </c>
      <c r="E22" s="32" t="s">
        <v>260</v>
      </c>
      <c r="F22" s="32" t="s">
        <v>261</v>
      </c>
      <c r="G22" s="33" t="s">
        <v>104</v>
      </c>
      <c r="H22" s="32" t="s">
        <v>95</v>
      </c>
      <c r="I22" s="33" t="s">
        <v>192</v>
      </c>
      <c r="J22" s="31" t="s">
        <v>145</v>
      </c>
      <c r="K22" s="31"/>
      <c r="L22" s="31" t="s">
        <v>111</v>
      </c>
      <c r="M22" s="31"/>
      <c r="N22" s="31"/>
      <c r="O22" s="31" t="s">
        <v>125</v>
      </c>
      <c r="P22" s="31" t="s">
        <v>99</v>
      </c>
      <c r="Q22" s="32" t="s">
        <v>262</v>
      </c>
      <c r="R22" s="32" t="s">
        <v>263</v>
      </c>
      <c r="S22" s="32"/>
      <c r="T22" s="32"/>
      <c r="U22" s="34" t="s">
        <v>100</v>
      </c>
      <c r="V22" s="31"/>
      <c r="W22" s="32"/>
      <c r="X22" s="32" t="s">
        <v>251</v>
      </c>
      <c r="Y22" s="34" t="str">
        <f aca="false">IF(A22="","",IF(COUNTBLANK(A22:E22)+COUNTBLANK(G22:J22)+COUNTBLANK(Q22:R22)+COUNTBLANK(U22)&gt;0,"needs core fields",IF(AND(OR(I22="previous baseline — desktop manual",I22="browser emulation — manual",LEFT(I22,11)="real device"),S22=""),"needs protocol ref",IF(AND(LEFT(I22,18)="browser automation",T22=""),"needs automation ref",IF(AND(LEFT(I22,11)="real device",OR(K22="",L22="",M22="",N22="",P22="")),"needs device details",IF(AND(OR(U22="passed",U22="failed",U22="blocked"),V22=""),"needs result date","ready"))))))</f>
        <v>needs protocol ref</v>
      </c>
      <c r="AA22" s="1" t="s">
        <v>264</v>
      </c>
      <c r="AK22" s="1" t="s">
        <v>34</v>
      </c>
    </row>
    <row r="23" customFormat="false" ht="48" hidden="false" customHeight="true" outlineLevel="0" collapsed="false">
      <c r="A23" s="31" t="s">
        <v>265</v>
      </c>
      <c r="B23" s="31" t="s">
        <v>92</v>
      </c>
      <c r="C23" s="31" t="s">
        <v>149</v>
      </c>
      <c r="D23" s="32" t="s">
        <v>74</v>
      </c>
      <c r="E23" s="32" t="s">
        <v>266</v>
      </c>
      <c r="F23" s="32" t="s">
        <v>267</v>
      </c>
      <c r="G23" s="33" t="s">
        <v>104</v>
      </c>
      <c r="H23" s="32" t="s">
        <v>150</v>
      </c>
      <c r="I23" s="33" t="s">
        <v>178</v>
      </c>
      <c r="J23" s="31" t="s">
        <v>134</v>
      </c>
      <c r="K23" s="31"/>
      <c r="L23" s="31" t="s">
        <v>101</v>
      </c>
      <c r="M23" s="31"/>
      <c r="N23" s="31"/>
      <c r="O23" s="31" t="s">
        <v>146</v>
      </c>
      <c r="P23" s="31" t="s">
        <v>99</v>
      </c>
      <c r="Q23" s="32" t="s">
        <v>268</v>
      </c>
      <c r="R23" s="32" t="s">
        <v>269</v>
      </c>
      <c r="S23" s="32"/>
      <c r="T23" s="32"/>
      <c r="U23" s="34" t="s">
        <v>100</v>
      </c>
      <c r="V23" s="31"/>
      <c r="W23" s="32"/>
      <c r="X23" s="32" t="s">
        <v>251</v>
      </c>
      <c r="Y23" s="34" t="str">
        <f aca="false">IF(A23="","",IF(COUNTBLANK(A23:E23)+COUNTBLANK(G23:J23)+COUNTBLANK(Q23:R23)+COUNTBLANK(U23)&gt;0,"needs core fields",IF(AND(OR(I23="previous baseline — desktop manual",I23="browser emulation — manual",LEFT(I23,11)="real device"),S23=""),"needs protocol ref",IF(AND(LEFT(I23,18)="browser automation",T23=""),"needs automation ref",IF(AND(LEFT(I23,11)="real device",OR(K23="",L23="",M23="",N23="",P23="")),"needs device details",IF(AND(OR(U23="passed",U23="failed",U23="blocked"),V23=""),"needs result date","ready"))))))</f>
        <v>needs protocol ref</v>
      </c>
      <c r="AA23" s="1" t="s">
        <v>270</v>
      </c>
      <c r="AK23" s="1" t="s">
        <v>35</v>
      </c>
    </row>
    <row r="24" customFormat="false" ht="48" hidden="false" customHeight="true" outlineLevel="0" collapsed="false">
      <c r="A24" s="31" t="s">
        <v>271</v>
      </c>
      <c r="B24" s="31" t="s">
        <v>92</v>
      </c>
      <c r="C24" s="31" t="s">
        <v>149</v>
      </c>
      <c r="D24" s="32" t="s">
        <v>74</v>
      </c>
      <c r="E24" s="32" t="s">
        <v>266</v>
      </c>
      <c r="F24" s="32" t="s">
        <v>267</v>
      </c>
      <c r="G24" s="33" t="s">
        <v>104</v>
      </c>
      <c r="H24" s="32" t="s">
        <v>150</v>
      </c>
      <c r="I24" s="33" t="s">
        <v>192</v>
      </c>
      <c r="J24" s="31" t="s">
        <v>145</v>
      </c>
      <c r="K24" s="31"/>
      <c r="L24" s="31" t="s">
        <v>111</v>
      </c>
      <c r="M24" s="31"/>
      <c r="N24" s="31"/>
      <c r="O24" s="31" t="s">
        <v>146</v>
      </c>
      <c r="P24" s="31" t="s">
        <v>99</v>
      </c>
      <c r="Q24" s="32" t="s">
        <v>272</v>
      </c>
      <c r="R24" s="32" t="s">
        <v>269</v>
      </c>
      <c r="S24" s="32"/>
      <c r="T24" s="32"/>
      <c r="U24" s="34" t="s">
        <v>100</v>
      </c>
      <c r="V24" s="31"/>
      <c r="W24" s="32"/>
      <c r="X24" s="32" t="s">
        <v>251</v>
      </c>
      <c r="Y24" s="34" t="str">
        <f aca="false">IF(A24="","",IF(COUNTBLANK(A24:E24)+COUNTBLANK(G24:J24)+COUNTBLANK(Q24:R24)+COUNTBLANK(U24)&gt;0,"needs core fields",IF(AND(OR(I24="previous baseline — desktop manual",I24="browser emulation — manual",LEFT(I24,11)="real device"),S24=""),"needs protocol ref",IF(AND(LEFT(I24,18)="browser automation",T24=""),"needs automation ref",IF(AND(LEFT(I24,11)="real device",OR(K24="",L24="",M24="",N24="",P24="")),"needs device details",IF(AND(OR(U24="passed",U24="failed",U24="blocked"),V24=""),"needs result date","ready"))))))</f>
        <v>needs protocol ref</v>
      </c>
      <c r="AK24" s="1" t="s">
        <v>36</v>
      </c>
    </row>
    <row r="25" customFormat="false" ht="48" hidden="false" customHeight="true" outlineLevel="0" collapsed="false">
      <c r="A25" s="31" t="s">
        <v>273</v>
      </c>
      <c r="B25" s="31" t="s">
        <v>119</v>
      </c>
      <c r="C25" s="31" t="s">
        <v>120</v>
      </c>
      <c r="D25" s="32" t="s">
        <v>54</v>
      </c>
      <c r="E25" s="32" t="s">
        <v>274</v>
      </c>
      <c r="F25" s="32" t="s">
        <v>275</v>
      </c>
      <c r="G25" s="33" t="s">
        <v>104</v>
      </c>
      <c r="H25" s="32" t="s">
        <v>95</v>
      </c>
      <c r="I25" s="33" t="s">
        <v>178</v>
      </c>
      <c r="J25" s="31" t="s">
        <v>134</v>
      </c>
      <c r="K25" s="31"/>
      <c r="L25" s="31" t="s">
        <v>101</v>
      </c>
      <c r="M25" s="31"/>
      <c r="N25" s="31"/>
      <c r="O25" s="31" t="s">
        <v>125</v>
      </c>
      <c r="P25" s="31" t="s">
        <v>99</v>
      </c>
      <c r="Q25" s="32" t="s">
        <v>276</v>
      </c>
      <c r="R25" s="32" t="s">
        <v>277</v>
      </c>
      <c r="S25" s="32"/>
      <c r="T25" s="32"/>
      <c r="U25" s="34" t="s">
        <v>100</v>
      </c>
      <c r="V25" s="31"/>
      <c r="W25" s="32"/>
      <c r="X25" s="32" t="s">
        <v>251</v>
      </c>
      <c r="Y25" s="34" t="str">
        <f aca="false">IF(A25="","",IF(COUNTBLANK(A25:E25)+COUNTBLANK(G25:J25)+COUNTBLANK(Q25:R25)+COUNTBLANK(U25)&gt;0,"needs core fields",IF(AND(OR(I25="previous baseline — desktop manual",I25="browser emulation — manual",LEFT(I25,11)="real device"),S25=""),"needs protocol ref",IF(AND(LEFT(I25,18)="browser automation",T25=""),"needs automation ref",IF(AND(LEFT(I25,11)="real device",OR(K25="",L25="",M25="",N25="",P25="")),"needs device details",IF(AND(OR(U25="passed",U25="failed",U25="blocked"),V25=""),"needs result date","ready"))))))</f>
        <v>needs protocol ref</v>
      </c>
      <c r="AK25" s="1" t="s">
        <v>37</v>
      </c>
    </row>
    <row r="26" customFormat="false" ht="48" hidden="false" customHeight="true" outlineLevel="0" collapsed="false">
      <c r="A26" s="31" t="s">
        <v>278</v>
      </c>
      <c r="B26" s="31" t="s">
        <v>119</v>
      </c>
      <c r="C26" s="31" t="s">
        <v>120</v>
      </c>
      <c r="D26" s="32" t="s">
        <v>54</v>
      </c>
      <c r="E26" s="32" t="s">
        <v>274</v>
      </c>
      <c r="F26" s="32" t="s">
        <v>275</v>
      </c>
      <c r="G26" s="33" t="s">
        <v>104</v>
      </c>
      <c r="H26" s="32" t="s">
        <v>95</v>
      </c>
      <c r="I26" s="33" t="s">
        <v>192</v>
      </c>
      <c r="J26" s="31" t="s">
        <v>145</v>
      </c>
      <c r="K26" s="31"/>
      <c r="L26" s="31" t="s">
        <v>111</v>
      </c>
      <c r="M26" s="31"/>
      <c r="N26" s="31"/>
      <c r="O26" s="31" t="s">
        <v>125</v>
      </c>
      <c r="P26" s="31" t="s">
        <v>99</v>
      </c>
      <c r="Q26" s="32" t="s">
        <v>279</v>
      </c>
      <c r="R26" s="32" t="s">
        <v>277</v>
      </c>
      <c r="S26" s="32"/>
      <c r="T26" s="32"/>
      <c r="U26" s="34" t="s">
        <v>100</v>
      </c>
      <c r="V26" s="31"/>
      <c r="W26" s="32"/>
      <c r="X26" s="32" t="s">
        <v>251</v>
      </c>
      <c r="Y26" s="34" t="str">
        <f aca="false">IF(A26="","",IF(COUNTBLANK(A26:E26)+COUNTBLANK(G26:J26)+COUNTBLANK(Q26:R26)+COUNTBLANK(U26)&gt;0,"needs core fields",IF(AND(OR(I26="previous baseline — desktop manual",I26="browser emulation — manual",LEFT(I26,11)="real device"),S26=""),"needs protocol ref",IF(AND(LEFT(I26,18)="browser automation",T26=""),"needs automation ref",IF(AND(LEFT(I26,11)="real device",OR(K26="",L26="",M26="",N26="",P26="")),"needs device details",IF(AND(OR(U26="passed",U26="failed",U26="blocked"),V26=""),"needs result date","ready"))))))</f>
        <v>needs protocol ref</v>
      </c>
      <c r="AK26" s="1" t="s">
        <v>38</v>
      </c>
    </row>
    <row r="27" customFormat="false" ht="48" hidden="false" customHeight="true" outlineLevel="0" collapsed="false">
      <c r="A27" s="31" t="s">
        <v>280</v>
      </c>
      <c r="B27" s="31" t="s">
        <v>92</v>
      </c>
      <c r="C27" s="31" t="s">
        <v>149</v>
      </c>
      <c r="D27" s="32" t="s">
        <v>54</v>
      </c>
      <c r="E27" s="32" t="s">
        <v>266</v>
      </c>
      <c r="F27" s="32" t="s">
        <v>281</v>
      </c>
      <c r="G27" s="33" t="s">
        <v>104</v>
      </c>
      <c r="H27" s="32" t="s">
        <v>150</v>
      </c>
      <c r="I27" s="33" t="s">
        <v>178</v>
      </c>
      <c r="J27" s="31" t="s">
        <v>134</v>
      </c>
      <c r="K27" s="31"/>
      <c r="L27" s="31" t="s">
        <v>101</v>
      </c>
      <c r="M27" s="31"/>
      <c r="N27" s="31"/>
      <c r="O27" s="31" t="s">
        <v>146</v>
      </c>
      <c r="P27" s="31" t="s">
        <v>99</v>
      </c>
      <c r="Q27" s="32" t="s">
        <v>268</v>
      </c>
      <c r="R27" s="32" t="s">
        <v>282</v>
      </c>
      <c r="S27" s="32"/>
      <c r="T27" s="32"/>
      <c r="U27" s="34" t="s">
        <v>100</v>
      </c>
      <c r="V27" s="31"/>
      <c r="W27" s="32"/>
      <c r="X27" s="32" t="s">
        <v>251</v>
      </c>
      <c r="Y27" s="34" t="str">
        <f aca="false">IF(A27="","",IF(COUNTBLANK(A27:E27)+COUNTBLANK(G27:J27)+COUNTBLANK(Q27:R27)+COUNTBLANK(U27)&gt;0,"needs core fields",IF(AND(OR(I27="previous baseline — desktop manual",I27="browser emulation — manual",LEFT(I27,11)="real device"),S27=""),"needs protocol ref",IF(AND(LEFT(I27,18)="browser automation",T27=""),"needs automation ref",IF(AND(LEFT(I27,11)="real device",OR(K27="",L27="",M27="",N27="",P27="")),"needs device details",IF(AND(OR(U27="passed",U27="failed",U27="blocked"),V27=""),"needs result date","ready"))))))</f>
        <v>needs protocol ref</v>
      </c>
      <c r="AK27" s="1" t="s">
        <v>39</v>
      </c>
    </row>
    <row r="28" customFormat="false" ht="48" hidden="false" customHeight="true" outlineLevel="0" collapsed="false">
      <c r="A28" s="31" t="s">
        <v>283</v>
      </c>
      <c r="B28" s="31" t="s">
        <v>92</v>
      </c>
      <c r="C28" s="31" t="s">
        <v>149</v>
      </c>
      <c r="D28" s="32" t="s">
        <v>54</v>
      </c>
      <c r="E28" s="32" t="s">
        <v>266</v>
      </c>
      <c r="F28" s="32" t="s">
        <v>281</v>
      </c>
      <c r="G28" s="33" t="s">
        <v>104</v>
      </c>
      <c r="H28" s="32" t="s">
        <v>150</v>
      </c>
      <c r="I28" s="33" t="s">
        <v>192</v>
      </c>
      <c r="J28" s="31" t="s">
        <v>145</v>
      </c>
      <c r="K28" s="31"/>
      <c r="L28" s="31" t="s">
        <v>111</v>
      </c>
      <c r="M28" s="31"/>
      <c r="N28" s="31"/>
      <c r="O28" s="31" t="s">
        <v>146</v>
      </c>
      <c r="P28" s="31" t="s">
        <v>99</v>
      </c>
      <c r="Q28" s="32" t="s">
        <v>272</v>
      </c>
      <c r="R28" s="32" t="s">
        <v>282</v>
      </c>
      <c r="S28" s="32"/>
      <c r="T28" s="32"/>
      <c r="U28" s="34" t="s">
        <v>100</v>
      </c>
      <c r="V28" s="31"/>
      <c r="W28" s="32"/>
      <c r="X28" s="32" t="s">
        <v>251</v>
      </c>
      <c r="Y28" s="34" t="str">
        <f aca="false">IF(A28="","",IF(COUNTBLANK(A28:E28)+COUNTBLANK(G28:J28)+COUNTBLANK(Q28:R28)+COUNTBLANK(U28)&gt;0,"needs core fields",IF(AND(OR(I28="previous baseline — desktop manual",I28="browser emulation — manual",LEFT(I28,11)="real device"),S28=""),"needs protocol ref",IF(AND(LEFT(I28,18)="browser automation",T28=""),"needs automation ref",IF(AND(LEFT(I28,11)="real device",OR(K28="",L28="",M28="",N28="",P28="")),"needs device details",IF(AND(OR(U28="passed",U28="failed",U28="blocked"),V28=""),"needs result date","ready"))))))</f>
        <v>needs protocol ref</v>
      </c>
      <c r="AK28" s="1" t="s">
        <v>40</v>
      </c>
    </row>
    <row r="29" customFormat="false" ht="48" hidden="false" customHeight="true" outlineLevel="0" collapsed="false">
      <c r="A29" s="31" t="s">
        <v>284</v>
      </c>
      <c r="B29" s="31" t="s">
        <v>92</v>
      </c>
      <c r="C29" s="31" t="s">
        <v>149</v>
      </c>
      <c r="D29" s="32" t="s">
        <v>61</v>
      </c>
      <c r="E29" s="32" t="s">
        <v>285</v>
      </c>
      <c r="F29" s="32" t="s">
        <v>286</v>
      </c>
      <c r="G29" s="33" t="s">
        <v>104</v>
      </c>
      <c r="H29" s="32" t="s">
        <v>150</v>
      </c>
      <c r="I29" s="33" t="s">
        <v>178</v>
      </c>
      <c r="J29" s="31" t="s">
        <v>134</v>
      </c>
      <c r="K29" s="31"/>
      <c r="L29" s="31" t="s">
        <v>101</v>
      </c>
      <c r="M29" s="31"/>
      <c r="N29" s="31"/>
      <c r="O29" s="31" t="s">
        <v>146</v>
      </c>
      <c r="P29" s="31" t="s">
        <v>99</v>
      </c>
      <c r="Q29" s="32" t="s">
        <v>287</v>
      </c>
      <c r="R29" s="32" t="s">
        <v>288</v>
      </c>
      <c r="S29" s="32"/>
      <c r="T29" s="32"/>
      <c r="U29" s="34" t="s">
        <v>100</v>
      </c>
      <c r="V29" s="31"/>
      <c r="W29" s="32"/>
      <c r="X29" s="32" t="s">
        <v>251</v>
      </c>
      <c r="Y29" s="34" t="str">
        <f aca="false">IF(A29="","",IF(COUNTBLANK(A29:E29)+COUNTBLANK(G29:J29)+COUNTBLANK(Q29:R29)+COUNTBLANK(U29)&gt;0,"needs core fields",IF(AND(OR(I29="previous baseline — desktop manual",I29="browser emulation — manual",LEFT(I29,11)="real device"),S29=""),"needs protocol ref",IF(AND(LEFT(I29,18)="browser automation",T29=""),"needs automation ref",IF(AND(LEFT(I29,11)="real device",OR(K29="",L29="",M29="",N29="",P29="")),"needs device details",IF(AND(OR(U29="passed",U29="failed",U29="blocked"),V29=""),"needs result date","ready"))))))</f>
        <v>needs protocol ref</v>
      </c>
      <c r="AK29" s="1" t="s">
        <v>41</v>
      </c>
    </row>
    <row r="30" customFormat="false" ht="48" hidden="false" customHeight="true" outlineLevel="0" collapsed="false">
      <c r="A30" s="31" t="s">
        <v>289</v>
      </c>
      <c r="B30" s="31" t="s">
        <v>92</v>
      </c>
      <c r="C30" s="31" t="s">
        <v>149</v>
      </c>
      <c r="D30" s="32" t="s">
        <v>61</v>
      </c>
      <c r="E30" s="32" t="s">
        <v>285</v>
      </c>
      <c r="F30" s="32" t="s">
        <v>286</v>
      </c>
      <c r="G30" s="33" t="s">
        <v>104</v>
      </c>
      <c r="H30" s="32" t="s">
        <v>150</v>
      </c>
      <c r="I30" s="33" t="s">
        <v>192</v>
      </c>
      <c r="J30" s="31" t="s">
        <v>145</v>
      </c>
      <c r="K30" s="31"/>
      <c r="L30" s="31" t="s">
        <v>111</v>
      </c>
      <c r="M30" s="31"/>
      <c r="N30" s="31"/>
      <c r="O30" s="31" t="s">
        <v>146</v>
      </c>
      <c r="P30" s="31" t="s">
        <v>99</v>
      </c>
      <c r="Q30" s="32" t="s">
        <v>290</v>
      </c>
      <c r="R30" s="32" t="s">
        <v>288</v>
      </c>
      <c r="S30" s="32"/>
      <c r="T30" s="32"/>
      <c r="U30" s="34" t="s">
        <v>100</v>
      </c>
      <c r="V30" s="31"/>
      <c r="W30" s="32"/>
      <c r="X30" s="32" t="s">
        <v>251</v>
      </c>
      <c r="Y30" s="34" t="str">
        <f aca="false">IF(A30="","",IF(COUNTBLANK(A30:E30)+COUNTBLANK(G30:J30)+COUNTBLANK(Q30:R30)+COUNTBLANK(U30)&gt;0,"needs core fields",IF(AND(OR(I30="previous baseline — desktop manual",I30="browser emulation — manual",LEFT(I30,11)="real device"),S30=""),"needs protocol ref",IF(AND(LEFT(I30,18)="browser automation",T30=""),"needs automation ref",IF(AND(LEFT(I30,11)="real device",OR(K30="",L30="",M30="",N30="",P30="")),"needs device details",IF(AND(OR(U30="passed",U30="failed",U30="blocked"),V30=""),"needs result date","ready"))))))</f>
        <v>needs protocol ref</v>
      </c>
      <c r="AK30" s="1" t="s">
        <v>42</v>
      </c>
    </row>
    <row r="31" customFormat="false" ht="48" hidden="false" customHeight="true" outlineLevel="0" collapsed="false">
      <c r="A31" s="31" t="s">
        <v>291</v>
      </c>
      <c r="B31" s="31" t="s">
        <v>148</v>
      </c>
      <c r="C31" s="31" t="s">
        <v>130</v>
      </c>
      <c r="D31" s="32" t="s">
        <v>61</v>
      </c>
      <c r="E31" s="32" t="s">
        <v>292</v>
      </c>
      <c r="F31" s="32" t="s">
        <v>293</v>
      </c>
      <c r="G31" s="33" t="s">
        <v>104</v>
      </c>
      <c r="H31" s="32" t="s">
        <v>95</v>
      </c>
      <c r="I31" s="33" t="s">
        <v>178</v>
      </c>
      <c r="J31" s="31" t="s">
        <v>134</v>
      </c>
      <c r="K31" s="31"/>
      <c r="L31" s="31" t="s">
        <v>101</v>
      </c>
      <c r="M31" s="31"/>
      <c r="N31" s="31"/>
      <c r="O31" s="31" t="s">
        <v>125</v>
      </c>
      <c r="P31" s="31" t="s">
        <v>99</v>
      </c>
      <c r="Q31" s="32" t="s">
        <v>294</v>
      </c>
      <c r="R31" s="32" t="s">
        <v>295</v>
      </c>
      <c r="S31" s="32"/>
      <c r="T31" s="32"/>
      <c r="U31" s="34" t="s">
        <v>100</v>
      </c>
      <c r="V31" s="31"/>
      <c r="W31" s="32"/>
      <c r="X31" s="32" t="s">
        <v>251</v>
      </c>
      <c r="Y31" s="34" t="str">
        <f aca="false">IF(A31="","",IF(COUNTBLANK(A31:E31)+COUNTBLANK(G31:J31)+COUNTBLANK(Q31:R31)+COUNTBLANK(U31)&gt;0,"needs core fields",IF(AND(OR(I31="previous baseline — desktop manual",I31="browser emulation — manual",LEFT(I31,11)="real device"),S31=""),"needs protocol ref",IF(AND(LEFT(I31,18)="browser automation",T31=""),"needs automation ref",IF(AND(LEFT(I31,11)="real device",OR(K31="",L31="",M31="",N31="",P31="")),"needs device details",IF(AND(OR(U31="passed",U31="failed",U31="blocked"),V31=""),"needs result date","ready"))))))</f>
        <v>needs protocol ref</v>
      </c>
      <c r="AK31" s="1" t="s">
        <v>43</v>
      </c>
    </row>
    <row r="32" customFormat="false" ht="48" hidden="false" customHeight="true" outlineLevel="0" collapsed="false">
      <c r="A32" s="31" t="s">
        <v>296</v>
      </c>
      <c r="B32" s="31" t="s">
        <v>148</v>
      </c>
      <c r="C32" s="31" t="s">
        <v>130</v>
      </c>
      <c r="D32" s="32" t="s">
        <v>61</v>
      </c>
      <c r="E32" s="32" t="s">
        <v>292</v>
      </c>
      <c r="F32" s="32" t="s">
        <v>293</v>
      </c>
      <c r="G32" s="33" t="s">
        <v>104</v>
      </c>
      <c r="H32" s="32" t="s">
        <v>95</v>
      </c>
      <c r="I32" s="33" t="s">
        <v>192</v>
      </c>
      <c r="J32" s="31" t="s">
        <v>145</v>
      </c>
      <c r="K32" s="31"/>
      <c r="L32" s="31" t="s">
        <v>111</v>
      </c>
      <c r="M32" s="31"/>
      <c r="N32" s="31"/>
      <c r="O32" s="31" t="s">
        <v>125</v>
      </c>
      <c r="P32" s="31" t="s">
        <v>99</v>
      </c>
      <c r="Q32" s="32" t="s">
        <v>297</v>
      </c>
      <c r="R32" s="32" t="s">
        <v>295</v>
      </c>
      <c r="S32" s="32"/>
      <c r="T32" s="32"/>
      <c r="U32" s="34" t="s">
        <v>100</v>
      </c>
      <c r="V32" s="31"/>
      <c r="W32" s="32"/>
      <c r="X32" s="32" t="s">
        <v>251</v>
      </c>
      <c r="Y32" s="34" t="str">
        <f aca="false">IF(A32="","",IF(COUNTBLANK(A32:E32)+COUNTBLANK(G32:J32)+COUNTBLANK(Q32:R32)+COUNTBLANK(U32)&gt;0,"needs core fields",IF(AND(OR(I32="previous baseline — desktop manual",I32="browser emulation — manual",LEFT(I32,11)="real device"),S32=""),"needs protocol ref",IF(AND(LEFT(I32,18)="browser automation",T32=""),"needs automation ref",IF(AND(LEFT(I32,11)="real device",OR(K32="",L32="",M32="",N32="",P32="")),"needs device details",IF(AND(OR(U32="passed",U32="failed",U32="blocked"),V32=""),"needs result date","ready"))))))</f>
        <v>needs protocol ref</v>
      </c>
      <c r="AK32" s="1" t="s">
        <v>44</v>
      </c>
    </row>
    <row r="33" customFormat="false" ht="48" hidden="false" customHeight="true" outlineLevel="0" collapsed="false">
      <c r="A33" s="31" t="s">
        <v>298</v>
      </c>
      <c r="B33" s="31" t="s">
        <v>148</v>
      </c>
      <c r="C33" s="31" t="s">
        <v>130</v>
      </c>
      <c r="D33" s="32" t="s">
        <v>61</v>
      </c>
      <c r="E33" s="32" t="s">
        <v>299</v>
      </c>
      <c r="F33" s="32" t="s">
        <v>300</v>
      </c>
      <c r="G33" s="33" t="s">
        <v>104</v>
      </c>
      <c r="H33" s="32" t="s">
        <v>95</v>
      </c>
      <c r="I33" s="33" t="s">
        <v>178</v>
      </c>
      <c r="J33" s="31" t="s">
        <v>134</v>
      </c>
      <c r="K33" s="31"/>
      <c r="L33" s="31" t="s">
        <v>101</v>
      </c>
      <c r="M33" s="31"/>
      <c r="N33" s="31"/>
      <c r="O33" s="31" t="s">
        <v>125</v>
      </c>
      <c r="P33" s="31" t="s">
        <v>99</v>
      </c>
      <c r="Q33" s="32" t="s">
        <v>301</v>
      </c>
      <c r="R33" s="32" t="s">
        <v>302</v>
      </c>
      <c r="S33" s="32"/>
      <c r="T33" s="32"/>
      <c r="U33" s="34" t="s">
        <v>100</v>
      </c>
      <c r="V33" s="31"/>
      <c r="W33" s="32"/>
      <c r="X33" s="32" t="s">
        <v>251</v>
      </c>
      <c r="Y33" s="34" t="str">
        <f aca="false">IF(A33="","",IF(COUNTBLANK(A33:E33)+COUNTBLANK(G33:J33)+COUNTBLANK(Q33:R33)+COUNTBLANK(U33)&gt;0,"needs core fields",IF(AND(OR(I33="previous baseline — desktop manual",I33="browser emulation — manual",LEFT(I33,11)="real device"),S33=""),"needs protocol ref",IF(AND(LEFT(I33,18)="browser automation",T33=""),"needs automation ref",IF(AND(LEFT(I33,11)="real device",OR(K33="",L33="",M33="",N33="",P33="")),"needs device details",IF(AND(OR(U33="passed",U33="failed",U33="blocked"),V33=""),"needs result date","ready"))))))</f>
        <v>needs protocol ref</v>
      </c>
      <c r="AK33" s="1" t="s">
        <v>45</v>
      </c>
    </row>
    <row r="34" customFormat="false" ht="48" hidden="false" customHeight="true" outlineLevel="0" collapsed="false">
      <c r="A34" s="31" t="s">
        <v>303</v>
      </c>
      <c r="B34" s="31" t="s">
        <v>148</v>
      </c>
      <c r="C34" s="31" t="s">
        <v>130</v>
      </c>
      <c r="D34" s="32" t="s">
        <v>61</v>
      </c>
      <c r="E34" s="32" t="s">
        <v>299</v>
      </c>
      <c r="F34" s="32" t="s">
        <v>300</v>
      </c>
      <c r="G34" s="33" t="s">
        <v>104</v>
      </c>
      <c r="H34" s="32" t="s">
        <v>95</v>
      </c>
      <c r="I34" s="33" t="s">
        <v>192</v>
      </c>
      <c r="J34" s="31" t="s">
        <v>145</v>
      </c>
      <c r="K34" s="31"/>
      <c r="L34" s="31" t="s">
        <v>111</v>
      </c>
      <c r="M34" s="31"/>
      <c r="N34" s="31"/>
      <c r="O34" s="31" t="s">
        <v>125</v>
      </c>
      <c r="P34" s="31" t="s">
        <v>99</v>
      </c>
      <c r="Q34" s="32" t="s">
        <v>304</v>
      </c>
      <c r="R34" s="32" t="s">
        <v>302</v>
      </c>
      <c r="S34" s="32"/>
      <c r="T34" s="32"/>
      <c r="U34" s="34" t="s">
        <v>100</v>
      </c>
      <c r="V34" s="31"/>
      <c r="W34" s="32"/>
      <c r="X34" s="32" t="s">
        <v>251</v>
      </c>
      <c r="Y34" s="34" t="str">
        <f aca="false">IF(A34="","",IF(COUNTBLANK(A34:E34)+COUNTBLANK(G34:J34)+COUNTBLANK(Q34:R34)+COUNTBLANK(U34)&gt;0,"needs core fields",IF(AND(OR(I34="previous baseline — desktop manual",I34="browser emulation — manual",LEFT(I34,11)="real device"),S34=""),"needs protocol ref",IF(AND(LEFT(I34,18)="browser automation",T34=""),"needs automation ref",IF(AND(LEFT(I34,11)="real device",OR(K34="",L34="",M34="",N34="",P34="")),"needs device details",IF(AND(OR(U34="passed",U34="failed",U34="blocked"),V34=""),"needs result date","ready"))))))</f>
        <v>needs protocol ref</v>
      </c>
      <c r="AK34" s="1" t="s">
        <v>46</v>
      </c>
    </row>
    <row r="35" customFormat="false" ht="48" hidden="false" customHeight="true" outlineLevel="0" collapsed="false">
      <c r="A35" s="31" t="s">
        <v>305</v>
      </c>
      <c r="B35" s="31" t="s">
        <v>148</v>
      </c>
      <c r="C35" s="31" t="s">
        <v>130</v>
      </c>
      <c r="D35" s="32" t="s">
        <v>61</v>
      </c>
      <c r="E35" s="32" t="s">
        <v>306</v>
      </c>
      <c r="F35" s="32" t="s">
        <v>307</v>
      </c>
      <c r="G35" s="33" t="s">
        <v>104</v>
      </c>
      <c r="H35" s="32" t="s">
        <v>95</v>
      </c>
      <c r="I35" s="33" t="s">
        <v>178</v>
      </c>
      <c r="J35" s="31" t="s">
        <v>134</v>
      </c>
      <c r="K35" s="31"/>
      <c r="L35" s="31" t="s">
        <v>101</v>
      </c>
      <c r="M35" s="31"/>
      <c r="N35" s="31"/>
      <c r="O35" s="31" t="s">
        <v>125</v>
      </c>
      <c r="P35" s="31" t="s">
        <v>99</v>
      </c>
      <c r="Q35" s="32" t="s">
        <v>308</v>
      </c>
      <c r="R35" s="32" t="s">
        <v>309</v>
      </c>
      <c r="S35" s="32"/>
      <c r="T35" s="32"/>
      <c r="U35" s="34" t="s">
        <v>100</v>
      </c>
      <c r="V35" s="31"/>
      <c r="W35" s="32"/>
      <c r="X35" s="32" t="s">
        <v>251</v>
      </c>
      <c r="Y35" s="34" t="str">
        <f aca="false">IF(A35="","",IF(COUNTBLANK(A35:E35)+COUNTBLANK(G35:J35)+COUNTBLANK(Q35:R35)+COUNTBLANK(U35)&gt;0,"needs core fields",IF(AND(OR(I35="previous baseline — desktop manual",I35="browser emulation — manual",LEFT(I35,11)="real device"),S35=""),"needs protocol ref",IF(AND(LEFT(I35,18)="browser automation",T35=""),"needs automation ref",IF(AND(LEFT(I35,11)="real device",OR(K35="",L35="",M35="",N35="",P35="")),"needs device details",IF(AND(OR(U35="passed",U35="failed",U35="blocked"),V35=""),"needs result date","ready"))))))</f>
        <v>needs protocol ref</v>
      </c>
      <c r="AK35" s="1" t="s">
        <v>47</v>
      </c>
    </row>
    <row r="36" customFormat="false" ht="48" hidden="false" customHeight="true" outlineLevel="0" collapsed="false">
      <c r="A36" s="31" t="s">
        <v>310</v>
      </c>
      <c r="B36" s="31" t="s">
        <v>148</v>
      </c>
      <c r="C36" s="31" t="s">
        <v>130</v>
      </c>
      <c r="D36" s="32" t="s">
        <v>61</v>
      </c>
      <c r="E36" s="32" t="s">
        <v>306</v>
      </c>
      <c r="F36" s="32" t="s">
        <v>307</v>
      </c>
      <c r="G36" s="33" t="s">
        <v>104</v>
      </c>
      <c r="H36" s="32" t="s">
        <v>95</v>
      </c>
      <c r="I36" s="33" t="s">
        <v>192</v>
      </c>
      <c r="J36" s="31" t="s">
        <v>145</v>
      </c>
      <c r="K36" s="31"/>
      <c r="L36" s="31" t="s">
        <v>111</v>
      </c>
      <c r="M36" s="31"/>
      <c r="N36" s="31"/>
      <c r="O36" s="31" t="s">
        <v>125</v>
      </c>
      <c r="P36" s="31" t="s">
        <v>99</v>
      </c>
      <c r="Q36" s="32" t="s">
        <v>311</v>
      </c>
      <c r="R36" s="32" t="s">
        <v>309</v>
      </c>
      <c r="S36" s="32"/>
      <c r="T36" s="32"/>
      <c r="U36" s="34" t="s">
        <v>100</v>
      </c>
      <c r="V36" s="31"/>
      <c r="W36" s="32"/>
      <c r="X36" s="32" t="s">
        <v>251</v>
      </c>
      <c r="Y36" s="34" t="str">
        <f aca="false">IF(A36="","",IF(COUNTBLANK(A36:E36)+COUNTBLANK(G36:J36)+COUNTBLANK(Q36:R36)+COUNTBLANK(U36)&gt;0,"needs core fields",IF(AND(OR(I36="previous baseline — desktop manual",I36="browser emulation — manual",LEFT(I36,11)="real device"),S36=""),"needs protocol ref",IF(AND(LEFT(I36,18)="browser automation",T36=""),"needs automation ref",IF(AND(LEFT(I36,11)="real device",OR(K36="",L36="",M36="",N36="",P36="")),"needs device details",IF(AND(OR(U36="passed",U36="failed",U36="blocked"),V36=""),"needs result date","ready"))))))</f>
        <v>needs protocol ref</v>
      </c>
      <c r="AK36" s="1" t="s">
        <v>49</v>
      </c>
    </row>
    <row r="37" customFormat="false" ht="48" hidden="false" customHeight="true" outlineLevel="0" collapsed="false">
      <c r="A37" s="31" t="s">
        <v>312</v>
      </c>
      <c r="B37" s="31" t="s">
        <v>92</v>
      </c>
      <c r="C37" s="31" t="s">
        <v>149</v>
      </c>
      <c r="D37" s="32" t="s">
        <v>61</v>
      </c>
      <c r="E37" s="32" t="s">
        <v>313</v>
      </c>
      <c r="F37" s="32" t="s">
        <v>314</v>
      </c>
      <c r="G37" s="33" t="s">
        <v>104</v>
      </c>
      <c r="H37" s="32" t="s">
        <v>150</v>
      </c>
      <c r="I37" s="33" t="s">
        <v>178</v>
      </c>
      <c r="J37" s="31" t="s">
        <v>134</v>
      </c>
      <c r="K37" s="31"/>
      <c r="L37" s="31" t="s">
        <v>101</v>
      </c>
      <c r="M37" s="31"/>
      <c r="N37" s="31"/>
      <c r="O37" s="31" t="s">
        <v>146</v>
      </c>
      <c r="P37" s="31" t="s">
        <v>99</v>
      </c>
      <c r="Q37" s="32" t="s">
        <v>315</v>
      </c>
      <c r="R37" s="32" t="s">
        <v>316</v>
      </c>
      <c r="S37" s="32"/>
      <c r="T37" s="32"/>
      <c r="U37" s="34" t="s">
        <v>100</v>
      </c>
      <c r="V37" s="31"/>
      <c r="W37" s="32"/>
      <c r="X37" s="32" t="s">
        <v>251</v>
      </c>
      <c r="Y37" s="34" t="str">
        <f aca="false">IF(A37="","",IF(COUNTBLANK(A37:E37)+COUNTBLANK(G37:J37)+COUNTBLANK(Q37:R37)+COUNTBLANK(U37)&gt;0,"needs core fields",IF(AND(OR(I37="previous baseline — desktop manual",I37="browser emulation — manual",LEFT(I37,11)="real device"),S37=""),"needs protocol ref",IF(AND(LEFT(I37,18)="browser automation",T37=""),"needs automation ref",IF(AND(LEFT(I37,11)="real device",OR(K37="",L37="",M37="",N37="",P37="")),"needs device details",IF(AND(OR(U37="passed",U37="failed",U37="blocked"),V37=""),"needs result date","ready"))))))</f>
        <v>needs protocol ref</v>
      </c>
      <c r="AK37" s="1" t="s">
        <v>48</v>
      </c>
    </row>
    <row r="38" customFormat="false" ht="48" hidden="false" customHeight="true" outlineLevel="0" collapsed="false">
      <c r="A38" s="31" t="s">
        <v>317</v>
      </c>
      <c r="B38" s="31" t="s">
        <v>92</v>
      </c>
      <c r="C38" s="31" t="s">
        <v>149</v>
      </c>
      <c r="D38" s="32" t="s">
        <v>61</v>
      </c>
      <c r="E38" s="32" t="s">
        <v>313</v>
      </c>
      <c r="F38" s="32" t="s">
        <v>314</v>
      </c>
      <c r="G38" s="33" t="s">
        <v>104</v>
      </c>
      <c r="H38" s="32" t="s">
        <v>150</v>
      </c>
      <c r="I38" s="33" t="s">
        <v>192</v>
      </c>
      <c r="J38" s="31" t="s">
        <v>145</v>
      </c>
      <c r="K38" s="31"/>
      <c r="L38" s="31" t="s">
        <v>111</v>
      </c>
      <c r="M38" s="31"/>
      <c r="N38" s="31"/>
      <c r="O38" s="31" t="s">
        <v>146</v>
      </c>
      <c r="P38" s="31" t="s">
        <v>99</v>
      </c>
      <c r="Q38" s="32" t="s">
        <v>318</v>
      </c>
      <c r="R38" s="32" t="s">
        <v>316</v>
      </c>
      <c r="S38" s="32"/>
      <c r="T38" s="32"/>
      <c r="U38" s="34" t="s">
        <v>100</v>
      </c>
      <c r="V38" s="31"/>
      <c r="W38" s="32"/>
      <c r="X38" s="32" t="s">
        <v>251</v>
      </c>
      <c r="Y38" s="34" t="str">
        <f aca="false">IF(A38="","",IF(COUNTBLANK(A38:E38)+COUNTBLANK(G38:J38)+COUNTBLANK(Q38:R38)+COUNTBLANK(U38)&gt;0,"needs core fields",IF(AND(OR(I38="previous baseline — desktop manual",I38="browser emulation — manual",LEFT(I38,11)="real device"),S38=""),"needs protocol ref",IF(AND(LEFT(I38,18)="browser automation",T38=""),"needs automation ref",IF(AND(LEFT(I38,11)="real device",OR(K38="",L38="",M38="",N38="",P38="")),"needs device details",IF(AND(OR(U38="passed",U38="failed",U38="blocked"),V38=""),"needs result date","ready"))))))</f>
        <v>needs protocol ref</v>
      </c>
      <c r="AK38" s="1" t="s">
        <v>50</v>
      </c>
    </row>
    <row r="39" customFormat="false" ht="48" hidden="false" customHeight="true" outlineLevel="0" collapsed="false">
      <c r="A39" s="31" t="s">
        <v>319</v>
      </c>
      <c r="B39" s="31" t="s">
        <v>92</v>
      </c>
      <c r="C39" s="31" t="s">
        <v>149</v>
      </c>
      <c r="D39" s="32" t="s">
        <v>27</v>
      </c>
      <c r="E39" s="32" t="s">
        <v>266</v>
      </c>
      <c r="F39" s="32" t="s">
        <v>320</v>
      </c>
      <c r="G39" s="33" t="s">
        <v>104</v>
      </c>
      <c r="H39" s="32" t="s">
        <v>150</v>
      </c>
      <c r="I39" s="33" t="s">
        <v>178</v>
      </c>
      <c r="J39" s="31" t="s">
        <v>134</v>
      </c>
      <c r="K39" s="31"/>
      <c r="L39" s="31" t="s">
        <v>101</v>
      </c>
      <c r="M39" s="31"/>
      <c r="N39" s="31"/>
      <c r="O39" s="31" t="s">
        <v>146</v>
      </c>
      <c r="P39" s="31" t="s">
        <v>99</v>
      </c>
      <c r="Q39" s="32" t="s">
        <v>268</v>
      </c>
      <c r="R39" s="32" t="s">
        <v>321</v>
      </c>
      <c r="S39" s="32"/>
      <c r="T39" s="32"/>
      <c r="U39" s="34" t="s">
        <v>100</v>
      </c>
      <c r="V39" s="31"/>
      <c r="W39" s="32"/>
      <c r="X39" s="32" t="s">
        <v>251</v>
      </c>
      <c r="Y39" s="34" t="str">
        <f aca="false">IF(A39="","",IF(COUNTBLANK(A39:E39)+COUNTBLANK(G39:J39)+COUNTBLANK(Q39:R39)+COUNTBLANK(U39)&gt;0,"needs core fields",IF(AND(OR(I39="previous baseline — desktop manual",I39="browser emulation — manual",LEFT(I39,11)="real device"),S39=""),"needs protocol ref",IF(AND(LEFT(I39,18)="browser automation",T39=""),"needs automation ref",IF(AND(LEFT(I39,11)="real device",OR(K39="",L39="",M39="",N39="",P39="")),"needs device details",IF(AND(OR(U39="passed",U39="failed",U39="blocked"),V39=""),"needs result date","ready"))))))</f>
        <v>needs protocol ref</v>
      </c>
      <c r="AK39" s="1" t="s">
        <v>51</v>
      </c>
    </row>
    <row r="40" customFormat="false" ht="48" hidden="false" customHeight="true" outlineLevel="0" collapsed="false">
      <c r="A40" s="31" t="s">
        <v>322</v>
      </c>
      <c r="B40" s="31" t="s">
        <v>92</v>
      </c>
      <c r="C40" s="31" t="s">
        <v>149</v>
      </c>
      <c r="D40" s="32" t="s">
        <v>27</v>
      </c>
      <c r="E40" s="32" t="s">
        <v>266</v>
      </c>
      <c r="F40" s="32" t="s">
        <v>320</v>
      </c>
      <c r="G40" s="33" t="s">
        <v>104</v>
      </c>
      <c r="H40" s="32" t="s">
        <v>150</v>
      </c>
      <c r="I40" s="33" t="s">
        <v>192</v>
      </c>
      <c r="J40" s="31" t="s">
        <v>145</v>
      </c>
      <c r="K40" s="31"/>
      <c r="L40" s="31" t="s">
        <v>111</v>
      </c>
      <c r="M40" s="31"/>
      <c r="N40" s="31"/>
      <c r="O40" s="31" t="s">
        <v>146</v>
      </c>
      <c r="P40" s="31" t="s">
        <v>99</v>
      </c>
      <c r="Q40" s="32" t="s">
        <v>272</v>
      </c>
      <c r="R40" s="32" t="s">
        <v>321</v>
      </c>
      <c r="S40" s="32"/>
      <c r="T40" s="32"/>
      <c r="U40" s="34" t="s">
        <v>100</v>
      </c>
      <c r="V40" s="31"/>
      <c r="W40" s="32"/>
      <c r="X40" s="32" t="s">
        <v>251</v>
      </c>
      <c r="Y40" s="34" t="str">
        <f aca="false">IF(A40="","",IF(COUNTBLANK(A40:E40)+COUNTBLANK(G40:J40)+COUNTBLANK(Q40:R40)+COUNTBLANK(U40)&gt;0,"needs core fields",IF(AND(OR(I40="previous baseline — desktop manual",I40="browser emulation — manual",LEFT(I40,11)="real device"),S40=""),"needs protocol ref",IF(AND(LEFT(I40,18)="browser automation",T40=""),"needs automation ref",IF(AND(LEFT(I40,11)="real device",OR(K40="",L40="",M40="",N40="",P40="")),"needs device details",IF(AND(OR(U40="passed",U40="failed",U40="blocked"),V40=""),"needs result date","ready"))))))</f>
        <v>needs protocol ref</v>
      </c>
      <c r="AK40" s="1" t="s">
        <v>52</v>
      </c>
    </row>
    <row r="41" customFormat="false" ht="48" hidden="false" customHeight="true" outlineLevel="0" collapsed="false">
      <c r="A41" s="31" t="s">
        <v>323</v>
      </c>
      <c r="B41" s="31" t="s">
        <v>92</v>
      </c>
      <c r="C41" s="31" t="s">
        <v>149</v>
      </c>
      <c r="D41" s="32" t="s">
        <v>45</v>
      </c>
      <c r="E41" s="32" t="s">
        <v>324</v>
      </c>
      <c r="F41" s="32" t="s">
        <v>325</v>
      </c>
      <c r="G41" s="33" t="s">
        <v>104</v>
      </c>
      <c r="H41" s="32" t="s">
        <v>150</v>
      </c>
      <c r="I41" s="33" t="s">
        <v>178</v>
      </c>
      <c r="J41" s="31" t="s">
        <v>134</v>
      </c>
      <c r="K41" s="31"/>
      <c r="L41" s="31" t="s">
        <v>101</v>
      </c>
      <c r="M41" s="31"/>
      <c r="N41" s="31"/>
      <c r="O41" s="31" t="s">
        <v>146</v>
      </c>
      <c r="P41" s="31" t="s">
        <v>99</v>
      </c>
      <c r="Q41" s="32" t="s">
        <v>326</v>
      </c>
      <c r="R41" s="32" t="s">
        <v>327</v>
      </c>
      <c r="S41" s="32"/>
      <c r="T41" s="32"/>
      <c r="U41" s="34" t="s">
        <v>100</v>
      </c>
      <c r="V41" s="31"/>
      <c r="W41" s="32"/>
      <c r="X41" s="32" t="s">
        <v>251</v>
      </c>
      <c r="Y41" s="34" t="str">
        <f aca="false">IF(A41="","",IF(COUNTBLANK(A41:E41)+COUNTBLANK(G41:J41)+COUNTBLANK(Q41:R41)+COUNTBLANK(U41)&gt;0,"needs core fields",IF(AND(OR(I41="previous baseline — desktop manual",I41="browser emulation — manual",LEFT(I41,11)="real device"),S41=""),"needs protocol ref",IF(AND(LEFT(I41,18)="browser automation",T41=""),"needs automation ref",IF(AND(LEFT(I41,11)="real device",OR(K41="",L41="",M41="",N41="",P41="")),"needs device details",IF(AND(OR(U41="passed",U41="failed",U41="blocked"),V41=""),"needs result date","ready"))))))</f>
        <v>needs protocol ref</v>
      </c>
      <c r="AK41" s="1" t="s">
        <v>53</v>
      </c>
    </row>
    <row r="42" customFormat="false" ht="48" hidden="false" customHeight="true" outlineLevel="0" collapsed="false">
      <c r="A42" s="31" t="s">
        <v>328</v>
      </c>
      <c r="B42" s="31" t="s">
        <v>92</v>
      </c>
      <c r="C42" s="31" t="s">
        <v>149</v>
      </c>
      <c r="D42" s="32" t="s">
        <v>45</v>
      </c>
      <c r="E42" s="32" t="s">
        <v>324</v>
      </c>
      <c r="F42" s="32" t="s">
        <v>325</v>
      </c>
      <c r="G42" s="33" t="s">
        <v>104</v>
      </c>
      <c r="H42" s="32" t="s">
        <v>150</v>
      </c>
      <c r="I42" s="33" t="s">
        <v>192</v>
      </c>
      <c r="J42" s="31" t="s">
        <v>145</v>
      </c>
      <c r="K42" s="31"/>
      <c r="L42" s="31" t="s">
        <v>111</v>
      </c>
      <c r="M42" s="31"/>
      <c r="N42" s="31"/>
      <c r="O42" s="31" t="s">
        <v>146</v>
      </c>
      <c r="P42" s="31" t="s">
        <v>99</v>
      </c>
      <c r="Q42" s="32" t="s">
        <v>329</v>
      </c>
      <c r="R42" s="32" t="s">
        <v>327</v>
      </c>
      <c r="S42" s="32"/>
      <c r="T42" s="32"/>
      <c r="U42" s="34" t="s">
        <v>100</v>
      </c>
      <c r="V42" s="31"/>
      <c r="W42" s="32"/>
      <c r="X42" s="32" t="s">
        <v>251</v>
      </c>
      <c r="Y42" s="34" t="str">
        <f aca="false">IF(A42="","",IF(COUNTBLANK(A42:E42)+COUNTBLANK(G42:J42)+COUNTBLANK(Q42:R42)+COUNTBLANK(U42)&gt;0,"needs core fields",IF(AND(OR(I42="previous baseline — desktop manual",I42="browser emulation — manual",LEFT(I42,11)="real device"),S42=""),"needs protocol ref",IF(AND(LEFT(I42,18)="browser automation",T42=""),"needs automation ref",IF(AND(LEFT(I42,11)="real device",OR(K42="",L42="",M42="",N42="",P42="")),"needs device details",IF(AND(OR(U42="passed",U42="failed",U42="blocked"),V42=""),"needs result date","ready"))))))</f>
        <v>needs protocol ref</v>
      </c>
      <c r="AK42" s="1" t="s">
        <v>54</v>
      </c>
    </row>
    <row r="43" customFormat="false" ht="48" hidden="false" customHeight="true" outlineLevel="0" collapsed="false">
      <c r="A43" s="31" t="s">
        <v>330</v>
      </c>
      <c r="B43" s="31" t="s">
        <v>176</v>
      </c>
      <c r="C43" s="31" t="s">
        <v>191</v>
      </c>
      <c r="D43" s="32" t="s">
        <v>45</v>
      </c>
      <c r="E43" s="32" t="s">
        <v>331</v>
      </c>
      <c r="F43" s="32" t="s">
        <v>332</v>
      </c>
      <c r="G43" s="33" t="s">
        <v>104</v>
      </c>
      <c r="H43" s="32" t="s">
        <v>143</v>
      </c>
      <c r="I43" s="33" t="s">
        <v>178</v>
      </c>
      <c r="J43" s="31" t="s">
        <v>134</v>
      </c>
      <c r="K43" s="31"/>
      <c r="L43" s="31" t="s">
        <v>101</v>
      </c>
      <c r="M43" s="31"/>
      <c r="N43" s="31"/>
      <c r="O43" s="31" t="s">
        <v>125</v>
      </c>
      <c r="P43" s="31" t="s">
        <v>99</v>
      </c>
      <c r="Q43" s="32" t="s">
        <v>333</v>
      </c>
      <c r="R43" s="32" t="s">
        <v>334</v>
      </c>
      <c r="S43" s="32"/>
      <c r="T43" s="32"/>
      <c r="U43" s="34" t="s">
        <v>100</v>
      </c>
      <c r="V43" s="31"/>
      <c r="W43" s="32"/>
      <c r="X43" s="32" t="s">
        <v>251</v>
      </c>
      <c r="Y43" s="34" t="str">
        <f aca="false">IF(A43="","",IF(COUNTBLANK(A43:E43)+COUNTBLANK(G43:J43)+COUNTBLANK(Q43:R43)+COUNTBLANK(U43)&gt;0,"needs core fields",IF(AND(OR(I43="previous baseline — desktop manual",I43="browser emulation — manual",LEFT(I43,11)="real device"),S43=""),"needs protocol ref",IF(AND(LEFT(I43,18)="browser automation",T43=""),"needs automation ref",IF(AND(LEFT(I43,11)="real device",OR(K43="",L43="",M43="",N43="",P43="")),"needs device details",IF(AND(OR(U43="passed",U43="failed",U43="blocked"),V43=""),"needs result date","ready"))))))</f>
        <v>needs protocol ref</v>
      </c>
      <c r="AK43" s="1" t="s">
        <v>55</v>
      </c>
    </row>
    <row r="44" customFormat="false" ht="48" hidden="false" customHeight="true" outlineLevel="0" collapsed="false">
      <c r="A44" s="31" t="s">
        <v>335</v>
      </c>
      <c r="B44" s="31" t="s">
        <v>176</v>
      </c>
      <c r="C44" s="31" t="s">
        <v>191</v>
      </c>
      <c r="D44" s="32" t="s">
        <v>45</v>
      </c>
      <c r="E44" s="32" t="s">
        <v>331</v>
      </c>
      <c r="F44" s="32" t="s">
        <v>332</v>
      </c>
      <c r="G44" s="33" t="s">
        <v>104</v>
      </c>
      <c r="H44" s="32" t="s">
        <v>143</v>
      </c>
      <c r="I44" s="33" t="s">
        <v>192</v>
      </c>
      <c r="J44" s="31" t="s">
        <v>145</v>
      </c>
      <c r="K44" s="31"/>
      <c r="L44" s="31" t="s">
        <v>111</v>
      </c>
      <c r="M44" s="31"/>
      <c r="N44" s="31"/>
      <c r="O44" s="31" t="s">
        <v>125</v>
      </c>
      <c r="P44" s="31" t="s">
        <v>99</v>
      </c>
      <c r="Q44" s="32" t="s">
        <v>336</v>
      </c>
      <c r="R44" s="32" t="s">
        <v>334</v>
      </c>
      <c r="S44" s="32"/>
      <c r="T44" s="32"/>
      <c r="U44" s="34" t="s">
        <v>100</v>
      </c>
      <c r="V44" s="31"/>
      <c r="W44" s="32"/>
      <c r="X44" s="32" t="s">
        <v>251</v>
      </c>
      <c r="Y44" s="34" t="str">
        <f aca="false">IF(A44="","",IF(COUNTBLANK(A44:E44)+COUNTBLANK(G44:J44)+COUNTBLANK(Q44:R44)+COUNTBLANK(U44)&gt;0,"needs core fields",IF(AND(OR(I44="previous baseline — desktop manual",I44="browser emulation — manual",LEFT(I44,11)="real device"),S44=""),"needs protocol ref",IF(AND(LEFT(I44,18)="browser automation",T44=""),"needs automation ref",IF(AND(LEFT(I44,11)="real device",OR(K44="",L44="",M44="",N44="",P44="")),"needs device details",IF(AND(OR(U44="passed",U44="failed",U44="blocked"),V44=""),"needs result date","ready"))))))</f>
        <v>needs protocol ref</v>
      </c>
      <c r="AK44" s="1" t="s">
        <v>56</v>
      </c>
    </row>
    <row r="45" customFormat="false" ht="48" hidden="false" customHeight="true" outlineLevel="0" collapsed="false">
      <c r="A45" s="31" t="s">
        <v>337</v>
      </c>
      <c r="B45" s="31" t="s">
        <v>176</v>
      </c>
      <c r="C45" s="31" t="s">
        <v>191</v>
      </c>
      <c r="D45" s="32" t="s">
        <v>45</v>
      </c>
      <c r="E45" s="32" t="s">
        <v>338</v>
      </c>
      <c r="F45" s="32" t="s">
        <v>339</v>
      </c>
      <c r="G45" s="33" t="s">
        <v>104</v>
      </c>
      <c r="H45" s="32" t="s">
        <v>143</v>
      </c>
      <c r="I45" s="33" t="s">
        <v>178</v>
      </c>
      <c r="J45" s="31" t="s">
        <v>134</v>
      </c>
      <c r="K45" s="31"/>
      <c r="L45" s="31" t="s">
        <v>101</v>
      </c>
      <c r="M45" s="31"/>
      <c r="N45" s="31"/>
      <c r="O45" s="31" t="s">
        <v>125</v>
      </c>
      <c r="P45" s="31" t="s">
        <v>99</v>
      </c>
      <c r="Q45" s="32" t="s">
        <v>340</v>
      </c>
      <c r="R45" s="32" t="s">
        <v>341</v>
      </c>
      <c r="S45" s="32"/>
      <c r="T45" s="32"/>
      <c r="U45" s="34" t="s">
        <v>100</v>
      </c>
      <c r="V45" s="31"/>
      <c r="W45" s="32"/>
      <c r="X45" s="32" t="s">
        <v>251</v>
      </c>
      <c r="Y45" s="34" t="str">
        <f aca="false">IF(A45="","",IF(COUNTBLANK(A45:E45)+COUNTBLANK(G45:J45)+COUNTBLANK(Q45:R45)+COUNTBLANK(U45)&gt;0,"needs core fields",IF(AND(OR(I45="previous baseline — desktop manual",I45="browser emulation — manual",LEFT(I45,11)="real device"),S45=""),"needs protocol ref",IF(AND(LEFT(I45,18)="browser automation",T45=""),"needs automation ref",IF(AND(LEFT(I45,11)="real device",OR(K45="",L45="",M45="",N45="",P45="")),"needs device details",IF(AND(OR(U45="passed",U45="failed",U45="blocked"),V45=""),"needs result date","ready"))))))</f>
        <v>needs protocol ref</v>
      </c>
      <c r="AK45" s="1" t="s">
        <v>57</v>
      </c>
    </row>
    <row r="46" customFormat="false" ht="48" hidden="false" customHeight="true" outlineLevel="0" collapsed="false">
      <c r="A46" s="31" t="s">
        <v>342</v>
      </c>
      <c r="B46" s="31" t="s">
        <v>176</v>
      </c>
      <c r="C46" s="31" t="s">
        <v>191</v>
      </c>
      <c r="D46" s="32" t="s">
        <v>45</v>
      </c>
      <c r="E46" s="32" t="s">
        <v>338</v>
      </c>
      <c r="F46" s="32" t="s">
        <v>339</v>
      </c>
      <c r="G46" s="33" t="s">
        <v>104</v>
      </c>
      <c r="H46" s="32" t="s">
        <v>143</v>
      </c>
      <c r="I46" s="33" t="s">
        <v>192</v>
      </c>
      <c r="J46" s="31" t="s">
        <v>145</v>
      </c>
      <c r="K46" s="31"/>
      <c r="L46" s="31" t="s">
        <v>111</v>
      </c>
      <c r="M46" s="31"/>
      <c r="N46" s="31"/>
      <c r="O46" s="31" t="s">
        <v>125</v>
      </c>
      <c r="P46" s="31" t="s">
        <v>99</v>
      </c>
      <c r="Q46" s="32" t="s">
        <v>343</v>
      </c>
      <c r="R46" s="32" t="s">
        <v>341</v>
      </c>
      <c r="S46" s="32"/>
      <c r="T46" s="32"/>
      <c r="U46" s="34" t="s">
        <v>100</v>
      </c>
      <c r="V46" s="31"/>
      <c r="W46" s="32"/>
      <c r="X46" s="32" t="s">
        <v>251</v>
      </c>
      <c r="Y46" s="34" t="str">
        <f aca="false">IF(A46="","",IF(COUNTBLANK(A46:E46)+COUNTBLANK(G46:J46)+COUNTBLANK(Q46:R46)+COUNTBLANK(U46)&gt;0,"needs core fields",IF(AND(OR(I46="previous baseline — desktop manual",I46="browser emulation — manual",LEFT(I46,11)="real device"),S46=""),"needs protocol ref",IF(AND(LEFT(I46,18)="browser automation",T46=""),"needs automation ref",IF(AND(LEFT(I46,11)="real device",OR(K46="",L46="",M46="",N46="",P46="")),"needs device details",IF(AND(OR(U46="passed",U46="failed",U46="blocked"),V46=""),"needs result date","ready"))))))</f>
        <v>needs protocol ref</v>
      </c>
      <c r="AK46" s="1" t="s">
        <v>58</v>
      </c>
    </row>
    <row r="47" customFormat="false" ht="48" hidden="false" customHeight="true" outlineLevel="0" collapsed="false">
      <c r="A47" s="31" t="s">
        <v>344</v>
      </c>
      <c r="B47" s="31" t="s">
        <v>176</v>
      </c>
      <c r="C47" s="31" t="s">
        <v>191</v>
      </c>
      <c r="D47" s="32" t="s">
        <v>45</v>
      </c>
      <c r="E47" s="32" t="s">
        <v>345</v>
      </c>
      <c r="F47" s="32" t="s">
        <v>346</v>
      </c>
      <c r="G47" s="33" t="s">
        <v>104</v>
      </c>
      <c r="H47" s="32" t="s">
        <v>143</v>
      </c>
      <c r="I47" s="33" t="s">
        <v>178</v>
      </c>
      <c r="J47" s="31" t="s">
        <v>134</v>
      </c>
      <c r="K47" s="31"/>
      <c r="L47" s="31" t="s">
        <v>101</v>
      </c>
      <c r="M47" s="31"/>
      <c r="N47" s="31"/>
      <c r="O47" s="31" t="s">
        <v>125</v>
      </c>
      <c r="P47" s="31" t="s">
        <v>99</v>
      </c>
      <c r="Q47" s="32" t="s">
        <v>347</v>
      </c>
      <c r="R47" s="32" t="s">
        <v>348</v>
      </c>
      <c r="S47" s="32"/>
      <c r="T47" s="32"/>
      <c r="U47" s="34" t="s">
        <v>100</v>
      </c>
      <c r="V47" s="31"/>
      <c r="W47" s="32"/>
      <c r="X47" s="32" t="s">
        <v>251</v>
      </c>
      <c r="Y47" s="34" t="str">
        <f aca="false">IF(A47="","",IF(COUNTBLANK(A47:E47)+COUNTBLANK(G47:J47)+COUNTBLANK(Q47:R47)+COUNTBLANK(U47)&gt;0,"needs core fields",IF(AND(OR(I47="previous baseline — desktop manual",I47="browser emulation — manual",LEFT(I47,11)="real device"),S47=""),"needs protocol ref",IF(AND(LEFT(I47,18)="browser automation",T47=""),"needs automation ref",IF(AND(LEFT(I47,11)="real device",OR(K47="",L47="",M47="",N47="",P47="")),"needs device details",IF(AND(OR(U47="passed",U47="failed",U47="blocked"),V47=""),"needs result date","ready"))))))</f>
        <v>needs protocol ref</v>
      </c>
      <c r="AK47" s="1" t="s">
        <v>59</v>
      </c>
    </row>
    <row r="48" customFormat="false" ht="48" hidden="false" customHeight="true" outlineLevel="0" collapsed="false">
      <c r="A48" s="31" t="s">
        <v>349</v>
      </c>
      <c r="B48" s="31" t="s">
        <v>176</v>
      </c>
      <c r="C48" s="31" t="s">
        <v>191</v>
      </c>
      <c r="D48" s="32" t="s">
        <v>45</v>
      </c>
      <c r="E48" s="32" t="s">
        <v>345</v>
      </c>
      <c r="F48" s="32" t="s">
        <v>346</v>
      </c>
      <c r="G48" s="33" t="s">
        <v>104</v>
      </c>
      <c r="H48" s="32" t="s">
        <v>143</v>
      </c>
      <c r="I48" s="33" t="s">
        <v>192</v>
      </c>
      <c r="J48" s="31" t="s">
        <v>145</v>
      </c>
      <c r="K48" s="31"/>
      <c r="L48" s="31" t="s">
        <v>111</v>
      </c>
      <c r="M48" s="31"/>
      <c r="N48" s="31"/>
      <c r="O48" s="31" t="s">
        <v>125</v>
      </c>
      <c r="P48" s="31" t="s">
        <v>99</v>
      </c>
      <c r="Q48" s="32" t="s">
        <v>350</v>
      </c>
      <c r="R48" s="32" t="s">
        <v>348</v>
      </c>
      <c r="S48" s="32"/>
      <c r="T48" s="32"/>
      <c r="U48" s="34" t="s">
        <v>100</v>
      </c>
      <c r="V48" s="31"/>
      <c r="W48" s="32"/>
      <c r="X48" s="32" t="s">
        <v>251</v>
      </c>
      <c r="Y48" s="34" t="str">
        <f aca="false">IF(A48="","",IF(COUNTBLANK(A48:E48)+COUNTBLANK(G48:J48)+COUNTBLANK(Q48:R48)+COUNTBLANK(U48)&gt;0,"needs core fields",IF(AND(OR(I48="previous baseline — desktop manual",I48="browser emulation — manual",LEFT(I48,11)="real device"),S48=""),"needs protocol ref",IF(AND(LEFT(I48,18)="browser automation",T48=""),"needs automation ref",IF(AND(LEFT(I48,11)="real device",OR(K48="",L48="",M48="",N48="",P48="")),"needs device details",IF(AND(OR(U48="passed",U48="failed",U48="blocked"),V48=""),"needs result date","ready"))))))</f>
        <v>needs protocol ref</v>
      </c>
      <c r="AK48" s="1" t="s">
        <v>60</v>
      </c>
    </row>
    <row r="49" customFormat="false" ht="48" hidden="false" customHeight="true" outlineLevel="0" collapsed="false">
      <c r="A49" s="31" t="s">
        <v>351</v>
      </c>
      <c r="B49" s="31" t="s">
        <v>176</v>
      </c>
      <c r="C49" s="31" t="s">
        <v>191</v>
      </c>
      <c r="D49" s="32" t="s">
        <v>45</v>
      </c>
      <c r="E49" s="32" t="s">
        <v>352</v>
      </c>
      <c r="F49" s="32" t="s">
        <v>353</v>
      </c>
      <c r="G49" s="33" t="s">
        <v>104</v>
      </c>
      <c r="H49" s="32" t="s">
        <v>143</v>
      </c>
      <c r="I49" s="33" t="s">
        <v>178</v>
      </c>
      <c r="J49" s="31" t="s">
        <v>134</v>
      </c>
      <c r="K49" s="31"/>
      <c r="L49" s="31" t="s">
        <v>101</v>
      </c>
      <c r="M49" s="31"/>
      <c r="N49" s="31"/>
      <c r="O49" s="31" t="s">
        <v>125</v>
      </c>
      <c r="P49" s="31" t="s">
        <v>99</v>
      </c>
      <c r="Q49" s="32" t="s">
        <v>354</v>
      </c>
      <c r="R49" s="32" t="s">
        <v>355</v>
      </c>
      <c r="S49" s="32"/>
      <c r="T49" s="32"/>
      <c r="U49" s="34" t="s">
        <v>100</v>
      </c>
      <c r="V49" s="31"/>
      <c r="W49" s="32"/>
      <c r="X49" s="32" t="s">
        <v>251</v>
      </c>
      <c r="Y49" s="34" t="str">
        <f aca="false">IF(A49="","",IF(COUNTBLANK(A49:E49)+COUNTBLANK(G49:J49)+COUNTBLANK(Q49:R49)+COUNTBLANK(U49)&gt;0,"needs core fields",IF(AND(OR(I49="previous baseline — desktop manual",I49="browser emulation — manual",LEFT(I49,11)="real device"),S49=""),"needs protocol ref",IF(AND(LEFT(I49,18)="browser automation",T49=""),"needs automation ref",IF(AND(LEFT(I49,11)="real device",OR(K49="",L49="",M49="",N49="",P49="")),"needs device details",IF(AND(OR(U49="passed",U49="failed",U49="blocked"),V49=""),"needs result date","ready"))))))</f>
        <v>needs protocol ref</v>
      </c>
      <c r="AK49" s="1" t="s">
        <v>61</v>
      </c>
    </row>
    <row r="50" customFormat="false" ht="48" hidden="false" customHeight="true" outlineLevel="0" collapsed="false">
      <c r="A50" s="31" t="s">
        <v>356</v>
      </c>
      <c r="B50" s="31" t="s">
        <v>176</v>
      </c>
      <c r="C50" s="31" t="s">
        <v>191</v>
      </c>
      <c r="D50" s="32" t="s">
        <v>45</v>
      </c>
      <c r="E50" s="32" t="s">
        <v>352</v>
      </c>
      <c r="F50" s="32" t="s">
        <v>353</v>
      </c>
      <c r="G50" s="33" t="s">
        <v>104</v>
      </c>
      <c r="H50" s="32" t="s">
        <v>143</v>
      </c>
      <c r="I50" s="33" t="s">
        <v>192</v>
      </c>
      <c r="J50" s="31" t="s">
        <v>145</v>
      </c>
      <c r="K50" s="31"/>
      <c r="L50" s="31" t="s">
        <v>111</v>
      </c>
      <c r="M50" s="31"/>
      <c r="N50" s="31"/>
      <c r="O50" s="31" t="s">
        <v>125</v>
      </c>
      <c r="P50" s="31" t="s">
        <v>99</v>
      </c>
      <c r="Q50" s="32" t="s">
        <v>357</v>
      </c>
      <c r="R50" s="32" t="s">
        <v>355</v>
      </c>
      <c r="S50" s="32"/>
      <c r="T50" s="32"/>
      <c r="U50" s="34" t="s">
        <v>100</v>
      </c>
      <c r="V50" s="31"/>
      <c r="W50" s="32"/>
      <c r="X50" s="32" t="s">
        <v>251</v>
      </c>
      <c r="Y50" s="34" t="str">
        <f aca="false">IF(A50="","",IF(COUNTBLANK(A50:E50)+COUNTBLANK(G50:J50)+COUNTBLANK(Q50:R50)+COUNTBLANK(U50)&gt;0,"needs core fields",IF(AND(OR(I50="previous baseline — desktop manual",I50="browser emulation — manual",LEFT(I50,11)="real device"),S50=""),"needs protocol ref",IF(AND(LEFT(I50,18)="browser automation",T50=""),"needs automation ref",IF(AND(LEFT(I50,11)="real device",OR(K50="",L50="",M50="",N50="",P50="")),"needs device details",IF(AND(OR(U50="passed",U50="failed",U50="blocked"),V50=""),"needs result date","ready"))))))</f>
        <v>needs protocol ref</v>
      </c>
      <c r="AK50" s="1" t="s">
        <v>62</v>
      </c>
    </row>
    <row r="51" customFormat="false" ht="48" hidden="false" customHeight="true" outlineLevel="0" collapsed="false">
      <c r="A51" s="31" t="s">
        <v>358</v>
      </c>
      <c r="B51" s="31" t="s">
        <v>190</v>
      </c>
      <c r="C51" s="31" t="s">
        <v>191</v>
      </c>
      <c r="D51" s="32" t="s">
        <v>45</v>
      </c>
      <c r="E51" s="32" t="s">
        <v>359</v>
      </c>
      <c r="F51" s="32" t="s">
        <v>360</v>
      </c>
      <c r="G51" s="33" t="s">
        <v>104</v>
      </c>
      <c r="H51" s="32" t="s">
        <v>105</v>
      </c>
      <c r="I51" s="33" t="s">
        <v>178</v>
      </c>
      <c r="J51" s="31" t="s">
        <v>134</v>
      </c>
      <c r="K51" s="31"/>
      <c r="L51" s="31" t="s">
        <v>101</v>
      </c>
      <c r="M51" s="31"/>
      <c r="N51" s="31"/>
      <c r="O51" s="31" t="s">
        <v>125</v>
      </c>
      <c r="P51" s="31" t="s">
        <v>99</v>
      </c>
      <c r="Q51" s="32" t="s">
        <v>361</v>
      </c>
      <c r="R51" s="32" t="s">
        <v>362</v>
      </c>
      <c r="S51" s="32"/>
      <c r="T51" s="32"/>
      <c r="U51" s="34" t="s">
        <v>100</v>
      </c>
      <c r="V51" s="31"/>
      <c r="W51" s="32"/>
      <c r="X51" s="32" t="s">
        <v>251</v>
      </c>
      <c r="Y51" s="34" t="str">
        <f aca="false">IF(A51="","",IF(COUNTBLANK(A51:E51)+COUNTBLANK(G51:J51)+COUNTBLANK(Q51:R51)+COUNTBLANK(U51)&gt;0,"needs core fields",IF(AND(OR(I51="previous baseline — desktop manual",I51="browser emulation — manual",LEFT(I51,11)="real device"),S51=""),"needs protocol ref",IF(AND(LEFT(I51,18)="browser automation",T51=""),"needs automation ref",IF(AND(LEFT(I51,11)="real device",OR(K51="",L51="",M51="",N51="",P51="")),"needs device details",IF(AND(OR(U51="passed",U51="failed",U51="blocked"),V51=""),"needs result date","ready"))))))</f>
        <v>needs protocol ref</v>
      </c>
      <c r="AK51" s="1" t="s">
        <v>63</v>
      </c>
    </row>
    <row r="52" customFormat="false" ht="48" hidden="false" customHeight="true" outlineLevel="0" collapsed="false">
      <c r="A52" s="31" t="s">
        <v>363</v>
      </c>
      <c r="B52" s="31" t="s">
        <v>190</v>
      </c>
      <c r="C52" s="31" t="s">
        <v>191</v>
      </c>
      <c r="D52" s="32" t="s">
        <v>45</v>
      </c>
      <c r="E52" s="32" t="s">
        <v>359</v>
      </c>
      <c r="F52" s="32" t="s">
        <v>360</v>
      </c>
      <c r="G52" s="33" t="s">
        <v>104</v>
      </c>
      <c r="H52" s="32" t="s">
        <v>105</v>
      </c>
      <c r="I52" s="33" t="s">
        <v>192</v>
      </c>
      <c r="J52" s="31" t="s">
        <v>145</v>
      </c>
      <c r="K52" s="31"/>
      <c r="L52" s="31" t="s">
        <v>111</v>
      </c>
      <c r="M52" s="31"/>
      <c r="N52" s="31"/>
      <c r="O52" s="31" t="s">
        <v>125</v>
      </c>
      <c r="P52" s="31" t="s">
        <v>99</v>
      </c>
      <c r="Q52" s="32" t="s">
        <v>364</v>
      </c>
      <c r="R52" s="32" t="s">
        <v>362</v>
      </c>
      <c r="S52" s="32"/>
      <c r="T52" s="32"/>
      <c r="U52" s="34" t="s">
        <v>100</v>
      </c>
      <c r="V52" s="31"/>
      <c r="W52" s="32"/>
      <c r="X52" s="32" t="s">
        <v>251</v>
      </c>
      <c r="Y52" s="34" t="str">
        <f aca="false">IF(A52="","",IF(COUNTBLANK(A52:E52)+COUNTBLANK(G52:J52)+COUNTBLANK(Q52:R52)+COUNTBLANK(U52)&gt;0,"needs core fields",IF(AND(OR(I52="previous baseline — desktop manual",I52="browser emulation — manual",LEFT(I52,11)="real device"),S52=""),"needs protocol ref",IF(AND(LEFT(I52,18)="browser automation",T52=""),"needs automation ref",IF(AND(LEFT(I52,11)="real device",OR(K52="",L52="",M52="",N52="",P52="")),"needs device details",IF(AND(OR(U52="passed",U52="failed",U52="blocked"),V52=""),"needs result date","ready"))))))</f>
        <v>needs protocol ref</v>
      </c>
      <c r="AK52" s="1" t="s">
        <v>64</v>
      </c>
    </row>
    <row r="53" customFormat="false" ht="48" hidden="false" customHeight="true" outlineLevel="0" collapsed="false">
      <c r="A53" s="31" t="s">
        <v>365</v>
      </c>
      <c r="B53" s="31" t="s">
        <v>148</v>
      </c>
      <c r="C53" s="31" t="s">
        <v>130</v>
      </c>
      <c r="D53" s="32" t="s">
        <v>45</v>
      </c>
      <c r="E53" s="32" t="s">
        <v>366</v>
      </c>
      <c r="F53" s="32" t="s">
        <v>367</v>
      </c>
      <c r="G53" s="33" t="s">
        <v>104</v>
      </c>
      <c r="H53" s="32" t="s">
        <v>95</v>
      </c>
      <c r="I53" s="33" t="s">
        <v>178</v>
      </c>
      <c r="J53" s="31" t="s">
        <v>134</v>
      </c>
      <c r="K53" s="31"/>
      <c r="L53" s="31" t="s">
        <v>101</v>
      </c>
      <c r="M53" s="31"/>
      <c r="N53" s="31"/>
      <c r="O53" s="31" t="s">
        <v>125</v>
      </c>
      <c r="P53" s="31" t="s">
        <v>99</v>
      </c>
      <c r="Q53" s="32" t="s">
        <v>368</v>
      </c>
      <c r="R53" s="32" t="s">
        <v>309</v>
      </c>
      <c r="S53" s="32"/>
      <c r="T53" s="32"/>
      <c r="U53" s="34" t="s">
        <v>100</v>
      </c>
      <c r="V53" s="31"/>
      <c r="W53" s="32"/>
      <c r="X53" s="32" t="s">
        <v>251</v>
      </c>
      <c r="Y53" s="34" t="str">
        <f aca="false">IF(A53="","",IF(COUNTBLANK(A53:E53)+COUNTBLANK(G53:J53)+COUNTBLANK(Q53:R53)+COUNTBLANK(U53)&gt;0,"needs core fields",IF(AND(OR(I53="previous baseline — desktop manual",I53="browser emulation — manual",LEFT(I53,11)="real device"),S53=""),"needs protocol ref",IF(AND(LEFT(I53,18)="browser automation",T53=""),"needs automation ref",IF(AND(LEFT(I53,11)="real device",OR(K53="",L53="",M53="",N53="",P53="")),"needs device details",IF(AND(OR(U53="passed",U53="failed",U53="blocked"),V53=""),"needs result date","ready"))))))</f>
        <v>needs protocol ref</v>
      </c>
      <c r="AK53" s="1" t="s">
        <v>65</v>
      </c>
    </row>
    <row r="54" customFormat="false" ht="48" hidden="false" customHeight="true" outlineLevel="0" collapsed="false">
      <c r="A54" s="31" t="s">
        <v>369</v>
      </c>
      <c r="B54" s="31" t="s">
        <v>148</v>
      </c>
      <c r="C54" s="31" t="s">
        <v>130</v>
      </c>
      <c r="D54" s="32" t="s">
        <v>45</v>
      </c>
      <c r="E54" s="32" t="s">
        <v>366</v>
      </c>
      <c r="F54" s="32" t="s">
        <v>367</v>
      </c>
      <c r="G54" s="33" t="s">
        <v>104</v>
      </c>
      <c r="H54" s="32" t="s">
        <v>95</v>
      </c>
      <c r="I54" s="33" t="s">
        <v>192</v>
      </c>
      <c r="J54" s="31" t="s">
        <v>145</v>
      </c>
      <c r="K54" s="31"/>
      <c r="L54" s="31" t="s">
        <v>111</v>
      </c>
      <c r="M54" s="31"/>
      <c r="N54" s="31"/>
      <c r="O54" s="31" t="s">
        <v>125</v>
      </c>
      <c r="P54" s="31" t="s">
        <v>99</v>
      </c>
      <c r="Q54" s="32" t="s">
        <v>370</v>
      </c>
      <c r="R54" s="32" t="s">
        <v>309</v>
      </c>
      <c r="S54" s="32"/>
      <c r="T54" s="32"/>
      <c r="U54" s="34" t="s">
        <v>100</v>
      </c>
      <c r="V54" s="31"/>
      <c r="W54" s="32"/>
      <c r="X54" s="32" t="s">
        <v>251</v>
      </c>
      <c r="Y54" s="34" t="str">
        <f aca="false">IF(A54="","",IF(COUNTBLANK(A54:E54)+COUNTBLANK(G54:J54)+COUNTBLANK(Q54:R54)+COUNTBLANK(U54)&gt;0,"needs core fields",IF(AND(OR(I54="previous baseline — desktop manual",I54="browser emulation — manual",LEFT(I54,11)="real device"),S54=""),"needs protocol ref",IF(AND(LEFT(I54,18)="browser automation",T54=""),"needs automation ref",IF(AND(LEFT(I54,11)="real device",OR(K54="",L54="",M54="",N54="",P54="")),"needs device details",IF(AND(OR(U54="passed",U54="failed",U54="blocked"),V54=""),"needs result date","ready"))))))</f>
        <v>needs protocol ref</v>
      </c>
      <c r="AK54" s="1" t="s">
        <v>66</v>
      </c>
    </row>
    <row r="55" customFormat="false" ht="48" hidden="false" customHeight="true" outlineLevel="0" collapsed="false">
      <c r="A55" s="31" t="s">
        <v>371</v>
      </c>
      <c r="B55" s="31" t="s">
        <v>92</v>
      </c>
      <c r="C55" s="31" t="s">
        <v>149</v>
      </c>
      <c r="D55" s="32" t="s">
        <v>34</v>
      </c>
      <c r="E55" s="32" t="s">
        <v>324</v>
      </c>
      <c r="F55" s="32" t="s">
        <v>372</v>
      </c>
      <c r="G55" s="33" t="s">
        <v>104</v>
      </c>
      <c r="H55" s="32" t="s">
        <v>150</v>
      </c>
      <c r="I55" s="33" t="s">
        <v>178</v>
      </c>
      <c r="J55" s="31" t="s">
        <v>134</v>
      </c>
      <c r="K55" s="31"/>
      <c r="L55" s="31" t="s">
        <v>101</v>
      </c>
      <c r="M55" s="31"/>
      <c r="N55" s="31"/>
      <c r="O55" s="31" t="s">
        <v>146</v>
      </c>
      <c r="P55" s="31" t="s">
        <v>99</v>
      </c>
      <c r="Q55" s="32" t="s">
        <v>326</v>
      </c>
      <c r="R55" s="32" t="s">
        <v>373</v>
      </c>
      <c r="S55" s="32"/>
      <c r="T55" s="32"/>
      <c r="U55" s="34" t="s">
        <v>100</v>
      </c>
      <c r="V55" s="31"/>
      <c r="W55" s="32"/>
      <c r="X55" s="32" t="s">
        <v>251</v>
      </c>
      <c r="Y55" s="34" t="str">
        <f aca="false">IF(A55="","",IF(COUNTBLANK(A55:E55)+COUNTBLANK(G55:J55)+COUNTBLANK(Q55:R55)+COUNTBLANK(U55)&gt;0,"needs core fields",IF(AND(OR(I55="previous baseline — desktop manual",I55="browser emulation — manual",LEFT(I55,11)="real device"),S55=""),"needs protocol ref",IF(AND(LEFT(I55,18)="browser automation",T55=""),"needs automation ref",IF(AND(LEFT(I55,11)="real device",OR(K55="",L55="",M55="",N55="",P55="")),"needs device details",IF(AND(OR(U55="passed",U55="failed",U55="blocked"),V55=""),"needs result date","ready"))))))</f>
        <v>needs protocol ref</v>
      </c>
      <c r="AK55" s="1" t="s">
        <v>67</v>
      </c>
    </row>
    <row r="56" customFormat="false" ht="48" hidden="false" customHeight="true" outlineLevel="0" collapsed="false">
      <c r="A56" s="31" t="s">
        <v>374</v>
      </c>
      <c r="B56" s="31" t="s">
        <v>92</v>
      </c>
      <c r="C56" s="31" t="s">
        <v>149</v>
      </c>
      <c r="D56" s="32" t="s">
        <v>34</v>
      </c>
      <c r="E56" s="32" t="s">
        <v>324</v>
      </c>
      <c r="F56" s="32" t="s">
        <v>372</v>
      </c>
      <c r="G56" s="33" t="s">
        <v>104</v>
      </c>
      <c r="H56" s="32" t="s">
        <v>150</v>
      </c>
      <c r="I56" s="33" t="s">
        <v>192</v>
      </c>
      <c r="J56" s="31" t="s">
        <v>145</v>
      </c>
      <c r="K56" s="31"/>
      <c r="L56" s="31" t="s">
        <v>111</v>
      </c>
      <c r="M56" s="31"/>
      <c r="N56" s="31"/>
      <c r="O56" s="31" t="s">
        <v>146</v>
      </c>
      <c r="P56" s="31" t="s">
        <v>99</v>
      </c>
      <c r="Q56" s="32" t="s">
        <v>329</v>
      </c>
      <c r="R56" s="32" t="s">
        <v>373</v>
      </c>
      <c r="S56" s="32"/>
      <c r="T56" s="32"/>
      <c r="U56" s="34" t="s">
        <v>100</v>
      </c>
      <c r="V56" s="31"/>
      <c r="W56" s="32"/>
      <c r="X56" s="32" t="s">
        <v>251</v>
      </c>
      <c r="Y56" s="34" t="str">
        <f aca="false">IF(A56="","",IF(COUNTBLANK(A56:E56)+COUNTBLANK(G56:J56)+COUNTBLANK(Q56:R56)+COUNTBLANK(U56)&gt;0,"needs core fields",IF(AND(OR(I56="previous baseline — desktop manual",I56="browser emulation — manual",LEFT(I56,11)="real device"),S56=""),"needs protocol ref",IF(AND(LEFT(I56,18)="browser automation",T56=""),"needs automation ref",IF(AND(LEFT(I56,11)="real device",OR(K56="",L56="",M56="",N56="",P56="")),"needs device details",IF(AND(OR(U56="passed",U56="failed",U56="blocked"),V56=""),"needs result date","ready"))))))</f>
        <v>needs protocol ref</v>
      </c>
      <c r="AK56" s="1" t="s">
        <v>68</v>
      </c>
    </row>
    <row r="57" customFormat="false" ht="48" hidden="false" customHeight="true" outlineLevel="0" collapsed="false">
      <c r="A57" s="31" t="s">
        <v>375</v>
      </c>
      <c r="B57" s="31" t="s">
        <v>176</v>
      </c>
      <c r="C57" s="31" t="s">
        <v>191</v>
      </c>
      <c r="D57" s="32" t="s">
        <v>34</v>
      </c>
      <c r="E57" s="32" t="s">
        <v>376</v>
      </c>
      <c r="F57" s="32" t="s">
        <v>377</v>
      </c>
      <c r="G57" s="33" t="s">
        <v>104</v>
      </c>
      <c r="H57" s="32" t="s">
        <v>143</v>
      </c>
      <c r="I57" s="33" t="s">
        <v>178</v>
      </c>
      <c r="J57" s="31" t="s">
        <v>134</v>
      </c>
      <c r="K57" s="31"/>
      <c r="L57" s="31" t="s">
        <v>101</v>
      </c>
      <c r="M57" s="31"/>
      <c r="N57" s="31"/>
      <c r="O57" s="31" t="s">
        <v>125</v>
      </c>
      <c r="P57" s="31" t="s">
        <v>99</v>
      </c>
      <c r="Q57" s="32" t="s">
        <v>378</v>
      </c>
      <c r="R57" s="32" t="s">
        <v>379</v>
      </c>
      <c r="S57" s="32"/>
      <c r="T57" s="32"/>
      <c r="U57" s="34" t="s">
        <v>100</v>
      </c>
      <c r="V57" s="31"/>
      <c r="W57" s="32"/>
      <c r="X57" s="32" t="s">
        <v>251</v>
      </c>
      <c r="Y57" s="34" t="str">
        <f aca="false">IF(A57="","",IF(COUNTBLANK(A57:E57)+COUNTBLANK(G57:J57)+COUNTBLANK(Q57:R57)+COUNTBLANK(U57)&gt;0,"needs core fields",IF(AND(OR(I57="previous baseline — desktop manual",I57="browser emulation — manual",LEFT(I57,11)="real device"),S57=""),"needs protocol ref",IF(AND(LEFT(I57,18)="browser automation",T57=""),"needs automation ref",IF(AND(LEFT(I57,11)="real device",OR(K57="",L57="",M57="",N57="",P57="")),"needs device details",IF(AND(OR(U57="passed",U57="failed",U57="blocked"),V57=""),"needs result date","ready"))))))</f>
        <v>needs protocol ref</v>
      </c>
      <c r="AK57" s="1" t="s">
        <v>69</v>
      </c>
    </row>
    <row r="58" customFormat="false" ht="48" hidden="false" customHeight="true" outlineLevel="0" collapsed="false">
      <c r="A58" s="31" t="s">
        <v>380</v>
      </c>
      <c r="B58" s="31" t="s">
        <v>176</v>
      </c>
      <c r="C58" s="31" t="s">
        <v>191</v>
      </c>
      <c r="D58" s="32" t="s">
        <v>34</v>
      </c>
      <c r="E58" s="32" t="s">
        <v>376</v>
      </c>
      <c r="F58" s="32" t="s">
        <v>377</v>
      </c>
      <c r="G58" s="33" t="s">
        <v>104</v>
      </c>
      <c r="H58" s="32" t="s">
        <v>143</v>
      </c>
      <c r="I58" s="33" t="s">
        <v>192</v>
      </c>
      <c r="J58" s="31" t="s">
        <v>145</v>
      </c>
      <c r="K58" s="31"/>
      <c r="L58" s="31" t="s">
        <v>111</v>
      </c>
      <c r="M58" s="31"/>
      <c r="N58" s="31"/>
      <c r="O58" s="31" t="s">
        <v>125</v>
      </c>
      <c r="P58" s="31" t="s">
        <v>99</v>
      </c>
      <c r="Q58" s="32" t="s">
        <v>381</v>
      </c>
      <c r="R58" s="32" t="s">
        <v>379</v>
      </c>
      <c r="S58" s="32"/>
      <c r="T58" s="32"/>
      <c r="U58" s="34" t="s">
        <v>100</v>
      </c>
      <c r="V58" s="31"/>
      <c r="W58" s="32"/>
      <c r="X58" s="32" t="s">
        <v>251</v>
      </c>
      <c r="Y58" s="34" t="str">
        <f aca="false">IF(A58="","",IF(COUNTBLANK(A58:E58)+COUNTBLANK(G58:J58)+COUNTBLANK(Q58:R58)+COUNTBLANK(U58)&gt;0,"needs core fields",IF(AND(OR(I58="previous baseline — desktop manual",I58="browser emulation — manual",LEFT(I58,11)="real device"),S58=""),"needs protocol ref",IF(AND(LEFT(I58,18)="browser automation",T58=""),"needs automation ref",IF(AND(LEFT(I58,11)="real device",OR(K58="",L58="",M58="",N58="",P58="")),"needs device details",IF(AND(OR(U58="passed",U58="failed",U58="blocked"),V58=""),"needs result date","ready"))))))</f>
        <v>needs protocol ref</v>
      </c>
      <c r="AK58" s="1" t="s">
        <v>70</v>
      </c>
    </row>
    <row r="59" customFormat="false" ht="48" hidden="false" customHeight="true" outlineLevel="0" collapsed="false">
      <c r="A59" s="31" t="s">
        <v>382</v>
      </c>
      <c r="B59" s="31" t="s">
        <v>176</v>
      </c>
      <c r="C59" s="31" t="s">
        <v>191</v>
      </c>
      <c r="D59" s="32" t="s">
        <v>34</v>
      </c>
      <c r="E59" s="32" t="s">
        <v>383</v>
      </c>
      <c r="F59" s="32" t="s">
        <v>384</v>
      </c>
      <c r="G59" s="33" t="s">
        <v>104</v>
      </c>
      <c r="H59" s="32" t="s">
        <v>143</v>
      </c>
      <c r="I59" s="33" t="s">
        <v>178</v>
      </c>
      <c r="J59" s="31" t="s">
        <v>134</v>
      </c>
      <c r="K59" s="31"/>
      <c r="L59" s="31" t="s">
        <v>101</v>
      </c>
      <c r="M59" s="31"/>
      <c r="N59" s="31"/>
      <c r="O59" s="31" t="s">
        <v>125</v>
      </c>
      <c r="P59" s="31" t="s">
        <v>99</v>
      </c>
      <c r="Q59" s="32" t="s">
        <v>385</v>
      </c>
      <c r="R59" s="32" t="s">
        <v>386</v>
      </c>
      <c r="S59" s="32"/>
      <c r="T59" s="32"/>
      <c r="U59" s="34" t="s">
        <v>100</v>
      </c>
      <c r="V59" s="31"/>
      <c r="W59" s="32"/>
      <c r="X59" s="32" t="s">
        <v>251</v>
      </c>
      <c r="Y59" s="34" t="str">
        <f aca="false">IF(A59="","",IF(COUNTBLANK(A59:E59)+COUNTBLANK(G59:J59)+COUNTBLANK(Q59:R59)+COUNTBLANK(U59)&gt;0,"needs core fields",IF(AND(OR(I59="previous baseline — desktop manual",I59="browser emulation — manual",LEFT(I59,11)="real device"),S59=""),"needs protocol ref",IF(AND(LEFT(I59,18)="browser automation",T59=""),"needs automation ref",IF(AND(LEFT(I59,11)="real device",OR(K59="",L59="",M59="",N59="",P59="")),"needs device details",IF(AND(OR(U59="passed",U59="failed",U59="blocked"),V59=""),"needs result date","ready"))))))</f>
        <v>needs protocol ref</v>
      </c>
      <c r="AK59" s="1" t="s">
        <v>71</v>
      </c>
    </row>
    <row r="60" customFormat="false" ht="48" hidden="false" customHeight="true" outlineLevel="0" collapsed="false">
      <c r="A60" s="31" t="s">
        <v>387</v>
      </c>
      <c r="B60" s="31" t="s">
        <v>176</v>
      </c>
      <c r="C60" s="31" t="s">
        <v>191</v>
      </c>
      <c r="D60" s="32" t="s">
        <v>34</v>
      </c>
      <c r="E60" s="32" t="s">
        <v>383</v>
      </c>
      <c r="F60" s="32" t="s">
        <v>384</v>
      </c>
      <c r="G60" s="33" t="s">
        <v>104</v>
      </c>
      <c r="H60" s="32" t="s">
        <v>143</v>
      </c>
      <c r="I60" s="33" t="s">
        <v>192</v>
      </c>
      <c r="J60" s="31" t="s">
        <v>145</v>
      </c>
      <c r="K60" s="31"/>
      <c r="L60" s="31" t="s">
        <v>111</v>
      </c>
      <c r="M60" s="31"/>
      <c r="N60" s="31"/>
      <c r="O60" s="31" t="s">
        <v>125</v>
      </c>
      <c r="P60" s="31" t="s">
        <v>99</v>
      </c>
      <c r="Q60" s="32" t="s">
        <v>388</v>
      </c>
      <c r="R60" s="32" t="s">
        <v>386</v>
      </c>
      <c r="S60" s="32"/>
      <c r="T60" s="32"/>
      <c r="U60" s="34" t="s">
        <v>100</v>
      </c>
      <c r="V60" s="31"/>
      <c r="W60" s="32"/>
      <c r="X60" s="32" t="s">
        <v>251</v>
      </c>
      <c r="Y60" s="34" t="str">
        <f aca="false">IF(A60="","",IF(COUNTBLANK(A60:E60)+COUNTBLANK(G60:J60)+COUNTBLANK(Q60:R60)+COUNTBLANK(U60)&gt;0,"needs core fields",IF(AND(OR(I60="previous baseline — desktop manual",I60="browser emulation — manual",LEFT(I60,11)="real device"),S60=""),"needs protocol ref",IF(AND(LEFT(I60,18)="browser automation",T60=""),"needs automation ref",IF(AND(LEFT(I60,11)="real device",OR(K60="",L60="",M60="",N60="",P60="")),"needs device details",IF(AND(OR(U60="passed",U60="failed",U60="blocked"),V60=""),"needs result date","ready"))))))</f>
        <v>needs protocol ref</v>
      </c>
      <c r="AK60" s="1" t="s">
        <v>72</v>
      </c>
    </row>
    <row r="61" customFormat="false" ht="48" hidden="false" customHeight="true" outlineLevel="0" collapsed="false">
      <c r="A61" s="31" t="s">
        <v>389</v>
      </c>
      <c r="B61" s="31" t="s">
        <v>176</v>
      </c>
      <c r="C61" s="31" t="s">
        <v>191</v>
      </c>
      <c r="D61" s="32" t="s">
        <v>34</v>
      </c>
      <c r="E61" s="32" t="s">
        <v>338</v>
      </c>
      <c r="F61" s="32" t="s">
        <v>390</v>
      </c>
      <c r="G61" s="33" t="s">
        <v>104</v>
      </c>
      <c r="H61" s="32" t="s">
        <v>143</v>
      </c>
      <c r="I61" s="33" t="s">
        <v>178</v>
      </c>
      <c r="J61" s="31" t="s">
        <v>134</v>
      </c>
      <c r="K61" s="31"/>
      <c r="L61" s="31" t="s">
        <v>101</v>
      </c>
      <c r="M61" s="31"/>
      <c r="N61" s="31"/>
      <c r="O61" s="31" t="s">
        <v>125</v>
      </c>
      <c r="P61" s="31" t="s">
        <v>99</v>
      </c>
      <c r="Q61" s="32" t="s">
        <v>340</v>
      </c>
      <c r="R61" s="32" t="s">
        <v>341</v>
      </c>
      <c r="S61" s="32"/>
      <c r="T61" s="32"/>
      <c r="U61" s="34" t="s">
        <v>100</v>
      </c>
      <c r="V61" s="31"/>
      <c r="W61" s="32"/>
      <c r="X61" s="32" t="s">
        <v>251</v>
      </c>
      <c r="Y61" s="34" t="str">
        <f aca="false">IF(A61="","",IF(COUNTBLANK(A61:E61)+COUNTBLANK(G61:J61)+COUNTBLANK(Q61:R61)+COUNTBLANK(U61)&gt;0,"needs core fields",IF(AND(OR(I61="previous baseline — desktop manual",I61="browser emulation — manual",LEFT(I61,11)="real device"),S61=""),"needs protocol ref",IF(AND(LEFT(I61,18)="browser automation",T61=""),"needs automation ref",IF(AND(LEFT(I61,11)="real device",OR(K61="",L61="",M61="",N61="",P61="")),"needs device details",IF(AND(OR(U61="passed",U61="failed",U61="blocked"),V61=""),"needs result date","ready"))))))</f>
        <v>needs protocol ref</v>
      </c>
      <c r="AK61" s="1" t="s">
        <v>73</v>
      </c>
    </row>
    <row r="62" customFormat="false" ht="48" hidden="false" customHeight="true" outlineLevel="0" collapsed="false">
      <c r="A62" s="31" t="s">
        <v>391</v>
      </c>
      <c r="B62" s="31" t="s">
        <v>176</v>
      </c>
      <c r="C62" s="31" t="s">
        <v>191</v>
      </c>
      <c r="D62" s="32" t="s">
        <v>34</v>
      </c>
      <c r="E62" s="32" t="s">
        <v>338</v>
      </c>
      <c r="F62" s="32" t="s">
        <v>390</v>
      </c>
      <c r="G62" s="33" t="s">
        <v>104</v>
      </c>
      <c r="H62" s="32" t="s">
        <v>143</v>
      </c>
      <c r="I62" s="33" t="s">
        <v>192</v>
      </c>
      <c r="J62" s="31" t="s">
        <v>145</v>
      </c>
      <c r="K62" s="31"/>
      <c r="L62" s="31" t="s">
        <v>111</v>
      </c>
      <c r="M62" s="31"/>
      <c r="N62" s="31"/>
      <c r="O62" s="31" t="s">
        <v>125</v>
      </c>
      <c r="P62" s="31" t="s">
        <v>99</v>
      </c>
      <c r="Q62" s="32" t="s">
        <v>343</v>
      </c>
      <c r="R62" s="32" t="s">
        <v>341</v>
      </c>
      <c r="S62" s="32"/>
      <c r="T62" s="32"/>
      <c r="U62" s="34" t="s">
        <v>100</v>
      </c>
      <c r="V62" s="31"/>
      <c r="W62" s="32"/>
      <c r="X62" s="32" t="s">
        <v>251</v>
      </c>
      <c r="Y62" s="34" t="str">
        <f aca="false">IF(A62="","",IF(COUNTBLANK(A62:E62)+COUNTBLANK(G62:J62)+COUNTBLANK(Q62:R62)+COUNTBLANK(U62)&gt;0,"needs core fields",IF(AND(OR(I62="previous baseline — desktop manual",I62="browser emulation — manual",LEFT(I62,11)="real device"),S62=""),"needs protocol ref",IF(AND(LEFT(I62,18)="browser automation",T62=""),"needs automation ref",IF(AND(LEFT(I62,11)="real device",OR(K62="",L62="",M62="",N62="",P62="")),"needs device details",IF(AND(OR(U62="passed",U62="failed",U62="blocked"),V62=""),"needs result date","ready"))))))</f>
        <v>needs protocol ref</v>
      </c>
      <c r="AK62" s="1" t="s">
        <v>74</v>
      </c>
    </row>
    <row r="63" customFormat="false" ht="48" hidden="false" customHeight="true" outlineLevel="0" collapsed="false">
      <c r="A63" s="31" t="s">
        <v>392</v>
      </c>
      <c r="B63" s="31" t="s">
        <v>176</v>
      </c>
      <c r="C63" s="31" t="s">
        <v>191</v>
      </c>
      <c r="D63" s="32" t="s">
        <v>34</v>
      </c>
      <c r="E63" s="32" t="s">
        <v>345</v>
      </c>
      <c r="F63" s="32" t="s">
        <v>393</v>
      </c>
      <c r="G63" s="33" t="s">
        <v>104</v>
      </c>
      <c r="H63" s="32" t="s">
        <v>143</v>
      </c>
      <c r="I63" s="33" t="s">
        <v>178</v>
      </c>
      <c r="J63" s="31" t="s">
        <v>134</v>
      </c>
      <c r="K63" s="31"/>
      <c r="L63" s="31" t="s">
        <v>101</v>
      </c>
      <c r="M63" s="31"/>
      <c r="N63" s="31"/>
      <c r="O63" s="31" t="s">
        <v>125</v>
      </c>
      <c r="P63" s="31" t="s">
        <v>99</v>
      </c>
      <c r="Q63" s="32" t="s">
        <v>347</v>
      </c>
      <c r="R63" s="32" t="s">
        <v>348</v>
      </c>
      <c r="S63" s="32"/>
      <c r="T63" s="32"/>
      <c r="U63" s="34" t="s">
        <v>100</v>
      </c>
      <c r="V63" s="31"/>
      <c r="W63" s="32"/>
      <c r="X63" s="32" t="s">
        <v>251</v>
      </c>
      <c r="Y63" s="34" t="str">
        <f aca="false">IF(A63="","",IF(COUNTBLANK(A63:E63)+COUNTBLANK(G63:J63)+COUNTBLANK(Q63:R63)+COUNTBLANK(U63)&gt;0,"needs core fields",IF(AND(OR(I63="previous baseline — desktop manual",I63="browser emulation — manual",LEFT(I63,11)="real device"),S63=""),"needs protocol ref",IF(AND(LEFT(I63,18)="browser automation",T63=""),"needs automation ref",IF(AND(LEFT(I63,11)="real device",OR(K63="",L63="",M63="",N63="",P63="")),"needs device details",IF(AND(OR(U63="passed",U63="failed",U63="blocked"),V63=""),"needs result date","ready"))))))</f>
        <v>needs protocol ref</v>
      </c>
      <c r="AK63" s="1" t="s">
        <v>75</v>
      </c>
    </row>
    <row r="64" customFormat="false" ht="48" hidden="false" customHeight="true" outlineLevel="0" collapsed="false">
      <c r="A64" s="31" t="s">
        <v>394</v>
      </c>
      <c r="B64" s="31" t="s">
        <v>176</v>
      </c>
      <c r="C64" s="31" t="s">
        <v>191</v>
      </c>
      <c r="D64" s="32" t="s">
        <v>34</v>
      </c>
      <c r="E64" s="32" t="s">
        <v>345</v>
      </c>
      <c r="F64" s="32" t="s">
        <v>393</v>
      </c>
      <c r="G64" s="33" t="s">
        <v>104</v>
      </c>
      <c r="H64" s="32" t="s">
        <v>143</v>
      </c>
      <c r="I64" s="33" t="s">
        <v>192</v>
      </c>
      <c r="J64" s="31" t="s">
        <v>145</v>
      </c>
      <c r="K64" s="31"/>
      <c r="L64" s="31" t="s">
        <v>111</v>
      </c>
      <c r="M64" s="31"/>
      <c r="N64" s="31"/>
      <c r="O64" s="31" t="s">
        <v>125</v>
      </c>
      <c r="P64" s="31" t="s">
        <v>99</v>
      </c>
      <c r="Q64" s="32" t="s">
        <v>350</v>
      </c>
      <c r="R64" s="32" t="s">
        <v>348</v>
      </c>
      <c r="S64" s="32"/>
      <c r="T64" s="32"/>
      <c r="U64" s="34" t="s">
        <v>100</v>
      </c>
      <c r="V64" s="31"/>
      <c r="W64" s="32"/>
      <c r="X64" s="32" t="s">
        <v>251</v>
      </c>
      <c r="Y64" s="34" t="str">
        <f aca="false">IF(A64="","",IF(COUNTBLANK(A64:E64)+COUNTBLANK(G64:J64)+COUNTBLANK(Q64:R64)+COUNTBLANK(U64)&gt;0,"needs core fields",IF(AND(OR(I64="previous baseline — desktop manual",I64="browser emulation — manual",LEFT(I64,11)="real device"),S64=""),"needs protocol ref",IF(AND(LEFT(I64,18)="browser automation",T64=""),"needs automation ref",IF(AND(LEFT(I64,11)="real device",OR(K64="",L64="",M64="",N64="",P64="")),"needs device details",IF(AND(OR(U64="passed",U64="failed",U64="blocked"),V64=""),"needs result date","ready"))))))</f>
        <v>needs protocol ref</v>
      </c>
      <c r="AK64" s="1" t="s">
        <v>76</v>
      </c>
    </row>
    <row r="65" customFormat="false" ht="48" hidden="false" customHeight="true" outlineLevel="0" collapsed="false">
      <c r="A65" s="31" t="s">
        <v>395</v>
      </c>
      <c r="B65" s="31" t="s">
        <v>176</v>
      </c>
      <c r="C65" s="31" t="s">
        <v>191</v>
      </c>
      <c r="D65" s="32" t="s">
        <v>34</v>
      </c>
      <c r="E65" s="32" t="s">
        <v>352</v>
      </c>
      <c r="F65" s="32" t="s">
        <v>396</v>
      </c>
      <c r="G65" s="33" t="s">
        <v>104</v>
      </c>
      <c r="H65" s="32" t="s">
        <v>143</v>
      </c>
      <c r="I65" s="33" t="s">
        <v>178</v>
      </c>
      <c r="J65" s="31" t="s">
        <v>134</v>
      </c>
      <c r="K65" s="31"/>
      <c r="L65" s="31" t="s">
        <v>101</v>
      </c>
      <c r="M65" s="31"/>
      <c r="N65" s="31"/>
      <c r="O65" s="31" t="s">
        <v>125</v>
      </c>
      <c r="P65" s="31" t="s">
        <v>99</v>
      </c>
      <c r="Q65" s="32" t="s">
        <v>354</v>
      </c>
      <c r="R65" s="32" t="s">
        <v>355</v>
      </c>
      <c r="S65" s="32"/>
      <c r="T65" s="32"/>
      <c r="U65" s="34" t="s">
        <v>100</v>
      </c>
      <c r="V65" s="31"/>
      <c r="W65" s="32"/>
      <c r="X65" s="32" t="s">
        <v>251</v>
      </c>
      <c r="Y65" s="34" t="str">
        <f aca="false">IF(A65="","",IF(COUNTBLANK(A65:E65)+COUNTBLANK(G65:J65)+COUNTBLANK(Q65:R65)+COUNTBLANK(U65)&gt;0,"needs core fields",IF(AND(OR(I65="previous baseline — desktop manual",I65="browser emulation — manual",LEFT(I65,11)="real device"),S65=""),"needs protocol ref",IF(AND(LEFT(I65,18)="browser automation",T65=""),"needs automation ref",IF(AND(LEFT(I65,11)="real device",OR(K65="",L65="",M65="",N65="",P65="")),"needs device details",IF(AND(OR(U65="passed",U65="failed",U65="blocked"),V65=""),"needs result date","ready"))))))</f>
        <v>needs protocol ref</v>
      </c>
      <c r="AK65" s="1" t="s">
        <v>77</v>
      </c>
    </row>
    <row r="66" customFormat="false" ht="48" hidden="false" customHeight="true" outlineLevel="0" collapsed="false">
      <c r="A66" s="31" t="s">
        <v>397</v>
      </c>
      <c r="B66" s="31" t="s">
        <v>176</v>
      </c>
      <c r="C66" s="31" t="s">
        <v>191</v>
      </c>
      <c r="D66" s="32" t="s">
        <v>34</v>
      </c>
      <c r="E66" s="32" t="s">
        <v>352</v>
      </c>
      <c r="F66" s="32" t="s">
        <v>396</v>
      </c>
      <c r="G66" s="33" t="s">
        <v>104</v>
      </c>
      <c r="H66" s="32" t="s">
        <v>143</v>
      </c>
      <c r="I66" s="33" t="s">
        <v>192</v>
      </c>
      <c r="J66" s="31" t="s">
        <v>145</v>
      </c>
      <c r="K66" s="31"/>
      <c r="L66" s="31" t="s">
        <v>111</v>
      </c>
      <c r="M66" s="31"/>
      <c r="N66" s="31"/>
      <c r="O66" s="31" t="s">
        <v>125</v>
      </c>
      <c r="P66" s="31" t="s">
        <v>99</v>
      </c>
      <c r="Q66" s="32" t="s">
        <v>357</v>
      </c>
      <c r="R66" s="32" t="s">
        <v>355</v>
      </c>
      <c r="S66" s="32"/>
      <c r="T66" s="32"/>
      <c r="U66" s="34" t="s">
        <v>100</v>
      </c>
      <c r="V66" s="31"/>
      <c r="W66" s="32"/>
      <c r="X66" s="32" t="s">
        <v>251</v>
      </c>
      <c r="Y66" s="34" t="str">
        <f aca="false">IF(A66="","",IF(COUNTBLANK(A66:E66)+COUNTBLANK(G66:J66)+COUNTBLANK(Q66:R66)+COUNTBLANK(U66)&gt;0,"needs core fields",IF(AND(OR(I66="previous baseline — desktop manual",I66="browser emulation — manual",LEFT(I66,11)="real device"),S66=""),"needs protocol ref",IF(AND(LEFT(I66,18)="browser automation",T66=""),"needs automation ref",IF(AND(LEFT(I66,11)="real device",OR(K66="",L66="",M66="",N66="",P66="")),"needs device details",IF(AND(OR(U66="passed",U66="failed",U66="blocked"),V66=""),"needs result date","ready"))))))</f>
        <v>needs protocol ref</v>
      </c>
      <c r="AK66" s="1" t="s">
        <v>78</v>
      </c>
    </row>
    <row r="67" customFormat="false" ht="48" hidden="false" customHeight="true" outlineLevel="0" collapsed="false">
      <c r="A67" s="31" t="s">
        <v>398</v>
      </c>
      <c r="B67" s="31" t="s">
        <v>190</v>
      </c>
      <c r="C67" s="31" t="s">
        <v>191</v>
      </c>
      <c r="D67" s="32" t="s">
        <v>34</v>
      </c>
      <c r="E67" s="32" t="s">
        <v>359</v>
      </c>
      <c r="F67" s="32" t="s">
        <v>399</v>
      </c>
      <c r="G67" s="33" t="s">
        <v>104</v>
      </c>
      <c r="H67" s="32" t="s">
        <v>105</v>
      </c>
      <c r="I67" s="33" t="s">
        <v>178</v>
      </c>
      <c r="J67" s="31" t="s">
        <v>134</v>
      </c>
      <c r="K67" s="31"/>
      <c r="L67" s="31" t="s">
        <v>101</v>
      </c>
      <c r="M67" s="31"/>
      <c r="N67" s="31"/>
      <c r="O67" s="31" t="s">
        <v>125</v>
      </c>
      <c r="P67" s="31" t="s">
        <v>99</v>
      </c>
      <c r="Q67" s="32" t="s">
        <v>361</v>
      </c>
      <c r="R67" s="32" t="s">
        <v>362</v>
      </c>
      <c r="S67" s="32"/>
      <c r="T67" s="32"/>
      <c r="U67" s="34" t="s">
        <v>100</v>
      </c>
      <c r="V67" s="31"/>
      <c r="W67" s="32"/>
      <c r="X67" s="32" t="s">
        <v>251</v>
      </c>
      <c r="Y67" s="34" t="str">
        <f aca="false">IF(A67="","",IF(COUNTBLANK(A67:E67)+COUNTBLANK(G67:J67)+COUNTBLANK(Q67:R67)+COUNTBLANK(U67)&gt;0,"needs core fields",IF(AND(OR(I67="previous baseline — desktop manual",I67="browser emulation — manual",LEFT(I67,11)="real device"),S67=""),"needs protocol ref",IF(AND(LEFT(I67,18)="browser automation",T67=""),"needs automation ref",IF(AND(LEFT(I67,11)="real device",OR(K67="",L67="",M67="",N67="",P67="")),"needs device details",IF(AND(OR(U67="passed",U67="failed",U67="blocked"),V67=""),"needs result date","ready"))))))</f>
        <v>needs protocol ref</v>
      </c>
    </row>
    <row r="68" customFormat="false" ht="48" hidden="false" customHeight="true" outlineLevel="0" collapsed="false">
      <c r="A68" s="31" t="s">
        <v>400</v>
      </c>
      <c r="B68" s="31" t="s">
        <v>190</v>
      </c>
      <c r="C68" s="31" t="s">
        <v>191</v>
      </c>
      <c r="D68" s="32" t="s">
        <v>34</v>
      </c>
      <c r="E68" s="32" t="s">
        <v>359</v>
      </c>
      <c r="F68" s="32" t="s">
        <v>399</v>
      </c>
      <c r="G68" s="33" t="s">
        <v>104</v>
      </c>
      <c r="H68" s="32" t="s">
        <v>105</v>
      </c>
      <c r="I68" s="33" t="s">
        <v>192</v>
      </c>
      <c r="J68" s="31" t="s">
        <v>145</v>
      </c>
      <c r="K68" s="31"/>
      <c r="L68" s="31" t="s">
        <v>111</v>
      </c>
      <c r="M68" s="31"/>
      <c r="N68" s="31"/>
      <c r="O68" s="31" t="s">
        <v>125</v>
      </c>
      <c r="P68" s="31" t="s">
        <v>99</v>
      </c>
      <c r="Q68" s="32" t="s">
        <v>364</v>
      </c>
      <c r="R68" s="32" t="s">
        <v>362</v>
      </c>
      <c r="S68" s="32"/>
      <c r="T68" s="32"/>
      <c r="U68" s="34" t="s">
        <v>100</v>
      </c>
      <c r="V68" s="31"/>
      <c r="W68" s="32"/>
      <c r="X68" s="32" t="s">
        <v>251</v>
      </c>
      <c r="Y68" s="34" t="str">
        <f aca="false">IF(A68="","",IF(COUNTBLANK(A68:E68)+COUNTBLANK(G68:J68)+COUNTBLANK(Q68:R68)+COUNTBLANK(U68)&gt;0,"needs core fields",IF(AND(OR(I68="previous baseline — desktop manual",I68="browser emulation — manual",LEFT(I68,11)="real device"),S68=""),"needs protocol ref",IF(AND(LEFT(I68,18)="browser automation",T68=""),"needs automation ref",IF(AND(LEFT(I68,11)="real device",OR(K68="",L68="",M68="",N68="",P68="")),"needs device details",IF(AND(OR(U68="passed",U68="failed",U68="blocked"),V68=""),"needs result date","ready"))))))</f>
        <v>needs protocol ref</v>
      </c>
    </row>
    <row r="69" customFormat="false" ht="48" hidden="false" customHeight="true" outlineLevel="0" collapsed="false">
      <c r="A69" s="31" t="s">
        <v>401</v>
      </c>
      <c r="B69" s="31" t="s">
        <v>148</v>
      </c>
      <c r="C69" s="31" t="s">
        <v>130</v>
      </c>
      <c r="D69" s="32" t="s">
        <v>34</v>
      </c>
      <c r="E69" s="32" t="s">
        <v>402</v>
      </c>
      <c r="F69" s="32" t="s">
        <v>403</v>
      </c>
      <c r="G69" s="33" t="s">
        <v>104</v>
      </c>
      <c r="H69" s="32" t="s">
        <v>95</v>
      </c>
      <c r="I69" s="33" t="s">
        <v>178</v>
      </c>
      <c r="J69" s="31" t="s">
        <v>134</v>
      </c>
      <c r="K69" s="31"/>
      <c r="L69" s="31" t="s">
        <v>101</v>
      </c>
      <c r="M69" s="31"/>
      <c r="N69" s="31"/>
      <c r="O69" s="31" t="s">
        <v>125</v>
      </c>
      <c r="P69" s="31" t="s">
        <v>99</v>
      </c>
      <c r="Q69" s="32" t="s">
        <v>404</v>
      </c>
      <c r="R69" s="32" t="s">
        <v>309</v>
      </c>
      <c r="S69" s="32"/>
      <c r="T69" s="32"/>
      <c r="U69" s="34" t="s">
        <v>100</v>
      </c>
      <c r="V69" s="31"/>
      <c r="W69" s="32"/>
      <c r="X69" s="32" t="s">
        <v>251</v>
      </c>
      <c r="Y69" s="34" t="str">
        <f aca="false">IF(A69="","",IF(COUNTBLANK(A69:E69)+COUNTBLANK(G69:J69)+COUNTBLANK(Q69:R69)+COUNTBLANK(U69)&gt;0,"needs core fields",IF(AND(OR(I69="previous baseline — desktop manual",I69="browser emulation — manual",LEFT(I69,11)="real device"),S69=""),"needs protocol ref",IF(AND(LEFT(I69,18)="browser automation",T69=""),"needs automation ref",IF(AND(LEFT(I69,11)="real device",OR(K69="",L69="",M69="",N69="",P69="")),"needs device details",IF(AND(OR(U69="passed",U69="failed",U69="blocked"),V69=""),"needs result date","ready"))))))</f>
        <v>needs protocol ref</v>
      </c>
    </row>
    <row r="70" customFormat="false" ht="48" hidden="false" customHeight="true" outlineLevel="0" collapsed="false">
      <c r="A70" s="31" t="s">
        <v>405</v>
      </c>
      <c r="B70" s="31" t="s">
        <v>148</v>
      </c>
      <c r="C70" s="31" t="s">
        <v>130</v>
      </c>
      <c r="D70" s="32" t="s">
        <v>34</v>
      </c>
      <c r="E70" s="32" t="s">
        <v>402</v>
      </c>
      <c r="F70" s="32" t="s">
        <v>403</v>
      </c>
      <c r="G70" s="33" t="s">
        <v>104</v>
      </c>
      <c r="H70" s="32" t="s">
        <v>95</v>
      </c>
      <c r="I70" s="33" t="s">
        <v>192</v>
      </c>
      <c r="J70" s="31" t="s">
        <v>145</v>
      </c>
      <c r="K70" s="31"/>
      <c r="L70" s="31" t="s">
        <v>111</v>
      </c>
      <c r="M70" s="31"/>
      <c r="N70" s="31"/>
      <c r="O70" s="31" t="s">
        <v>125</v>
      </c>
      <c r="P70" s="31" t="s">
        <v>99</v>
      </c>
      <c r="Q70" s="32" t="s">
        <v>406</v>
      </c>
      <c r="R70" s="32" t="s">
        <v>309</v>
      </c>
      <c r="S70" s="32"/>
      <c r="T70" s="32"/>
      <c r="U70" s="34" t="s">
        <v>100</v>
      </c>
      <c r="V70" s="31"/>
      <c r="W70" s="32"/>
      <c r="X70" s="32" t="s">
        <v>251</v>
      </c>
      <c r="Y70" s="34" t="str">
        <f aca="false">IF(A70="","",IF(COUNTBLANK(A70:E70)+COUNTBLANK(G70:J70)+COUNTBLANK(Q70:R70)+COUNTBLANK(U70)&gt;0,"needs core fields",IF(AND(OR(I70="previous baseline — desktop manual",I70="browser emulation — manual",LEFT(I70,11)="real device"),S70=""),"needs protocol ref",IF(AND(LEFT(I70,18)="browser automation",T70=""),"needs automation ref",IF(AND(LEFT(I70,11)="real device",OR(K70="",L70="",M70="",N70="",P70="")),"needs device details",IF(AND(OR(U70="passed",U70="failed",U70="blocked"),V70=""),"needs result date","ready"))))))</f>
        <v>needs protocol ref</v>
      </c>
    </row>
    <row r="71" customFormat="false" ht="48" hidden="false" customHeight="true" outlineLevel="0" collapsed="false">
      <c r="A71" s="31" t="s">
        <v>407</v>
      </c>
      <c r="B71" s="31" t="s">
        <v>92</v>
      </c>
      <c r="C71" s="31" t="s">
        <v>149</v>
      </c>
      <c r="D71" s="32" t="s">
        <v>28</v>
      </c>
      <c r="E71" s="32" t="s">
        <v>324</v>
      </c>
      <c r="F71" s="32" t="s">
        <v>408</v>
      </c>
      <c r="G71" s="33" t="s">
        <v>104</v>
      </c>
      <c r="H71" s="32" t="s">
        <v>150</v>
      </c>
      <c r="I71" s="33" t="s">
        <v>178</v>
      </c>
      <c r="J71" s="31" t="s">
        <v>134</v>
      </c>
      <c r="K71" s="31"/>
      <c r="L71" s="31" t="s">
        <v>101</v>
      </c>
      <c r="M71" s="31"/>
      <c r="N71" s="31"/>
      <c r="O71" s="31" t="s">
        <v>146</v>
      </c>
      <c r="P71" s="31" t="s">
        <v>99</v>
      </c>
      <c r="Q71" s="32" t="s">
        <v>326</v>
      </c>
      <c r="R71" s="32" t="s">
        <v>409</v>
      </c>
      <c r="S71" s="32"/>
      <c r="T71" s="32"/>
      <c r="U71" s="34" t="s">
        <v>100</v>
      </c>
      <c r="V71" s="31"/>
      <c r="W71" s="32"/>
      <c r="X71" s="32" t="s">
        <v>251</v>
      </c>
      <c r="Y71" s="34" t="str">
        <f aca="false">IF(A71="","",IF(COUNTBLANK(A71:E71)+COUNTBLANK(G71:J71)+COUNTBLANK(Q71:R71)+COUNTBLANK(U71)&gt;0,"needs core fields",IF(AND(OR(I71="previous baseline — desktop manual",I71="browser emulation — manual",LEFT(I71,11)="real device"),S71=""),"needs protocol ref",IF(AND(LEFT(I71,18)="browser automation",T71=""),"needs automation ref",IF(AND(LEFT(I71,11)="real device",OR(K71="",L71="",M71="",N71="",P71="")),"needs device details",IF(AND(OR(U71="passed",U71="failed",U71="blocked"),V71=""),"needs result date","ready"))))))</f>
        <v>needs protocol ref</v>
      </c>
    </row>
    <row r="72" customFormat="false" ht="48" hidden="false" customHeight="true" outlineLevel="0" collapsed="false">
      <c r="A72" s="31" t="s">
        <v>410</v>
      </c>
      <c r="B72" s="31" t="s">
        <v>92</v>
      </c>
      <c r="C72" s="31" t="s">
        <v>149</v>
      </c>
      <c r="D72" s="32" t="s">
        <v>28</v>
      </c>
      <c r="E72" s="32" t="s">
        <v>324</v>
      </c>
      <c r="F72" s="32" t="s">
        <v>408</v>
      </c>
      <c r="G72" s="33" t="s">
        <v>104</v>
      </c>
      <c r="H72" s="32" t="s">
        <v>150</v>
      </c>
      <c r="I72" s="33" t="s">
        <v>192</v>
      </c>
      <c r="J72" s="31" t="s">
        <v>145</v>
      </c>
      <c r="K72" s="31"/>
      <c r="L72" s="31" t="s">
        <v>111</v>
      </c>
      <c r="M72" s="31"/>
      <c r="N72" s="31"/>
      <c r="O72" s="31" t="s">
        <v>146</v>
      </c>
      <c r="P72" s="31" t="s">
        <v>99</v>
      </c>
      <c r="Q72" s="32" t="s">
        <v>329</v>
      </c>
      <c r="R72" s="32" t="s">
        <v>409</v>
      </c>
      <c r="S72" s="32"/>
      <c r="T72" s="32"/>
      <c r="U72" s="34" t="s">
        <v>100</v>
      </c>
      <c r="V72" s="31"/>
      <c r="W72" s="32"/>
      <c r="X72" s="32" t="s">
        <v>251</v>
      </c>
      <c r="Y72" s="34" t="str">
        <f aca="false">IF(A72="","",IF(COUNTBLANK(A72:E72)+COUNTBLANK(G72:J72)+COUNTBLANK(Q72:R72)+COUNTBLANK(U72)&gt;0,"needs core fields",IF(AND(OR(I72="previous baseline — desktop manual",I72="browser emulation — manual",LEFT(I72,11)="real device"),S72=""),"needs protocol ref",IF(AND(LEFT(I72,18)="browser automation",T72=""),"needs automation ref",IF(AND(LEFT(I72,11)="real device",OR(K72="",L72="",M72="",N72="",P72="")),"needs device details",IF(AND(OR(U72="passed",U72="failed",U72="blocked"),V72=""),"needs result date","ready"))))))</f>
        <v>needs protocol ref</v>
      </c>
    </row>
    <row r="73" customFormat="false" ht="48" hidden="false" customHeight="true" outlineLevel="0" collapsed="false">
      <c r="A73" s="31" t="s">
        <v>411</v>
      </c>
      <c r="B73" s="31" t="s">
        <v>148</v>
      </c>
      <c r="C73" s="31" t="s">
        <v>130</v>
      </c>
      <c r="D73" s="32" t="s">
        <v>28</v>
      </c>
      <c r="E73" s="32" t="s">
        <v>412</v>
      </c>
      <c r="F73" s="32" t="s">
        <v>413</v>
      </c>
      <c r="G73" s="33" t="s">
        <v>104</v>
      </c>
      <c r="H73" s="32" t="s">
        <v>95</v>
      </c>
      <c r="I73" s="33" t="s">
        <v>178</v>
      </c>
      <c r="J73" s="31" t="s">
        <v>134</v>
      </c>
      <c r="K73" s="31"/>
      <c r="L73" s="31" t="s">
        <v>101</v>
      </c>
      <c r="M73" s="31"/>
      <c r="N73" s="31"/>
      <c r="O73" s="31" t="s">
        <v>125</v>
      </c>
      <c r="P73" s="31" t="s">
        <v>99</v>
      </c>
      <c r="Q73" s="32" t="s">
        <v>414</v>
      </c>
      <c r="R73" s="32" t="s">
        <v>309</v>
      </c>
      <c r="S73" s="32"/>
      <c r="T73" s="32"/>
      <c r="U73" s="34" t="s">
        <v>100</v>
      </c>
      <c r="V73" s="31"/>
      <c r="W73" s="32"/>
      <c r="X73" s="32" t="s">
        <v>251</v>
      </c>
      <c r="Y73" s="34" t="str">
        <f aca="false">IF(A73="","",IF(COUNTBLANK(A73:E73)+COUNTBLANK(G73:J73)+COUNTBLANK(Q73:R73)+COUNTBLANK(U73)&gt;0,"needs core fields",IF(AND(OR(I73="previous baseline — desktop manual",I73="browser emulation — manual",LEFT(I73,11)="real device"),S73=""),"needs protocol ref",IF(AND(LEFT(I73,18)="browser automation",T73=""),"needs automation ref",IF(AND(LEFT(I73,11)="real device",OR(K73="",L73="",M73="",N73="",P73="")),"needs device details",IF(AND(OR(U73="passed",U73="failed",U73="blocked"),V73=""),"needs result date","ready"))))))</f>
        <v>needs protocol ref</v>
      </c>
    </row>
    <row r="74" customFormat="false" ht="48" hidden="false" customHeight="true" outlineLevel="0" collapsed="false">
      <c r="A74" s="31" t="s">
        <v>415</v>
      </c>
      <c r="B74" s="31" t="s">
        <v>148</v>
      </c>
      <c r="C74" s="31" t="s">
        <v>130</v>
      </c>
      <c r="D74" s="32" t="s">
        <v>28</v>
      </c>
      <c r="E74" s="32" t="s">
        <v>412</v>
      </c>
      <c r="F74" s="32" t="s">
        <v>413</v>
      </c>
      <c r="G74" s="33" t="s">
        <v>104</v>
      </c>
      <c r="H74" s="32" t="s">
        <v>95</v>
      </c>
      <c r="I74" s="33" t="s">
        <v>192</v>
      </c>
      <c r="J74" s="31" t="s">
        <v>145</v>
      </c>
      <c r="K74" s="31"/>
      <c r="L74" s="31" t="s">
        <v>111</v>
      </c>
      <c r="M74" s="31"/>
      <c r="N74" s="31"/>
      <c r="O74" s="31" t="s">
        <v>125</v>
      </c>
      <c r="P74" s="31" t="s">
        <v>99</v>
      </c>
      <c r="Q74" s="32" t="s">
        <v>416</v>
      </c>
      <c r="R74" s="32" t="s">
        <v>309</v>
      </c>
      <c r="S74" s="32"/>
      <c r="T74" s="32"/>
      <c r="U74" s="34" t="s">
        <v>100</v>
      </c>
      <c r="V74" s="31"/>
      <c r="W74" s="32"/>
      <c r="X74" s="32" t="s">
        <v>251</v>
      </c>
      <c r="Y74" s="34" t="str">
        <f aca="false">IF(A74="","",IF(COUNTBLANK(A74:E74)+COUNTBLANK(G74:J74)+COUNTBLANK(Q74:R74)+COUNTBLANK(U74)&gt;0,"needs core fields",IF(AND(OR(I74="previous baseline — desktop manual",I74="browser emulation — manual",LEFT(I74,11)="real device"),S74=""),"needs protocol ref",IF(AND(LEFT(I74,18)="browser automation",T74=""),"needs automation ref",IF(AND(LEFT(I74,11)="real device",OR(K74="",L74="",M74="",N74="",P74="")),"needs device details",IF(AND(OR(U74="passed",U74="failed",U74="blocked"),V74=""),"needs result date","ready"))))))</f>
        <v>needs protocol ref</v>
      </c>
    </row>
    <row r="75" customFormat="false" ht="48" hidden="false" customHeight="true" outlineLevel="0" collapsed="false">
      <c r="A75" s="31" t="s">
        <v>417</v>
      </c>
      <c r="B75" s="31" t="s">
        <v>176</v>
      </c>
      <c r="C75" s="31" t="s">
        <v>191</v>
      </c>
      <c r="D75" s="32" t="s">
        <v>28</v>
      </c>
      <c r="E75" s="32" t="s">
        <v>338</v>
      </c>
      <c r="F75" s="32" t="s">
        <v>418</v>
      </c>
      <c r="G75" s="33" t="s">
        <v>104</v>
      </c>
      <c r="H75" s="32" t="s">
        <v>143</v>
      </c>
      <c r="I75" s="33" t="s">
        <v>178</v>
      </c>
      <c r="J75" s="31" t="s">
        <v>134</v>
      </c>
      <c r="K75" s="31"/>
      <c r="L75" s="31" t="s">
        <v>101</v>
      </c>
      <c r="M75" s="31"/>
      <c r="N75" s="31"/>
      <c r="O75" s="31" t="s">
        <v>125</v>
      </c>
      <c r="P75" s="31" t="s">
        <v>99</v>
      </c>
      <c r="Q75" s="32" t="s">
        <v>340</v>
      </c>
      <c r="R75" s="32" t="s">
        <v>419</v>
      </c>
      <c r="S75" s="32"/>
      <c r="T75" s="32"/>
      <c r="U75" s="34" t="s">
        <v>100</v>
      </c>
      <c r="V75" s="31"/>
      <c r="W75" s="32"/>
      <c r="X75" s="32" t="s">
        <v>251</v>
      </c>
      <c r="Y75" s="34" t="str">
        <f aca="false">IF(A75="","",IF(COUNTBLANK(A75:E75)+COUNTBLANK(G75:J75)+COUNTBLANK(Q75:R75)+COUNTBLANK(U75)&gt;0,"needs core fields",IF(AND(OR(I75="previous baseline — desktop manual",I75="browser emulation — manual",LEFT(I75,11)="real device"),S75=""),"needs protocol ref",IF(AND(LEFT(I75,18)="browser automation",T75=""),"needs automation ref",IF(AND(LEFT(I75,11)="real device",OR(K75="",L75="",M75="",N75="",P75="")),"needs device details",IF(AND(OR(U75="passed",U75="failed",U75="blocked"),V75=""),"needs result date","ready"))))))</f>
        <v>needs protocol ref</v>
      </c>
    </row>
    <row r="76" customFormat="false" ht="48" hidden="false" customHeight="true" outlineLevel="0" collapsed="false">
      <c r="A76" s="31" t="s">
        <v>420</v>
      </c>
      <c r="B76" s="31" t="s">
        <v>176</v>
      </c>
      <c r="C76" s="31" t="s">
        <v>191</v>
      </c>
      <c r="D76" s="32" t="s">
        <v>28</v>
      </c>
      <c r="E76" s="32" t="s">
        <v>338</v>
      </c>
      <c r="F76" s="32" t="s">
        <v>418</v>
      </c>
      <c r="G76" s="33" t="s">
        <v>104</v>
      </c>
      <c r="H76" s="32" t="s">
        <v>143</v>
      </c>
      <c r="I76" s="33" t="s">
        <v>192</v>
      </c>
      <c r="J76" s="31" t="s">
        <v>145</v>
      </c>
      <c r="K76" s="31"/>
      <c r="L76" s="31" t="s">
        <v>111</v>
      </c>
      <c r="M76" s="31"/>
      <c r="N76" s="31"/>
      <c r="O76" s="31" t="s">
        <v>125</v>
      </c>
      <c r="P76" s="31" t="s">
        <v>99</v>
      </c>
      <c r="Q76" s="32" t="s">
        <v>343</v>
      </c>
      <c r="R76" s="32" t="s">
        <v>419</v>
      </c>
      <c r="S76" s="32"/>
      <c r="T76" s="32"/>
      <c r="U76" s="34" t="s">
        <v>100</v>
      </c>
      <c r="V76" s="31"/>
      <c r="W76" s="32"/>
      <c r="X76" s="32" t="s">
        <v>251</v>
      </c>
      <c r="Y76" s="34" t="str">
        <f aca="false">IF(A76="","",IF(COUNTBLANK(A76:E76)+COUNTBLANK(G76:J76)+COUNTBLANK(Q76:R76)+COUNTBLANK(U76)&gt;0,"needs core fields",IF(AND(OR(I76="previous baseline — desktop manual",I76="browser emulation — manual",LEFT(I76,11)="real device"),S76=""),"needs protocol ref",IF(AND(LEFT(I76,18)="browser automation",T76=""),"needs automation ref",IF(AND(LEFT(I76,11)="real device",OR(K76="",L76="",M76="",N76="",P76="")),"needs device details",IF(AND(OR(U76="passed",U76="failed",U76="blocked"),V76=""),"needs result date","ready"))))))</f>
        <v>needs protocol ref</v>
      </c>
    </row>
    <row r="77" customFormat="false" ht="48" hidden="false" customHeight="true" outlineLevel="0" collapsed="false">
      <c r="A77" s="31" t="s">
        <v>421</v>
      </c>
      <c r="B77" s="31" t="s">
        <v>176</v>
      </c>
      <c r="C77" s="31" t="s">
        <v>191</v>
      </c>
      <c r="D77" s="32" t="s">
        <v>28</v>
      </c>
      <c r="E77" s="32" t="s">
        <v>345</v>
      </c>
      <c r="F77" s="32" t="s">
        <v>422</v>
      </c>
      <c r="G77" s="33" t="s">
        <v>104</v>
      </c>
      <c r="H77" s="32" t="s">
        <v>143</v>
      </c>
      <c r="I77" s="33" t="s">
        <v>178</v>
      </c>
      <c r="J77" s="31" t="s">
        <v>134</v>
      </c>
      <c r="K77" s="31"/>
      <c r="L77" s="31" t="s">
        <v>101</v>
      </c>
      <c r="M77" s="31"/>
      <c r="N77" s="31"/>
      <c r="O77" s="31" t="s">
        <v>125</v>
      </c>
      <c r="P77" s="31" t="s">
        <v>99</v>
      </c>
      <c r="Q77" s="32" t="s">
        <v>347</v>
      </c>
      <c r="R77" s="32" t="s">
        <v>423</v>
      </c>
      <c r="S77" s="32"/>
      <c r="T77" s="32"/>
      <c r="U77" s="34" t="s">
        <v>100</v>
      </c>
      <c r="V77" s="31"/>
      <c r="W77" s="32"/>
      <c r="X77" s="32" t="s">
        <v>251</v>
      </c>
      <c r="Y77" s="34" t="str">
        <f aca="false">IF(A77="","",IF(COUNTBLANK(A77:E77)+COUNTBLANK(G77:J77)+COUNTBLANK(Q77:R77)+COUNTBLANK(U77)&gt;0,"needs core fields",IF(AND(OR(I77="previous baseline — desktop manual",I77="browser emulation — manual",LEFT(I77,11)="real device"),S77=""),"needs protocol ref",IF(AND(LEFT(I77,18)="browser automation",T77=""),"needs automation ref",IF(AND(LEFT(I77,11)="real device",OR(K77="",L77="",M77="",N77="",P77="")),"needs device details",IF(AND(OR(U77="passed",U77="failed",U77="blocked"),V77=""),"needs result date","ready"))))))</f>
        <v>needs protocol ref</v>
      </c>
    </row>
    <row r="78" customFormat="false" ht="48" hidden="false" customHeight="true" outlineLevel="0" collapsed="false">
      <c r="A78" s="31" t="s">
        <v>424</v>
      </c>
      <c r="B78" s="31" t="s">
        <v>176</v>
      </c>
      <c r="C78" s="31" t="s">
        <v>191</v>
      </c>
      <c r="D78" s="32" t="s">
        <v>28</v>
      </c>
      <c r="E78" s="32" t="s">
        <v>345</v>
      </c>
      <c r="F78" s="32" t="s">
        <v>422</v>
      </c>
      <c r="G78" s="33" t="s">
        <v>104</v>
      </c>
      <c r="H78" s="32" t="s">
        <v>143</v>
      </c>
      <c r="I78" s="33" t="s">
        <v>192</v>
      </c>
      <c r="J78" s="31" t="s">
        <v>145</v>
      </c>
      <c r="K78" s="31"/>
      <c r="L78" s="31" t="s">
        <v>111</v>
      </c>
      <c r="M78" s="31"/>
      <c r="N78" s="31"/>
      <c r="O78" s="31" t="s">
        <v>125</v>
      </c>
      <c r="P78" s="31" t="s">
        <v>99</v>
      </c>
      <c r="Q78" s="32" t="s">
        <v>350</v>
      </c>
      <c r="R78" s="32" t="s">
        <v>423</v>
      </c>
      <c r="S78" s="32"/>
      <c r="T78" s="32"/>
      <c r="U78" s="34" t="s">
        <v>100</v>
      </c>
      <c r="V78" s="31"/>
      <c r="W78" s="32"/>
      <c r="X78" s="32" t="s">
        <v>251</v>
      </c>
      <c r="Y78" s="34" t="str">
        <f aca="false">IF(A78="","",IF(COUNTBLANK(A78:E78)+COUNTBLANK(G78:J78)+COUNTBLANK(Q78:R78)+COUNTBLANK(U78)&gt;0,"needs core fields",IF(AND(OR(I78="previous baseline — desktop manual",I78="browser emulation — manual",LEFT(I78,11)="real device"),S78=""),"needs protocol ref",IF(AND(LEFT(I78,18)="browser automation",T78=""),"needs automation ref",IF(AND(LEFT(I78,11)="real device",OR(K78="",L78="",M78="",N78="",P78="")),"needs device details",IF(AND(OR(U78="passed",U78="failed",U78="blocked"),V78=""),"needs result date","ready"))))))</f>
        <v>needs protocol ref</v>
      </c>
    </row>
    <row r="79" customFormat="false" ht="48" hidden="false" customHeight="true" outlineLevel="0" collapsed="false">
      <c r="A79" s="31" t="s">
        <v>425</v>
      </c>
      <c r="B79" s="31" t="s">
        <v>176</v>
      </c>
      <c r="C79" s="31" t="s">
        <v>191</v>
      </c>
      <c r="D79" s="32" t="s">
        <v>28</v>
      </c>
      <c r="E79" s="32" t="s">
        <v>352</v>
      </c>
      <c r="F79" s="32" t="s">
        <v>426</v>
      </c>
      <c r="G79" s="33" t="s">
        <v>104</v>
      </c>
      <c r="H79" s="32" t="s">
        <v>143</v>
      </c>
      <c r="I79" s="33" t="s">
        <v>178</v>
      </c>
      <c r="J79" s="31" t="s">
        <v>134</v>
      </c>
      <c r="K79" s="31"/>
      <c r="L79" s="31" t="s">
        <v>101</v>
      </c>
      <c r="M79" s="31"/>
      <c r="N79" s="31"/>
      <c r="O79" s="31" t="s">
        <v>125</v>
      </c>
      <c r="P79" s="31" t="s">
        <v>99</v>
      </c>
      <c r="Q79" s="32" t="s">
        <v>354</v>
      </c>
      <c r="R79" s="32" t="s">
        <v>427</v>
      </c>
      <c r="S79" s="32"/>
      <c r="T79" s="32"/>
      <c r="U79" s="34" t="s">
        <v>100</v>
      </c>
      <c r="V79" s="31"/>
      <c r="W79" s="32"/>
      <c r="X79" s="32" t="s">
        <v>251</v>
      </c>
      <c r="Y79" s="34" t="str">
        <f aca="false">IF(A79="","",IF(COUNTBLANK(A79:E79)+COUNTBLANK(G79:J79)+COUNTBLANK(Q79:R79)+COUNTBLANK(U79)&gt;0,"needs core fields",IF(AND(OR(I79="previous baseline — desktop manual",I79="browser emulation — manual",LEFT(I79,11)="real device"),S79=""),"needs protocol ref",IF(AND(LEFT(I79,18)="browser automation",T79=""),"needs automation ref",IF(AND(LEFT(I79,11)="real device",OR(K79="",L79="",M79="",N79="",P79="")),"needs device details",IF(AND(OR(U79="passed",U79="failed",U79="blocked"),V79=""),"needs result date","ready"))))))</f>
        <v>needs protocol ref</v>
      </c>
    </row>
    <row r="80" customFormat="false" ht="48" hidden="false" customHeight="true" outlineLevel="0" collapsed="false">
      <c r="A80" s="31" t="s">
        <v>428</v>
      </c>
      <c r="B80" s="31" t="s">
        <v>176</v>
      </c>
      <c r="C80" s="31" t="s">
        <v>191</v>
      </c>
      <c r="D80" s="32" t="s">
        <v>28</v>
      </c>
      <c r="E80" s="32" t="s">
        <v>352</v>
      </c>
      <c r="F80" s="32" t="s">
        <v>426</v>
      </c>
      <c r="G80" s="33" t="s">
        <v>104</v>
      </c>
      <c r="H80" s="32" t="s">
        <v>143</v>
      </c>
      <c r="I80" s="33" t="s">
        <v>192</v>
      </c>
      <c r="J80" s="31" t="s">
        <v>145</v>
      </c>
      <c r="K80" s="31"/>
      <c r="L80" s="31" t="s">
        <v>111</v>
      </c>
      <c r="M80" s="31"/>
      <c r="N80" s="31"/>
      <c r="O80" s="31" t="s">
        <v>125</v>
      </c>
      <c r="P80" s="31" t="s">
        <v>99</v>
      </c>
      <c r="Q80" s="32" t="s">
        <v>357</v>
      </c>
      <c r="R80" s="32" t="s">
        <v>427</v>
      </c>
      <c r="S80" s="32"/>
      <c r="T80" s="32"/>
      <c r="U80" s="34" t="s">
        <v>100</v>
      </c>
      <c r="V80" s="31"/>
      <c r="W80" s="32"/>
      <c r="X80" s="32" t="s">
        <v>251</v>
      </c>
      <c r="Y80" s="34" t="str">
        <f aca="false">IF(A80="","",IF(COUNTBLANK(A80:E80)+COUNTBLANK(G80:J80)+COUNTBLANK(Q80:R80)+COUNTBLANK(U80)&gt;0,"needs core fields",IF(AND(OR(I80="previous baseline — desktop manual",I80="browser emulation — manual",LEFT(I80,11)="real device"),S80=""),"needs protocol ref",IF(AND(LEFT(I80,18)="browser automation",T80=""),"needs automation ref",IF(AND(LEFT(I80,11)="real device",OR(K80="",L80="",M80="",N80="",P80="")),"needs device details",IF(AND(OR(U80="passed",U80="failed",U80="blocked"),V80=""),"needs result date","ready"))))))</f>
        <v>needs protocol ref</v>
      </c>
    </row>
    <row r="81" customFormat="false" ht="48" hidden="false" customHeight="true" outlineLevel="0" collapsed="false">
      <c r="A81" s="31" t="s">
        <v>429</v>
      </c>
      <c r="B81" s="31" t="s">
        <v>190</v>
      </c>
      <c r="C81" s="31" t="s">
        <v>191</v>
      </c>
      <c r="D81" s="32" t="s">
        <v>28</v>
      </c>
      <c r="E81" s="32" t="s">
        <v>359</v>
      </c>
      <c r="F81" s="32" t="s">
        <v>430</v>
      </c>
      <c r="G81" s="33" t="s">
        <v>104</v>
      </c>
      <c r="H81" s="32" t="s">
        <v>105</v>
      </c>
      <c r="I81" s="33" t="s">
        <v>178</v>
      </c>
      <c r="J81" s="31" t="s">
        <v>134</v>
      </c>
      <c r="K81" s="31"/>
      <c r="L81" s="31" t="s">
        <v>101</v>
      </c>
      <c r="M81" s="31"/>
      <c r="N81" s="31"/>
      <c r="O81" s="31" t="s">
        <v>125</v>
      </c>
      <c r="P81" s="31" t="s">
        <v>99</v>
      </c>
      <c r="Q81" s="32" t="s">
        <v>361</v>
      </c>
      <c r="R81" s="32" t="s">
        <v>431</v>
      </c>
      <c r="S81" s="32"/>
      <c r="T81" s="32"/>
      <c r="U81" s="34" t="s">
        <v>100</v>
      </c>
      <c r="V81" s="31"/>
      <c r="W81" s="32"/>
      <c r="X81" s="32" t="s">
        <v>251</v>
      </c>
      <c r="Y81" s="34" t="str">
        <f aca="false">IF(A81="","",IF(COUNTBLANK(A81:E81)+COUNTBLANK(G81:J81)+COUNTBLANK(Q81:R81)+COUNTBLANK(U81)&gt;0,"needs core fields",IF(AND(OR(I81="previous baseline — desktop manual",I81="browser emulation — manual",LEFT(I81,11)="real device"),S81=""),"needs protocol ref",IF(AND(LEFT(I81,18)="browser automation",T81=""),"needs automation ref",IF(AND(LEFT(I81,11)="real device",OR(K81="",L81="",M81="",N81="",P81="")),"needs device details",IF(AND(OR(U81="passed",U81="failed",U81="blocked"),V81=""),"needs result date","ready"))))))</f>
        <v>needs protocol ref</v>
      </c>
    </row>
    <row r="82" customFormat="false" ht="48" hidden="false" customHeight="true" outlineLevel="0" collapsed="false">
      <c r="A82" s="31" t="s">
        <v>432</v>
      </c>
      <c r="B82" s="31" t="s">
        <v>190</v>
      </c>
      <c r="C82" s="31" t="s">
        <v>191</v>
      </c>
      <c r="D82" s="32" t="s">
        <v>28</v>
      </c>
      <c r="E82" s="32" t="s">
        <v>359</v>
      </c>
      <c r="F82" s="32" t="s">
        <v>430</v>
      </c>
      <c r="G82" s="33" t="s">
        <v>104</v>
      </c>
      <c r="H82" s="32" t="s">
        <v>105</v>
      </c>
      <c r="I82" s="33" t="s">
        <v>192</v>
      </c>
      <c r="J82" s="31" t="s">
        <v>145</v>
      </c>
      <c r="K82" s="31"/>
      <c r="L82" s="31" t="s">
        <v>111</v>
      </c>
      <c r="M82" s="31"/>
      <c r="N82" s="31"/>
      <c r="O82" s="31" t="s">
        <v>125</v>
      </c>
      <c r="P82" s="31" t="s">
        <v>99</v>
      </c>
      <c r="Q82" s="32" t="s">
        <v>364</v>
      </c>
      <c r="R82" s="32" t="s">
        <v>431</v>
      </c>
      <c r="S82" s="32"/>
      <c r="T82" s="32"/>
      <c r="U82" s="34" t="s">
        <v>100</v>
      </c>
      <c r="V82" s="31"/>
      <c r="W82" s="32"/>
      <c r="X82" s="32" t="s">
        <v>251</v>
      </c>
      <c r="Y82" s="34" t="str">
        <f aca="false">IF(A82="","",IF(COUNTBLANK(A82:E82)+COUNTBLANK(G82:J82)+COUNTBLANK(Q82:R82)+COUNTBLANK(U82)&gt;0,"needs core fields",IF(AND(OR(I82="previous baseline — desktop manual",I82="browser emulation — manual",LEFT(I82,11)="real device"),S82=""),"needs protocol ref",IF(AND(LEFT(I82,18)="browser automation",T82=""),"needs automation ref",IF(AND(LEFT(I82,11)="real device",OR(K82="",L82="",M82="",N82="",P82="")),"needs device details",IF(AND(OR(U82="passed",U82="failed",U82="blocked"),V82=""),"needs result date","ready"))))))</f>
        <v>needs protocol ref</v>
      </c>
    </row>
    <row r="83" customFormat="false" ht="48" hidden="false" customHeight="true" outlineLevel="0" collapsed="false">
      <c r="A83" s="31" t="s">
        <v>433</v>
      </c>
      <c r="B83" s="31" t="s">
        <v>140</v>
      </c>
      <c r="C83" s="31" t="s">
        <v>141</v>
      </c>
      <c r="D83" s="32" t="s">
        <v>30</v>
      </c>
      <c r="E83" s="32" t="s">
        <v>434</v>
      </c>
      <c r="F83" s="32" t="s">
        <v>221</v>
      </c>
      <c r="G83" s="33" t="s">
        <v>104</v>
      </c>
      <c r="H83" s="32" t="s">
        <v>95</v>
      </c>
      <c r="I83" s="33" t="s">
        <v>198</v>
      </c>
      <c r="J83" s="31" t="s">
        <v>134</v>
      </c>
      <c r="K83" s="31" t="s">
        <v>182</v>
      </c>
      <c r="L83" s="31" t="s">
        <v>101</v>
      </c>
      <c r="M83" s="31" t="s">
        <v>183</v>
      </c>
      <c r="N83" s="31" t="s">
        <v>184</v>
      </c>
      <c r="O83" s="31" t="s">
        <v>152</v>
      </c>
      <c r="P83" s="31" t="s">
        <v>109</v>
      </c>
      <c r="Q83" s="32" t="s">
        <v>435</v>
      </c>
      <c r="R83" s="32" t="s">
        <v>436</v>
      </c>
      <c r="S83" s="32" t="s">
        <v>187</v>
      </c>
      <c r="T83" s="32"/>
      <c r="U83" s="34" t="s">
        <v>110</v>
      </c>
      <c r="V83" s="35" t="n">
        <v>46220</v>
      </c>
      <c r="W83" s="32" t="s">
        <v>188</v>
      </c>
      <c r="X83" s="32" t="s">
        <v>189</v>
      </c>
      <c r="Y83" s="34" t="str">
        <f aca="false">IF(A83="","",IF(COUNTBLANK(A83:E83)+COUNTBLANK(G83:J83)+COUNTBLANK(Q83:R83)+COUNTBLANK(U83)&gt;0,"needs core fields",IF(AND(OR(I83="previous baseline — desktop manual",I83="browser emulation — manual",LEFT(I83,11)="real device"),S83=""),"needs protocol ref",IF(AND(LEFT(I83,18)="browser automation",T83=""),"needs automation ref",IF(AND(LEFT(I83,11)="real device",OR(K83="",L83="",M83="",N83="",P83="")),"needs device details",IF(AND(OR(U83="passed",U83="failed",U83="blocked"),V83=""),"needs result date","ready"))))))</f>
        <v>ready</v>
      </c>
    </row>
    <row r="84" customFormat="false" ht="48" hidden="false" customHeight="true" outlineLevel="0" collapsed="false">
      <c r="A84" s="31" t="s">
        <v>437</v>
      </c>
      <c r="B84" s="31" t="s">
        <v>140</v>
      </c>
      <c r="C84" s="31" t="s">
        <v>141</v>
      </c>
      <c r="D84" s="32" t="s">
        <v>30</v>
      </c>
      <c r="E84" s="32" t="s">
        <v>434</v>
      </c>
      <c r="F84" s="32" t="s">
        <v>221</v>
      </c>
      <c r="G84" s="33" t="s">
        <v>104</v>
      </c>
      <c r="H84" s="32" t="s">
        <v>95</v>
      </c>
      <c r="I84" s="33" t="s">
        <v>205</v>
      </c>
      <c r="J84" s="31" t="s">
        <v>145</v>
      </c>
      <c r="K84" s="31"/>
      <c r="L84" s="31" t="s">
        <v>111</v>
      </c>
      <c r="M84" s="31"/>
      <c r="N84" s="31"/>
      <c r="O84" s="31" t="s">
        <v>152</v>
      </c>
      <c r="P84" s="31" t="s">
        <v>126</v>
      </c>
      <c r="Q84" s="32" t="s">
        <v>438</v>
      </c>
      <c r="R84" s="32" t="s">
        <v>436</v>
      </c>
      <c r="S84" s="32" t="s">
        <v>187</v>
      </c>
      <c r="T84" s="32"/>
      <c r="U84" s="34" t="s">
        <v>100</v>
      </c>
      <c r="V84" s="31"/>
      <c r="W84" s="32"/>
      <c r="X84" s="32" t="s">
        <v>195</v>
      </c>
      <c r="Y84" s="34" t="str">
        <f aca="false">IF(A84="","",IF(COUNTBLANK(A84:E84)+COUNTBLANK(G84:J84)+COUNTBLANK(Q84:R84)+COUNTBLANK(U84)&gt;0,"needs core fields",IF(AND(OR(I84="previous baseline — desktop manual",I84="browser emulation — manual",LEFT(I84,11)="real device"),S84=""),"needs protocol ref",IF(AND(LEFT(I84,18)="browser automation",T84=""),"needs automation ref",IF(AND(LEFT(I84,11)="real device",OR(K84="",L84="",M84="",N84="",P84="")),"needs device details",IF(AND(OR(U84="passed",U84="failed",U84="blocked"),V84=""),"needs result date","ready"))))))</f>
        <v>needs device details</v>
      </c>
    </row>
    <row r="85" customFormat="false" ht="48" hidden="false" customHeight="true" outlineLevel="0" collapsed="false">
      <c r="A85" s="31" t="s">
        <v>439</v>
      </c>
      <c r="B85" s="31" t="s">
        <v>140</v>
      </c>
      <c r="C85" s="31" t="s">
        <v>141</v>
      </c>
      <c r="D85" s="32" t="s">
        <v>47</v>
      </c>
      <c r="E85" s="32" t="s">
        <v>434</v>
      </c>
      <c r="F85" s="32" t="s">
        <v>230</v>
      </c>
      <c r="G85" s="33" t="s">
        <v>104</v>
      </c>
      <c r="H85" s="32" t="s">
        <v>95</v>
      </c>
      <c r="I85" s="33" t="s">
        <v>198</v>
      </c>
      <c r="J85" s="31" t="s">
        <v>134</v>
      </c>
      <c r="K85" s="31" t="s">
        <v>182</v>
      </c>
      <c r="L85" s="31" t="s">
        <v>101</v>
      </c>
      <c r="M85" s="31" t="s">
        <v>183</v>
      </c>
      <c r="N85" s="31" t="s">
        <v>184</v>
      </c>
      <c r="O85" s="31" t="s">
        <v>152</v>
      </c>
      <c r="P85" s="31" t="s">
        <v>109</v>
      </c>
      <c r="Q85" s="32" t="s">
        <v>435</v>
      </c>
      <c r="R85" s="32" t="s">
        <v>436</v>
      </c>
      <c r="S85" s="32" t="s">
        <v>187</v>
      </c>
      <c r="T85" s="32"/>
      <c r="U85" s="34" t="s">
        <v>110</v>
      </c>
      <c r="V85" s="35" t="n">
        <v>46220</v>
      </c>
      <c r="W85" s="32" t="s">
        <v>188</v>
      </c>
      <c r="X85" s="32" t="s">
        <v>189</v>
      </c>
      <c r="Y85" s="34" t="str">
        <f aca="false">IF(A85="","",IF(COUNTBLANK(A85:E85)+COUNTBLANK(G85:J85)+COUNTBLANK(Q85:R85)+COUNTBLANK(U85)&gt;0,"needs core fields",IF(AND(OR(I85="previous baseline — desktop manual",I85="browser emulation — manual",LEFT(I85,11)="real device"),S85=""),"needs protocol ref",IF(AND(LEFT(I85,18)="browser automation",T85=""),"needs automation ref",IF(AND(LEFT(I85,11)="real device",OR(K85="",L85="",M85="",N85="",P85="")),"needs device details",IF(AND(OR(U85="passed",U85="failed",U85="blocked"),V85=""),"needs result date","ready"))))))</f>
        <v>ready</v>
      </c>
    </row>
    <row r="86" customFormat="false" ht="48" hidden="false" customHeight="true" outlineLevel="0" collapsed="false">
      <c r="A86" s="31" t="s">
        <v>440</v>
      </c>
      <c r="B86" s="31" t="s">
        <v>140</v>
      </c>
      <c r="C86" s="31" t="s">
        <v>141</v>
      </c>
      <c r="D86" s="32" t="s">
        <v>47</v>
      </c>
      <c r="E86" s="32" t="s">
        <v>434</v>
      </c>
      <c r="F86" s="32" t="s">
        <v>230</v>
      </c>
      <c r="G86" s="33" t="s">
        <v>104</v>
      </c>
      <c r="H86" s="32" t="s">
        <v>95</v>
      </c>
      <c r="I86" s="33" t="s">
        <v>205</v>
      </c>
      <c r="J86" s="31" t="s">
        <v>145</v>
      </c>
      <c r="K86" s="31"/>
      <c r="L86" s="31" t="s">
        <v>111</v>
      </c>
      <c r="M86" s="31"/>
      <c r="N86" s="31"/>
      <c r="O86" s="31" t="s">
        <v>152</v>
      </c>
      <c r="P86" s="31" t="s">
        <v>126</v>
      </c>
      <c r="Q86" s="32" t="s">
        <v>438</v>
      </c>
      <c r="R86" s="32" t="s">
        <v>436</v>
      </c>
      <c r="S86" s="32" t="s">
        <v>187</v>
      </c>
      <c r="T86" s="32"/>
      <c r="U86" s="34" t="s">
        <v>100</v>
      </c>
      <c r="V86" s="31"/>
      <c r="W86" s="32"/>
      <c r="X86" s="32" t="s">
        <v>195</v>
      </c>
      <c r="Y86" s="34" t="str">
        <f aca="false">IF(A86="","",IF(COUNTBLANK(A86:E86)+COUNTBLANK(G86:J86)+COUNTBLANK(Q86:R86)+COUNTBLANK(U86)&gt;0,"needs core fields",IF(AND(OR(I86="previous baseline — desktop manual",I86="browser emulation — manual",LEFT(I86,11)="real device"),S86=""),"needs protocol ref",IF(AND(LEFT(I86,18)="browser automation",T86=""),"needs automation ref",IF(AND(LEFT(I86,11)="real device",OR(K86="",L86="",M86="",N86="",P86="")),"needs device details",IF(AND(OR(U86="passed",U86="failed",U86="blocked"),V86=""),"needs result date","ready"))))))</f>
        <v>needs device details</v>
      </c>
    </row>
    <row r="87" customFormat="false" ht="15" hidden="false" customHeight="true" outlineLevel="0" collapsed="false">
      <c r="Y87" s="37" t="str">
        <f aca="false">IF(A87="","",IF(COUNTBLANK(A87:E87)+COUNTBLANK(G87:J87)+COUNTBLANK(Q87:R87)+COUNTBLANK(U87)&gt;0,"needs core fields",IF(AND(OR(I87="previous baseline — desktop manual",I87="browser emulation — manual",LEFT(I87,11)="real device"),S87=""),"needs protocol ref",IF(AND(LEFT(I87,18)="browser automation",T87=""),"needs automation ref",IF(AND(LEFT(I87,11)="real device",OR(K87="",L87="",M87="",N87="",P87="")),"needs device details",IF(AND(OR(U87="passed",U87="failed",U87="blocked"),V87=""),"needs result date","ready"))))))</f>
        <v/>
      </c>
    </row>
    <row r="88" customFormat="false" ht="15" hidden="false" customHeight="true" outlineLevel="0" collapsed="false">
      <c r="Y88" s="37" t="str">
        <f aca="false">IF(A88="","",IF(COUNTBLANK(A88:E88)+COUNTBLANK(G88:J88)+COUNTBLANK(Q88:R88)+COUNTBLANK(U88)&gt;0,"needs core fields",IF(AND(OR(I88="previous baseline — desktop manual",I88="browser emulation — manual",LEFT(I88,11)="real device"),S88=""),"needs protocol ref",IF(AND(LEFT(I88,18)="browser automation",T88=""),"needs automation ref",IF(AND(LEFT(I88,11)="real device",OR(K88="",L88="",M88="",N88="",P88="")),"needs device details",IF(AND(OR(U88="passed",U88="failed",U88="blocked"),V88=""),"needs result date","ready"))))))</f>
        <v/>
      </c>
    </row>
    <row r="89" customFormat="false" ht="15" hidden="false" customHeight="true" outlineLevel="0" collapsed="false">
      <c r="Y89" s="37" t="str">
        <f aca="false">IF(A89="","",IF(COUNTBLANK(A89:E89)+COUNTBLANK(G89:J89)+COUNTBLANK(Q89:R89)+COUNTBLANK(U89)&gt;0,"needs core fields",IF(AND(OR(I89="previous baseline — desktop manual",I89="browser emulation — manual",LEFT(I89,11)="real device"),S89=""),"needs protocol ref",IF(AND(LEFT(I89,18)="browser automation",T89=""),"needs automation ref",IF(AND(LEFT(I89,11)="real device",OR(K89="",L89="",M89="",N89="",P89="")),"needs device details",IF(AND(OR(U89="passed",U89="failed",U89="blocked"),V89=""),"needs result date","ready"))))))</f>
        <v/>
      </c>
    </row>
    <row r="90" customFormat="false" ht="15" hidden="false" customHeight="true" outlineLevel="0" collapsed="false">
      <c r="Y90" s="37" t="str">
        <f aca="false">IF(A90="","",IF(COUNTBLANK(A90:E90)+COUNTBLANK(G90:J90)+COUNTBLANK(Q90:R90)+COUNTBLANK(U90)&gt;0,"needs core fields",IF(AND(OR(I90="previous baseline — desktop manual",I90="browser emulation — manual",LEFT(I90,11)="real device"),S90=""),"needs protocol ref",IF(AND(LEFT(I90,18)="browser automation",T90=""),"needs automation ref",IF(AND(LEFT(I90,11)="real device",OR(K90="",L90="",M90="",N90="",P90="")),"needs device details",IF(AND(OR(U90="passed",U90="failed",U90="blocked"),V90=""),"needs result date","ready"))))))</f>
        <v/>
      </c>
    </row>
    <row r="91" customFormat="false" ht="15" hidden="false" customHeight="true" outlineLevel="0" collapsed="false">
      <c r="Y91" s="37" t="str">
        <f aca="false">IF(A91="","",IF(COUNTBLANK(A91:E91)+COUNTBLANK(G91:J91)+COUNTBLANK(Q91:R91)+COUNTBLANK(U91)&gt;0,"needs core fields",IF(AND(OR(I91="previous baseline — desktop manual",I91="browser emulation — manual",LEFT(I91,11)="real device"),S91=""),"needs protocol ref",IF(AND(LEFT(I91,18)="browser automation",T91=""),"needs automation ref",IF(AND(LEFT(I91,11)="real device",OR(K91="",L91="",M91="",N91="",P91="")),"needs device details",IF(AND(OR(U91="passed",U91="failed",U91="blocked"),V91=""),"needs result date","ready"))))))</f>
        <v/>
      </c>
    </row>
    <row r="92" customFormat="false" ht="15" hidden="false" customHeight="true" outlineLevel="0" collapsed="false">
      <c r="Y92" s="37" t="str">
        <f aca="false">IF(A92="","",IF(COUNTBLANK(A92:E92)+COUNTBLANK(G92:J92)+COUNTBLANK(Q92:R92)+COUNTBLANK(U92)&gt;0,"needs core fields",IF(AND(OR(I92="previous baseline — desktop manual",I92="browser emulation — manual",LEFT(I92,11)="real device"),S92=""),"needs protocol ref",IF(AND(LEFT(I92,18)="browser automation",T92=""),"needs automation ref",IF(AND(LEFT(I92,11)="real device",OR(K92="",L92="",M92="",N92="",P92="")),"needs device details",IF(AND(OR(U92="passed",U92="failed",U92="blocked"),V92=""),"needs result date","ready"))))))</f>
        <v/>
      </c>
    </row>
    <row r="93" customFormat="false" ht="15" hidden="false" customHeight="true" outlineLevel="0" collapsed="false">
      <c r="Y93" s="37" t="str">
        <f aca="false">IF(A93="","",IF(COUNTBLANK(A93:E93)+COUNTBLANK(G93:J93)+COUNTBLANK(Q93:R93)+COUNTBLANK(U93)&gt;0,"needs core fields",IF(AND(OR(I93="previous baseline — desktop manual",I93="browser emulation — manual",LEFT(I93,11)="real device"),S93=""),"needs protocol ref",IF(AND(LEFT(I93,18)="browser automation",T93=""),"needs automation ref",IF(AND(LEFT(I93,11)="real device",OR(K93="",L93="",M93="",N93="",P93="")),"needs device details",IF(AND(OR(U93="passed",U93="failed",U93="blocked"),V93=""),"needs result date","ready"))))))</f>
        <v/>
      </c>
    </row>
    <row r="94" customFormat="false" ht="15" hidden="false" customHeight="true" outlineLevel="0" collapsed="false">
      <c r="Y94" s="37" t="str">
        <f aca="false">IF(A94="","",IF(COUNTBLANK(A94:E94)+COUNTBLANK(G94:J94)+COUNTBLANK(Q94:R94)+COUNTBLANK(U94)&gt;0,"needs core fields",IF(AND(OR(I94="previous baseline — desktop manual",I94="browser emulation — manual",LEFT(I94,11)="real device"),S94=""),"needs protocol ref",IF(AND(LEFT(I94,18)="browser automation",T94=""),"needs automation ref",IF(AND(LEFT(I94,11)="real device",OR(K94="",L94="",M94="",N94="",P94="")),"needs device details",IF(AND(OR(U94="passed",U94="failed",U94="blocked"),V94=""),"needs result date","ready"))))))</f>
        <v/>
      </c>
    </row>
    <row r="95" customFormat="false" ht="15" hidden="false" customHeight="true" outlineLevel="0" collapsed="false">
      <c r="Y95" s="37" t="str">
        <f aca="false">IF(A95="","",IF(COUNTBLANK(A95:E95)+COUNTBLANK(G95:J95)+COUNTBLANK(Q95:R95)+COUNTBLANK(U95)&gt;0,"needs core fields",IF(AND(OR(I95="previous baseline — desktop manual",I95="browser emulation — manual",LEFT(I95,11)="real device"),S95=""),"needs protocol ref",IF(AND(LEFT(I95,18)="browser automation",T95=""),"needs automation ref",IF(AND(LEFT(I95,11)="real device",OR(K95="",L95="",M95="",N95="",P95="")),"needs device details",IF(AND(OR(U95="passed",U95="failed",U95="blocked"),V95=""),"needs result date","ready"))))))</f>
        <v/>
      </c>
    </row>
    <row r="96" customFormat="false" ht="15" hidden="false" customHeight="true" outlineLevel="0" collapsed="false">
      <c r="Y96" s="37" t="str">
        <f aca="false">IF(A96="","",IF(COUNTBLANK(A96:E96)+COUNTBLANK(G96:J96)+COUNTBLANK(Q96:R96)+COUNTBLANK(U96)&gt;0,"needs core fields",IF(AND(OR(I96="previous baseline — desktop manual",I96="browser emulation — manual",LEFT(I96,11)="real device"),S96=""),"needs protocol ref",IF(AND(LEFT(I96,18)="browser automation",T96=""),"needs automation ref",IF(AND(LEFT(I96,11)="real device",OR(K96="",L96="",M96="",N96="",P96="")),"needs device details",IF(AND(OR(U96="passed",U96="failed",U96="blocked"),V96=""),"needs result date","ready"))))))</f>
        <v/>
      </c>
    </row>
    <row r="97" customFormat="false" ht="15" hidden="false" customHeight="true" outlineLevel="0" collapsed="false">
      <c r="Y97" s="37" t="str">
        <f aca="false">IF(A97="","",IF(COUNTBLANK(A97:E97)+COUNTBLANK(G97:J97)+COUNTBLANK(Q97:R97)+COUNTBLANK(U97)&gt;0,"needs core fields",IF(AND(OR(I97="previous baseline — desktop manual",I97="browser emulation — manual",LEFT(I97,11)="real device"),S97=""),"needs protocol ref",IF(AND(LEFT(I97,18)="browser automation",T97=""),"needs automation ref",IF(AND(LEFT(I97,11)="real device",OR(K97="",L97="",M97="",N97="",P97="")),"needs device details",IF(AND(OR(U97="passed",U97="failed",U97="blocked"),V97=""),"needs result date","ready"))))))</f>
        <v/>
      </c>
    </row>
    <row r="98" customFormat="false" ht="15" hidden="false" customHeight="true" outlineLevel="0" collapsed="false">
      <c r="Y98" s="37" t="str">
        <f aca="false">IF(A98="","",IF(COUNTBLANK(A98:E98)+COUNTBLANK(G98:J98)+COUNTBLANK(Q98:R98)+COUNTBLANK(U98)&gt;0,"needs core fields",IF(AND(OR(I98="previous baseline — desktop manual",I98="browser emulation — manual",LEFT(I98,11)="real device"),S98=""),"needs protocol ref",IF(AND(LEFT(I98,18)="browser automation",T98=""),"needs automation ref",IF(AND(LEFT(I98,11)="real device",OR(K98="",L98="",M98="",N98="",P98="")),"needs device details",IF(AND(OR(U98="passed",U98="failed",U98="blocked"),V98=""),"needs result date","ready"))))))</f>
        <v/>
      </c>
    </row>
    <row r="99" customFormat="false" ht="15" hidden="false" customHeight="true" outlineLevel="0" collapsed="false">
      <c r="Y99" s="37" t="str">
        <f aca="false">IF(A99="","",IF(COUNTBLANK(A99:E99)+COUNTBLANK(G99:J99)+COUNTBLANK(Q99:R99)+COUNTBLANK(U99)&gt;0,"needs core fields",IF(AND(OR(I99="previous baseline — desktop manual",I99="browser emulation — manual",LEFT(I99,11)="real device"),S99=""),"needs protocol ref",IF(AND(LEFT(I99,18)="browser automation",T99=""),"needs automation ref",IF(AND(LEFT(I99,11)="real device",OR(K99="",L99="",M99="",N99="",P99="")),"needs device details",IF(AND(OR(U99="passed",U99="failed",U99="blocked"),V99=""),"needs result date","ready"))))))</f>
        <v/>
      </c>
    </row>
    <row r="100" customFormat="false" ht="15" hidden="false" customHeight="true" outlineLevel="0" collapsed="false">
      <c r="Y100" s="37" t="str">
        <f aca="false">IF(A100="","",IF(COUNTBLANK(A100:E100)+COUNTBLANK(G100:J100)+COUNTBLANK(Q100:R100)+COUNTBLANK(U100)&gt;0,"needs core fields",IF(AND(OR(I100="previous baseline — desktop manual",I100="browser emulation — manual",LEFT(I100,11)="real device"),S100=""),"needs protocol ref",IF(AND(LEFT(I100,18)="browser automation",T100=""),"needs automation ref",IF(AND(LEFT(I100,11)="real device",OR(K100="",L100="",M100="",N100="",P100="")),"needs device details",IF(AND(OR(U100="passed",U100="failed",U100="blocked"),V100=""),"needs result date","ready"))))))</f>
        <v/>
      </c>
    </row>
    <row r="101" customFormat="false" ht="15" hidden="false" customHeight="true" outlineLevel="0" collapsed="false">
      <c r="Y101" s="37" t="str">
        <f aca="false">IF(A101="","",IF(COUNTBLANK(A101:E101)+COUNTBLANK(G101:J101)+COUNTBLANK(Q101:R101)+COUNTBLANK(U101)&gt;0,"needs core fields",IF(AND(OR(I101="previous baseline — desktop manual",I101="browser emulation — manual",LEFT(I101,11)="real device"),S101=""),"needs protocol ref",IF(AND(LEFT(I101,18)="browser automation",T101=""),"needs automation ref",IF(AND(LEFT(I101,11)="real device",OR(K101="",L101="",M101="",N101="",P101="")),"needs device details",IF(AND(OR(U101="passed",U101="failed",U101="blocked"),V101=""),"needs result date","ready"))))))</f>
        <v/>
      </c>
    </row>
    <row r="102" customFormat="false" ht="15" hidden="false" customHeight="true" outlineLevel="0" collapsed="false">
      <c r="Y102" s="37" t="str">
        <f aca="false">IF(A102="","",IF(COUNTBLANK(A102:E102)+COUNTBLANK(G102:J102)+COUNTBLANK(Q102:R102)+COUNTBLANK(U102)&gt;0,"needs core fields",IF(AND(OR(I102="previous baseline — desktop manual",I102="browser emulation — manual",LEFT(I102,11)="real device"),S102=""),"needs protocol ref",IF(AND(LEFT(I102,18)="browser automation",T102=""),"needs automation ref",IF(AND(LEFT(I102,11)="real device",OR(K102="",L102="",M102="",N102="",P102="")),"needs device details",IF(AND(OR(U102="passed",U102="failed",U102="blocked"),V102=""),"needs result date","ready"))))))</f>
        <v/>
      </c>
    </row>
    <row r="103" customFormat="false" ht="15" hidden="false" customHeight="true" outlineLevel="0" collapsed="false">
      <c r="Y103" s="37" t="str">
        <f aca="false">IF(A103="","",IF(COUNTBLANK(A103:E103)+COUNTBLANK(G103:J103)+COUNTBLANK(Q103:R103)+COUNTBLANK(U103)&gt;0,"needs core fields",IF(AND(OR(I103="previous baseline — desktop manual",I103="browser emulation — manual",LEFT(I103,11)="real device"),S103=""),"needs protocol ref",IF(AND(LEFT(I103,18)="browser automation",T103=""),"needs automation ref",IF(AND(LEFT(I103,11)="real device",OR(K103="",L103="",M103="",N103="",P103="")),"needs device details",IF(AND(OR(U103="passed",U103="failed",U103="blocked"),V103=""),"needs result date","ready"))))))</f>
        <v/>
      </c>
    </row>
    <row r="104" customFormat="false" ht="15" hidden="false" customHeight="true" outlineLevel="0" collapsed="false">
      <c r="Y104" s="37" t="str">
        <f aca="false">IF(A104="","",IF(COUNTBLANK(A104:E104)+COUNTBLANK(G104:J104)+COUNTBLANK(Q104:R104)+COUNTBLANK(U104)&gt;0,"needs core fields",IF(AND(OR(I104="previous baseline — desktop manual",I104="browser emulation — manual",LEFT(I104,11)="real device"),S104=""),"needs protocol ref",IF(AND(LEFT(I104,18)="browser automation",T104=""),"needs automation ref",IF(AND(LEFT(I104,11)="real device",OR(K104="",L104="",M104="",N104="",P104="")),"needs device details",IF(AND(OR(U104="passed",U104="failed",U104="blocked"),V104=""),"needs result date","ready"))))))</f>
        <v/>
      </c>
    </row>
    <row r="105" customFormat="false" ht="15" hidden="false" customHeight="true" outlineLevel="0" collapsed="false">
      <c r="Y105" s="37" t="str">
        <f aca="false">IF(A105="","",IF(COUNTBLANK(A105:E105)+COUNTBLANK(G105:J105)+COUNTBLANK(Q105:R105)+COUNTBLANK(U105)&gt;0,"needs core fields",IF(AND(OR(I105="previous baseline — desktop manual",I105="browser emulation — manual",LEFT(I105,11)="real device"),S105=""),"needs protocol ref",IF(AND(LEFT(I105,18)="browser automation",T105=""),"needs automation ref",IF(AND(LEFT(I105,11)="real device",OR(K105="",L105="",M105="",N105="",P105="")),"needs device details",IF(AND(OR(U105="passed",U105="failed",U105="blocked"),V105=""),"needs result date","ready"))))))</f>
        <v/>
      </c>
    </row>
    <row r="106" customFormat="false" ht="15" hidden="false" customHeight="true" outlineLevel="0" collapsed="false">
      <c r="Y106" s="37" t="str">
        <f aca="false">IF(A106="","",IF(COUNTBLANK(A106:E106)+COUNTBLANK(G106:J106)+COUNTBLANK(Q106:R106)+COUNTBLANK(U106)&gt;0,"needs core fields",IF(AND(OR(I106="previous baseline — desktop manual",I106="browser emulation — manual",LEFT(I106,11)="real device"),S106=""),"needs protocol ref",IF(AND(LEFT(I106,18)="browser automation",T106=""),"needs automation ref",IF(AND(LEFT(I106,11)="real device",OR(K106="",L106="",M106="",N106="",P106="")),"needs device details",IF(AND(OR(U106="passed",U106="failed",U106="blocked"),V106=""),"needs result date","ready"))))))</f>
        <v/>
      </c>
    </row>
    <row r="107" customFormat="false" ht="15" hidden="false" customHeight="true" outlineLevel="0" collapsed="false">
      <c r="Y107" s="37" t="str">
        <f aca="false">IF(A107="","",IF(COUNTBLANK(A107:E107)+COUNTBLANK(G107:J107)+COUNTBLANK(Q107:R107)+COUNTBLANK(U107)&gt;0,"needs core fields",IF(AND(OR(I107="previous baseline — desktop manual",I107="browser emulation — manual",LEFT(I107,11)="real device"),S107=""),"needs protocol ref",IF(AND(LEFT(I107,18)="browser automation",T107=""),"needs automation ref",IF(AND(LEFT(I107,11)="real device",OR(K107="",L107="",M107="",N107="",P107="")),"needs device details",IF(AND(OR(U107="passed",U107="failed",U107="blocked"),V107=""),"needs result date","ready"))))))</f>
        <v/>
      </c>
    </row>
    <row r="108" customFormat="false" ht="15" hidden="false" customHeight="true" outlineLevel="0" collapsed="false">
      <c r="Y108" s="37" t="str">
        <f aca="false">IF(A108="","",IF(COUNTBLANK(A108:E108)+COUNTBLANK(G108:J108)+COUNTBLANK(Q108:R108)+COUNTBLANK(U108)&gt;0,"needs core fields",IF(AND(OR(I108="previous baseline — desktop manual",I108="browser emulation — manual",LEFT(I108,11)="real device"),S108=""),"needs protocol ref",IF(AND(LEFT(I108,18)="browser automation",T108=""),"needs automation ref",IF(AND(LEFT(I108,11)="real device",OR(K108="",L108="",M108="",N108="",P108="")),"needs device details",IF(AND(OR(U108="passed",U108="failed",U108="blocked"),V108=""),"needs result date","ready"))))))</f>
        <v/>
      </c>
    </row>
    <row r="109" customFormat="false" ht="15" hidden="false" customHeight="true" outlineLevel="0" collapsed="false">
      <c r="Y109" s="37" t="str">
        <f aca="false">IF(A109="","",IF(COUNTBLANK(A109:E109)+COUNTBLANK(G109:J109)+COUNTBLANK(Q109:R109)+COUNTBLANK(U109)&gt;0,"needs core fields",IF(AND(OR(I109="previous baseline — desktop manual",I109="browser emulation — manual",LEFT(I109,11)="real device"),S109=""),"needs protocol ref",IF(AND(LEFT(I109,18)="browser automation",T109=""),"needs automation ref",IF(AND(LEFT(I109,11)="real device",OR(K109="",L109="",M109="",N109="",P109="")),"needs device details",IF(AND(OR(U109="passed",U109="failed",U109="blocked"),V109=""),"needs result date","ready"))))))</f>
        <v/>
      </c>
    </row>
    <row r="110" customFormat="false" ht="15" hidden="false" customHeight="true" outlineLevel="0" collapsed="false">
      <c r="Y110" s="37" t="str">
        <f aca="false">IF(A110="","",IF(COUNTBLANK(A110:E110)+COUNTBLANK(G110:J110)+COUNTBLANK(Q110:R110)+COUNTBLANK(U110)&gt;0,"needs core fields",IF(AND(OR(I110="previous baseline — desktop manual",I110="browser emulation — manual",LEFT(I110,11)="real device"),S110=""),"needs protocol ref",IF(AND(LEFT(I110,18)="browser automation",T110=""),"needs automation ref",IF(AND(LEFT(I110,11)="real device",OR(K110="",L110="",M110="",N110="",P110="")),"needs device details",IF(AND(OR(U110="passed",U110="failed",U110="blocked"),V110=""),"needs result date","ready"))))))</f>
        <v/>
      </c>
    </row>
    <row r="111" customFormat="false" ht="15" hidden="false" customHeight="true" outlineLevel="0" collapsed="false">
      <c r="Y111" s="37" t="str">
        <f aca="false">IF(A111="","",IF(COUNTBLANK(A111:E111)+COUNTBLANK(G111:J111)+COUNTBLANK(Q111:R111)+COUNTBLANK(U111)&gt;0,"needs core fields",IF(AND(OR(I111="previous baseline — desktop manual",I111="browser emulation — manual",LEFT(I111,11)="real device"),S111=""),"needs protocol ref",IF(AND(LEFT(I111,18)="browser automation",T111=""),"needs automation ref",IF(AND(LEFT(I111,11)="real device",OR(K111="",L111="",M111="",N111="",P111="")),"needs device details",IF(AND(OR(U111="passed",U111="failed",U111="blocked"),V111=""),"needs result date","ready"))))))</f>
        <v/>
      </c>
    </row>
    <row r="112" customFormat="false" ht="15" hidden="false" customHeight="true" outlineLevel="0" collapsed="false">
      <c r="Y112" s="37" t="str">
        <f aca="false">IF(A112="","",IF(COUNTBLANK(A112:E112)+COUNTBLANK(G112:J112)+COUNTBLANK(Q112:R112)+COUNTBLANK(U112)&gt;0,"needs core fields",IF(AND(OR(I112="previous baseline — desktop manual",I112="browser emulation — manual",LEFT(I112,11)="real device"),S112=""),"needs protocol ref",IF(AND(LEFT(I112,18)="browser automation",T112=""),"needs automation ref",IF(AND(LEFT(I112,11)="real device",OR(K112="",L112="",M112="",N112="",P112="")),"needs device details",IF(AND(OR(U112="passed",U112="failed",U112="blocked"),V112=""),"needs result date","ready"))))))</f>
        <v/>
      </c>
    </row>
    <row r="113" customFormat="false" ht="15" hidden="false" customHeight="true" outlineLevel="0" collapsed="false">
      <c r="Y113" s="37" t="str">
        <f aca="false">IF(A113="","",IF(COUNTBLANK(A113:E113)+COUNTBLANK(G113:J113)+COUNTBLANK(Q113:R113)+COUNTBLANK(U113)&gt;0,"needs core fields",IF(AND(OR(I113="previous baseline — desktop manual",I113="browser emulation — manual",LEFT(I113,11)="real device"),S113=""),"needs protocol ref",IF(AND(LEFT(I113,18)="browser automation",T113=""),"needs automation ref",IF(AND(LEFT(I113,11)="real device",OR(K113="",L113="",M113="",N113="",P113="")),"needs device details",IF(AND(OR(U113="passed",U113="failed",U113="blocked"),V113=""),"needs result date","ready"))))))</f>
        <v/>
      </c>
    </row>
    <row r="114" customFormat="false" ht="15" hidden="false" customHeight="true" outlineLevel="0" collapsed="false">
      <c r="Y114" s="37" t="str">
        <f aca="false">IF(A114="","",IF(COUNTBLANK(A114:E114)+COUNTBLANK(G114:J114)+COUNTBLANK(Q114:R114)+COUNTBLANK(U114)&gt;0,"needs core fields",IF(AND(OR(I114="previous baseline — desktop manual",I114="browser emulation — manual",LEFT(I114,11)="real device"),S114=""),"needs protocol ref",IF(AND(LEFT(I114,18)="browser automation",T114=""),"needs automation ref",IF(AND(LEFT(I114,11)="real device",OR(K114="",L114="",M114="",N114="",P114="")),"needs device details",IF(AND(OR(U114="passed",U114="failed",U114="blocked"),V114=""),"needs result date","ready"))))))</f>
        <v/>
      </c>
    </row>
    <row r="115" customFormat="false" ht="15" hidden="false" customHeight="true" outlineLevel="0" collapsed="false">
      <c r="Y115" s="37" t="str">
        <f aca="false">IF(A115="","",IF(COUNTBLANK(A115:E115)+COUNTBLANK(G115:J115)+COUNTBLANK(Q115:R115)+COUNTBLANK(U115)&gt;0,"needs core fields",IF(AND(OR(I115="previous baseline — desktop manual",I115="browser emulation — manual",LEFT(I115,11)="real device"),S115=""),"needs protocol ref",IF(AND(LEFT(I115,18)="browser automation",T115=""),"needs automation ref",IF(AND(LEFT(I115,11)="real device",OR(K115="",L115="",M115="",N115="",P115="")),"needs device details",IF(AND(OR(U115="passed",U115="failed",U115="blocked"),V115=""),"needs result date","ready"))))))</f>
        <v/>
      </c>
    </row>
    <row r="116" customFormat="false" ht="15" hidden="false" customHeight="true" outlineLevel="0" collapsed="false">
      <c r="Y116" s="37" t="str">
        <f aca="false">IF(A116="","",IF(COUNTBLANK(A116:E116)+COUNTBLANK(G116:J116)+COUNTBLANK(Q116:R116)+COUNTBLANK(U116)&gt;0,"needs core fields",IF(AND(OR(I116="previous baseline — desktop manual",I116="browser emulation — manual",LEFT(I116,11)="real device"),S116=""),"needs protocol ref",IF(AND(LEFT(I116,18)="browser automation",T116=""),"needs automation ref",IF(AND(LEFT(I116,11)="real device",OR(K116="",L116="",M116="",N116="",P116="")),"needs device details",IF(AND(OR(U116="passed",U116="failed",U116="blocked"),V116=""),"needs result date","ready"))))))</f>
        <v/>
      </c>
    </row>
    <row r="117" customFormat="false" ht="15" hidden="false" customHeight="true" outlineLevel="0" collapsed="false">
      <c r="Y117" s="37" t="str">
        <f aca="false">IF(A117="","",IF(COUNTBLANK(A117:E117)+COUNTBLANK(G117:J117)+COUNTBLANK(Q117:R117)+COUNTBLANK(U117)&gt;0,"needs core fields",IF(AND(OR(I117="previous baseline — desktop manual",I117="browser emulation — manual",LEFT(I117,11)="real device"),S117=""),"needs protocol ref",IF(AND(LEFT(I117,18)="browser automation",T117=""),"needs automation ref",IF(AND(LEFT(I117,11)="real device",OR(K117="",L117="",M117="",N117="",P117="")),"needs device details",IF(AND(OR(U117="passed",U117="failed",U117="blocked"),V117=""),"needs result date","ready"))))))</f>
        <v/>
      </c>
    </row>
    <row r="118" customFormat="false" ht="15" hidden="false" customHeight="true" outlineLevel="0" collapsed="false">
      <c r="Y118" s="37" t="str">
        <f aca="false">IF(A118="","",IF(COUNTBLANK(A118:E118)+COUNTBLANK(G118:J118)+COUNTBLANK(Q118:R118)+COUNTBLANK(U118)&gt;0,"needs core fields",IF(AND(OR(I118="previous baseline — desktop manual",I118="browser emulation — manual",LEFT(I118,11)="real device"),S118=""),"needs protocol ref",IF(AND(LEFT(I118,18)="browser automation",T118=""),"needs automation ref",IF(AND(LEFT(I118,11)="real device",OR(K118="",L118="",M118="",N118="",P118="")),"needs device details",IF(AND(OR(U118="passed",U118="failed",U118="blocked"),V118=""),"needs result date","ready"))))))</f>
        <v/>
      </c>
    </row>
    <row r="119" customFormat="false" ht="15" hidden="false" customHeight="true" outlineLevel="0" collapsed="false">
      <c r="Y119" s="37" t="str">
        <f aca="false">IF(A119="","",IF(COUNTBLANK(A119:E119)+COUNTBLANK(G119:J119)+COUNTBLANK(Q119:R119)+COUNTBLANK(U119)&gt;0,"needs core fields",IF(AND(OR(I119="previous baseline — desktop manual",I119="browser emulation — manual",LEFT(I119,11)="real device"),S119=""),"needs protocol ref",IF(AND(LEFT(I119,18)="browser automation",T119=""),"needs automation ref",IF(AND(LEFT(I119,11)="real device",OR(K119="",L119="",M119="",N119="",P119="")),"needs device details",IF(AND(OR(U119="passed",U119="failed",U119="blocked"),V119=""),"needs result date","ready"))))))</f>
        <v/>
      </c>
    </row>
    <row r="120" customFormat="false" ht="15" hidden="false" customHeight="true" outlineLevel="0" collapsed="false">
      <c r="Y120" s="37" t="str">
        <f aca="false">IF(A120="","",IF(COUNTBLANK(A120:E120)+COUNTBLANK(G120:J120)+COUNTBLANK(Q120:R120)+COUNTBLANK(U120)&gt;0,"needs core fields",IF(AND(OR(I120="previous baseline — desktop manual",I120="browser emulation — manual",LEFT(I120,11)="real device"),S120=""),"needs protocol ref",IF(AND(LEFT(I120,18)="browser automation",T120=""),"needs automation ref",IF(AND(LEFT(I120,11)="real device",OR(K120="",L120="",M120="",N120="",P120="")),"needs device details",IF(AND(OR(U120="passed",U120="failed",U120="blocked"),V120=""),"needs result date","ready"))))))</f>
        <v/>
      </c>
    </row>
    <row r="121" customFormat="false" ht="15" hidden="false" customHeight="true" outlineLevel="0" collapsed="false">
      <c r="Y121" s="37" t="str">
        <f aca="false">IF(A121="","",IF(COUNTBLANK(A121:E121)+COUNTBLANK(G121:J121)+COUNTBLANK(Q121:R121)+COUNTBLANK(U121)&gt;0,"needs core fields",IF(AND(OR(I121="previous baseline — desktop manual",I121="browser emulation — manual",LEFT(I121,11)="real device"),S121=""),"needs protocol ref",IF(AND(LEFT(I121,18)="browser automation",T121=""),"needs automation ref",IF(AND(LEFT(I121,11)="real device",OR(K121="",L121="",M121="",N121="",P121="")),"needs device details",IF(AND(OR(U121="passed",U121="failed",U121="blocked"),V121=""),"needs result date","ready"))))))</f>
        <v/>
      </c>
    </row>
    <row r="122" customFormat="false" ht="15" hidden="false" customHeight="true" outlineLevel="0" collapsed="false">
      <c r="Y122" s="37" t="str">
        <f aca="false">IF(A122="","",IF(COUNTBLANK(A122:E122)+COUNTBLANK(G122:J122)+COUNTBLANK(Q122:R122)+COUNTBLANK(U122)&gt;0,"needs core fields",IF(AND(OR(I122="previous baseline — desktop manual",I122="browser emulation — manual",LEFT(I122,11)="real device"),S122=""),"needs protocol ref",IF(AND(LEFT(I122,18)="browser automation",T122=""),"needs automation ref",IF(AND(LEFT(I122,11)="real device",OR(K122="",L122="",M122="",N122="",P122="")),"needs device details",IF(AND(OR(U122="passed",U122="failed",U122="blocked"),V122=""),"needs result date","ready"))))))</f>
        <v/>
      </c>
    </row>
    <row r="123" customFormat="false" ht="15" hidden="false" customHeight="true" outlineLevel="0" collapsed="false">
      <c r="Y123" s="37" t="str">
        <f aca="false">IF(A123="","",IF(COUNTBLANK(A123:E123)+COUNTBLANK(G123:J123)+COUNTBLANK(Q123:R123)+COUNTBLANK(U123)&gt;0,"needs core fields",IF(AND(OR(I123="previous baseline — desktop manual",I123="browser emulation — manual",LEFT(I123,11)="real device"),S123=""),"needs protocol ref",IF(AND(LEFT(I123,18)="browser automation",T123=""),"needs automation ref",IF(AND(LEFT(I123,11)="real device",OR(K123="",L123="",M123="",N123="",P123="")),"needs device details",IF(AND(OR(U123="passed",U123="failed",U123="blocked"),V123=""),"needs result date","ready"))))))</f>
        <v/>
      </c>
    </row>
    <row r="124" customFormat="false" ht="15" hidden="false" customHeight="true" outlineLevel="0" collapsed="false">
      <c r="Y124" s="37" t="str">
        <f aca="false">IF(A124="","",IF(COUNTBLANK(A124:E124)+COUNTBLANK(G124:J124)+COUNTBLANK(Q124:R124)+COUNTBLANK(U124)&gt;0,"needs core fields",IF(AND(OR(I124="previous baseline — desktop manual",I124="browser emulation — manual",LEFT(I124,11)="real device"),S124=""),"needs protocol ref",IF(AND(LEFT(I124,18)="browser automation",T124=""),"needs automation ref",IF(AND(LEFT(I124,11)="real device",OR(K124="",L124="",M124="",N124="",P124="")),"needs device details",IF(AND(OR(U124="passed",U124="failed",U124="blocked"),V124=""),"needs result date","ready"))))))</f>
        <v/>
      </c>
    </row>
    <row r="125" customFormat="false" ht="15" hidden="false" customHeight="true" outlineLevel="0" collapsed="false">
      <c r="Y125" s="37" t="str">
        <f aca="false">IF(A125="","",IF(COUNTBLANK(A125:E125)+COUNTBLANK(G125:J125)+COUNTBLANK(Q125:R125)+COUNTBLANK(U125)&gt;0,"needs core fields",IF(AND(OR(I125="previous baseline — desktop manual",I125="browser emulation — manual",LEFT(I125,11)="real device"),S125=""),"needs protocol ref",IF(AND(LEFT(I125,18)="browser automation",T125=""),"needs automation ref",IF(AND(LEFT(I125,11)="real device",OR(K125="",L125="",M125="",N125="",P125="")),"needs device details",IF(AND(OR(U125="passed",U125="failed",U125="blocked"),V125=""),"needs result date","ready"))))))</f>
        <v/>
      </c>
    </row>
    <row r="126" customFormat="false" ht="15" hidden="false" customHeight="true" outlineLevel="0" collapsed="false">
      <c r="Y126" s="37" t="str">
        <f aca="false">IF(A126="","",IF(COUNTBLANK(A126:E126)+COUNTBLANK(G126:J126)+COUNTBLANK(Q126:R126)+COUNTBLANK(U126)&gt;0,"needs core fields",IF(AND(OR(I126="previous baseline — desktop manual",I126="browser emulation — manual",LEFT(I126,11)="real device"),S126=""),"needs protocol ref",IF(AND(LEFT(I126,18)="browser automation",T126=""),"needs automation ref",IF(AND(LEFT(I126,11)="real device",OR(K126="",L126="",M126="",N126="",P126="")),"needs device details",IF(AND(OR(U126="passed",U126="failed",U126="blocked"),V126=""),"needs result date","ready"))))))</f>
        <v/>
      </c>
    </row>
    <row r="127" customFormat="false" ht="15" hidden="false" customHeight="true" outlineLevel="0" collapsed="false">
      <c r="Y127" s="37" t="str">
        <f aca="false">IF(A127="","",IF(COUNTBLANK(A127:E127)+COUNTBLANK(G127:J127)+COUNTBLANK(Q127:R127)+COUNTBLANK(U127)&gt;0,"needs core fields",IF(AND(OR(I127="previous baseline — desktop manual",I127="browser emulation — manual",LEFT(I127,11)="real device"),S127=""),"needs protocol ref",IF(AND(LEFT(I127,18)="browser automation",T127=""),"needs automation ref",IF(AND(LEFT(I127,11)="real device",OR(K127="",L127="",M127="",N127="",P127="")),"needs device details",IF(AND(OR(U127="passed",U127="failed",U127="blocked"),V127=""),"needs result date","ready"))))))</f>
        <v/>
      </c>
    </row>
    <row r="128" customFormat="false" ht="15" hidden="false" customHeight="true" outlineLevel="0" collapsed="false">
      <c r="Y128" s="37" t="str">
        <f aca="false">IF(A128="","",IF(COUNTBLANK(A128:E128)+COUNTBLANK(G128:J128)+COUNTBLANK(Q128:R128)+COUNTBLANK(U128)&gt;0,"needs core fields",IF(AND(OR(I128="previous baseline — desktop manual",I128="browser emulation — manual",LEFT(I128,11)="real device"),S128=""),"needs protocol ref",IF(AND(LEFT(I128,18)="browser automation",T128=""),"needs automation ref",IF(AND(LEFT(I128,11)="real device",OR(K128="",L128="",M128="",N128="",P128="")),"needs device details",IF(AND(OR(U128="passed",U128="failed",U128="blocked"),V128=""),"needs result date","ready"))))))</f>
        <v/>
      </c>
    </row>
    <row r="129" customFormat="false" ht="15" hidden="false" customHeight="true" outlineLevel="0" collapsed="false">
      <c r="Y129" s="37" t="str">
        <f aca="false">IF(A129="","",IF(COUNTBLANK(A129:E129)+COUNTBLANK(G129:J129)+COUNTBLANK(Q129:R129)+COUNTBLANK(U129)&gt;0,"needs core fields",IF(AND(OR(I129="previous baseline — desktop manual",I129="browser emulation — manual",LEFT(I129,11)="real device"),S129=""),"needs protocol ref",IF(AND(LEFT(I129,18)="browser automation",T129=""),"needs automation ref",IF(AND(LEFT(I129,11)="real device",OR(K129="",L129="",M129="",N129="",P129="")),"needs device details",IF(AND(OR(U129="passed",U129="failed",U129="blocked"),V129=""),"needs result date","ready"))))))</f>
        <v/>
      </c>
    </row>
    <row r="130" customFormat="false" ht="15" hidden="false" customHeight="true" outlineLevel="0" collapsed="false">
      <c r="Y130" s="37" t="str">
        <f aca="false">IF(A130="","",IF(COUNTBLANK(A130:E130)+COUNTBLANK(G130:J130)+COUNTBLANK(Q130:R130)+COUNTBLANK(U130)&gt;0,"needs core fields",IF(AND(OR(I130="previous baseline — desktop manual",I130="browser emulation — manual",LEFT(I130,11)="real device"),S130=""),"needs protocol ref",IF(AND(LEFT(I130,18)="browser automation",T130=""),"needs automation ref",IF(AND(LEFT(I130,11)="real device",OR(K130="",L130="",M130="",N130="",P130="")),"needs device details",IF(AND(OR(U130="passed",U130="failed",U130="blocked"),V130=""),"needs result date","ready"))))))</f>
        <v/>
      </c>
    </row>
    <row r="131" customFormat="false" ht="15" hidden="false" customHeight="true" outlineLevel="0" collapsed="false">
      <c r="Y131" s="37" t="str">
        <f aca="false">IF(A131="","",IF(COUNTBLANK(A131:E131)+COUNTBLANK(G131:J131)+COUNTBLANK(Q131:R131)+COUNTBLANK(U131)&gt;0,"needs core fields",IF(AND(OR(I131="previous baseline — desktop manual",I131="browser emulation — manual",LEFT(I131,11)="real device"),S131=""),"needs protocol ref",IF(AND(LEFT(I131,18)="browser automation",T131=""),"needs automation ref",IF(AND(LEFT(I131,11)="real device",OR(K131="",L131="",M131="",N131="",P131="")),"needs device details",IF(AND(OR(U131="passed",U131="failed",U131="blocked"),V131=""),"needs result date","ready"))))))</f>
        <v/>
      </c>
    </row>
    <row r="132" customFormat="false" ht="15" hidden="false" customHeight="true" outlineLevel="0" collapsed="false">
      <c r="Y132" s="37" t="str">
        <f aca="false">IF(A132="","",IF(COUNTBLANK(A132:E132)+COUNTBLANK(G132:J132)+COUNTBLANK(Q132:R132)+COUNTBLANK(U132)&gt;0,"needs core fields",IF(AND(OR(I132="previous baseline — desktop manual",I132="browser emulation — manual",LEFT(I132,11)="real device"),S132=""),"needs protocol ref",IF(AND(LEFT(I132,18)="browser automation",T132=""),"needs automation ref",IF(AND(LEFT(I132,11)="real device",OR(K132="",L132="",M132="",N132="",P132="")),"needs device details",IF(AND(OR(U132="passed",U132="failed",U132="blocked"),V132=""),"needs result date","ready"))))))</f>
        <v/>
      </c>
    </row>
    <row r="133" customFormat="false" ht="15" hidden="false" customHeight="true" outlineLevel="0" collapsed="false">
      <c r="Y133" s="37" t="str">
        <f aca="false">IF(A133="","",IF(COUNTBLANK(A133:E133)+COUNTBLANK(G133:J133)+COUNTBLANK(Q133:R133)+COUNTBLANK(U133)&gt;0,"needs core fields",IF(AND(OR(I133="previous baseline — desktop manual",I133="browser emulation — manual",LEFT(I133,11)="real device"),S133=""),"needs protocol ref",IF(AND(LEFT(I133,18)="browser automation",T133=""),"needs automation ref",IF(AND(LEFT(I133,11)="real device",OR(K133="",L133="",M133="",N133="",P133="")),"needs device details",IF(AND(OR(U133="passed",U133="failed",U133="blocked"),V133=""),"needs result date","ready"))))))</f>
        <v/>
      </c>
    </row>
    <row r="134" customFormat="false" ht="15" hidden="false" customHeight="true" outlineLevel="0" collapsed="false">
      <c r="Y134" s="37" t="str">
        <f aca="false">IF(A134="","",IF(COUNTBLANK(A134:E134)+COUNTBLANK(G134:J134)+COUNTBLANK(Q134:R134)+COUNTBLANK(U134)&gt;0,"needs core fields",IF(AND(OR(I134="previous baseline — desktop manual",I134="browser emulation — manual",LEFT(I134,11)="real device"),S134=""),"needs protocol ref",IF(AND(LEFT(I134,18)="browser automation",T134=""),"needs automation ref",IF(AND(LEFT(I134,11)="real device",OR(K134="",L134="",M134="",N134="",P134="")),"needs device details",IF(AND(OR(U134="passed",U134="failed",U134="blocked"),V134=""),"needs result date","ready"))))))</f>
        <v/>
      </c>
    </row>
    <row r="135" customFormat="false" ht="15" hidden="false" customHeight="true" outlineLevel="0" collapsed="false">
      <c r="Y135" s="37" t="str">
        <f aca="false">IF(A135="","",IF(COUNTBLANK(A135:E135)+COUNTBLANK(G135:J135)+COUNTBLANK(Q135:R135)+COUNTBLANK(U135)&gt;0,"needs core fields",IF(AND(OR(I135="previous baseline — desktop manual",I135="browser emulation — manual",LEFT(I135,11)="real device"),S135=""),"needs protocol ref",IF(AND(LEFT(I135,18)="browser automation",T135=""),"needs automation ref",IF(AND(LEFT(I135,11)="real device",OR(K135="",L135="",M135="",N135="",P135="")),"needs device details",IF(AND(OR(U135="passed",U135="failed",U135="blocked"),V135=""),"needs result date","ready"))))))</f>
        <v/>
      </c>
    </row>
    <row r="136" customFormat="false" ht="15" hidden="false" customHeight="true" outlineLevel="0" collapsed="false">
      <c r="Y136" s="37" t="str">
        <f aca="false">IF(A136="","",IF(COUNTBLANK(A136:E136)+COUNTBLANK(G136:J136)+COUNTBLANK(Q136:R136)+COUNTBLANK(U136)&gt;0,"needs core fields",IF(AND(OR(I136="previous baseline — desktop manual",I136="browser emulation — manual",LEFT(I136,11)="real device"),S136=""),"needs protocol ref",IF(AND(LEFT(I136,18)="browser automation",T136=""),"needs automation ref",IF(AND(LEFT(I136,11)="real device",OR(K136="",L136="",M136="",N136="",P136="")),"needs device details",IF(AND(OR(U136="passed",U136="failed",U136="blocked"),V136=""),"needs result date","ready"))))))</f>
        <v/>
      </c>
    </row>
    <row r="137" customFormat="false" ht="15" hidden="false" customHeight="true" outlineLevel="0" collapsed="false">
      <c r="Y137" s="37" t="str">
        <f aca="false">IF(A137="","",IF(COUNTBLANK(A137:E137)+COUNTBLANK(G137:J137)+COUNTBLANK(Q137:R137)+COUNTBLANK(U137)&gt;0,"needs core fields",IF(AND(OR(I137="previous baseline — desktop manual",I137="browser emulation — manual",LEFT(I137,11)="real device"),S137=""),"needs protocol ref",IF(AND(LEFT(I137,18)="browser automation",T137=""),"needs automation ref",IF(AND(LEFT(I137,11)="real device",OR(K137="",L137="",M137="",N137="",P137="")),"needs device details",IF(AND(OR(U137="passed",U137="failed",U137="blocked"),V137=""),"needs result date","ready"))))))</f>
        <v/>
      </c>
    </row>
    <row r="138" customFormat="false" ht="15" hidden="false" customHeight="true" outlineLevel="0" collapsed="false">
      <c r="Y138" s="37" t="str">
        <f aca="false">IF(A138="","",IF(COUNTBLANK(A138:E138)+COUNTBLANK(G138:J138)+COUNTBLANK(Q138:R138)+COUNTBLANK(U138)&gt;0,"needs core fields",IF(AND(OR(I138="previous baseline — desktop manual",I138="browser emulation — manual",LEFT(I138,11)="real device"),S138=""),"needs protocol ref",IF(AND(LEFT(I138,18)="browser automation",T138=""),"needs automation ref",IF(AND(LEFT(I138,11)="real device",OR(K138="",L138="",M138="",N138="",P138="")),"needs device details",IF(AND(OR(U138="passed",U138="failed",U138="blocked"),V138=""),"needs result date","ready"))))))</f>
        <v/>
      </c>
    </row>
    <row r="139" customFormat="false" ht="15" hidden="false" customHeight="true" outlineLevel="0" collapsed="false">
      <c r="Y139" s="37" t="str">
        <f aca="false">IF(A139="","",IF(COUNTBLANK(A139:E139)+COUNTBLANK(G139:J139)+COUNTBLANK(Q139:R139)+COUNTBLANK(U139)&gt;0,"needs core fields",IF(AND(OR(I139="previous baseline — desktop manual",I139="browser emulation — manual",LEFT(I139,11)="real device"),S139=""),"needs protocol ref",IF(AND(LEFT(I139,18)="browser automation",T139=""),"needs automation ref",IF(AND(LEFT(I139,11)="real device",OR(K139="",L139="",M139="",N139="",P139="")),"needs device details",IF(AND(OR(U139="passed",U139="failed",U139="blocked"),V139=""),"needs result date","ready"))))))</f>
        <v/>
      </c>
    </row>
    <row r="140" customFormat="false" ht="15" hidden="false" customHeight="true" outlineLevel="0" collapsed="false">
      <c r="Y140" s="37" t="str">
        <f aca="false">IF(A140="","",IF(COUNTBLANK(A140:E140)+COUNTBLANK(G140:J140)+COUNTBLANK(Q140:R140)+COUNTBLANK(U140)&gt;0,"needs core fields",IF(AND(OR(I140="previous baseline — desktop manual",I140="browser emulation — manual",LEFT(I140,11)="real device"),S140=""),"needs protocol ref",IF(AND(LEFT(I140,18)="browser automation",T140=""),"needs automation ref",IF(AND(LEFT(I140,11)="real device",OR(K140="",L140="",M140="",N140="",P140="")),"needs device details",IF(AND(OR(U140="passed",U140="failed",U140="blocked"),V140=""),"needs result date","ready"))))))</f>
        <v/>
      </c>
    </row>
    <row r="141" customFormat="false" ht="15" hidden="false" customHeight="true" outlineLevel="0" collapsed="false">
      <c r="Y141" s="37" t="str">
        <f aca="false">IF(A141="","",IF(COUNTBLANK(A141:E141)+COUNTBLANK(G141:J141)+COUNTBLANK(Q141:R141)+COUNTBLANK(U141)&gt;0,"needs core fields",IF(AND(OR(I141="previous baseline — desktop manual",I141="browser emulation — manual",LEFT(I141,11)="real device"),S141=""),"needs protocol ref",IF(AND(LEFT(I141,18)="browser automation",T141=""),"needs automation ref",IF(AND(LEFT(I141,11)="real device",OR(K141="",L141="",M141="",N141="",P141="")),"needs device details",IF(AND(OR(U141="passed",U141="failed",U141="blocked"),V141=""),"needs result date","ready"))))))</f>
        <v/>
      </c>
    </row>
    <row r="142" customFormat="false" ht="15" hidden="false" customHeight="true" outlineLevel="0" collapsed="false">
      <c r="Y142" s="37" t="str">
        <f aca="false">IF(A142="","",IF(COUNTBLANK(A142:E142)+COUNTBLANK(G142:J142)+COUNTBLANK(Q142:R142)+COUNTBLANK(U142)&gt;0,"needs core fields",IF(AND(OR(I142="previous baseline — desktop manual",I142="browser emulation — manual",LEFT(I142,11)="real device"),S142=""),"needs protocol ref",IF(AND(LEFT(I142,18)="browser automation",T142=""),"needs automation ref",IF(AND(LEFT(I142,11)="real device",OR(K142="",L142="",M142="",N142="",P142="")),"needs device details",IF(AND(OR(U142="passed",U142="failed",U142="blocked"),V142=""),"needs result date","ready"))))))</f>
        <v/>
      </c>
    </row>
    <row r="143" customFormat="false" ht="15" hidden="false" customHeight="true" outlineLevel="0" collapsed="false">
      <c r="Y143" s="37" t="str">
        <f aca="false">IF(A143="","",IF(COUNTBLANK(A143:E143)+COUNTBLANK(G143:J143)+COUNTBLANK(Q143:R143)+COUNTBLANK(U143)&gt;0,"needs core fields",IF(AND(OR(I143="previous baseline — desktop manual",I143="browser emulation — manual",LEFT(I143,11)="real device"),S143=""),"needs protocol ref",IF(AND(LEFT(I143,18)="browser automation",T143=""),"needs automation ref",IF(AND(LEFT(I143,11)="real device",OR(K143="",L143="",M143="",N143="",P143="")),"needs device details",IF(AND(OR(U143="passed",U143="failed",U143="blocked"),V143=""),"needs result date","ready"))))))</f>
        <v/>
      </c>
    </row>
    <row r="144" customFormat="false" ht="15" hidden="false" customHeight="true" outlineLevel="0" collapsed="false">
      <c r="Y144" s="37" t="str">
        <f aca="false">IF(A144="","",IF(COUNTBLANK(A144:E144)+COUNTBLANK(G144:J144)+COUNTBLANK(Q144:R144)+COUNTBLANK(U144)&gt;0,"needs core fields",IF(AND(OR(I144="previous baseline — desktop manual",I144="browser emulation — manual",LEFT(I144,11)="real device"),S144=""),"needs protocol ref",IF(AND(LEFT(I144,18)="browser automation",T144=""),"needs automation ref",IF(AND(LEFT(I144,11)="real device",OR(K144="",L144="",M144="",N144="",P144="")),"needs device details",IF(AND(OR(U144="passed",U144="failed",U144="blocked"),V144=""),"needs result date","ready"))))))</f>
        <v/>
      </c>
    </row>
    <row r="145" customFormat="false" ht="15" hidden="false" customHeight="true" outlineLevel="0" collapsed="false">
      <c r="Y145" s="37" t="str">
        <f aca="false">IF(A145="","",IF(COUNTBLANK(A145:E145)+COUNTBLANK(G145:J145)+COUNTBLANK(Q145:R145)+COUNTBLANK(U145)&gt;0,"needs core fields",IF(AND(OR(I145="previous baseline — desktop manual",I145="browser emulation — manual",LEFT(I145,11)="real device"),S145=""),"needs protocol ref",IF(AND(LEFT(I145,18)="browser automation",T145=""),"needs automation ref",IF(AND(LEFT(I145,11)="real device",OR(K145="",L145="",M145="",N145="",P145="")),"needs device details",IF(AND(OR(U145="passed",U145="failed",U145="blocked"),V145=""),"needs result date","ready"))))))</f>
        <v/>
      </c>
    </row>
    <row r="146" customFormat="false" ht="15" hidden="false" customHeight="true" outlineLevel="0" collapsed="false">
      <c r="Y146" s="37" t="str">
        <f aca="false">IF(A146="","",IF(COUNTBLANK(A146:E146)+COUNTBLANK(G146:J146)+COUNTBLANK(Q146:R146)+COUNTBLANK(U146)&gt;0,"needs core fields",IF(AND(OR(I146="previous baseline — desktop manual",I146="browser emulation — manual",LEFT(I146,11)="real device"),S146=""),"needs protocol ref",IF(AND(LEFT(I146,18)="browser automation",T146=""),"needs automation ref",IF(AND(LEFT(I146,11)="real device",OR(K146="",L146="",M146="",N146="",P146="")),"needs device details",IF(AND(OR(U146="passed",U146="failed",U146="blocked"),V146=""),"needs result date","ready"))))))</f>
        <v/>
      </c>
    </row>
    <row r="147" customFormat="false" ht="15" hidden="false" customHeight="true" outlineLevel="0" collapsed="false">
      <c r="Y147" s="37" t="str">
        <f aca="false">IF(A147="","",IF(COUNTBLANK(A147:E147)+COUNTBLANK(G147:J147)+COUNTBLANK(Q147:R147)+COUNTBLANK(U147)&gt;0,"needs core fields",IF(AND(OR(I147="previous baseline — desktop manual",I147="browser emulation — manual",LEFT(I147,11)="real device"),S147=""),"needs protocol ref",IF(AND(LEFT(I147,18)="browser automation",T147=""),"needs automation ref",IF(AND(LEFT(I147,11)="real device",OR(K147="",L147="",M147="",N147="",P147="")),"needs device details",IF(AND(OR(U147="passed",U147="failed",U147="blocked"),V147=""),"needs result date","ready"))))))</f>
        <v/>
      </c>
    </row>
    <row r="148" customFormat="false" ht="15" hidden="false" customHeight="true" outlineLevel="0" collapsed="false">
      <c r="Y148" s="37" t="str">
        <f aca="false">IF(A148="","",IF(COUNTBLANK(A148:E148)+COUNTBLANK(G148:J148)+COUNTBLANK(Q148:R148)+COUNTBLANK(U148)&gt;0,"needs core fields",IF(AND(OR(I148="previous baseline — desktop manual",I148="browser emulation — manual",LEFT(I148,11)="real device"),S148=""),"needs protocol ref",IF(AND(LEFT(I148,18)="browser automation",T148=""),"needs automation ref",IF(AND(LEFT(I148,11)="real device",OR(K148="",L148="",M148="",N148="",P148="")),"needs device details",IF(AND(OR(U148="passed",U148="failed",U148="blocked"),V148=""),"needs result date","ready"))))))</f>
        <v/>
      </c>
    </row>
    <row r="149" customFormat="false" ht="15" hidden="false" customHeight="true" outlineLevel="0" collapsed="false">
      <c r="Y149" s="37" t="str">
        <f aca="false">IF(A149="","",IF(COUNTBLANK(A149:E149)+COUNTBLANK(G149:J149)+COUNTBLANK(Q149:R149)+COUNTBLANK(U149)&gt;0,"needs core fields",IF(AND(OR(I149="previous baseline — desktop manual",I149="browser emulation — manual",LEFT(I149,11)="real device"),S149=""),"needs protocol ref",IF(AND(LEFT(I149,18)="browser automation",T149=""),"needs automation ref",IF(AND(LEFT(I149,11)="real device",OR(K149="",L149="",M149="",N149="",P149="")),"needs device details",IF(AND(OR(U149="passed",U149="failed",U149="blocked"),V149=""),"needs result date","ready"))))))</f>
        <v/>
      </c>
    </row>
    <row r="150" customFormat="false" ht="15" hidden="false" customHeight="true" outlineLevel="0" collapsed="false">
      <c r="Y150" s="37" t="str">
        <f aca="false">IF(A150="","",IF(COUNTBLANK(A150:E150)+COUNTBLANK(G150:J150)+COUNTBLANK(Q150:R150)+COUNTBLANK(U150)&gt;0,"needs core fields",IF(AND(OR(I150="previous baseline — desktop manual",I150="browser emulation — manual",LEFT(I150,11)="real device"),S150=""),"needs protocol ref",IF(AND(LEFT(I150,18)="browser automation",T150=""),"needs automation ref",IF(AND(LEFT(I150,11)="real device",OR(K150="",L150="",M150="",N150="",P150="")),"needs device details",IF(AND(OR(U150="passed",U150="failed",U150="blocked"),V150=""),"needs result date","ready"))))))</f>
        <v/>
      </c>
    </row>
    <row r="151" customFormat="false" ht="15" hidden="false" customHeight="true" outlineLevel="0" collapsed="false">
      <c r="Y151" s="37" t="str">
        <f aca="false">IF(A151="","",IF(COUNTBLANK(A151:E151)+COUNTBLANK(G151:J151)+COUNTBLANK(Q151:R151)+COUNTBLANK(U151)&gt;0,"needs core fields",IF(AND(OR(I151="previous baseline — desktop manual",I151="browser emulation — manual",LEFT(I151,11)="real device"),S151=""),"needs protocol ref",IF(AND(LEFT(I151,18)="browser automation",T151=""),"needs automation ref",IF(AND(LEFT(I151,11)="real device",OR(K151="",L151="",M151="",N151="",P151="")),"needs device details",IF(AND(OR(U151="passed",U151="failed",U151="blocked"),V151=""),"needs result date","ready"))))))</f>
        <v/>
      </c>
    </row>
    <row r="152" customFormat="false" ht="15" hidden="false" customHeight="true" outlineLevel="0" collapsed="false">
      <c r="Y152" s="37" t="str">
        <f aca="false">IF(A152="","",IF(COUNTBLANK(A152:E152)+COUNTBLANK(G152:J152)+COUNTBLANK(Q152:R152)+COUNTBLANK(U152)&gt;0,"needs core fields",IF(AND(OR(I152="previous baseline — desktop manual",I152="browser emulation — manual",LEFT(I152,11)="real device"),S152=""),"needs protocol ref",IF(AND(LEFT(I152,18)="browser automation",T152=""),"needs automation ref",IF(AND(LEFT(I152,11)="real device",OR(K152="",L152="",M152="",N152="",P152="")),"needs device details",IF(AND(OR(U152="passed",U152="failed",U152="blocked"),V152=""),"needs result date","ready"))))))</f>
        <v/>
      </c>
    </row>
    <row r="153" customFormat="false" ht="15" hidden="false" customHeight="true" outlineLevel="0" collapsed="false">
      <c r="Y153" s="37" t="str">
        <f aca="false">IF(A153="","",IF(COUNTBLANK(A153:E153)+COUNTBLANK(G153:J153)+COUNTBLANK(Q153:R153)+COUNTBLANK(U153)&gt;0,"needs core fields",IF(AND(OR(I153="previous baseline — desktop manual",I153="browser emulation — manual",LEFT(I153,11)="real device"),S153=""),"needs protocol ref",IF(AND(LEFT(I153,18)="browser automation",T153=""),"needs automation ref",IF(AND(LEFT(I153,11)="real device",OR(K153="",L153="",M153="",N153="",P153="")),"needs device details",IF(AND(OR(U153="passed",U153="failed",U153="blocked"),V153=""),"needs result date","ready"))))))</f>
        <v/>
      </c>
    </row>
    <row r="154" customFormat="false" ht="15" hidden="false" customHeight="true" outlineLevel="0" collapsed="false">
      <c r="Y154" s="37" t="str">
        <f aca="false">IF(A154="","",IF(COUNTBLANK(A154:E154)+COUNTBLANK(G154:J154)+COUNTBLANK(Q154:R154)+COUNTBLANK(U154)&gt;0,"needs core fields",IF(AND(OR(I154="previous baseline — desktop manual",I154="browser emulation — manual",LEFT(I154,11)="real device"),S154=""),"needs protocol ref",IF(AND(LEFT(I154,18)="browser automation",T154=""),"needs automation ref",IF(AND(LEFT(I154,11)="real device",OR(K154="",L154="",M154="",N154="",P154="")),"needs device details",IF(AND(OR(U154="passed",U154="failed",U154="blocked"),V154=""),"needs result date","ready"))))))</f>
        <v/>
      </c>
    </row>
    <row r="155" customFormat="false" ht="15" hidden="false" customHeight="true" outlineLevel="0" collapsed="false">
      <c r="Y155" s="37" t="str">
        <f aca="false">IF(A155="","",IF(COUNTBLANK(A155:E155)+COUNTBLANK(G155:J155)+COUNTBLANK(Q155:R155)+COUNTBLANK(U155)&gt;0,"needs core fields",IF(AND(OR(I155="previous baseline — desktop manual",I155="browser emulation — manual",LEFT(I155,11)="real device"),S155=""),"needs protocol ref",IF(AND(LEFT(I155,18)="browser automation",T155=""),"needs automation ref",IF(AND(LEFT(I155,11)="real device",OR(K155="",L155="",M155="",N155="",P155="")),"needs device details",IF(AND(OR(U155="passed",U155="failed",U155="blocked"),V155=""),"needs result date","ready"))))))</f>
        <v/>
      </c>
    </row>
    <row r="156" customFormat="false" ht="15" hidden="false" customHeight="true" outlineLevel="0" collapsed="false">
      <c r="Y156" s="37" t="str">
        <f aca="false">IF(A156="","",IF(COUNTBLANK(A156:E156)+COUNTBLANK(G156:J156)+COUNTBLANK(Q156:R156)+COUNTBLANK(U156)&gt;0,"needs core fields",IF(AND(OR(I156="previous baseline — desktop manual",I156="browser emulation — manual",LEFT(I156,11)="real device"),S156=""),"needs protocol ref",IF(AND(LEFT(I156,18)="browser automation",T156=""),"needs automation ref",IF(AND(LEFT(I156,11)="real device",OR(K156="",L156="",M156="",N156="",P156="")),"needs device details",IF(AND(OR(U156="passed",U156="failed",U156="blocked"),V156=""),"needs result date","ready"))))))</f>
        <v/>
      </c>
    </row>
    <row r="157" customFormat="false" ht="15" hidden="false" customHeight="true" outlineLevel="0" collapsed="false">
      <c r="Y157" s="37" t="str">
        <f aca="false">IF(A157="","",IF(COUNTBLANK(A157:E157)+COUNTBLANK(G157:J157)+COUNTBLANK(Q157:R157)+COUNTBLANK(U157)&gt;0,"needs core fields",IF(AND(OR(I157="previous baseline — desktop manual",I157="browser emulation — manual",LEFT(I157,11)="real device"),S157=""),"needs protocol ref",IF(AND(LEFT(I157,18)="browser automation",T157=""),"needs automation ref",IF(AND(LEFT(I157,11)="real device",OR(K157="",L157="",M157="",N157="",P157="")),"needs device details",IF(AND(OR(U157="passed",U157="failed",U157="blocked"),V157=""),"needs result date","ready"))))))</f>
        <v/>
      </c>
    </row>
    <row r="158" customFormat="false" ht="15" hidden="false" customHeight="true" outlineLevel="0" collapsed="false">
      <c r="Y158" s="37" t="str">
        <f aca="false">IF(A158="","",IF(COUNTBLANK(A158:E158)+COUNTBLANK(G158:J158)+COUNTBLANK(Q158:R158)+COUNTBLANK(U158)&gt;0,"needs core fields",IF(AND(OR(I158="previous baseline — desktop manual",I158="browser emulation — manual",LEFT(I158,11)="real device"),S158=""),"needs protocol ref",IF(AND(LEFT(I158,18)="browser automation",T158=""),"needs automation ref",IF(AND(LEFT(I158,11)="real device",OR(K158="",L158="",M158="",N158="",P158="")),"needs device details",IF(AND(OR(U158="passed",U158="failed",U158="blocked"),V158=""),"needs result date","ready"))))))</f>
        <v/>
      </c>
    </row>
    <row r="159" customFormat="false" ht="15" hidden="false" customHeight="true" outlineLevel="0" collapsed="false">
      <c r="Y159" s="37" t="str">
        <f aca="false">IF(A159="","",IF(COUNTBLANK(A159:E159)+COUNTBLANK(G159:J159)+COUNTBLANK(Q159:R159)+COUNTBLANK(U159)&gt;0,"needs core fields",IF(AND(OR(I159="previous baseline — desktop manual",I159="browser emulation — manual",LEFT(I159,11)="real device"),S159=""),"needs protocol ref",IF(AND(LEFT(I159,18)="browser automation",T159=""),"needs automation ref",IF(AND(LEFT(I159,11)="real device",OR(K159="",L159="",M159="",N159="",P159="")),"needs device details",IF(AND(OR(U159="passed",U159="failed",U159="blocked"),V159=""),"needs result date","ready"))))))</f>
        <v/>
      </c>
    </row>
    <row r="160" customFormat="false" ht="15" hidden="false" customHeight="true" outlineLevel="0" collapsed="false">
      <c r="Y160" s="37" t="str">
        <f aca="false">IF(A160="","",IF(COUNTBLANK(A160:E160)+COUNTBLANK(G160:J160)+COUNTBLANK(Q160:R160)+COUNTBLANK(U160)&gt;0,"needs core fields",IF(AND(OR(I160="previous baseline — desktop manual",I160="browser emulation — manual",LEFT(I160,11)="real device"),S160=""),"needs protocol ref",IF(AND(LEFT(I160,18)="browser automation",T160=""),"needs automation ref",IF(AND(LEFT(I160,11)="real device",OR(K160="",L160="",M160="",N160="",P160="")),"needs device details",IF(AND(OR(U160="passed",U160="failed",U160="blocked"),V160=""),"needs result date","ready"))))))</f>
        <v/>
      </c>
    </row>
    <row r="161" customFormat="false" ht="15" hidden="false" customHeight="true" outlineLevel="0" collapsed="false">
      <c r="Y161" s="37" t="str">
        <f aca="false">IF(A161="","",IF(COUNTBLANK(A161:E161)+COUNTBLANK(G161:J161)+COUNTBLANK(Q161:R161)+COUNTBLANK(U161)&gt;0,"needs core fields",IF(AND(OR(I161="previous baseline — desktop manual",I161="browser emulation — manual",LEFT(I161,11)="real device"),S161=""),"needs protocol ref",IF(AND(LEFT(I161,18)="browser automation",T161=""),"needs automation ref",IF(AND(LEFT(I161,11)="real device",OR(K161="",L161="",M161="",N161="",P161="")),"needs device details",IF(AND(OR(U161="passed",U161="failed",U161="blocked"),V161=""),"needs result date","ready"))))))</f>
        <v/>
      </c>
    </row>
    <row r="162" customFormat="false" ht="15" hidden="false" customHeight="true" outlineLevel="0" collapsed="false">
      <c r="Y162" s="37" t="str">
        <f aca="false">IF(A162="","",IF(COUNTBLANK(A162:E162)+COUNTBLANK(G162:J162)+COUNTBLANK(Q162:R162)+COUNTBLANK(U162)&gt;0,"needs core fields",IF(AND(OR(I162="previous baseline — desktop manual",I162="browser emulation — manual",LEFT(I162,11)="real device"),S162=""),"needs protocol ref",IF(AND(LEFT(I162,18)="browser automation",T162=""),"needs automation ref",IF(AND(LEFT(I162,11)="real device",OR(K162="",L162="",M162="",N162="",P162="")),"needs device details",IF(AND(OR(U162="passed",U162="failed",U162="blocked"),V162=""),"needs result date","ready"))))))</f>
        <v/>
      </c>
    </row>
    <row r="163" customFormat="false" ht="15" hidden="false" customHeight="true" outlineLevel="0" collapsed="false">
      <c r="Y163" s="37" t="str">
        <f aca="false">IF(A163="","",IF(COUNTBLANK(A163:E163)+COUNTBLANK(G163:J163)+COUNTBLANK(Q163:R163)+COUNTBLANK(U163)&gt;0,"needs core fields",IF(AND(OR(I163="previous baseline — desktop manual",I163="browser emulation — manual",LEFT(I163,11)="real device"),S163=""),"needs protocol ref",IF(AND(LEFT(I163,18)="browser automation",T163=""),"needs automation ref",IF(AND(LEFT(I163,11)="real device",OR(K163="",L163="",M163="",N163="",P163="")),"needs device details",IF(AND(OR(U163="passed",U163="failed",U163="blocked"),V163=""),"needs result date","ready"))))))</f>
        <v/>
      </c>
    </row>
    <row r="164" customFormat="false" ht="15" hidden="false" customHeight="true" outlineLevel="0" collapsed="false">
      <c r="Y164" s="37" t="str">
        <f aca="false">IF(A164="","",IF(COUNTBLANK(A164:E164)+COUNTBLANK(G164:J164)+COUNTBLANK(Q164:R164)+COUNTBLANK(U164)&gt;0,"needs core fields",IF(AND(OR(I164="previous baseline — desktop manual",I164="browser emulation — manual",LEFT(I164,11)="real device"),S164=""),"needs protocol ref",IF(AND(LEFT(I164,18)="browser automation",T164=""),"needs automation ref",IF(AND(LEFT(I164,11)="real device",OR(K164="",L164="",M164="",N164="",P164="")),"needs device details",IF(AND(OR(U164="passed",U164="failed",U164="blocked"),V164=""),"needs result date","ready"))))))</f>
        <v/>
      </c>
    </row>
    <row r="165" customFormat="false" ht="15" hidden="false" customHeight="true" outlineLevel="0" collapsed="false">
      <c r="Y165" s="37" t="str">
        <f aca="false">IF(A165="","",IF(COUNTBLANK(A165:E165)+COUNTBLANK(G165:J165)+COUNTBLANK(Q165:R165)+COUNTBLANK(U165)&gt;0,"needs core fields",IF(AND(OR(I165="previous baseline — desktop manual",I165="browser emulation — manual",LEFT(I165,11)="real device"),S165=""),"needs protocol ref",IF(AND(LEFT(I165,18)="browser automation",T165=""),"needs automation ref",IF(AND(LEFT(I165,11)="real device",OR(K165="",L165="",M165="",N165="",P165="")),"needs device details",IF(AND(OR(U165="passed",U165="failed",U165="blocked"),V165=""),"needs result date","ready"))))))</f>
        <v/>
      </c>
    </row>
    <row r="166" customFormat="false" ht="15" hidden="false" customHeight="true" outlineLevel="0" collapsed="false">
      <c r="Y166" s="37" t="str">
        <f aca="false">IF(A166="","",IF(COUNTBLANK(A166:E166)+COUNTBLANK(G166:J166)+COUNTBLANK(Q166:R166)+COUNTBLANK(U166)&gt;0,"needs core fields",IF(AND(OR(I166="previous baseline — desktop manual",I166="browser emulation — manual",LEFT(I166,11)="real device"),S166=""),"needs protocol ref",IF(AND(LEFT(I166,18)="browser automation",T166=""),"needs automation ref",IF(AND(LEFT(I166,11)="real device",OR(K166="",L166="",M166="",N166="",P166="")),"needs device details",IF(AND(OR(U166="passed",U166="failed",U166="blocked"),V166=""),"needs result date","ready"))))))</f>
        <v/>
      </c>
    </row>
    <row r="167" customFormat="false" ht="15" hidden="false" customHeight="true" outlineLevel="0" collapsed="false">
      <c r="Y167" s="37" t="str">
        <f aca="false">IF(A167="","",IF(COUNTBLANK(A167:E167)+COUNTBLANK(G167:J167)+COUNTBLANK(Q167:R167)+COUNTBLANK(U167)&gt;0,"needs core fields",IF(AND(OR(I167="previous baseline — desktop manual",I167="browser emulation — manual",LEFT(I167,11)="real device"),S167=""),"needs protocol ref",IF(AND(LEFT(I167,18)="browser automation",T167=""),"needs automation ref",IF(AND(LEFT(I167,11)="real device",OR(K167="",L167="",M167="",N167="",P167="")),"needs device details",IF(AND(OR(U167="passed",U167="failed",U167="blocked"),V167=""),"needs result date","ready"))))))</f>
        <v/>
      </c>
    </row>
    <row r="168" customFormat="false" ht="15" hidden="false" customHeight="true" outlineLevel="0" collapsed="false">
      <c r="Y168" s="37" t="str">
        <f aca="false">IF(A168="","",IF(COUNTBLANK(A168:E168)+COUNTBLANK(G168:J168)+COUNTBLANK(Q168:R168)+COUNTBLANK(U168)&gt;0,"needs core fields",IF(AND(OR(I168="previous baseline — desktop manual",I168="browser emulation — manual",LEFT(I168,11)="real device"),S168=""),"needs protocol ref",IF(AND(LEFT(I168,18)="browser automation",T168=""),"needs automation ref",IF(AND(LEFT(I168,11)="real device",OR(K168="",L168="",M168="",N168="",P168="")),"needs device details",IF(AND(OR(U168="passed",U168="failed",U168="blocked"),V168=""),"needs result date","ready"))))))</f>
        <v/>
      </c>
    </row>
    <row r="169" customFormat="false" ht="15" hidden="false" customHeight="true" outlineLevel="0" collapsed="false">
      <c r="Y169" s="37" t="str">
        <f aca="false">IF(A169="","",IF(COUNTBLANK(A169:E169)+COUNTBLANK(G169:J169)+COUNTBLANK(Q169:R169)+COUNTBLANK(U169)&gt;0,"needs core fields",IF(AND(OR(I169="previous baseline — desktop manual",I169="browser emulation — manual",LEFT(I169,11)="real device"),S169=""),"needs protocol ref",IF(AND(LEFT(I169,18)="browser automation",T169=""),"needs automation ref",IF(AND(LEFT(I169,11)="real device",OR(K169="",L169="",M169="",N169="",P169="")),"needs device details",IF(AND(OR(U169="passed",U169="failed",U169="blocked"),V169=""),"needs result date","ready"))))))</f>
        <v/>
      </c>
    </row>
    <row r="170" customFormat="false" ht="15" hidden="false" customHeight="true" outlineLevel="0" collapsed="false">
      <c r="Y170" s="37" t="str">
        <f aca="false">IF(A170="","",IF(COUNTBLANK(A170:E170)+COUNTBLANK(G170:J170)+COUNTBLANK(Q170:R170)+COUNTBLANK(U170)&gt;0,"needs core fields",IF(AND(OR(I170="previous baseline — desktop manual",I170="browser emulation — manual",LEFT(I170,11)="real device"),S170=""),"needs protocol ref",IF(AND(LEFT(I170,18)="browser automation",T170=""),"needs automation ref",IF(AND(LEFT(I170,11)="real device",OR(K170="",L170="",M170="",N170="",P170="")),"needs device details",IF(AND(OR(U170="passed",U170="failed",U170="blocked"),V170=""),"needs result date","ready"))))))</f>
        <v/>
      </c>
    </row>
    <row r="171" customFormat="false" ht="15" hidden="false" customHeight="true" outlineLevel="0" collapsed="false">
      <c r="Y171" s="37" t="str">
        <f aca="false">IF(A171="","",IF(COUNTBLANK(A171:E171)+COUNTBLANK(G171:J171)+COUNTBLANK(Q171:R171)+COUNTBLANK(U171)&gt;0,"needs core fields",IF(AND(OR(I171="previous baseline — desktop manual",I171="browser emulation — manual",LEFT(I171,11)="real device"),S171=""),"needs protocol ref",IF(AND(LEFT(I171,18)="browser automation",T171=""),"needs automation ref",IF(AND(LEFT(I171,11)="real device",OR(K171="",L171="",M171="",N171="",P171="")),"needs device details",IF(AND(OR(U171="passed",U171="failed",U171="blocked"),V171=""),"needs result date","ready"))))))</f>
        <v/>
      </c>
    </row>
    <row r="172" customFormat="false" ht="15" hidden="false" customHeight="true" outlineLevel="0" collapsed="false">
      <c r="Y172" s="37" t="str">
        <f aca="false">IF(A172="","",IF(COUNTBLANK(A172:E172)+COUNTBLANK(G172:J172)+COUNTBLANK(Q172:R172)+COUNTBLANK(U172)&gt;0,"needs core fields",IF(AND(OR(I172="previous baseline — desktop manual",I172="browser emulation — manual",LEFT(I172,11)="real device"),S172=""),"needs protocol ref",IF(AND(LEFT(I172,18)="browser automation",T172=""),"needs automation ref",IF(AND(LEFT(I172,11)="real device",OR(K172="",L172="",M172="",N172="",P172="")),"needs device details",IF(AND(OR(U172="passed",U172="failed",U172="blocked"),V172=""),"needs result date","ready"))))))</f>
        <v/>
      </c>
    </row>
    <row r="173" customFormat="false" ht="15" hidden="false" customHeight="true" outlineLevel="0" collapsed="false">
      <c r="Y173" s="37" t="str">
        <f aca="false">IF(A173="","",IF(COUNTBLANK(A173:E173)+COUNTBLANK(G173:J173)+COUNTBLANK(Q173:R173)+COUNTBLANK(U173)&gt;0,"needs core fields",IF(AND(OR(I173="previous baseline — desktop manual",I173="browser emulation — manual",LEFT(I173,11)="real device"),S173=""),"needs protocol ref",IF(AND(LEFT(I173,18)="browser automation",T173=""),"needs automation ref",IF(AND(LEFT(I173,11)="real device",OR(K173="",L173="",M173="",N173="",P173="")),"needs device details",IF(AND(OR(U173="passed",U173="failed",U173="blocked"),V173=""),"needs result date","ready"))))))</f>
        <v/>
      </c>
    </row>
    <row r="174" customFormat="false" ht="15" hidden="false" customHeight="true" outlineLevel="0" collapsed="false">
      <c r="Y174" s="37" t="str">
        <f aca="false">IF(A174="","",IF(COUNTBLANK(A174:E174)+COUNTBLANK(G174:J174)+COUNTBLANK(Q174:R174)+COUNTBLANK(U174)&gt;0,"needs core fields",IF(AND(OR(I174="previous baseline — desktop manual",I174="browser emulation — manual",LEFT(I174,11)="real device"),S174=""),"needs protocol ref",IF(AND(LEFT(I174,18)="browser automation",T174=""),"needs automation ref",IF(AND(LEFT(I174,11)="real device",OR(K174="",L174="",M174="",N174="",P174="")),"needs device details",IF(AND(OR(U174="passed",U174="failed",U174="blocked"),V174=""),"needs result date","ready"))))))</f>
        <v/>
      </c>
    </row>
    <row r="175" customFormat="false" ht="15" hidden="false" customHeight="true" outlineLevel="0" collapsed="false">
      <c r="Y175" s="37" t="str">
        <f aca="false">IF(A175="","",IF(COUNTBLANK(A175:E175)+COUNTBLANK(G175:J175)+COUNTBLANK(Q175:R175)+COUNTBLANK(U175)&gt;0,"needs core fields",IF(AND(OR(I175="previous baseline — desktop manual",I175="browser emulation — manual",LEFT(I175,11)="real device"),S175=""),"needs protocol ref",IF(AND(LEFT(I175,18)="browser automation",T175=""),"needs automation ref",IF(AND(LEFT(I175,11)="real device",OR(K175="",L175="",M175="",N175="",P175="")),"needs device details",IF(AND(OR(U175="passed",U175="failed",U175="blocked"),V175=""),"needs result date","ready"))))))</f>
        <v/>
      </c>
    </row>
    <row r="176" customFormat="false" ht="15" hidden="false" customHeight="true" outlineLevel="0" collapsed="false">
      <c r="Y176" s="37" t="str">
        <f aca="false">IF(A176="","",IF(COUNTBLANK(A176:E176)+COUNTBLANK(G176:J176)+COUNTBLANK(Q176:R176)+COUNTBLANK(U176)&gt;0,"needs core fields",IF(AND(OR(I176="previous baseline — desktop manual",I176="browser emulation — manual",LEFT(I176,11)="real device"),S176=""),"needs protocol ref",IF(AND(LEFT(I176,18)="browser automation",T176=""),"needs automation ref",IF(AND(LEFT(I176,11)="real device",OR(K176="",L176="",M176="",N176="",P176="")),"needs device details",IF(AND(OR(U176="passed",U176="failed",U176="blocked"),V176=""),"needs result date","ready"))))))</f>
        <v/>
      </c>
    </row>
    <row r="177" customFormat="false" ht="15" hidden="false" customHeight="true" outlineLevel="0" collapsed="false">
      <c r="Y177" s="37" t="str">
        <f aca="false">IF(A177="","",IF(COUNTBLANK(A177:E177)+COUNTBLANK(G177:J177)+COUNTBLANK(Q177:R177)+COUNTBLANK(U177)&gt;0,"needs core fields",IF(AND(OR(I177="previous baseline — desktop manual",I177="browser emulation — manual",LEFT(I177,11)="real device"),S177=""),"needs protocol ref",IF(AND(LEFT(I177,18)="browser automation",T177=""),"needs automation ref",IF(AND(LEFT(I177,11)="real device",OR(K177="",L177="",M177="",N177="",P177="")),"needs device details",IF(AND(OR(U177="passed",U177="failed",U177="blocked"),V177=""),"needs result date","ready"))))))</f>
        <v/>
      </c>
    </row>
    <row r="178" customFormat="false" ht="15" hidden="false" customHeight="true" outlineLevel="0" collapsed="false">
      <c r="Y178" s="37" t="str">
        <f aca="false">IF(A178="","",IF(COUNTBLANK(A178:E178)+COUNTBLANK(G178:J178)+COUNTBLANK(Q178:R178)+COUNTBLANK(U178)&gt;0,"needs core fields",IF(AND(OR(I178="previous baseline — desktop manual",I178="browser emulation — manual",LEFT(I178,11)="real device"),S178=""),"needs protocol ref",IF(AND(LEFT(I178,18)="browser automation",T178=""),"needs automation ref",IF(AND(LEFT(I178,11)="real device",OR(K178="",L178="",M178="",N178="",P178="")),"needs device details",IF(AND(OR(U178="passed",U178="failed",U178="blocked"),V178=""),"needs result date","ready"))))))</f>
        <v/>
      </c>
    </row>
    <row r="179" customFormat="false" ht="15" hidden="false" customHeight="true" outlineLevel="0" collapsed="false">
      <c r="Y179" s="37" t="str">
        <f aca="false">IF(A179="","",IF(COUNTBLANK(A179:E179)+COUNTBLANK(G179:J179)+COUNTBLANK(Q179:R179)+COUNTBLANK(U179)&gt;0,"needs core fields",IF(AND(OR(I179="previous baseline — desktop manual",I179="browser emulation — manual",LEFT(I179,11)="real device"),S179=""),"needs protocol ref",IF(AND(LEFT(I179,18)="browser automation",T179=""),"needs automation ref",IF(AND(LEFT(I179,11)="real device",OR(K179="",L179="",M179="",N179="",P179="")),"needs device details",IF(AND(OR(U179="passed",U179="failed",U179="blocked"),V179=""),"needs result date","ready"))))))</f>
        <v/>
      </c>
    </row>
    <row r="180" customFormat="false" ht="15" hidden="false" customHeight="true" outlineLevel="0" collapsed="false">
      <c r="Y180" s="37" t="str">
        <f aca="false">IF(A180="","",IF(COUNTBLANK(A180:E180)+COUNTBLANK(G180:J180)+COUNTBLANK(Q180:R180)+COUNTBLANK(U180)&gt;0,"needs core fields",IF(AND(OR(I180="previous baseline — desktop manual",I180="browser emulation — manual",LEFT(I180,11)="real device"),S180=""),"needs protocol ref",IF(AND(LEFT(I180,18)="browser automation",T180=""),"needs automation ref",IF(AND(LEFT(I180,11)="real device",OR(K180="",L180="",M180="",N180="",P180="")),"needs device details",IF(AND(OR(U180="passed",U180="failed",U180="blocked"),V180=""),"needs result date","ready"))))))</f>
        <v/>
      </c>
    </row>
    <row r="181" customFormat="false" ht="15" hidden="false" customHeight="true" outlineLevel="0" collapsed="false">
      <c r="Y181" s="37" t="str">
        <f aca="false">IF(A181="","",IF(COUNTBLANK(A181:E181)+COUNTBLANK(G181:J181)+COUNTBLANK(Q181:R181)+COUNTBLANK(U181)&gt;0,"needs core fields",IF(AND(OR(I181="previous baseline — desktop manual",I181="browser emulation — manual",LEFT(I181,11)="real device"),S181=""),"needs protocol ref",IF(AND(LEFT(I181,18)="browser automation",T181=""),"needs automation ref",IF(AND(LEFT(I181,11)="real device",OR(K181="",L181="",M181="",N181="",P181="")),"needs device details",IF(AND(OR(U181="passed",U181="failed",U181="blocked"),V181=""),"needs result date","ready"))))))</f>
        <v/>
      </c>
    </row>
    <row r="182" customFormat="false" ht="15" hidden="false" customHeight="true" outlineLevel="0" collapsed="false">
      <c r="Y182" s="37" t="str">
        <f aca="false">IF(A182="","",IF(COUNTBLANK(A182:E182)+COUNTBLANK(G182:J182)+COUNTBLANK(Q182:R182)+COUNTBLANK(U182)&gt;0,"needs core fields",IF(AND(OR(I182="previous baseline — desktop manual",I182="browser emulation — manual",LEFT(I182,11)="real device"),S182=""),"needs protocol ref",IF(AND(LEFT(I182,18)="browser automation",T182=""),"needs automation ref",IF(AND(LEFT(I182,11)="real device",OR(K182="",L182="",M182="",N182="",P182="")),"needs device details",IF(AND(OR(U182="passed",U182="failed",U182="blocked"),V182=""),"needs result date","ready"))))))</f>
        <v/>
      </c>
    </row>
    <row r="183" customFormat="false" ht="15" hidden="false" customHeight="true" outlineLevel="0" collapsed="false">
      <c r="Y183" s="37" t="str">
        <f aca="false">IF(A183="","",IF(COUNTBLANK(A183:E183)+COUNTBLANK(G183:J183)+COUNTBLANK(Q183:R183)+COUNTBLANK(U183)&gt;0,"needs core fields",IF(AND(OR(I183="previous baseline — desktop manual",I183="browser emulation — manual",LEFT(I183,11)="real device"),S183=""),"needs protocol ref",IF(AND(LEFT(I183,18)="browser automation",T183=""),"needs automation ref",IF(AND(LEFT(I183,11)="real device",OR(K183="",L183="",M183="",N183="",P183="")),"needs device details",IF(AND(OR(U183="passed",U183="failed",U183="blocked"),V183=""),"needs result date","ready"))))))</f>
        <v/>
      </c>
    </row>
    <row r="184" customFormat="false" ht="15" hidden="false" customHeight="true" outlineLevel="0" collapsed="false">
      <c r="Y184" s="37" t="str">
        <f aca="false">IF(A184="","",IF(COUNTBLANK(A184:E184)+COUNTBLANK(G184:J184)+COUNTBLANK(Q184:R184)+COUNTBLANK(U184)&gt;0,"needs core fields",IF(AND(OR(I184="previous baseline — desktop manual",I184="browser emulation — manual",LEFT(I184,11)="real device"),S184=""),"needs protocol ref",IF(AND(LEFT(I184,18)="browser automation",T184=""),"needs automation ref",IF(AND(LEFT(I184,11)="real device",OR(K184="",L184="",M184="",N184="",P184="")),"needs device details",IF(AND(OR(U184="passed",U184="failed",U184="blocked"),V184=""),"needs result date","ready"))))))</f>
        <v/>
      </c>
    </row>
    <row r="185" customFormat="false" ht="15" hidden="false" customHeight="true" outlineLevel="0" collapsed="false">
      <c r="Y185" s="37" t="str">
        <f aca="false">IF(A185="","",IF(COUNTBLANK(A185:E185)+COUNTBLANK(G185:J185)+COUNTBLANK(Q185:R185)+COUNTBLANK(U185)&gt;0,"needs core fields",IF(AND(OR(I185="previous baseline — desktop manual",I185="browser emulation — manual",LEFT(I185,11)="real device"),S185=""),"needs protocol ref",IF(AND(LEFT(I185,18)="browser automation",T185=""),"needs automation ref",IF(AND(LEFT(I185,11)="real device",OR(K185="",L185="",M185="",N185="",P185="")),"needs device details",IF(AND(OR(U185="passed",U185="failed",U185="blocked"),V185=""),"needs result date","ready"))))))</f>
        <v/>
      </c>
    </row>
    <row r="186" customFormat="false" ht="15" hidden="false" customHeight="true" outlineLevel="0" collapsed="false">
      <c r="Y186" s="37" t="str">
        <f aca="false">IF(A186="","",IF(COUNTBLANK(A186:E186)+COUNTBLANK(G186:J186)+COUNTBLANK(Q186:R186)+COUNTBLANK(U186)&gt;0,"needs core fields",IF(AND(OR(I186="previous baseline — desktop manual",I186="browser emulation — manual",LEFT(I186,11)="real device"),S186=""),"needs protocol ref",IF(AND(LEFT(I186,18)="browser automation",T186=""),"needs automation ref",IF(AND(LEFT(I186,11)="real device",OR(K186="",L186="",M186="",N186="",P186="")),"needs device details",IF(AND(OR(U186="passed",U186="failed",U186="blocked"),V186=""),"needs result date","ready"))))))</f>
        <v/>
      </c>
    </row>
    <row r="187" customFormat="false" ht="15" hidden="false" customHeight="true" outlineLevel="0" collapsed="false">
      <c r="Y187" s="37" t="str">
        <f aca="false">IF(A187="","",IF(COUNTBLANK(A187:E187)+COUNTBLANK(G187:J187)+COUNTBLANK(Q187:R187)+COUNTBLANK(U187)&gt;0,"needs core fields",IF(AND(OR(I187="previous baseline — desktop manual",I187="browser emulation — manual",LEFT(I187,11)="real device"),S187=""),"needs protocol ref",IF(AND(LEFT(I187,18)="browser automation",T187=""),"needs automation ref",IF(AND(LEFT(I187,11)="real device",OR(K187="",L187="",M187="",N187="",P187="")),"needs device details",IF(AND(OR(U187="passed",U187="failed",U187="blocked"),V187=""),"needs result date","ready"))))))</f>
        <v/>
      </c>
    </row>
    <row r="188" customFormat="false" ht="15" hidden="false" customHeight="true" outlineLevel="0" collapsed="false">
      <c r="Y188" s="37" t="str">
        <f aca="false">IF(A188="","",IF(COUNTBLANK(A188:E188)+COUNTBLANK(G188:J188)+COUNTBLANK(Q188:R188)+COUNTBLANK(U188)&gt;0,"needs core fields",IF(AND(OR(I188="previous baseline — desktop manual",I188="browser emulation — manual",LEFT(I188,11)="real device"),S188=""),"needs protocol ref",IF(AND(LEFT(I188,18)="browser automation",T188=""),"needs automation ref",IF(AND(LEFT(I188,11)="real device",OR(K188="",L188="",M188="",N188="",P188="")),"needs device details",IF(AND(OR(U188="passed",U188="failed",U188="blocked"),V188=""),"needs result date","ready"))))))</f>
        <v/>
      </c>
    </row>
    <row r="189" customFormat="false" ht="15" hidden="false" customHeight="true" outlineLevel="0" collapsed="false">
      <c r="Y189" s="37" t="str">
        <f aca="false">IF(A189="","",IF(COUNTBLANK(A189:E189)+COUNTBLANK(G189:J189)+COUNTBLANK(Q189:R189)+COUNTBLANK(U189)&gt;0,"needs core fields",IF(AND(OR(I189="previous baseline — desktop manual",I189="browser emulation — manual",LEFT(I189,11)="real device"),S189=""),"needs protocol ref",IF(AND(LEFT(I189,18)="browser automation",T189=""),"needs automation ref",IF(AND(LEFT(I189,11)="real device",OR(K189="",L189="",M189="",N189="",P189="")),"needs device details",IF(AND(OR(U189="passed",U189="failed",U189="blocked"),V189=""),"needs result date","ready"))))))</f>
        <v/>
      </c>
    </row>
    <row r="190" customFormat="false" ht="15" hidden="false" customHeight="true" outlineLevel="0" collapsed="false">
      <c r="Y190" s="37" t="str">
        <f aca="false">IF(A190="","",IF(COUNTBLANK(A190:E190)+COUNTBLANK(G190:J190)+COUNTBLANK(Q190:R190)+COUNTBLANK(U190)&gt;0,"needs core fields",IF(AND(OR(I190="previous baseline — desktop manual",I190="browser emulation — manual",LEFT(I190,11)="real device"),S190=""),"needs protocol ref",IF(AND(LEFT(I190,18)="browser automation",T190=""),"needs automation ref",IF(AND(LEFT(I190,11)="real device",OR(K190="",L190="",M190="",N190="",P190="")),"needs device details",IF(AND(OR(U190="passed",U190="failed",U190="blocked"),V190=""),"needs result date","ready"))))))</f>
        <v/>
      </c>
    </row>
    <row r="191" customFormat="false" ht="15" hidden="false" customHeight="true" outlineLevel="0" collapsed="false">
      <c r="Y191" s="37" t="str">
        <f aca="false">IF(A191="","",IF(COUNTBLANK(A191:E191)+COUNTBLANK(G191:J191)+COUNTBLANK(Q191:R191)+COUNTBLANK(U191)&gt;0,"needs core fields",IF(AND(OR(I191="previous baseline — desktop manual",I191="browser emulation — manual",LEFT(I191,11)="real device"),S191=""),"needs protocol ref",IF(AND(LEFT(I191,18)="browser automation",T191=""),"needs automation ref",IF(AND(LEFT(I191,11)="real device",OR(K191="",L191="",M191="",N191="",P191="")),"needs device details",IF(AND(OR(U191="passed",U191="failed",U191="blocked"),V191=""),"needs result date","ready"))))))</f>
        <v/>
      </c>
    </row>
    <row r="192" customFormat="false" ht="15" hidden="false" customHeight="true" outlineLevel="0" collapsed="false">
      <c r="Y192" s="37" t="str">
        <f aca="false">IF(A192="","",IF(COUNTBLANK(A192:E192)+COUNTBLANK(G192:J192)+COUNTBLANK(Q192:R192)+COUNTBLANK(U192)&gt;0,"needs core fields",IF(AND(OR(I192="previous baseline — desktop manual",I192="browser emulation — manual",LEFT(I192,11)="real device"),S192=""),"needs protocol ref",IF(AND(LEFT(I192,18)="browser automation",T192=""),"needs automation ref",IF(AND(LEFT(I192,11)="real device",OR(K192="",L192="",M192="",N192="",P192="")),"needs device details",IF(AND(OR(U192="passed",U192="failed",U192="blocked"),V192=""),"needs result date","ready"))))))</f>
        <v/>
      </c>
    </row>
    <row r="193" customFormat="false" ht="15" hidden="false" customHeight="true" outlineLevel="0" collapsed="false">
      <c r="Y193" s="37" t="str">
        <f aca="false">IF(A193="","",IF(COUNTBLANK(A193:E193)+COUNTBLANK(G193:J193)+COUNTBLANK(Q193:R193)+COUNTBLANK(U193)&gt;0,"needs core fields",IF(AND(OR(I193="previous baseline — desktop manual",I193="browser emulation — manual",LEFT(I193,11)="real device"),S193=""),"needs protocol ref",IF(AND(LEFT(I193,18)="browser automation",T193=""),"needs automation ref",IF(AND(LEFT(I193,11)="real device",OR(K193="",L193="",M193="",N193="",P193="")),"needs device details",IF(AND(OR(U193="passed",U193="failed",U193="blocked"),V193=""),"needs result date","ready"))))))</f>
        <v/>
      </c>
    </row>
    <row r="194" customFormat="false" ht="15" hidden="false" customHeight="true" outlineLevel="0" collapsed="false">
      <c r="Y194" s="37" t="str">
        <f aca="false">IF(A194="","",IF(COUNTBLANK(A194:E194)+COUNTBLANK(G194:J194)+COUNTBLANK(Q194:R194)+COUNTBLANK(U194)&gt;0,"needs core fields",IF(AND(OR(I194="previous baseline — desktop manual",I194="browser emulation — manual",LEFT(I194,11)="real device"),S194=""),"needs protocol ref",IF(AND(LEFT(I194,18)="browser automation",T194=""),"needs automation ref",IF(AND(LEFT(I194,11)="real device",OR(K194="",L194="",M194="",N194="",P194="")),"needs device details",IF(AND(OR(U194="passed",U194="failed",U194="blocked"),V194=""),"needs result date","ready"))))))</f>
        <v/>
      </c>
    </row>
    <row r="195" customFormat="false" ht="15" hidden="false" customHeight="true" outlineLevel="0" collapsed="false">
      <c r="Y195" s="37" t="str">
        <f aca="false">IF(A195="","",IF(COUNTBLANK(A195:E195)+COUNTBLANK(G195:J195)+COUNTBLANK(Q195:R195)+COUNTBLANK(U195)&gt;0,"needs core fields",IF(AND(OR(I195="previous baseline — desktop manual",I195="browser emulation — manual",LEFT(I195,11)="real device"),S195=""),"needs protocol ref",IF(AND(LEFT(I195,18)="browser automation",T195=""),"needs automation ref",IF(AND(LEFT(I195,11)="real device",OR(K195="",L195="",M195="",N195="",P195="")),"needs device details",IF(AND(OR(U195="passed",U195="failed",U195="blocked"),V195=""),"needs result date","ready"))))))</f>
        <v/>
      </c>
    </row>
    <row r="196" customFormat="false" ht="15" hidden="false" customHeight="true" outlineLevel="0" collapsed="false">
      <c r="Y196" s="37" t="str">
        <f aca="false">IF(A196="","",IF(COUNTBLANK(A196:E196)+COUNTBLANK(G196:J196)+COUNTBLANK(Q196:R196)+COUNTBLANK(U196)&gt;0,"needs core fields",IF(AND(OR(I196="previous baseline — desktop manual",I196="browser emulation — manual",LEFT(I196,11)="real device"),S196=""),"needs protocol ref",IF(AND(LEFT(I196,18)="browser automation",T196=""),"needs automation ref",IF(AND(LEFT(I196,11)="real device",OR(K196="",L196="",M196="",N196="",P196="")),"needs device details",IF(AND(OR(U196="passed",U196="failed",U196="blocked"),V196=""),"needs result date","ready"))))))</f>
        <v/>
      </c>
    </row>
    <row r="197" customFormat="false" ht="15" hidden="false" customHeight="true" outlineLevel="0" collapsed="false">
      <c r="Y197" s="37" t="str">
        <f aca="false">IF(A197="","",IF(COUNTBLANK(A197:E197)+COUNTBLANK(G197:J197)+COUNTBLANK(Q197:R197)+COUNTBLANK(U197)&gt;0,"needs core fields",IF(AND(OR(I197="previous baseline — desktop manual",I197="browser emulation — manual",LEFT(I197,11)="real device"),S197=""),"needs protocol ref",IF(AND(LEFT(I197,18)="browser automation",T197=""),"needs automation ref",IF(AND(LEFT(I197,11)="real device",OR(K197="",L197="",M197="",N197="",P197="")),"needs device details",IF(AND(OR(U197="passed",U197="failed",U197="blocked"),V197=""),"needs result date","ready"))))))</f>
        <v/>
      </c>
    </row>
    <row r="198" customFormat="false" ht="15" hidden="false" customHeight="true" outlineLevel="0" collapsed="false">
      <c r="Y198" s="37" t="str">
        <f aca="false">IF(A198="","",IF(COUNTBLANK(A198:E198)+COUNTBLANK(G198:J198)+COUNTBLANK(Q198:R198)+COUNTBLANK(U198)&gt;0,"needs core fields",IF(AND(OR(I198="previous baseline — desktop manual",I198="browser emulation — manual",LEFT(I198,11)="real device"),S198=""),"needs protocol ref",IF(AND(LEFT(I198,18)="browser automation",T198=""),"needs automation ref",IF(AND(LEFT(I198,11)="real device",OR(K198="",L198="",M198="",N198="",P198="")),"needs device details",IF(AND(OR(U198="passed",U198="failed",U198="blocked"),V198=""),"needs result date","ready"))))))</f>
        <v/>
      </c>
    </row>
    <row r="199" customFormat="false" ht="15" hidden="false" customHeight="true" outlineLevel="0" collapsed="false">
      <c r="Y199" s="37" t="str">
        <f aca="false">IF(A199="","",IF(COUNTBLANK(A199:E199)+COUNTBLANK(G199:J199)+COUNTBLANK(Q199:R199)+COUNTBLANK(U199)&gt;0,"needs core fields",IF(AND(OR(I199="previous baseline — desktop manual",I199="browser emulation — manual",LEFT(I199,11)="real device"),S199=""),"needs protocol ref",IF(AND(LEFT(I199,18)="browser automation",T199=""),"needs automation ref",IF(AND(LEFT(I199,11)="real device",OR(K199="",L199="",M199="",N199="",P199="")),"needs device details",IF(AND(OR(U199="passed",U199="failed",U199="blocked"),V199=""),"needs result date","ready"))))))</f>
        <v/>
      </c>
    </row>
    <row r="200" customFormat="false" ht="15" hidden="false" customHeight="true" outlineLevel="0" collapsed="false">
      <c r="Y200" s="37" t="str">
        <f aca="false">IF(A200="","",IF(COUNTBLANK(A200:E200)+COUNTBLANK(G200:J200)+COUNTBLANK(Q200:R200)+COUNTBLANK(U200)&gt;0,"needs core fields",IF(AND(OR(I200="previous baseline — desktop manual",I200="browser emulation — manual",LEFT(I200,11)="real device"),S200=""),"needs protocol ref",IF(AND(LEFT(I200,18)="browser automation",T200=""),"needs automation ref",IF(AND(LEFT(I200,11)="real device",OR(K200="",L200="",M200="",N200="",P200="")),"needs device details",IF(AND(OR(U200="passed",U200="failed",U200="blocked"),V200=""),"needs result date","ready"))))))</f>
        <v/>
      </c>
    </row>
  </sheetData>
  <autoFilter ref="A8:Y86"/>
  <mergeCells count="3">
    <mergeCell ref="A1:Y1"/>
    <mergeCell ref="A2:Y2"/>
    <mergeCell ref="A6:Y6"/>
  </mergeCells>
  <conditionalFormatting sqref="U9:U200">
    <cfRule type="expression" priority="2" aboveAverage="0" equalAverage="0" bottom="0" percent="0" rank="0" text="" dxfId="17">
      <formula>$U9="passed"</formula>
    </cfRule>
    <cfRule type="expression" priority="3" aboveAverage="0" equalAverage="0" bottom="0" percent="0" rank="0" text="" dxfId="18">
      <formula>$U9="failed"</formula>
    </cfRule>
    <cfRule type="expression" priority="4" aboveAverage="0" equalAverage="0" bottom="0" percent="0" rank="0" text="" dxfId="19">
      <formula>$U9="blocked"</formula>
    </cfRule>
    <cfRule type="expression" priority="5" aboveAverage="0" equalAverage="0" bottom="0" percent="0" rank="0" text="" dxfId="20">
      <formula>$U9="not run"</formula>
    </cfRule>
    <cfRule type="expression" priority="6" aboveAverage="0" equalAverage="0" bottom="0" percent="0" rank="0" text="" dxfId="21">
      <formula>$U9="not applicable"</formula>
    </cfRule>
  </conditionalFormatting>
  <conditionalFormatting sqref="Y9:Y200">
    <cfRule type="expression" priority="7" aboveAverage="0" equalAverage="0" bottom="0" percent="0" rank="0" text="" dxfId="17">
      <formula>$Y9="ready"</formula>
    </cfRule>
    <cfRule type="expression" priority="8" aboveAverage="0" equalAverage="0" bottom="0" percent="0" rank="0" text="" dxfId="19">
      <formula>AND($A9&lt;&gt;"",$Y9&lt;&gt;"ready")</formula>
    </cfRule>
  </conditionalFormatting>
  <conditionalFormatting sqref="A9:A200">
    <cfRule type="expression" priority="9" aboveAverage="0" equalAverage="0" bottom="0" percent="0" rank="0" text="" dxfId="18">
      <formula>AND($A9&lt;&gt;"",COUNTIF($A$9:$A$200,$A9)&gt;1)</formula>
    </cfRule>
  </conditionalFormatting>
  <conditionalFormatting sqref="V9:V200">
    <cfRule type="expression" priority="10" aboveAverage="0" equalAverage="0" bottom="0" percent="0" rank="0" text="" dxfId="18">
      <formula>AND(OR($U9="passed",$U9="failed",$U9="blocked"),$V9="")</formula>
    </cfRule>
  </conditionalFormatting>
  <conditionalFormatting sqref="G9:G200">
    <cfRule type="expression" priority="11" aboveAverage="0" equalAverage="0" bottom="0" percent="0" rank="0" text="" dxfId="17">
      <formula>$G9="preserve verified baseline"</formula>
    </cfRule>
    <cfRule type="expression" priority="12" aboveAverage="0" equalAverage="0" bottom="0" percent="0" rank="0" text="" dxfId="19">
      <formula>$G9="narrow unsupported claim"</formula>
    </cfRule>
    <cfRule type="expression" priority="13" aboveAverage="0" equalAverage="0" bottom="0" percent="0" rank="0" text="" dxfId="18">
      <formula>$G9="reopen only when approved"</formula>
    </cfRule>
    <cfRule type="expression" priority="14" aboveAverage="0" equalAverage="0" bottom="0" percent="0" rank="0" text="" dxfId="21">
      <formula>$G9="new mobile qualification"</formula>
    </cfRule>
  </conditionalFormatting>
  <dataValidations count="11"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B9:B1000" type="list">
      <formula1>$AA$2:$AA$23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C9:C1000" type="list">
      <formula1>$AB$2:$AB$10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D9:D1000" type="list">
      <formula1>$AK$2:$AK$66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G9:G1000" type="list">
      <formula1>$AC$2:$AC$6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H9:H1000" type="list">
      <formula1>$AD$2:$AD$7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I9:I1000" type="list">
      <formula1>$AE$2:$AE$12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J9:J1000" type="list">
      <formula1>$AF$2:$AF$7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L9:L1000" type="list">
      <formula1>$AJ$2:$AJ$8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O9:O1000" type="list">
      <formula1>$AG$2:$AG$8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P9:P1000" type="list">
      <formula1>$AH$2:$AH$6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U9:U1000" type="list">
      <formula1>$AI$2:$AI$6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441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100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460</v>
      </c>
      <c r="H9" s="44" t="s">
        <v>461</v>
      </c>
      <c r="I9" s="42" t="s">
        <v>462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460</v>
      </c>
      <c r="H10" s="44" t="s">
        <v>461</v>
      </c>
      <c r="I10" s="42" t="s">
        <v>462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14</v>
      </c>
      <c r="D11" s="42" t="s">
        <v>464</v>
      </c>
      <c r="E11" s="34" t="s">
        <v>459</v>
      </c>
      <c r="F11" s="43" t="s">
        <v>459</v>
      </c>
      <c r="G11" s="31" t="s">
        <v>460</v>
      </c>
      <c r="H11" s="44" t="s">
        <v>461</v>
      </c>
      <c r="I11" s="42" t="s">
        <v>462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14</v>
      </c>
      <c r="D12" s="42" t="s">
        <v>465</v>
      </c>
      <c r="E12" s="34" t="s">
        <v>459</v>
      </c>
      <c r="F12" s="43" t="s">
        <v>459</v>
      </c>
      <c r="G12" s="31" t="s">
        <v>460</v>
      </c>
      <c r="H12" s="44" t="s">
        <v>461</v>
      </c>
      <c r="I12" s="42" t="s">
        <v>462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14</v>
      </c>
      <c r="D13" s="42" t="s">
        <v>466</v>
      </c>
      <c r="E13" s="34" t="s">
        <v>459</v>
      </c>
      <c r="F13" s="43" t="s">
        <v>459</v>
      </c>
      <c r="G13" s="31" t="s">
        <v>460</v>
      </c>
      <c r="H13" s="44" t="s">
        <v>461</v>
      </c>
      <c r="I13" s="42" t="s">
        <v>462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14</v>
      </c>
      <c r="D14" s="42" t="s">
        <v>467</v>
      </c>
      <c r="E14" s="34" t="s">
        <v>459</v>
      </c>
      <c r="F14" s="43" t="s">
        <v>459</v>
      </c>
      <c r="G14" s="31" t="s">
        <v>460</v>
      </c>
      <c r="H14" s="44" t="s">
        <v>461</v>
      </c>
      <c r="I14" s="42" t="s">
        <v>462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14</v>
      </c>
      <c r="D15" s="42" t="s">
        <v>469</v>
      </c>
      <c r="E15" s="34" t="s">
        <v>459</v>
      </c>
      <c r="F15" s="43" t="s">
        <v>459</v>
      </c>
      <c r="G15" s="31" t="s">
        <v>460</v>
      </c>
      <c r="H15" s="44" t="s">
        <v>461</v>
      </c>
      <c r="I15" s="42" t="s">
        <v>462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14</v>
      </c>
      <c r="D16" s="42" t="s">
        <v>470</v>
      </c>
      <c r="E16" s="34" t="s">
        <v>459</v>
      </c>
      <c r="F16" s="43" t="s">
        <v>459</v>
      </c>
      <c r="G16" s="31" t="s">
        <v>460</v>
      </c>
      <c r="H16" s="44" t="s">
        <v>461</v>
      </c>
      <c r="I16" s="42" t="s">
        <v>462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14</v>
      </c>
      <c r="D17" s="42" t="s">
        <v>471</v>
      </c>
      <c r="E17" s="34" t="s">
        <v>459</v>
      </c>
      <c r="F17" s="43" t="s">
        <v>459</v>
      </c>
      <c r="G17" s="31" t="s">
        <v>460</v>
      </c>
      <c r="H17" s="44" t="s">
        <v>461</v>
      </c>
      <c r="I17" s="42" t="s">
        <v>462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14</v>
      </c>
      <c r="D18" s="42" t="s">
        <v>472</v>
      </c>
      <c r="E18" s="34" t="s">
        <v>459</v>
      </c>
      <c r="F18" s="43" t="s">
        <v>459</v>
      </c>
      <c r="G18" s="31" t="s">
        <v>460</v>
      </c>
      <c r="H18" s="44" t="s">
        <v>461</v>
      </c>
      <c r="I18" s="42" t="s">
        <v>462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14</v>
      </c>
      <c r="D19" s="42" t="s">
        <v>473</v>
      </c>
      <c r="E19" s="34" t="s">
        <v>459</v>
      </c>
      <c r="F19" s="43" t="s">
        <v>459</v>
      </c>
      <c r="G19" s="31" t="s">
        <v>460</v>
      </c>
      <c r="H19" s="44" t="s">
        <v>461</v>
      </c>
      <c r="I19" s="42" t="s">
        <v>462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14</v>
      </c>
      <c r="D20" s="42" t="s">
        <v>474</v>
      </c>
      <c r="E20" s="34" t="s">
        <v>459</v>
      </c>
      <c r="F20" s="43" t="s">
        <v>459</v>
      </c>
      <c r="G20" s="31" t="s">
        <v>460</v>
      </c>
      <c r="H20" s="44" t="s">
        <v>461</v>
      </c>
      <c r="I20" s="42" t="s">
        <v>462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460</v>
      </c>
      <c r="H21" s="44" t="s">
        <v>461</v>
      </c>
      <c r="I21" s="42" t="s">
        <v>462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460</v>
      </c>
      <c r="H22" s="44" t="s">
        <v>461</v>
      </c>
      <c r="I22" s="42" t="s">
        <v>462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460</v>
      </c>
      <c r="H23" s="44" t="s">
        <v>461</v>
      </c>
      <c r="I23" s="42" t="s">
        <v>462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460</v>
      </c>
      <c r="H24" s="44" t="s">
        <v>461</v>
      </c>
      <c r="I24" s="42" t="s">
        <v>462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460</v>
      </c>
      <c r="H25" s="44" t="s">
        <v>461</v>
      </c>
      <c r="I25" s="42" t="s">
        <v>462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483</v>
      </c>
      <c r="C26" s="42" t="s">
        <v>476</v>
      </c>
      <c r="D26" s="42" t="s">
        <v>484</v>
      </c>
      <c r="E26" s="34" t="s">
        <v>459</v>
      </c>
      <c r="F26" s="43" t="s">
        <v>459</v>
      </c>
      <c r="G26" s="31" t="s">
        <v>460</v>
      </c>
      <c r="H26" s="44" t="s">
        <v>461</v>
      </c>
      <c r="I26" s="42" t="s">
        <v>462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483</v>
      </c>
      <c r="C27" s="42" t="s">
        <v>476</v>
      </c>
      <c r="D27" s="42" t="s">
        <v>485</v>
      </c>
      <c r="E27" s="34" t="s">
        <v>459</v>
      </c>
      <c r="F27" s="43" t="s">
        <v>459</v>
      </c>
      <c r="G27" s="31" t="s">
        <v>460</v>
      </c>
      <c r="H27" s="44" t="s">
        <v>461</v>
      </c>
      <c r="I27" s="42" t="s">
        <v>462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486</v>
      </c>
      <c r="C28" s="42" t="s">
        <v>476</v>
      </c>
      <c r="D28" s="42" t="s">
        <v>487</v>
      </c>
      <c r="E28" s="34" t="s">
        <v>459</v>
      </c>
      <c r="F28" s="43" t="s">
        <v>459</v>
      </c>
      <c r="G28" s="31" t="s">
        <v>460</v>
      </c>
      <c r="H28" s="44" t="s">
        <v>461</v>
      </c>
      <c r="I28" s="42" t="s">
        <v>462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489</v>
      </c>
      <c r="E29" s="34" t="s">
        <v>459</v>
      </c>
      <c r="F29" s="43" t="s">
        <v>459</v>
      </c>
      <c r="G29" s="31" t="s">
        <v>460</v>
      </c>
      <c r="H29" s="44" t="s">
        <v>461</v>
      </c>
      <c r="I29" s="42" t="s">
        <v>462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490</v>
      </c>
      <c r="E30" s="34" t="s">
        <v>459</v>
      </c>
      <c r="F30" s="43" t="s">
        <v>459</v>
      </c>
      <c r="G30" s="31" t="s">
        <v>460</v>
      </c>
      <c r="H30" s="44" t="s">
        <v>461</v>
      </c>
      <c r="I30" s="42" t="s">
        <v>462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491</v>
      </c>
      <c r="E31" s="34" t="s">
        <v>459</v>
      </c>
      <c r="F31" s="43" t="s">
        <v>459</v>
      </c>
      <c r="G31" s="31" t="s">
        <v>460</v>
      </c>
      <c r="H31" s="44" t="s">
        <v>461</v>
      </c>
      <c r="I31" s="42" t="s">
        <v>462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492</v>
      </c>
      <c r="E32" s="34" t="s">
        <v>459</v>
      </c>
      <c r="F32" s="43" t="s">
        <v>459</v>
      </c>
      <c r="G32" s="31" t="s">
        <v>460</v>
      </c>
      <c r="H32" s="44" t="s">
        <v>461</v>
      </c>
      <c r="I32" s="42" t="s">
        <v>462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488</v>
      </c>
      <c r="C33" s="42" t="s">
        <v>476</v>
      </c>
      <c r="D33" s="42" t="s">
        <v>493</v>
      </c>
      <c r="E33" s="34" t="s">
        <v>459</v>
      </c>
      <c r="F33" s="43" t="s">
        <v>459</v>
      </c>
      <c r="G33" s="31" t="s">
        <v>460</v>
      </c>
      <c r="H33" s="44" t="s">
        <v>461</v>
      </c>
      <c r="I33" s="42" t="s">
        <v>462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476</v>
      </c>
      <c r="D34" s="42" t="s">
        <v>494</v>
      </c>
      <c r="E34" s="34" t="s">
        <v>459</v>
      </c>
      <c r="F34" s="43" t="s">
        <v>459</v>
      </c>
      <c r="G34" s="31" t="s">
        <v>460</v>
      </c>
      <c r="H34" s="44" t="s">
        <v>461</v>
      </c>
      <c r="I34" s="42" t="s">
        <v>462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495</v>
      </c>
      <c r="E35" s="34" t="s">
        <v>459</v>
      </c>
      <c r="F35" s="43" t="s">
        <v>459</v>
      </c>
      <c r="G35" s="31" t="s">
        <v>460</v>
      </c>
      <c r="H35" s="44" t="s">
        <v>461</v>
      </c>
      <c r="I35" s="42" t="s">
        <v>462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496</v>
      </c>
      <c r="E36" s="34" t="s">
        <v>459</v>
      </c>
      <c r="F36" s="43" t="s">
        <v>459</v>
      </c>
      <c r="G36" s="31" t="s">
        <v>460</v>
      </c>
      <c r="H36" s="44" t="s">
        <v>461</v>
      </c>
      <c r="I36" s="42" t="s">
        <v>462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488</v>
      </c>
      <c r="C37" s="42" t="s">
        <v>476</v>
      </c>
      <c r="D37" s="42" t="s">
        <v>497</v>
      </c>
      <c r="E37" s="34" t="s">
        <v>459</v>
      </c>
      <c r="F37" s="43" t="s">
        <v>459</v>
      </c>
      <c r="G37" s="31" t="s">
        <v>460</v>
      </c>
      <c r="H37" s="44" t="s">
        <v>461</v>
      </c>
      <c r="I37" s="42" t="s">
        <v>462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475</v>
      </c>
      <c r="C38" s="42" t="s">
        <v>498</v>
      </c>
      <c r="D38" s="42" t="s">
        <v>477</v>
      </c>
      <c r="E38" s="34" t="s">
        <v>459</v>
      </c>
      <c r="F38" s="43" t="s">
        <v>459</v>
      </c>
      <c r="G38" s="31" t="s">
        <v>460</v>
      </c>
      <c r="H38" s="44" t="s">
        <v>461</v>
      </c>
      <c r="I38" s="42" t="s">
        <v>462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475</v>
      </c>
      <c r="C39" s="42" t="s">
        <v>498</v>
      </c>
      <c r="D39" s="42" t="s">
        <v>478</v>
      </c>
      <c r="E39" s="34" t="s">
        <v>459</v>
      </c>
      <c r="F39" s="43" t="s">
        <v>459</v>
      </c>
      <c r="G39" s="31" t="s">
        <v>460</v>
      </c>
      <c r="H39" s="44" t="s">
        <v>461</v>
      </c>
      <c r="I39" s="42" t="s">
        <v>462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479</v>
      </c>
      <c r="C40" s="42" t="s">
        <v>498</v>
      </c>
      <c r="D40" s="42" t="s">
        <v>480</v>
      </c>
      <c r="E40" s="34" t="s">
        <v>459</v>
      </c>
      <c r="F40" s="43" t="s">
        <v>459</v>
      </c>
      <c r="G40" s="31" t="s">
        <v>460</v>
      </c>
      <c r="H40" s="44" t="s">
        <v>461</v>
      </c>
      <c r="I40" s="42" t="s">
        <v>462</v>
      </c>
      <c r="J40" s="42"/>
      <c r="K40" s="45" t="n">
        <f aca="false">IF(AND(E40="yes",F40="yes",H40="covered"),1,IF(H40="partial",0.5,0))</f>
        <v>1</v>
      </c>
    </row>
    <row r="41" customFormat="false" ht="30" hidden="false" customHeight="true" outlineLevel="0" collapsed="false">
      <c r="A41" s="31" t="n">
        <v>33</v>
      </c>
      <c r="B41" s="42" t="s">
        <v>479</v>
      </c>
      <c r="C41" s="42" t="s">
        <v>498</v>
      </c>
      <c r="D41" s="42" t="s">
        <v>481</v>
      </c>
      <c r="E41" s="34" t="s">
        <v>459</v>
      </c>
      <c r="F41" s="43" t="s">
        <v>459</v>
      </c>
      <c r="G41" s="31" t="s">
        <v>460</v>
      </c>
      <c r="H41" s="44" t="s">
        <v>461</v>
      </c>
      <c r="I41" s="42" t="s">
        <v>462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457</v>
      </c>
      <c r="C42" s="42" t="s">
        <v>498</v>
      </c>
      <c r="D42" s="42" t="s">
        <v>482</v>
      </c>
      <c r="E42" s="34" t="s">
        <v>459</v>
      </c>
      <c r="F42" s="43" t="s">
        <v>459</v>
      </c>
      <c r="G42" s="31" t="s">
        <v>460</v>
      </c>
      <c r="H42" s="44" t="s">
        <v>461</v>
      </c>
      <c r="I42" s="42" t="s">
        <v>462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483</v>
      </c>
      <c r="C43" s="42" t="s">
        <v>498</v>
      </c>
      <c r="D43" s="42" t="s">
        <v>484</v>
      </c>
      <c r="E43" s="34" t="s">
        <v>459</v>
      </c>
      <c r="F43" s="43" t="s">
        <v>459</v>
      </c>
      <c r="G43" s="31" t="s">
        <v>460</v>
      </c>
      <c r="H43" s="44" t="s">
        <v>461</v>
      </c>
      <c r="I43" s="42" t="s">
        <v>462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483</v>
      </c>
      <c r="C44" s="42" t="s">
        <v>498</v>
      </c>
      <c r="D44" s="42" t="s">
        <v>485</v>
      </c>
      <c r="E44" s="34" t="s">
        <v>459</v>
      </c>
      <c r="F44" s="43" t="s">
        <v>459</v>
      </c>
      <c r="G44" s="31" t="s">
        <v>460</v>
      </c>
      <c r="H44" s="44" t="s">
        <v>461</v>
      </c>
      <c r="I44" s="42" t="s">
        <v>462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486</v>
      </c>
      <c r="C45" s="42" t="s">
        <v>498</v>
      </c>
      <c r="D45" s="42" t="s">
        <v>495</v>
      </c>
      <c r="E45" s="34" t="s">
        <v>459</v>
      </c>
      <c r="F45" s="43" t="s">
        <v>459</v>
      </c>
      <c r="G45" s="31" t="s">
        <v>460</v>
      </c>
      <c r="H45" s="44" t="s">
        <v>461</v>
      </c>
      <c r="I45" s="42" t="s">
        <v>462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486</v>
      </c>
      <c r="C46" s="42" t="s">
        <v>498</v>
      </c>
      <c r="D46" s="42" t="s">
        <v>499</v>
      </c>
      <c r="E46" s="34" t="s">
        <v>459</v>
      </c>
      <c r="F46" s="43" t="s">
        <v>459</v>
      </c>
      <c r="G46" s="31" t="s">
        <v>460</v>
      </c>
      <c r="H46" s="44" t="s">
        <v>461</v>
      </c>
      <c r="I46" s="42" t="s">
        <v>462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488</v>
      </c>
      <c r="C47" s="42" t="s">
        <v>498</v>
      </c>
      <c r="D47" s="42" t="s">
        <v>497</v>
      </c>
      <c r="E47" s="34" t="s">
        <v>459</v>
      </c>
      <c r="F47" s="43" t="s">
        <v>459</v>
      </c>
      <c r="G47" s="31" t="s">
        <v>460</v>
      </c>
      <c r="H47" s="44" t="s">
        <v>461</v>
      </c>
      <c r="I47" s="42" t="s">
        <v>462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475</v>
      </c>
      <c r="C48" s="42" t="s">
        <v>500</v>
      </c>
      <c r="D48" s="42" t="s">
        <v>477</v>
      </c>
      <c r="E48" s="34" t="s">
        <v>459</v>
      </c>
      <c r="F48" s="43" t="s">
        <v>459</v>
      </c>
      <c r="G48" s="31" t="s">
        <v>460</v>
      </c>
      <c r="H48" s="44" t="s">
        <v>461</v>
      </c>
      <c r="I48" s="42" t="s">
        <v>462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475</v>
      </c>
      <c r="C49" s="42" t="s">
        <v>500</v>
      </c>
      <c r="D49" s="42" t="s">
        <v>478</v>
      </c>
      <c r="E49" s="34" t="s">
        <v>459</v>
      </c>
      <c r="F49" s="43" t="s">
        <v>459</v>
      </c>
      <c r="G49" s="31" t="s">
        <v>460</v>
      </c>
      <c r="H49" s="44" t="s">
        <v>461</v>
      </c>
      <c r="I49" s="42" t="s">
        <v>462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479</v>
      </c>
      <c r="C50" s="42" t="s">
        <v>500</v>
      </c>
      <c r="D50" s="42" t="s">
        <v>480</v>
      </c>
      <c r="E50" s="34" t="s">
        <v>459</v>
      </c>
      <c r="F50" s="43" t="s">
        <v>459</v>
      </c>
      <c r="G50" s="31" t="s">
        <v>460</v>
      </c>
      <c r="H50" s="44" t="s">
        <v>461</v>
      </c>
      <c r="I50" s="42" t="s">
        <v>462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479</v>
      </c>
      <c r="C51" s="42" t="s">
        <v>500</v>
      </c>
      <c r="D51" s="42" t="s">
        <v>481</v>
      </c>
      <c r="E51" s="34" t="s">
        <v>459</v>
      </c>
      <c r="F51" s="43" t="s">
        <v>459</v>
      </c>
      <c r="G51" s="31" t="s">
        <v>460</v>
      </c>
      <c r="H51" s="44" t="s">
        <v>461</v>
      </c>
      <c r="I51" s="42" t="s">
        <v>462</v>
      </c>
      <c r="J51" s="42"/>
      <c r="K51" s="45" t="n">
        <f aca="false">IF(AND(E51="yes",F51="yes",H51="covered"),1,IF(H51="partial",0.5,0))</f>
        <v>1</v>
      </c>
    </row>
    <row r="52" customFormat="false" ht="30" hidden="false" customHeight="true" outlineLevel="0" collapsed="false">
      <c r="A52" s="31" t="n">
        <v>44</v>
      </c>
      <c r="B52" s="42" t="s">
        <v>457</v>
      </c>
      <c r="C52" s="42" t="s">
        <v>500</v>
      </c>
      <c r="D52" s="42" t="s">
        <v>482</v>
      </c>
      <c r="E52" s="34" t="s">
        <v>459</v>
      </c>
      <c r="F52" s="43" t="s">
        <v>459</v>
      </c>
      <c r="G52" s="31" t="s">
        <v>460</v>
      </c>
      <c r="H52" s="44" t="s">
        <v>461</v>
      </c>
      <c r="I52" s="42" t="s">
        <v>462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483</v>
      </c>
      <c r="C53" s="42" t="s">
        <v>500</v>
      </c>
      <c r="D53" s="42" t="s">
        <v>484</v>
      </c>
      <c r="E53" s="34" t="s">
        <v>459</v>
      </c>
      <c r="F53" s="43" t="s">
        <v>459</v>
      </c>
      <c r="G53" s="31" t="s">
        <v>460</v>
      </c>
      <c r="H53" s="44" t="s">
        <v>461</v>
      </c>
      <c r="I53" s="42" t="s">
        <v>462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483</v>
      </c>
      <c r="C54" s="42" t="s">
        <v>500</v>
      </c>
      <c r="D54" s="42" t="s">
        <v>485</v>
      </c>
      <c r="E54" s="34" t="s">
        <v>459</v>
      </c>
      <c r="F54" s="43" t="s">
        <v>459</v>
      </c>
      <c r="G54" s="31" t="s">
        <v>460</v>
      </c>
      <c r="H54" s="44" t="s">
        <v>461</v>
      </c>
      <c r="I54" s="42" t="s">
        <v>462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486</v>
      </c>
      <c r="C55" s="42" t="s">
        <v>500</v>
      </c>
      <c r="D55" s="42" t="s">
        <v>501</v>
      </c>
      <c r="E55" s="34" t="s">
        <v>459</v>
      </c>
      <c r="F55" s="43" t="s">
        <v>459</v>
      </c>
      <c r="G55" s="31" t="s">
        <v>460</v>
      </c>
      <c r="H55" s="44" t="s">
        <v>461</v>
      </c>
      <c r="I55" s="42" t="s">
        <v>462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486</v>
      </c>
      <c r="C56" s="42" t="s">
        <v>500</v>
      </c>
      <c r="D56" s="42" t="s">
        <v>495</v>
      </c>
      <c r="E56" s="34" t="s">
        <v>459</v>
      </c>
      <c r="F56" s="43" t="s">
        <v>459</v>
      </c>
      <c r="G56" s="31" t="s">
        <v>460</v>
      </c>
      <c r="H56" s="44" t="s">
        <v>461</v>
      </c>
      <c r="I56" s="42" t="s">
        <v>462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486</v>
      </c>
      <c r="C57" s="42" t="s">
        <v>500</v>
      </c>
      <c r="D57" s="42" t="s">
        <v>499</v>
      </c>
      <c r="E57" s="34" t="s">
        <v>459</v>
      </c>
      <c r="F57" s="43" t="s">
        <v>459</v>
      </c>
      <c r="G57" s="31" t="s">
        <v>460</v>
      </c>
      <c r="H57" s="44" t="s">
        <v>461</v>
      </c>
      <c r="I57" s="42" t="s">
        <v>462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475</v>
      </c>
      <c r="C58" s="42" t="s">
        <v>502</v>
      </c>
      <c r="D58" s="42" t="s">
        <v>477</v>
      </c>
      <c r="E58" s="34" t="s">
        <v>459</v>
      </c>
      <c r="F58" s="43" t="s">
        <v>459</v>
      </c>
      <c r="G58" s="31" t="s">
        <v>460</v>
      </c>
      <c r="H58" s="44" t="s">
        <v>461</v>
      </c>
      <c r="I58" s="42" t="s">
        <v>462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475</v>
      </c>
      <c r="C59" s="42" t="s">
        <v>502</v>
      </c>
      <c r="D59" s="42" t="s">
        <v>478</v>
      </c>
      <c r="E59" s="34" t="s">
        <v>459</v>
      </c>
      <c r="F59" s="43" t="s">
        <v>459</v>
      </c>
      <c r="G59" s="31" t="s">
        <v>460</v>
      </c>
      <c r="H59" s="44" t="s">
        <v>461</v>
      </c>
      <c r="I59" s="42" t="s">
        <v>462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479</v>
      </c>
      <c r="C60" s="42" t="s">
        <v>502</v>
      </c>
      <c r="D60" s="42" t="s">
        <v>480</v>
      </c>
      <c r="E60" s="34" t="s">
        <v>459</v>
      </c>
      <c r="F60" s="43" t="s">
        <v>459</v>
      </c>
      <c r="G60" s="31" t="s">
        <v>460</v>
      </c>
      <c r="H60" s="44" t="s">
        <v>461</v>
      </c>
      <c r="I60" s="42" t="s">
        <v>462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479</v>
      </c>
      <c r="C61" s="42" t="s">
        <v>502</v>
      </c>
      <c r="D61" s="42" t="s">
        <v>481</v>
      </c>
      <c r="E61" s="34" t="s">
        <v>459</v>
      </c>
      <c r="F61" s="43" t="s">
        <v>459</v>
      </c>
      <c r="G61" s="31" t="s">
        <v>460</v>
      </c>
      <c r="H61" s="44" t="s">
        <v>461</v>
      </c>
      <c r="I61" s="42" t="s">
        <v>462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457</v>
      </c>
      <c r="C62" s="42" t="s">
        <v>502</v>
      </c>
      <c r="D62" s="42" t="s">
        <v>482</v>
      </c>
      <c r="E62" s="34" t="s">
        <v>459</v>
      </c>
      <c r="F62" s="43" t="s">
        <v>459</v>
      </c>
      <c r="G62" s="31" t="s">
        <v>460</v>
      </c>
      <c r="H62" s="44" t="s">
        <v>461</v>
      </c>
      <c r="I62" s="42" t="s">
        <v>462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483</v>
      </c>
      <c r="C63" s="42" t="s">
        <v>502</v>
      </c>
      <c r="D63" s="42" t="s">
        <v>484</v>
      </c>
      <c r="E63" s="34" t="s">
        <v>459</v>
      </c>
      <c r="F63" s="43" t="s">
        <v>459</v>
      </c>
      <c r="G63" s="31" t="s">
        <v>460</v>
      </c>
      <c r="H63" s="44" t="s">
        <v>461</v>
      </c>
      <c r="I63" s="42" t="s">
        <v>462</v>
      </c>
      <c r="J63" s="42"/>
      <c r="K63" s="45" t="n">
        <f aca="false">IF(AND(E63="yes",F63="yes",H63="covered"),1,IF(H63="partial",0.5,0))</f>
        <v>1</v>
      </c>
    </row>
    <row r="64" customFormat="false" ht="30" hidden="false" customHeight="true" outlineLevel="0" collapsed="false">
      <c r="A64" s="31" t="n">
        <v>56</v>
      </c>
      <c r="B64" s="42" t="s">
        <v>483</v>
      </c>
      <c r="C64" s="42" t="s">
        <v>502</v>
      </c>
      <c r="D64" s="42" t="s">
        <v>485</v>
      </c>
      <c r="E64" s="34" t="s">
        <v>459</v>
      </c>
      <c r="F64" s="43" t="s">
        <v>459</v>
      </c>
      <c r="G64" s="31" t="s">
        <v>460</v>
      </c>
      <c r="H64" s="44" t="s">
        <v>461</v>
      </c>
      <c r="I64" s="42" t="s">
        <v>462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488</v>
      </c>
      <c r="C65" s="42" t="s">
        <v>502</v>
      </c>
      <c r="D65" s="42" t="s">
        <v>489</v>
      </c>
      <c r="E65" s="34" t="s">
        <v>459</v>
      </c>
      <c r="F65" s="43" t="s">
        <v>459</v>
      </c>
      <c r="G65" s="31" t="s">
        <v>460</v>
      </c>
      <c r="H65" s="44" t="s">
        <v>461</v>
      </c>
      <c r="I65" s="42" t="s">
        <v>462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488</v>
      </c>
      <c r="C66" s="42" t="s">
        <v>502</v>
      </c>
      <c r="D66" s="42" t="s">
        <v>493</v>
      </c>
      <c r="E66" s="34" t="s">
        <v>459</v>
      </c>
      <c r="F66" s="43" t="s">
        <v>459</v>
      </c>
      <c r="G66" s="31" t="s">
        <v>460</v>
      </c>
      <c r="H66" s="44" t="s">
        <v>461</v>
      </c>
      <c r="I66" s="42" t="s">
        <v>462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486</v>
      </c>
      <c r="C67" s="42" t="s">
        <v>502</v>
      </c>
      <c r="D67" s="42" t="s">
        <v>495</v>
      </c>
      <c r="E67" s="34" t="s">
        <v>459</v>
      </c>
      <c r="F67" s="43" t="s">
        <v>459</v>
      </c>
      <c r="G67" s="31" t="s">
        <v>460</v>
      </c>
      <c r="H67" s="44" t="s">
        <v>461</v>
      </c>
      <c r="I67" s="42" t="s">
        <v>462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486</v>
      </c>
      <c r="C68" s="42" t="s">
        <v>502</v>
      </c>
      <c r="D68" s="42" t="s">
        <v>499</v>
      </c>
      <c r="E68" s="34" t="s">
        <v>459</v>
      </c>
      <c r="F68" s="43" t="s">
        <v>459</v>
      </c>
      <c r="G68" s="31" t="s">
        <v>460</v>
      </c>
      <c r="H68" s="44" t="s">
        <v>461</v>
      </c>
      <c r="I68" s="42" t="s">
        <v>462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488</v>
      </c>
      <c r="C69" s="42" t="s">
        <v>502</v>
      </c>
      <c r="D69" s="42" t="s">
        <v>497</v>
      </c>
      <c r="E69" s="34" t="s">
        <v>459</v>
      </c>
      <c r="F69" s="43" t="s">
        <v>459</v>
      </c>
      <c r="G69" s="31" t="s">
        <v>460</v>
      </c>
      <c r="H69" s="44" t="s">
        <v>461</v>
      </c>
      <c r="I69" s="42" t="s">
        <v>462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475</v>
      </c>
      <c r="C70" s="42" t="s">
        <v>503</v>
      </c>
      <c r="D70" s="42" t="s">
        <v>477</v>
      </c>
      <c r="E70" s="34" t="s">
        <v>459</v>
      </c>
      <c r="F70" s="43" t="s">
        <v>459</v>
      </c>
      <c r="G70" s="31" t="s">
        <v>460</v>
      </c>
      <c r="H70" s="44" t="s">
        <v>461</v>
      </c>
      <c r="I70" s="42" t="s">
        <v>462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475</v>
      </c>
      <c r="C71" s="42" t="s">
        <v>503</v>
      </c>
      <c r="D71" s="42" t="s">
        <v>478</v>
      </c>
      <c r="E71" s="34" t="s">
        <v>459</v>
      </c>
      <c r="F71" s="43" t="s">
        <v>459</v>
      </c>
      <c r="G71" s="31" t="s">
        <v>460</v>
      </c>
      <c r="H71" s="44" t="s">
        <v>461</v>
      </c>
      <c r="I71" s="42" t="s">
        <v>462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479</v>
      </c>
      <c r="C72" s="42" t="s">
        <v>503</v>
      </c>
      <c r="D72" s="42" t="s">
        <v>480</v>
      </c>
      <c r="E72" s="34" t="s">
        <v>459</v>
      </c>
      <c r="F72" s="43" t="s">
        <v>459</v>
      </c>
      <c r="G72" s="31" t="s">
        <v>460</v>
      </c>
      <c r="H72" s="44" t="s">
        <v>461</v>
      </c>
      <c r="I72" s="42" t="s">
        <v>462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479</v>
      </c>
      <c r="C73" s="42" t="s">
        <v>503</v>
      </c>
      <c r="D73" s="42" t="s">
        <v>481</v>
      </c>
      <c r="E73" s="34" t="s">
        <v>459</v>
      </c>
      <c r="F73" s="43" t="s">
        <v>459</v>
      </c>
      <c r="G73" s="31" t="s">
        <v>460</v>
      </c>
      <c r="H73" s="44" t="s">
        <v>461</v>
      </c>
      <c r="I73" s="42" t="s">
        <v>462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457</v>
      </c>
      <c r="C74" s="42" t="s">
        <v>503</v>
      </c>
      <c r="D74" s="42" t="s">
        <v>482</v>
      </c>
      <c r="E74" s="34" t="s">
        <v>459</v>
      </c>
      <c r="F74" s="43" t="s">
        <v>459</v>
      </c>
      <c r="G74" s="31" t="s">
        <v>460</v>
      </c>
      <c r="H74" s="44" t="s">
        <v>461</v>
      </c>
      <c r="I74" s="42" t="s">
        <v>462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483</v>
      </c>
      <c r="C75" s="42" t="s">
        <v>503</v>
      </c>
      <c r="D75" s="42" t="s">
        <v>484</v>
      </c>
      <c r="E75" s="34" t="s">
        <v>459</v>
      </c>
      <c r="F75" s="43" t="s">
        <v>459</v>
      </c>
      <c r="G75" s="31" t="s">
        <v>460</v>
      </c>
      <c r="H75" s="44" t="s">
        <v>461</v>
      </c>
      <c r="I75" s="42" t="s">
        <v>462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483</v>
      </c>
      <c r="C76" s="42" t="s">
        <v>503</v>
      </c>
      <c r="D76" s="42" t="s">
        <v>485</v>
      </c>
      <c r="E76" s="34" t="s">
        <v>459</v>
      </c>
      <c r="F76" s="43" t="s">
        <v>459</v>
      </c>
      <c r="G76" s="31" t="s">
        <v>460</v>
      </c>
      <c r="H76" s="44" t="s">
        <v>461</v>
      </c>
      <c r="I76" s="42" t="s">
        <v>462</v>
      </c>
      <c r="J76" s="42"/>
      <c r="K76" s="45" t="n">
        <f aca="false">IF(AND(E76="yes",F76="yes",H76="covered"),1,IF(H76="partial",0.5,0))</f>
        <v>1</v>
      </c>
    </row>
    <row r="77" customFormat="false" ht="30" hidden="false" customHeight="true" outlineLevel="0" collapsed="false">
      <c r="A77" s="31" t="n">
        <v>69</v>
      </c>
      <c r="B77" s="42" t="s">
        <v>486</v>
      </c>
      <c r="C77" s="42" t="s">
        <v>503</v>
      </c>
      <c r="D77" s="42" t="s">
        <v>504</v>
      </c>
      <c r="E77" s="34" t="s">
        <v>459</v>
      </c>
      <c r="F77" s="43" t="s">
        <v>459</v>
      </c>
      <c r="G77" s="31" t="s">
        <v>460</v>
      </c>
      <c r="H77" s="44" t="s">
        <v>461</v>
      </c>
      <c r="I77" s="42" t="s">
        <v>462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486</v>
      </c>
      <c r="C78" s="42" t="s">
        <v>503</v>
      </c>
      <c r="D78" s="42" t="s">
        <v>495</v>
      </c>
      <c r="E78" s="34" t="s">
        <v>459</v>
      </c>
      <c r="F78" s="43" t="s">
        <v>459</v>
      </c>
      <c r="G78" s="31" t="s">
        <v>460</v>
      </c>
      <c r="H78" s="44" t="s">
        <v>461</v>
      </c>
      <c r="I78" s="42" t="s">
        <v>462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505</v>
      </c>
      <c r="C79" s="42" t="s">
        <v>506</v>
      </c>
      <c r="D79" s="42" t="s">
        <v>507</v>
      </c>
      <c r="E79" s="34" t="s">
        <v>459</v>
      </c>
      <c r="F79" s="43" t="s">
        <v>459</v>
      </c>
      <c r="G79" s="31" t="s">
        <v>460</v>
      </c>
      <c r="H79" s="44" t="s">
        <v>461</v>
      </c>
      <c r="I79" s="42" t="s">
        <v>462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505</v>
      </c>
      <c r="C80" s="42" t="s">
        <v>506</v>
      </c>
      <c r="D80" s="42" t="s">
        <v>508</v>
      </c>
      <c r="E80" s="34" t="s">
        <v>459</v>
      </c>
      <c r="F80" s="43" t="s">
        <v>459</v>
      </c>
      <c r="G80" s="31" t="s">
        <v>460</v>
      </c>
      <c r="H80" s="44" t="s">
        <v>461</v>
      </c>
      <c r="I80" s="42" t="s">
        <v>462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505</v>
      </c>
      <c r="C81" s="42" t="s">
        <v>506</v>
      </c>
      <c r="D81" s="42" t="s">
        <v>509</v>
      </c>
      <c r="E81" s="34" t="s">
        <v>459</v>
      </c>
      <c r="F81" s="43" t="s">
        <v>459</v>
      </c>
      <c r="G81" s="31" t="s">
        <v>460</v>
      </c>
      <c r="H81" s="44" t="s">
        <v>461</v>
      </c>
      <c r="I81" s="42" t="s">
        <v>462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505</v>
      </c>
      <c r="C82" s="42" t="s">
        <v>506</v>
      </c>
      <c r="D82" s="42" t="s">
        <v>510</v>
      </c>
      <c r="E82" s="34" t="s">
        <v>459</v>
      </c>
      <c r="F82" s="43" t="s">
        <v>459</v>
      </c>
      <c r="G82" s="31" t="s">
        <v>460</v>
      </c>
      <c r="H82" s="44" t="s">
        <v>461</v>
      </c>
      <c r="I82" s="42" t="s">
        <v>462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511</v>
      </c>
      <c r="C83" s="42" t="s">
        <v>506</v>
      </c>
      <c r="D83" s="42" t="s">
        <v>512</v>
      </c>
      <c r="E83" s="34" t="s">
        <v>459</v>
      </c>
      <c r="F83" s="43" t="s">
        <v>459</v>
      </c>
      <c r="G83" s="31" t="s">
        <v>460</v>
      </c>
      <c r="H83" s="44" t="s">
        <v>461</v>
      </c>
      <c r="I83" s="42" t="s">
        <v>462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511</v>
      </c>
      <c r="C84" s="42" t="s">
        <v>506</v>
      </c>
      <c r="D84" s="42" t="s">
        <v>513</v>
      </c>
      <c r="E84" s="34" t="s">
        <v>459</v>
      </c>
      <c r="F84" s="43" t="s">
        <v>459</v>
      </c>
      <c r="G84" s="31" t="s">
        <v>460</v>
      </c>
      <c r="H84" s="44" t="s">
        <v>461</v>
      </c>
      <c r="I84" s="42" t="s">
        <v>462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511</v>
      </c>
      <c r="C85" s="42" t="s">
        <v>506</v>
      </c>
      <c r="D85" s="42" t="s">
        <v>514</v>
      </c>
      <c r="E85" s="34" t="s">
        <v>459</v>
      </c>
      <c r="F85" s="43" t="s">
        <v>459</v>
      </c>
      <c r="G85" s="31" t="s">
        <v>460</v>
      </c>
      <c r="H85" s="44" t="s">
        <v>461</v>
      </c>
      <c r="I85" s="42" t="s">
        <v>462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511</v>
      </c>
      <c r="C86" s="42" t="s">
        <v>506</v>
      </c>
      <c r="D86" s="42" t="s">
        <v>515</v>
      </c>
      <c r="E86" s="34" t="s">
        <v>459</v>
      </c>
      <c r="F86" s="43" t="s">
        <v>459</v>
      </c>
      <c r="G86" s="31" t="s">
        <v>460</v>
      </c>
      <c r="H86" s="44" t="s">
        <v>461</v>
      </c>
      <c r="I86" s="42" t="s">
        <v>462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483</v>
      </c>
      <c r="C87" s="42" t="s">
        <v>14</v>
      </c>
      <c r="D87" s="42" t="s">
        <v>516</v>
      </c>
      <c r="E87" s="34" t="s">
        <v>459</v>
      </c>
      <c r="F87" s="43" t="s">
        <v>459</v>
      </c>
      <c r="G87" s="31" t="s">
        <v>460</v>
      </c>
      <c r="H87" s="44" t="s">
        <v>461</v>
      </c>
      <c r="I87" s="42" t="s">
        <v>462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483</v>
      </c>
      <c r="C88" s="42" t="s">
        <v>14</v>
      </c>
      <c r="D88" s="42" t="s">
        <v>517</v>
      </c>
      <c r="E88" s="34" t="s">
        <v>459</v>
      </c>
      <c r="F88" s="43" t="s">
        <v>459</v>
      </c>
      <c r="G88" s="31" t="s">
        <v>460</v>
      </c>
      <c r="H88" s="44" t="s">
        <v>461</v>
      </c>
      <c r="I88" s="42" t="s">
        <v>462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483</v>
      </c>
      <c r="C89" s="42" t="s">
        <v>14</v>
      </c>
      <c r="D89" s="42" t="s">
        <v>518</v>
      </c>
      <c r="E89" s="34" t="s">
        <v>459</v>
      </c>
      <c r="F89" s="43" t="s">
        <v>459</v>
      </c>
      <c r="G89" s="31" t="s">
        <v>460</v>
      </c>
      <c r="H89" s="44" t="s">
        <v>461</v>
      </c>
      <c r="I89" s="42" t="s">
        <v>462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483</v>
      </c>
      <c r="C90" s="42" t="s">
        <v>14</v>
      </c>
      <c r="D90" s="42" t="s">
        <v>519</v>
      </c>
      <c r="E90" s="34" t="s">
        <v>459</v>
      </c>
      <c r="F90" s="43" t="s">
        <v>459</v>
      </c>
      <c r="G90" s="31" t="s">
        <v>460</v>
      </c>
      <c r="H90" s="44" t="s">
        <v>461</v>
      </c>
      <c r="I90" s="42" t="s">
        <v>462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483</v>
      </c>
      <c r="C91" s="42" t="s">
        <v>14</v>
      </c>
      <c r="D91" s="42" t="s">
        <v>520</v>
      </c>
      <c r="E91" s="34" t="s">
        <v>459</v>
      </c>
      <c r="F91" s="43" t="s">
        <v>459</v>
      </c>
      <c r="G91" s="31" t="s">
        <v>460</v>
      </c>
      <c r="H91" s="44" t="s">
        <v>461</v>
      </c>
      <c r="I91" s="42" t="s">
        <v>462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488</v>
      </c>
      <c r="C92" s="42" t="s">
        <v>476</v>
      </c>
      <c r="D92" s="42" t="s">
        <v>521</v>
      </c>
      <c r="E92" s="34" t="s">
        <v>459</v>
      </c>
      <c r="F92" s="43" t="s">
        <v>459</v>
      </c>
      <c r="G92" s="31" t="s">
        <v>460</v>
      </c>
      <c r="H92" s="44" t="s">
        <v>461</v>
      </c>
      <c r="I92" s="42" t="s">
        <v>462</v>
      </c>
      <c r="J92" s="42"/>
      <c r="K92" s="45" t="n">
        <f aca="false">IF(AND(E92="yes",F92="yes",H92="covered"),1,IF(H92="partial",0.5,0))</f>
        <v>1</v>
      </c>
    </row>
    <row r="93" customFormat="false" ht="30" hidden="false" customHeight="true" outlineLevel="0" collapsed="false">
      <c r="A93" s="31" t="n">
        <v>85</v>
      </c>
      <c r="B93" s="42" t="s">
        <v>488</v>
      </c>
      <c r="C93" s="42" t="s">
        <v>476</v>
      </c>
      <c r="D93" s="42" t="s">
        <v>522</v>
      </c>
      <c r="E93" s="34" t="s">
        <v>459</v>
      </c>
      <c r="F93" s="43" t="s">
        <v>459</v>
      </c>
      <c r="G93" s="31" t="s">
        <v>460</v>
      </c>
      <c r="H93" s="44" t="s">
        <v>461</v>
      </c>
      <c r="I93" s="42" t="s">
        <v>462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488</v>
      </c>
      <c r="C94" s="42" t="s">
        <v>476</v>
      </c>
      <c r="D94" s="42" t="s">
        <v>523</v>
      </c>
      <c r="E94" s="34" t="s">
        <v>459</v>
      </c>
      <c r="F94" s="43" t="s">
        <v>459</v>
      </c>
      <c r="G94" s="31" t="s">
        <v>460</v>
      </c>
      <c r="H94" s="44" t="s">
        <v>461</v>
      </c>
      <c r="I94" s="42" t="s">
        <v>462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524</v>
      </c>
      <c r="C95" s="42" t="s">
        <v>498</v>
      </c>
      <c r="D95" s="42" t="s">
        <v>525</v>
      </c>
      <c r="E95" s="34" t="s">
        <v>459</v>
      </c>
      <c r="F95" s="43" t="s">
        <v>459</v>
      </c>
      <c r="G95" s="31" t="s">
        <v>460</v>
      </c>
      <c r="H95" s="44" t="s">
        <v>461</v>
      </c>
      <c r="I95" s="42" t="s">
        <v>462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524</v>
      </c>
      <c r="C96" s="42" t="s">
        <v>498</v>
      </c>
      <c r="D96" s="42" t="s">
        <v>526</v>
      </c>
      <c r="E96" s="34" t="s">
        <v>459</v>
      </c>
      <c r="F96" s="43" t="s">
        <v>459</v>
      </c>
      <c r="G96" s="31" t="s">
        <v>460</v>
      </c>
      <c r="H96" s="44" t="s">
        <v>461</v>
      </c>
      <c r="I96" s="42" t="s">
        <v>462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524</v>
      </c>
      <c r="C97" s="42" t="s">
        <v>498</v>
      </c>
      <c r="D97" s="42" t="s">
        <v>527</v>
      </c>
      <c r="E97" s="34" t="s">
        <v>459</v>
      </c>
      <c r="F97" s="43" t="s">
        <v>459</v>
      </c>
      <c r="G97" s="31" t="s">
        <v>460</v>
      </c>
      <c r="H97" s="44" t="s">
        <v>461</v>
      </c>
      <c r="I97" s="42" t="s">
        <v>462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524</v>
      </c>
      <c r="C98" s="42" t="s">
        <v>498</v>
      </c>
      <c r="D98" s="42" t="s">
        <v>528</v>
      </c>
      <c r="E98" s="34" t="s">
        <v>459</v>
      </c>
      <c r="F98" s="43" t="s">
        <v>459</v>
      </c>
      <c r="G98" s="31" t="s">
        <v>460</v>
      </c>
      <c r="H98" s="44" t="s">
        <v>461</v>
      </c>
      <c r="I98" s="42" t="s">
        <v>462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529</v>
      </c>
      <c r="C99" s="42" t="s">
        <v>498</v>
      </c>
      <c r="D99" s="42" t="s">
        <v>530</v>
      </c>
      <c r="E99" s="34" t="s">
        <v>459</v>
      </c>
      <c r="F99" s="43" t="s">
        <v>459</v>
      </c>
      <c r="G99" s="31" t="s">
        <v>460</v>
      </c>
      <c r="H99" s="44" t="s">
        <v>461</v>
      </c>
      <c r="I99" s="42" t="s">
        <v>462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531</v>
      </c>
      <c r="C100" s="42" t="s">
        <v>14</v>
      </c>
      <c r="D100" s="42" t="s">
        <v>532</v>
      </c>
      <c r="E100" s="34" t="s">
        <v>459</v>
      </c>
      <c r="F100" s="43" t="s">
        <v>459</v>
      </c>
      <c r="G100" s="31" t="s">
        <v>460</v>
      </c>
      <c r="H100" s="44" t="s">
        <v>461</v>
      </c>
      <c r="I100" s="42" t="s">
        <v>462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531</v>
      </c>
      <c r="C101" s="42" t="s">
        <v>14</v>
      </c>
      <c r="D101" s="42" t="s">
        <v>533</v>
      </c>
      <c r="E101" s="34" t="s">
        <v>459</v>
      </c>
      <c r="F101" s="43" t="s">
        <v>459</v>
      </c>
      <c r="G101" s="31" t="s">
        <v>460</v>
      </c>
      <c r="H101" s="44" t="s">
        <v>461</v>
      </c>
      <c r="I101" s="42" t="s">
        <v>462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531</v>
      </c>
      <c r="C102" s="42" t="s">
        <v>14</v>
      </c>
      <c r="D102" s="42" t="s">
        <v>534</v>
      </c>
      <c r="E102" s="34" t="s">
        <v>459</v>
      </c>
      <c r="F102" s="43" t="s">
        <v>459</v>
      </c>
      <c r="G102" s="31" t="s">
        <v>460</v>
      </c>
      <c r="H102" s="44" t="s">
        <v>461</v>
      </c>
      <c r="I102" s="42" t="s">
        <v>462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531</v>
      </c>
      <c r="C103" s="42" t="s">
        <v>14</v>
      </c>
      <c r="D103" s="42" t="s">
        <v>535</v>
      </c>
      <c r="E103" s="34" t="s">
        <v>459</v>
      </c>
      <c r="F103" s="43" t="s">
        <v>459</v>
      </c>
      <c r="G103" s="31" t="s">
        <v>460</v>
      </c>
      <c r="H103" s="44" t="s">
        <v>461</v>
      </c>
      <c r="I103" s="42" t="s">
        <v>462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531</v>
      </c>
      <c r="C104" s="42" t="s">
        <v>14</v>
      </c>
      <c r="D104" s="42" t="s">
        <v>536</v>
      </c>
      <c r="E104" s="34" t="s">
        <v>459</v>
      </c>
      <c r="F104" s="43" t="s">
        <v>459</v>
      </c>
      <c r="G104" s="31" t="s">
        <v>460</v>
      </c>
      <c r="H104" s="44" t="s">
        <v>461</v>
      </c>
      <c r="I104" s="42" t="s">
        <v>462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529</v>
      </c>
      <c r="C105" s="42" t="s">
        <v>14</v>
      </c>
      <c r="D105" s="42" t="s">
        <v>537</v>
      </c>
      <c r="E105" s="34" t="s">
        <v>459</v>
      </c>
      <c r="F105" s="43" t="s">
        <v>459</v>
      </c>
      <c r="G105" s="31" t="s">
        <v>460</v>
      </c>
      <c r="H105" s="44" t="s">
        <v>461</v>
      </c>
      <c r="I105" s="42" t="s">
        <v>462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31</v>
      </c>
      <c r="C106" s="42" t="s">
        <v>476</v>
      </c>
      <c r="D106" s="42" t="s">
        <v>538</v>
      </c>
      <c r="E106" s="46" t="s">
        <v>459</v>
      </c>
      <c r="F106" s="43" t="s">
        <v>459</v>
      </c>
      <c r="G106" s="31" t="s">
        <v>460</v>
      </c>
      <c r="H106" s="46" t="s">
        <v>461</v>
      </c>
      <c r="I106" s="42" t="s">
        <v>462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31</v>
      </c>
      <c r="C107" s="42" t="s">
        <v>476</v>
      </c>
      <c r="D107" s="42" t="s">
        <v>539</v>
      </c>
      <c r="E107" s="46" t="s">
        <v>459</v>
      </c>
      <c r="F107" s="43" t="s">
        <v>459</v>
      </c>
      <c r="G107" s="31" t="s">
        <v>460</v>
      </c>
      <c r="H107" s="46" t="s">
        <v>461</v>
      </c>
      <c r="I107" s="42" t="s">
        <v>462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456</v>
      </c>
      <c r="C108" s="42" t="s">
        <v>540</v>
      </c>
      <c r="D108" s="42" t="s">
        <v>541</v>
      </c>
      <c r="E108" s="46" t="s">
        <v>459</v>
      </c>
      <c r="F108" s="43" t="s">
        <v>459</v>
      </c>
      <c r="G108" s="31" t="s">
        <v>460</v>
      </c>
      <c r="H108" s="46" t="s">
        <v>461</v>
      </c>
      <c r="I108" s="42" t="s">
        <v>462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30" hidden="false" customHeight="true" outlineLevel="0" collapsed="false"/>
    <row r="112" customFormat="false" ht="30" hidden="false" customHeight="true" outlineLevel="0" collapsed="false"/>
    <row r="113" customFormat="false" ht="30" hidden="false" customHeight="true" outlineLevel="0" collapsed="false"/>
    <row r="114" customFormat="false" ht="30" hidden="false" customHeight="true" outlineLevel="0" collapsed="false"/>
    <row r="115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542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134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15</v>
      </c>
      <c r="D9" s="42" t="s">
        <v>464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544</v>
      </c>
      <c r="J9" s="42"/>
      <c r="K9" s="45" t="n">
        <f aca="false">IF(AND(E9="yes",F9="yes",H9="covered"),1,IF(H9="partial",0.5,0))</f>
        <v>1</v>
      </c>
    </row>
    <row r="10" customFormat="false" ht="30" hidden="false" customHeight="true" outlineLevel="0" collapsed="false">
      <c r="A10" s="31" t="n">
        <v>2</v>
      </c>
      <c r="B10" s="42" t="s">
        <v>456</v>
      </c>
      <c r="C10" s="42" t="s">
        <v>15</v>
      </c>
      <c r="D10" s="42" t="s">
        <v>545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544</v>
      </c>
      <c r="J10" s="42"/>
      <c r="K10" s="45" t="n">
        <f aca="false">IF(AND(E10="yes",F10="yes",H10="covered"),1,IF(H10="partial",0.5,0))</f>
        <v>1</v>
      </c>
    </row>
    <row r="11" customFormat="false" ht="30" hidden="false" customHeight="true" outlineLevel="0" collapsed="false">
      <c r="A11" s="31" t="n">
        <v>3</v>
      </c>
      <c r="B11" s="42" t="s">
        <v>456</v>
      </c>
      <c r="C11" s="42" t="s">
        <v>15</v>
      </c>
      <c r="D11" s="42" t="s">
        <v>546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544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457</v>
      </c>
      <c r="D12" s="42" t="s">
        <v>547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544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457</v>
      </c>
      <c r="D13" s="42" t="s">
        <v>548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544</v>
      </c>
      <c r="J13" s="42"/>
      <c r="K13" s="45" t="n">
        <f aca="false">IF(AND(E13="yes",F13="yes",H13="covered"),1,IF(H13="partial",0.5,0))</f>
        <v>1</v>
      </c>
    </row>
    <row r="14" customFormat="false" ht="30" hidden="false" customHeight="true" outlineLevel="0" collapsed="false">
      <c r="A14" s="31" t="n">
        <v>6</v>
      </c>
      <c r="B14" s="42" t="s">
        <v>456</v>
      </c>
      <c r="C14" s="42" t="s">
        <v>15</v>
      </c>
      <c r="D14" s="42" t="s">
        <v>549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544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15</v>
      </c>
      <c r="D15" s="42" t="s">
        <v>550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551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15</v>
      </c>
      <c r="D16" s="42" t="s">
        <v>552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553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15</v>
      </c>
      <c r="D17" s="42" t="s">
        <v>554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555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15</v>
      </c>
      <c r="D18" s="42" t="s">
        <v>556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557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15</v>
      </c>
      <c r="D19" s="42" t="s">
        <v>558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559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15</v>
      </c>
      <c r="D20" s="42" t="s">
        <v>560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561</v>
      </c>
      <c r="J20" s="42"/>
      <c r="K20" s="45" t="n">
        <f aca="false">IF(AND(E20="yes",F20="yes",H20="covered"),1,IF(H20="partial",0.5,0))</f>
        <v>1</v>
      </c>
    </row>
    <row r="21" customFormat="false" ht="30" hidden="false" customHeight="true" outlineLevel="0" collapsed="false">
      <c r="A21" s="31" t="n">
        <v>13</v>
      </c>
      <c r="B21" s="42" t="s">
        <v>468</v>
      </c>
      <c r="C21" s="42" t="s">
        <v>15</v>
      </c>
      <c r="D21" s="42" t="s">
        <v>562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563</v>
      </c>
      <c r="J21" s="42"/>
      <c r="K21" s="45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468</v>
      </c>
      <c r="C22" s="42" t="s">
        <v>15</v>
      </c>
      <c r="D22" s="42" t="s">
        <v>564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565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488</v>
      </c>
      <c r="C23" s="42" t="s">
        <v>476</v>
      </c>
      <c r="D23" s="42" t="s">
        <v>566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567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488</v>
      </c>
      <c r="C24" s="42" t="s">
        <v>476</v>
      </c>
      <c r="D24" s="42" t="s">
        <v>568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569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488</v>
      </c>
      <c r="C25" s="42" t="s">
        <v>476</v>
      </c>
      <c r="D25" s="42" t="s">
        <v>570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571</v>
      </c>
      <c r="J25" s="42"/>
      <c r="K25" s="45" t="n">
        <f aca="false">IF(AND(E25="yes",F25="yes",H25="covered"),1,IF(H25="partial",0.5,0))</f>
        <v>1</v>
      </c>
    </row>
    <row r="26" customFormat="false" ht="30" hidden="false" customHeight="true" outlineLevel="0" collapsed="false">
      <c r="A26" s="31" t="n">
        <v>18</v>
      </c>
      <c r="B26" s="42" t="s">
        <v>488</v>
      </c>
      <c r="C26" s="42" t="s">
        <v>476</v>
      </c>
      <c r="D26" s="42" t="s">
        <v>572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573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574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575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576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577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578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579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580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581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475</v>
      </c>
      <c r="C31" s="42" t="s">
        <v>498</v>
      </c>
      <c r="D31" s="42" t="s">
        <v>582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544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479</v>
      </c>
      <c r="C32" s="42" t="s">
        <v>498</v>
      </c>
      <c r="D32" s="42" t="s">
        <v>583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584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479</v>
      </c>
      <c r="C33" s="42" t="s">
        <v>498</v>
      </c>
      <c r="D33" s="42" t="s">
        <v>585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586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511</v>
      </c>
      <c r="C34" s="42" t="s">
        <v>498</v>
      </c>
      <c r="D34" s="42" t="s">
        <v>587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588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511</v>
      </c>
      <c r="C35" s="42" t="s">
        <v>498</v>
      </c>
      <c r="D35" s="42" t="s">
        <v>589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590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511</v>
      </c>
      <c r="C36" s="42" t="s">
        <v>498</v>
      </c>
      <c r="D36" s="42" t="s">
        <v>591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592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505</v>
      </c>
      <c r="C37" s="42" t="s">
        <v>498</v>
      </c>
      <c r="D37" s="42" t="s">
        <v>593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594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505</v>
      </c>
      <c r="C38" s="42" t="s">
        <v>498</v>
      </c>
      <c r="D38" s="42" t="s">
        <v>595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596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505</v>
      </c>
      <c r="C39" s="42" t="s">
        <v>498</v>
      </c>
      <c r="D39" s="42" t="s">
        <v>597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598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488</v>
      </c>
      <c r="C40" s="42" t="s">
        <v>498</v>
      </c>
      <c r="D40" s="42" t="s">
        <v>599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600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457</v>
      </c>
      <c r="C41" s="42" t="s">
        <v>498</v>
      </c>
      <c r="D41" s="42" t="s">
        <v>601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602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603</v>
      </c>
      <c r="C42" s="42" t="s">
        <v>498</v>
      </c>
      <c r="D42" s="42" t="s">
        <v>604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605</v>
      </c>
      <c r="J42" s="42"/>
      <c r="K42" s="45" t="n">
        <f aca="false">IF(AND(E42="yes",F42="yes",H42="covered"),1,IF(H42="partial",0.5,0))</f>
        <v>1</v>
      </c>
    </row>
    <row r="43" customFormat="false" ht="30" hidden="false" customHeight="true" outlineLevel="0" collapsed="false">
      <c r="A43" s="31" t="n">
        <v>35</v>
      </c>
      <c r="B43" s="42" t="s">
        <v>483</v>
      </c>
      <c r="C43" s="42" t="s">
        <v>498</v>
      </c>
      <c r="D43" s="42" t="s">
        <v>606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544</v>
      </c>
      <c r="J43" s="42"/>
      <c r="K43" s="45" t="n">
        <f aca="false">IF(AND(E43="yes",F43="yes",H43="covered"),1,IF(H43="partial",0.5,0))</f>
        <v>1</v>
      </c>
    </row>
    <row r="44" customFormat="false" ht="30" hidden="false" customHeight="true" outlineLevel="0" collapsed="false">
      <c r="A44" s="31" t="n">
        <v>36</v>
      </c>
      <c r="B44" s="42" t="s">
        <v>483</v>
      </c>
      <c r="C44" s="42" t="s">
        <v>498</v>
      </c>
      <c r="D44" s="42" t="s">
        <v>607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544</v>
      </c>
      <c r="J44" s="42"/>
      <c r="K44" s="45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31" t="n">
        <v>37</v>
      </c>
      <c r="B45" s="42" t="s">
        <v>483</v>
      </c>
      <c r="C45" s="42" t="s">
        <v>498</v>
      </c>
      <c r="D45" s="42" t="s">
        <v>608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544</v>
      </c>
      <c r="J45" s="42"/>
      <c r="K45" s="45" t="n">
        <f aca="false">IF(AND(E45="yes",F45="yes",H45="covered"),1,IF(H45="partial",0.5,0))</f>
        <v>1</v>
      </c>
    </row>
    <row r="46" customFormat="false" ht="30" hidden="false" customHeight="true" outlineLevel="0" collapsed="false">
      <c r="A46" s="31" t="n">
        <v>38</v>
      </c>
      <c r="B46" s="42" t="s">
        <v>524</v>
      </c>
      <c r="C46" s="42" t="s">
        <v>498</v>
      </c>
      <c r="D46" s="42" t="s">
        <v>609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610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529</v>
      </c>
      <c r="C47" s="42" t="s">
        <v>498</v>
      </c>
      <c r="D47" s="42" t="s">
        <v>611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612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475</v>
      </c>
      <c r="C48" s="42" t="s">
        <v>55</v>
      </c>
      <c r="D48" s="42" t="s">
        <v>613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544</v>
      </c>
      <c r="J48" s="42"/>
      <c r="K48" s="45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31" t="n">
        <v>41</v>
      </c>
      <c r="B49" s="42" t="s">
        <v>55</v>
      </c>
      <c r="C49" s="42" t="s">
        <v>55</v>
      </c>
      <c r="D49" s="42" t="s">
        <v>566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614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55</v>
      </c>
      <c r="C50" s="42" t="s">
        <v>55</v>
      </c>
      <c r="D50" s="42" t="s">
        <v>615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616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55</v>
      </c>
      <c r="C51" s="42" t="s">
        <v>55</v>
      </c>
      <c r="D51" s="42" t="s">
        <v>617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618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475</v>
      </c>
      <c r="C52" s="42" t="s">
        <v>619</v>
      </c>
      <c r="D52" s="42" t="s">
        <v>620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544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479</v>
      </c>
      <c r="C53" s="42" t="s">
        <v>619</v>
      </c>
      <c r="D53" s="42" t="s">
        <v>621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622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479</v>
      </c>
      <c r="C54" s="42" t="s">
        <v>619</v>
      </c>
      <c r="D54" s="42" t="s">
        <v>623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624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511</v>
      </c>
      <c r="C55" s="42" t="s">
        <v>619</v>
      </c>
      <c r="D55" s="42" t="s">
        <v>625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626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511</v>
      </c>
      <c r="C56" s="42" t="s">
        <v>619</v>
      </c>
      <c r="D56" s="42" t="s">
        <v>627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628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511</v>
      </c>
      <c r="C57" s="42" t="s">
        <v>619</v>
      </c>
      <c r="D57" s="42" t="s">
        <v>629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630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511</v>
      </c>
      <c r="C58" s="42" t="s">
        <v>619</v>
      </c>
      <c r="D58" s="42" t="s">
        <v>631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632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505</v>
      </c>
      <c r="C59" s="42" t="s">
        <v>619</v>
      </c>
      <c r="D59" s="42" t="s">
        <v>633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634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457</v>
      </c>
      <c r="C60" s="42" t="s">
        <v>619</v>
      </c>
      <c r="D60" s="42" t="s">
        <v>635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636</v>
      </c>
      <c r="J60" s="42"/>
      <c r="K60" s="45" t="n">
        <f aca="false">IF(AND(E60="yes",F60="yes",H60="covered"),1,IF(H60="partial",0.5,0))</f>
        <v>1</v>
      </c>
    </row>
    <row r="61" customFormat="false" ht="30" hidden="false" customHeight="true" outlineLevel="0" collapsed="false">
      <c r="A61" s="31" t="n">
        <v>53</v>
      </c>
      <c r="B61" s="42" t="s">
        <v>457</v>
      </c>
      <c r="C61" s="42" t="s">
        <v>619</v>
      </c>
      <c r="D61" s="42" t="s">
        <v>637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638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603</v>
      </c>
      <c r="C62" s="42" t="s">
        <v>619</v>
      </c>
      <c r="D62" s="42" t="s">
        <v>639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640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524</v>
      </c>
      <c r="C63" s="42" t="s">
        <v>619</v>
      </c>
      <c r="D63" s="42" t="s">
        <v>641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642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475</v>
      </c>
      <c r="C64" s="42" t="s">
        <v>500</v>
      </c>
      <c r="D64" s="42" t="s">
        <v>643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544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479</v>
      </c>
      <c r="C65" s="42" t="s">
        <v>500</v>
      </c>
      <c r="D65" s="42" t="s">
        <v>621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644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479</v>
      </c>
      <c r="C66" s="42" t="s">
        <v>500</v>
      </c>
      <c r="D66" s="42" t="s">
        <v>623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645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479</v>
      </c>
      <c r="C67" s="42" t="s">
        <v>500</v>
      </c>
      <c r="D67" s="42" t="s">
        <v>646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647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511</v>
      </c>
      <c r="C68" s="42" t="s">
        <v>500</v>
      </c>
      <c r="D68" s="42" t="s">
        <v>648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649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511</v>
      </c>
      <c r="C69" s="42" t="s">
        <v>500</v>
      </c>
      <c r="D69" s="42" t="s">
        <v>627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650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511</v>
      </c>
      <c r="C70" s="42" t="s">
        <v>500</v>
      </c>
      <c r="D70" s="42" t="s">
        <v>629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651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511</v>
      </c>
      <c r="C71" s="42" t="s">
        <v>500</v>
      </c>
      <c r="D71" s="42" t="s">
        <v>631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652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505</v>
      </c>
      <c r="C72" s="42" t="s">
        <v>500</v>
      </c>
      <c r="D72" s="42" t="s">
        <v>653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551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505</v>
      </c>
      <c r="C73" s="42" t="s">
        <v>500</v>
      </c>
      <c r="D73" s="42" t="s">
        <v>654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655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505</v>
      </c>
      <c r="C74" s="42" t="s">
        <v>500</v>
      </c>
      <c r="D74" s="42" t="s">
        <v>656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657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505</v>
      </c>
      <c r="C75" s="42" t="s">
        <v>500</v>
      </c>
      <c r="D75" s="42" t="s">
        <v>658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659</v>
      </c>
      <c r="J75" s="42"/>
      <c r="K75" s="45" t="n">
        <f aca="false">IF(AND(E75="yes",F75="yes",H75="covered"),1,IF(H75="partial",0.5,0))</f>
        <v>1</v>
      </c>
    </row>
    <row r="76" customFormat="false" ht="30" hidden="false" customHeight="true" outlineLevel="0" collapsed="false">
      <c r="A76" s="31" t="n">
        <v>68</v>
      </c>
      <c r="B76" s="42" t="s">
        <v>505</v>
      </c>
      <c r="C76" s="42" t="s">
        <v>500</v>
      </c>
      <c r="D76" s="42" t="s">
        <v>660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661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457</v>
      </c>
      <c r="C77" s="42" t="s">
        <v>500</v>
      </c>
      <c r="D77" s="42" t="s">
        <v>662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663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603</v>
      </c>
      <c r="C78" s="42" t="s">
        <v>500</v>
      </c>
      <c r="D78" s="42" t="s">
        <v>664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665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529</v>
      </c>
      <c r="C79" s="42" t="s">
        <v>500</v>
      </c>
      <c r="D79" s="42" t="s">
        <v>666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667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475</v>
      </c>
      <c r="C80" s="42" t="s">
        <v>668</v>
      </c>
      <c r="D80" s="42" t="s">
        <v>669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544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479</v>
      </c>
      <c r="C81" s="42" t="s">
        <v>668</v>
      </c>
      <c r="D81" s="42" t="s">
        <v>670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671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479</v>
      </c>
      <c r="C82" s="42" t="s">
        <v>668</v>
      </c>
      <c r="D82" s="42" t="s">
        <v>672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673</v>
      </c>
      <c r="J82" s="42"/>
      <c r="K82" s="45" t="n">
        <f aca="false">IF(AND(E82="yes",F82="yes",H82="covered"),1,IF(H82="partial",0.5,0))</f>
        <v>1</v>
      </c>
    </row>
    <row r="83" customFormat="false" ht="30" hidden="false" customHeight="true" outlineLevel="0" collapsed="false">
      <c r="A83" s="31" t="n">
        <v>75</v>
      </c>
      <c r="B83" s="42" t="s">
        <v>479</v>
      </c>
      <c r="C83" s="42" t="s">
        <v>668</v>
      </c>
      <c r="D83" s="42" t="s">
        <v>674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675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479</v>
      </c>
      <c r="C84" s="42" t="s">
        <v>668</v>
      </c>
      <c r="D84" s="42" t="s">
        <v>646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676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511</v>
      </c>
      <c r="C85" s="42" t="s">
        <v>668</v>
      </c>
      <c r="D85" s="42" t="s">
        <v>677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678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505</v>
      </c>
      <c r="C86" s="42" t="s">
        <v>668</v>
      </c>
      <c r="D86" s="42" t="s">
        <v>679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657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505</v>
      </c>
      <c r="C87" s="42" t="s">
        <v>668</v>
      </c>
      <c r="D87" s="42" t="s">
        <v>680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681</v>
      </c>
      <c r="J87" s="42"/>
      <c r="K87" s="45" t="n">
        <f aca="false">IF(AND(E87="yes",F87="yes",H87="covered"),1,IF(H87="partial",0.5,0))</f>
        <v>1</v>
      </c>
    </row>
    <row r="88" customFormat="false" ht="30" hidden="false" customHeight="true" outlineLevel="0" collapsed="false">
      <c r="A88" s="31" t="n">
        <v>80</v>
      </c>
      <c r="B88" s="42" t="s">
        <v>457</v>
      </c>
      <c r="C88" s="42" t="s">
        <v>668</v>
      </c>
      <c r="D88" s="42" t="s">
        <v>682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683</v>
      </c>
      <c r="J88" s="42"/>
      <c r="K88" s="45" t="n">
        <f aca="false">IF(AND(E88="yes",F88="yes",H88="covered"),1,IF(H88="partial",0.5,0))</f>
        <v>1</v>
      </c>
    </row>
    <row r="89" customFormat="false" ht="30" hidden="false" customHeight="true" outlineLevel="0" collapsed="false">
      <c r="A89" s="31" t="n">
        <v>81</v>
      </c>
      <c r="B89" s="42" t="s">
        <v>603</v>
      </c>
      <c r="C89" s="42" t="s">
        <v>668</v>
      </c>
      <c r="D89" s="42" t="s">
        <v>684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685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475</v>
      </c>
      <c r="C90" s="42" t="s">
        <v>686</v>
      </c>
      <c r="D90" s="42" t="s">
        <v>687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544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479</v>
      </c>
      <c r="C91" s="42" t="s">
        <v>686</v>
      </c>
      <c r="D91" s="42" t="s">
        <v>688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689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479</v>
      </c>
      <c r="C92" s="42" t="s">
        <v>686</v>
      </c>
      <c r="D92" s="42" t="s">
        <v>690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691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479</v>
      </c>
      <c r="C93" s="42" t="s">
        <v>686</v>
      </c>
      <c r="D93" s="42" t="s">
        <v>646</v>
      </c>
      <c r="E93" s="34" t="s">
        <v>459</v>
      </c>
      <c r="F93" s="43" t="s">
        <v>459</v>
      </c>
      <c r="G93" s="31" t="s">
        <v>543</v>
      </c>
      <c r="H93" s="44" t="s">
        <v>461</v>
      </c>
      <c r="I93" s="42" t="s">
        <v>692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511</v>
      </c>
      <c r="C94" s="42" t="s">
        <v>686</v>
      </c>
      <c r="D94" s="42" t="s">
        <v>693</v>
      </c>
      <c r="E94" s="34" t="s">
        <v>459</v>
      </c>
      <c r="F94" s="43" t="s">
        <v>459</v>
      </c>
      <c r="G94" s="31" t="s">
        <v>543</v>
      </c>
      <c r="H94" s="44" t="s">
        <v>461</v>
      </c>
      <c r="I94" s="42" t="s">
        <v>694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505</v>
      </c>
      <c r="C95" s="42" t="s">
        <v>686</v>
      </c>
      <c r="D95" s="42" t="s">
        <v>695</v>
      </c>
      <c r="E95" s="34" t="s">
        <v>459</v>
      </c>
      <c r="F95" s="43" t="s">
        <v>459</v>
      </c>
      <c r="G95" s="31" t="s">
        <v>543</v>
      </c>
      <c r="H95" s="44" t="s">
        <v>461</v>
      </c>
      <c r="I95" s="42" t="s">
        <v>659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457</v>
      </c>
      <c r="C96" s="42" t="s">
        <v>686</v>
      </c>
      <c r="D96" s="42" t="s">
        <v>696</v>
      </c>
      <c r="E96" s="34" t="s">
        <v>459</v>
      </c>
      <c r="F96" s="43" t="s">
        <v>459</v>
      </c>
      <c r="G96" s="31" t="s">
        <v>543</v>
      </c>
      <c r="H96" s="44" t="s">
        <v>461</v>
      </c>
      <c r="I96" s="42" t="s">
        <v>697</v>
      </c>
      <c r="J96" s="42"/>
      <c r="K96" s="45" t="n">
        <f aca="false">IF(AND(E96="yes",F96="yes",H96="covered"),1,IF(H96="partial",0.5,0))</f>
        <v>1</v>
      </c>
    </row>
    <row r="97" customFormat="false" ht="30" hidden="false" customHeight="true" outlineLevel="0" collapsed="false">
      <c r="A97" s="31" t="n">
        <v>89</v>
      </c>
      <c r="B97" s="42" t="s">
        <v>603</v>
      </c>
      <c r="C97" s="42" t="s">
        <v>686</v>
      </c>
      <c r="D97" s="42" t="s">
        <v>698</v>
      </c>
      <c r="E97" s="34" t="s">
        <v>459</v>
      </c>
      <c r="F97" s="43" t="s">
        <v>459</v>
      </c>
      <c r="G97" s="31" t="s">
        <v>543</v>
      </c>
      <c r="H97" s="44" t="s">
        <v>461</v>
      </c>
      <c r="I97" s="42" t="s">
        <v>699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475</v>
      </c>
      <c r="C98" s="42" t="s">
        <v>700</v>
      </c>
      <c r="D98" s="42" t="s">
        <v>701</v>
      </c>
      <c r="E98" s="34" t="s">
        <v>459</v>
      </c>
      <c r="F98" s="43" t="s">
        <v>459</v>
      </c>
      <c r="G98" s="31" t="s">
        <v>543</v>
      </c>
      <c r="H98" s="44" t="s">
        <v>461</v>
      </c>
      <c r="I98" s="42" t="s">
        <v>544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479</v>
      </c>
      <c r="C99" s="42" t="s">
        <v>700</v>
      </c>
      <c r="D99" s="42" t="s">
        <v>583</v>
      </c>
      <c r="E99" s="34" t="s">
        <v>459</v>
      </c>
      <c r="F99" s="43" t="s">
        <v>459</v>
      </c>
      <c r="G99" s="31" t="s">
        <v>543</v>
      </c>
      <c r="H99" s="44" t="s">
        <v>461</v>
      </c>
      <c r="I99" s="42" t="s">
        <v>702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479</v>
      </c>
      <c r="C100" s="42" t="s">
        <v>700</v>
      </c>
      <c r="D100" s="42" t="s">
        <v>703</v>
      </c>
      <c r="E100" s="34" t="s">
        <v>459</v>
      </c>
      <c r="F100" s="43" t="s">
        <v>459</v>
      </c>
      <c r="G100" s="31" t="s">
        <v>543</v>
      </c>
      <c r="H100" s="44" t="s">
        <v>461</v>
      </c>
      <c r="I100" s="42" t="s">
        <v>704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479</v>
      </c>
      <c r="C101" s="42" t="s">
        <v>700</v>
      </c>
      <c r="D101" s="42" t="s">
        <v>585</v>
      </c>
      <c r="E101" s="34" t="s">
        <v>459</v>
      </c>
      <c r="F101" s="43" t="s">
        <v>459</v>
      </c>
      <c r="G101" s="31" t="s">
        <v>543</v>
      </c>
      <c r="H101" s="44" t="s">
        <v>461</v>
      </c>
      <c r="I101" s="42" t="s">
        <v>705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511</v>
      </c>
      <c r="C102" s="42" t="s">
        <v>700</v>
      </c>
      <c r="D102" s="42" t="s">
        <v>706</v>
      </c>
      <c r="E102" s="34" t="s">
        <v>459</v>
      </c>
      <c r="F102" s="43" t="s">
        <v>459</v>
      </c>
      <c r="G102" s="31" t="s">
        <v>543</v>
      </c>
      <c r="H102" s="44" t="s">
        <v>461</v>
      </c>
      <c r="I102" s="42" t="s">
        <v>707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457</v>
      </c>
      <c r="C103" s="42" t="s">
        <v>700</v>
      </c>
      <c r="D103" s="42" t="s">
        <v>708</v>
      </c>
      <c r="E103" s="34" t="s">
        <v>459</v>
      </c>
      <c r="F103" s="43" t="s">
        <v>459</v>
      </c>
      <c r="G103" s="31" t="s">
        <v>543</v>
      </c>
      <c r="H103" s="44" t="s">
        <v>461</v>
      </c>
      <c r="I103" s="42" t="s">
        <v>709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603</v>
      </c>
      <c r="C104" s="42" t="s">
        <v>700</v>
      </c>
      <c r="D104" s="42" t="s">
        <v>710</v>
      </c>
      <c r="E104" s="34" t="s">
        <v>459</v>
      </c>
      <c r="F104" s="43" t="s">
        <v>459</v>
      </c>
      <c r="G104" s="31" t="s">
        <v>543</v>
      </c>
      <c r="H104" s="44" t="s">
        <v>461</v>
      </c>
      <c r="I104" s="42" t="s">
        <v>711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483</v>
      </c>
      <c r="C105" s="42" t="s">
        <v>700</v>
      </c>
      <c r="D105" s="42" t="s">
        <v>712</v>
      </c>
      <c r="E105" s="34" t="s">
        <v>459</v>
      </c>
      <c r="F105" s="43" t="s">
        <v>459</v>
      </c>
      <c r="G105" s="31" t="s">
        <v>543</v>
      </c>
      <c r="H105" s="44" t="s">
        <v>461</v>
      </c>
      <c r="I105" s="42" t="s">
        <v>544</v>
      </c>
      <c r="J105" s="42"/>
      <c r="K105" s="45" t="n">
        <f aca="false">IF(AND(E105="yes",F105="yes",H105="covered"),1,IF(H105="partial",0.5,0))</f>
        <v>1</v>
      </c>
    </row>
    <row r="106" customFormat="false" ht="30" hidden="false" customHeight="true" outlineLevel="0" collapsed="false">
      <c r="A106" s="31" t="n">
        <v>98</v>
      </c>
      <c r="B106" s="42" t="s">
        <v>483</v>
      </c>
      <c r="C106" s="42" t="s">
        <v>700</v>
      </c>
      <c r="D106" s="42" t="s">
        <v>713</v>
      </c>
      <c r="E106" s="34" t="s">
        <v>459</v>
      </c>
      <c r="F106" s="43" t="s">
        <v>459</v>
      </c>
      <c r="G106" s="31" t="s">
        <v>543</v>
      </c>
      <c r="H106" s="44" t="s">
        <v>461</v>
      </c>
      <c r="I106" s="42" t="s">
        <v>544</v>
      </c>
      <c r="J106" s="42"/>
      <c r="K106" s="45" t="n">
        <f aca="false">IF(AND(E106="yes",F106="yes",H106="covered"),1,IF(H106="partial",0.5,0))</f>
        <v>1</v>
      </c>
    </row>
    <row r="107" customFormat="false" ht="30" hidden="false" customHeight="true" outlineLevel="0" collapsed="false">
      <c r="A107" s="31" t="n">
        <v>99</v>
      </c>
      <c r="B107" s="42" t="s">
        <v>483</v>
      </c>
      <c r="C107" s="42" t="s">
        <v>700</v>
      </c>
      <c r="D107" s="42" t="s">
        <v>714</v>
      </c>
      <c r="E107" s="34" t="s">
        <v>459</v>
      </c>
      <c r="F107" s="43" t="s">
        <v>459</v>
      </c>
      <c r="G107" s="31" t="s">
        <v>543</v>
      </c>
      <c r="H107" s="44" t="s">
        <v>461</v>
      </c>
      <c r="I107" s="42" t="s">
        <v>544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529</v>
      </c>
      <c r="C108" s="42" t="s">
        <v>700</v>
      </c>
      <c r="D108" s="42" t="s">
        <v>715</v>
      </c>
      <c r="E108" s="34" t="s">
        <v>459</v>
      </c>
      <c r="F108" s="43" t="s">
        <v>459</v>
      </c>
      <c r="G108" s="31" t="s">
        <v>543</v>
      </c>
      <c r="H108" s="44" t="s">
        <v>461</v>
      </c>
      <c r="I108" s="42" t="s">
        <v>716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524</v>
      </c>
      <c r="C109" s="42" t="s">
        <v>700</v>
      </c>
      <c r="D109" s="42" t="s">
        <v>717</v>
      </c>
      <c r="E109" s="34" t="s">
        <v>459</v>
      </c>
      <c r="F109" s="43" t="s">
        <v>459</v>
      </c>
      <c r="G109" s="31" t="s">
        <v>543</v>
      </c>
      <c r="H109" s="44" t="s">
        <v>461</v>
      </c>
      <c r="I109" s="42" t="s">
        <v>718</v>
      </c>
      <c r="J109" s="42"/>
      <c r="K109" s="45" t="n">
        <f aca="false">IF(AND(E109="yes",F109="yes",H109="covered"),1,IF(H109="partial",0.5,0))</f>
        <v>1</v>
      </c>
    </row>
    <row r="110" customFormat="false" ht="30" hidden="false" customHeight="true" outlineLevel="0" collapsed="false">
      <c r="A110" s="31" t="n">
        <v>102</v>
      </c>
      <c r="B110" s="42" t="s">
        <v>524</v>
      </c>
      <c r="C110" s="42" t="s">
        <v>700</v>
      </c>
      <c r="D110" s="42" t="s">
        <v>719</v>
      </c>
      <c r="E110" s="34" t="s">
        <v>459</v>
      </c>
      <c r="F110" s="43" t="s">
        <v>459</v>
      </c>
      <c r="G110" s="31" t="s">
        <v>543</v>
      </c>
      <c r="H110" s="44" t="s">
        <v>461</v>
      </c>
      <c r="I110" s="42" t="s">
        <v>720</v>
      </c>
      <c r="J110" s="42"/>
      <c r="K110" s="45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2" t="s">
        <v>475</v>
      </c>
      <c r="C111" s="42" t="s">
        <v>721</v>
      </c>
      <c r="D111" s="42" t="s">
        <v>722</v>
      </c>
      <c r="E111" s="34" t="s">
        <v>459</v>
      </c>
      <c r="F111" s="43" t="s">
        <v>459</v>
      </c>
      <c r="G111" s="31" t="s">
        <v>543</v>
      </c>
      <c r="H111" s="44" t="s">
        <v>461</v>
      </c>
      <c r="I111" s="42" t="s">
        <v>544</v>
      </c>
      <c r="J111" s="42"/>
      <c r="K111" s="45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2" t="s">
        <v>479</v>
      </c>
      <c r="C112" s="42" t="s">
        <v>721</v>
      </c>
      <c r="D112" s="42" t="s">
        <v>583</v>
      </c>
      <c r="E112" s="34" t="s">
        <v>459</v>
      </c>
      <c r="F112" s="43" t="s">
        <v>459</v>
      </c>
      <c r="G112" s="31" t="s">
        <v>543</v>
      </c>
      <c r="H112" s="44" t="s">
        <v>461</v>
      </c>
      <c r="I112" s="42" t="s">
        <v>723</v>
      </c>
      <c r="J112" s="42"/>
      <c r="K112" s="45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2" t="s">
        <v>479</v>
      </c>
      <c r="C113" s="42" t="s">
        <v>721</v>
      </c>
      <c r="D113" s="42" t="s">
        <v>703</v>
      </c>
      <c r="E113" s="34" t="s">
        <v>459</v>
      </c>
      <c r="F113" s="43" t="s">
        <v>459</v>
      </c>
      <c r="G113" s="31" t="s">
        <v>543</v>
      </c>
      <c r="H113" s="44" t="s">
        <v>461</v>
      </c>
      <c r="I113" s="42" t="s">
        <v>724</v>
      </c>
      <c r="J113" s="42"/>
      <c r="K113" s="45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31" t="n">
        <v>106</v>
      </c>
      <c r="B114" s="42" t="s">
        <v>479</v>
      </c>
      <c r="C114" s="42" t="s">
        <v>721</v>
      </c>
      <c r="D114" s="42" t="s">
        <v>585</v>
      </c>
      <c r="E114" s="34" t="s">
        <v>459</v>
      </c>
      <c r="F114" s="43" t="s">
        <v>459</v>
      </c>
      <c r="G114" s="31" t="s">
        <v>543</v>
      </c>
      <c r="H114" s="44" t="s">
        <v>461</v>
      </c>
      <c r="I114" s="42" t="s">
        <v>725</v>
      </c>
      <c r="J114" s="42"/>
      <c r="K114" s="45" t="n">
        <f aca="false">IF(AND(E114="yes",F114="yes",H114="covered"),1,IF(H114="partial",0.5,0))</f>
        <v>1</v>
      </c>
    </row>
    <row r="115" customFormat="false" ht="15" hidden="false" customHeight="true" outlineLevel="0" collapsed="false">
      <c r="A115" s="31" t="n">
        <v>107</v>
      </c>
      <c r="B115" s="42" t="s">
        <v>511</v>
      </c>
      <c r="C115" s="42" t="s">
        <v>721</v>
      </c>
      <c r="D115" s="42" t="s">
        <v>726</v>
      </c>
      <c r="E115" s="34" t="s">
        <v>459</v>
      </c>
      <c r="F115" s="43" t="s">
        <v>459</v>
      </c>
      <c r="G115" s="31" t="s">
        <v>543</v>
      </c>
      <c r="H115" s="44" t="s">
        <v>461</v>
      </c>
      <c r="I115" s="42" t="s">
        <v>727</v>
      </c>
      <c r="J115" s="42"/>
      <c r="K115" s="45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2" t="s">
        <v>457</v>
      </c>
      <c r="C116" s="42" t="s">
        <v>721</v>
      </c>
      <c r="D116" s="42" t="s">
        <v>728</v>
      </c>
      <c r="E116" s="34" t="s">
        <v>459</v>
      </c>
      <c r="F116" s="43" t="s">
        <v>459</v>
      </c>
      <c r="G116" s="31" t="s">
        <v>543</v>
      </c>
      <c r="H116" s="44" t="s">
        <v>461</v>
      </c>
      <c r="I116" s="42" t="s">
        <v>729</v>
      </c>
      <c r="J116" s="42"/>
      <c r="K116" s="45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2" t="s">
        <v>603</v>
      </c>
      <c r="C117" s="42" t="s">
        <v>721</v>
      </c>
      <c r="D117" s="42" t="s">
        <v>730</v>
      </c>
      <c r="E117" s="34" t="s">
        <v>459</v>
      </c>
      <c r="F117" s="43" t="s">
        <v>459</v>
      </c>
      <c r="G117" s="31" t="s">
        <v>543</v>
      </c>
      <c r="H117" s="44" t="s">
        <v>461</v>
      </c>
      <c r="I117" s="42" t="s">
        <v>731</v>
      </c>
      <c r="J117" s="42"/>
      <c r="K117" s="45" t="n">
        <f aca="false">IF(AND(E117="yes",F117="yes",H117="covered"),1,IF(H117="partial",0.5,0))</f>
        <v>1</v>
      </c>
    </row>
    <row r="118" customFormat="false" ht="15" hidden="false" customHeight="true" outlineLevel="0" collapsed="false">
      <c r="A118" s="31" t="n">
        <v>110</v>
      </c>
      <c r="B118" s="42" t="s">
        <v>483</v>
      </c>
      <c r="C118" s="42" t="s">
        <v>721</v>
      </c>
      <c r="D118" s="42" t="s">
        <v>732</v>
      </c>
      <c r="E118" s="34" t="s">
        <v>459</v>
      </c>
      <c r="F118" s="43" t="s">
        <v>459</v>
      </c>
      <c r="G118" s="31" t="s">
        <v>543</v>
      </c>
      <c r="H118" s="44" t="s">
        <v>461</v>
      </c>
      <c r="I118" s="42" t="s">
        <v>544</v>
      </c>
      <c r="J118" s="42"/>
      <c r="K118" s="45" t="n">
        <f aca="false">IF(AND(E118="yes",F118="yes",H118="covered"),1,IF(H118="partial",0.5,0))</f>
        <v>1</v>
      </c>
    </row>
    <row r="119" customFormat="false" ht="30" hidden="false" customHeight="true" outlineLevel="0" collapsed="false">
      <c r="A119" s="31" t="n">
        <v>111</v>
      </c>
      <c r="B119" s="42" t="s">
        <v>483</v>
      </c>
      <c r="C119" s="42" t="s">
        <v>721</v>
      </c>
      <c r="D119" s="42" t="s">
        <v>733</v>
      </c>
      <c r="E119" s="34" t="s">
        <v>459</v>
      </c>
      <c r="F119" s="43" t="s">
        <v>459</v>
      </c>
      <c r="G119" s="31" t="s">
        <v>543</v>
      </c>
      <c r="H119" s="44" t="s">
        <v>461</v>
      </c>
      <c r="I119" s="42" t="s">
        <v>544</v>
      </c>
      <c r="J119" s="42"/>
      <c r="K119" s="45" t="n">
        <f aca="false">IF(AND(E119="yes",F119="yes",H119="covered"),1,IF(H119="partial",0.5,0))</f>
        <v>1</v>
      </c>
    </row>
    <row r="120" customFormat="false" ht="30" hidden="false" customHeight="true" outlineLevel="0" collapsed="false">
      <c r="A120" s="31" t="n">
        <v>112</v>
      </c>
      <c r="B120" s="42" t="s">
        <v>483</v>
      </c>
      <c r="C120" s="42" t="s">
        <v>721</v>
      </c>
      <c r="D120" s="42" t="s">
        <v>714</v>
      </c>
      <c r="E120" s="34" t="s">
        <v>459</v>
      </c>
      <c r="F120" s="43" t="s">
        <v>459</v>
      </c>
      <c r="G120" s="31" t="s">
        <v>543</v>
      </c>
      <c r="H120" s="44" t="s">
        <v>461</v>
      </c>
      <c r="I120" s="42" t="s">
        <v>544</v>
      </c>
      <c r="J120" s="42"/>
      <c r="K120" s="45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31" t="n">
        <v>113</v>
      </c>
      <c r="B121" s="42" t="s">
        <v>524</v>
      </c>
      <c r="C121" s="42" t="s">
        <v>721</v>
      </c>
      <c r="D121" s="42" t="s">
        <v>734</v>
      </c>
      <c r="E121" s="34" t="s">
        <v>459</v>
      </c>
      <c r="F121" s="43" t="s">
        <v>459</v>
      </c>
      <c r="G121" s="31" t="s">
        <v>543</v>
      </c>
      <c r="H121" s="44" t="s">
        <v>461</v>
      </c>
      <c r="I121" s="42" t="s">
        <v>735</v>
      </c>
      <c r="J121" s="42"/>
      <c r="K121" s="45" t="n">
        <f aca="false">IF(AND(E121="yes",F121="yes",H121="covered"),1,IF(H121="partial",0.5,0))</f>
        <v>1</v>
      </c>
    </row>
    <row r="122" customFormat="false" ht="30" hidden="false" customHeight="true" outlineLevel="0" collapsed="false">
      <c r="A122" s="31" t="n">
        <v>114</v>
      </c>
      <c r="B122" s="42" t="s">
        <v>524</v>
      </c>
      <c r="C122" s="42" t="s">
        <v>721</v>
      </c>
      <c r="D122" s="42" t="s">
        <v>736</v>
      </c>
      <c r="E122" s="34" t="s">
        <v>459</v>
      </c>
      <c r="F122" s="43" t="s">
        <v>459</v>
      </c>
      <c r="G122" s="31" t="s">
        <v>543</v>
      </c>
      <c r="H122" s="44" t="s">
        <v>461</v>
      </c>
      <c r="I122" s="42" t="s">
        <v>737</v>
      </c>
      <c r="J122" s="42"/>
      <c r="K122" s="45" t="n">
        <f aca="false">IF(AND(E122="yes",F122="yes",H122="covered"),1,IF(H122="partial",0.5,0))</f>
        <v>1</v>
      </c>
    </row>
    <row r="123" customFormat="false" ht="30" hidden="false" customHeight="true" outlineLevel="0" collapsed="false">
      <c r="A123" s="31" t="n">
        <v>115</v>
      </c>
      <c r="B123" s="42" t="s">
        <v>738</v>
      </c>
      <c r="C123" s="42" t="s">
        <v>15</v>
      </c>
      <c r="D123" s="42" t="s">
        <v>739</v>
      </c>
      <c r="E123" s="34" t="s">
        <v>459</v>
      </c>
      <c r="F123" s="43" t="s">
        <v>459</v>
      </c>
      <c r="G123" s="31" t="s">
        <v>543</v>
      </c>
      <c r="H123" s="44" t="s">
        <v>461</v>
      </c>
      <c r="I123" s="42" t="s">
        <v>740</v>
      </c>
      <c r="J123" s="42"/>
      <c r="K123" s="45" t="n">
        <f aca="false">IF(AND(E123="yes",F123="yes",H123="covered"),1,IF(H123="partial",0.5,0))</f>
        <v>1</v>
      </c>
    </row>
    <row r="124" customFormat="false" ht="15" hidden="false" customHeight="true" outlineLevel="0" collapsed="false">
      <c r="A124" s="31" t="n">
        <v>116</v>
      </c>
      <c r="B124" s="42" t="s">
        <v>738</v>
      </c>
      <c r="C124" s="42" t="s">
        <v>476</v>
      </c>
      <c r="D124" s="42" t="s">
        <v>741</v>
      </c>
      <c r="E124" s="34" t="s">
        <v>459</v>
      </c>
      <c r="F124" s="43" t="s">
        <v>459</v>
      </c>
      <c r="G124" s="31" t="s">
        <v>543</v>
      </c>
      <c r="H124" s="44" t="s">
        <v>461</v>
      </c>
      <c r="I124" s="42" t="s">
        <v>742</v>
      </c>
      <c r="J124" s="42"/>
      <c r="K124" s="45" t="n">
        <f aca="false">IF(AND(E124="yes",F124="yes",H124="covered"),1,IF(H124="partial",0.5,0))</f>
        <v>1</v>
      </c>
    </row>
    <row r="125" customFormat="false" ht="30" hidden="false" customHeight="true" outlineLevel="0" collapsed="false">
      <c r="A125" s="31" t="n">
        <v>117</v>
      </c>
      <c r="B125" s="42" t="s">
        <v>738</v>
      </c>
      <c r="C125" s="42" t="s">
        <v>476</v>
      </c>
      <c r="D125" s="42" t="s">
        <v>743</v>
      </c>
      <c r="E125" s="34" t="s">
        <v>459</v>
      </c>
      <c r="F125" s="43" t="s">
        <v>459</v>
      </c>
      <c r="G125" s="31" t="s">
        <v>543</v>
      </c>
      <c r="H125" s="44" t="s">
        <v>461</v>
      </c>
      <c r="I125" s="42" t="s">
        <v>544</v>
      </c>
      <c r="J125" s="42"/>
      <c r="K125" s="45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31" t="n">
        <v>118</v>
      </c>
      <c r="B126" s="42" t="s">
        <v>738</v>
      </c>
      <c r="C126" s="42" t="s">
        <v>55</v>
      </c>
      <c r="D126" s="42" t="s">
        <v>744</v>
      </c>
      <c r="E126" s="34" t="s">
        <v>459</v>
      </c>
      <c r="F126" s="43" t="s">
        <v>459</v>
      </c>
      <c r="G126" s="31" t="s">
        <v>543</v>
      </c>
      <c r="H126" s="44" t="s">
        <v>461</v>
      </c>
      <c r="I126" s="42" t="s">
        <v>544</v>
      </c>
      <c r="J126" s="42"/>
      <c r="K126" s="45" t="n">
        <f aca="false">IF(AND(E126="yes",F126="yes",H126="covered"),1,IF(H126="partial",0.5,0))</f>
        <v>1</v>
      </c>
    </row>
    <row r="127" customFormat="false" ht="30" hidden="false" customHeight="true" outlineLevel="0" collapsed="false">
      <c r="A127" s="31" t="n">
        <v>119</v>
      </c>
      <c r="B127" s="42" t="s">
        <v>738</v>
      </c>
      <c r="C127" s="42" t="s">
        <v>619</v>
      </c>
      <c r="D127" s="42" t="s">
        <v>745</v>
      </c>
      <c r="E127" s="34" t="s">
        <v>459</v>
      </c>
      <c r="F127" s="43" t="s">
        <v>459</v>
      </c>
      <c r="G127" s="31" t="s">
        <v>543</v>
      </c>
      <c r="H127" s="44" t="s">
        <v>461</v>
      </c>
      <c r="I127" s="42" t="s">
        <v>544</v>
      </c>
      <c r="J127" s="42"/>
      <c r="K127" s="45" t="n">
        <f aca="false">IF(AND(E127="yes",F127="yes",H127="covered"),1,IF(H127="partial",0.5,0))</f>
        <v>1</v>
      </c>
    </row>
    <row r="128" customFormat="false" ht="30" hidden="false" customHeight="true" outlineLevel="0" collapsed="false">
      <c r="A128" s="31" t="n">
        <v>120</v>
      </c>
      <c r="B128" s="42" t="s">
        <v>738</v>
      </c>
      <c r="C128" s="42" t="s">
        <v>500</v>
      </c>
      <c r="D128" s="42" t="s">
        <v>746</v>
      </c>
      <c r="E128" s="34" t="s">
        <v>459</v>
      </c>
      <c r="F128" s="43" t="s">
        <v>459</v>
      </c>
      <c r="G128" s="31" t="s">
        <v>543</v>
      </c>
      <c r="H128" s="44" t="s">
        <v>461</v>
      </c>
      <c r="I128" s="42" t="s">
        <v>544</v>
      </c>
      <c r="J128" s="42"/>
      <c r="K128" s="45" t="n">
        <f aca="false">IF(AND(E128="yes",F128="yes",H128="covered"),1,IF(H128="partial",0.5,0))</f>
        <v>1</v>
      </c>
    </row>
    <row r="129" customFormat="false" ht="15" hidden="false" customHeight="true" outlineLevel="0" collapsed="false">
      <c r="A129" s="31" t="n">
        <v>121</v>
      </c>
      <c r="B129" s="42" t="s">
        <v>738</v>
      </c>
      <c r="C129" s="42" t="s">
        <v>668</v>
      </c>
      <c r="D129" s="42" t="s">
        <v>747</v>
      </c>
      <c r="E129" s="34" t="s">
        <v>459</v>
      </c>
      <c r="F129" s="43" t="s">
        <v>459</v>
      </c>
      <c r="G129" s="31" t="s">
        <v>543</v>
      </c>
      <c r="H129" s="44" t="s">
        <v>461</v>
      </c>
      <c r="I129" s="42" t="s">
        <v>544</v>
      </c>
      <c r="J129" s="42"/>
      <c r="K129" s="45" t="n">
        <f aca="false">IF(AND(E129="yes",F129="yes",H129="covered"),1,IF(H129="partial",0.5,0))</f>
        <v>1</v>
      </c>
    </row>
    <row r="130" customFormat="false" ht="30" hidden="false" customHeight="true" outlineLevel="0" collapsed="false">
      <c r="A130" s="31" t="n">
        <v>122</v>
      </c>
      <c r="B130" s="42" t="s">
        <v>738</v>
      </c>
      <c r="C130" s="42" t="s">
        <v>457</v>
      </c>
      <c r="D130" s="42" t="s">
        <v>748</v>
      </c>
      <c r="E130" s="34" t="s">
        <v>459</v>
      </c>
      <c r="F130" s="43" t="s">
        <v>459</v>
      </c>
      <c r="G130" s="31" t="s">
        <v>543</v>
      </c>
      <c r="H130" s="44" t="s">
        <v>461</v>
      </c>
      <c r="I130" s="42" t="s">
        <v>544</v>
      </c>
      <c r="J130" s="42"/>
      <c r="K130" s="45" t="n">
        <f aca="false">IF(AND(E130="yes",F130="yes",H130="covered"),1,IF(H130="partial",0.5,0))</f>
        <v>1</v>
      </c>
    </row>
    <row r="131" customFormat="false" ht="30" hidden="false" customHeight="true" outlineLevel="0" collapsed="false">
      <c r="A131" s="31" t="n">
        <v>123</v>
      </c>
      <c r="B131" s="42" t="s">
        <v>738</v>
      </c>
      <c r="C131" s="42" t="s">
        <v>603</v>
      </c>
      <c r="D131" s="42" t="s">
        <v>749</v>
      </c>
      <c r="E131" s="34" t="s">
        <v>459</v>
      </c>
      <c r="F131" s="43" t="s">
        <v>459</v>
      </c>
      <c r="G131" s="31" t="s">
        <v>543</v>
      </c>
      <c r="H131" s="44" t="s">
        <v>461</v>
      </c>
      <c r="I131" s="42" t="s">
        <v>544</v>
      </c>
      <c r="J131" s="42"/>
      <c r="K131" s="45" t="n">
        <f aca="false">IF(AND(E131="yes",F131="yes",H131="covered"),1,IF(H131="partial",0.5,0))</f>
        <v>1</v>
      </c>
    </row>
    <row r="132" customFormat="false" ht="30" hidden="false" customHeight="true" outlineLevel="0" collapsed="false">
      <c r="A132" s="31" t="n">
        <v>124</v>
      </c>
      <c r="B132" s="42" t="s">
        <v>738</v>
      </c>
      <c r="C132" s="42" t="s">
        <v>483</v>
      </c>
      <c r="D132" s="42" t="s">
        <v>750</v>
      </c>
      <c r="E132" s="34" t="s">
        <v>459</v>
      </c>
      <c r="F132" s="43" t="s">
        <v>459</v>
      </c>
      <c r="G132" s="31" t="s">
        <v>543</v>
      </c>
      <c r="H132" s="44" t="s">
        <v>461</v>
      </c>
      <c r="I132" s="42" t="s">
        <v>544</v>
      </c>
      <c r="J132" s="42"/>
      <c r="K132" s="45" t="n">
        <f aca="false">IF(AND(E132="yes",F132="yes",H132="covered"),1,IF(H132="partial",0.5,0))</f>
        <v>1</v>
      </c>
    </row>
    <row r="133" customFormat="false" ht="30" hidden="false" customHeight="true" outlineLevel="0" collapsed="false">
      <c r="A133" s="31" t="n">
        <v>125</v>
      </c>
      <c r="B133" s="42" t="s">
        <v>738</v>
      </c>
      <c r="C133" s="42" t="s">
        <v>751</v>
      </c>
      <c r="D133" s="42" t="s">
        <v>752</v>
      </c>
      <c r="E133" s="34" t="s">
        <v>459</v>
      </c>
      <c r="F133" s="43" t="s">
        <v>459</v>
      </c>
      <c r="G133" s="31" t="s">
        <v>543</v>
      </c>
      <c r="H133" s="44" t="s">
        <v>461</v>
      </c>
      <c r="I133" s="42" t="s">
        <v>544</v>
      </c>
      <c r="J133" s="42"/>
      <c r="K133" s="45" t="n">
        <f aca="false">IF(AND(E133="yes",F133="yes",H133="covered"),1,IF(H133="partial",0.5,0))</f>
        <v>1</v>
      </c>
    </row>
    <row r="134" customFormat="false" ht="30" hidden="false" customHeight="true" outlineLevel="0" collapsed="false">
      <c r="A134" s="31" t="n">
        <v>126</v>
      </c>
      <c r="B134" s="42" t="s">
        <v>738</v>
      </c>
      <c r="C134" s="42" t="s">
        <v>753</v>
      </c>
      <c r="D134" s="42" t="s">
        <v>754</v>
      </c>
      <c r="E134" s="34" t="s">
        <v>459</v>
      </c>
      <c r="F134" s="43" t="s">
        <v>459</v>
      </c>
      <c r="G134" s="31" t="s">
        <v>543</v>
      </c>
      <c r="H134" s="44" t="s">
        <v>461</v>
      </c>
      <c r="I134" s="42" t="s">
        <v>544</v>
      </c>
      <c r="J134" s="42"/>
      <c r="K134" s="45" t="n">
        <f aca="false">IF(AND(E134="yes",F134="yes",H134="covered"),1,IF(H134="partial",0.5,0))</f>
        <v>1</v>
      </c>
    </row>
    <row r="135" customFormat="false" ht="30" hidden="false" customHeight="true" outlineLevel="0" collapsed="false">
      <c r="A135" s="31" t="n">
        <v>127</v>
      </c>
      <c r="B135" s="42" t="s">
        <v>755</v>
      </c>
      <c r="C135" s="42" t="s">
        <v>756</v>
      </c>
      <c r="D135" s="42" t="s">
        <v>757</v>
      </c>
      <c r="E135" s="34" t="s">
        <v>459</v>
      </c>
      <c r="F135" s="43" t="s">
        <v>459</v>
      </c>
      <c r="G135" s="31" t="s">
        <v>543</v>
      </c>
      <c r="H135" s="44" t="s">
        <v>461</v>
      </c>
      <c r="I135" s="42" t="s">
        <v>544</v>
      </c>
      <c r="J135" s="42"/>
      <c r="K135" s="45" t="n">
        <f aca="false">IF(AND(E135="yes",F135="yes",H135="covered"),1,IF(H135="partial",0.5,0))</f>
        <v>1</v>
      </c>
    </row>
    <row r="136" customFormat="false" ht="30" hidden="false" customHeight="true" outlineLevel="0" collapsed="false">
      <c r="A136" s="31" t="n">
        <v>128</v>
      </c>
      <c r="B136" s="42" t="s">
        <v>755</v>
      </c>
      <c r="C136" s="42" t="s">
        <v>758</v>
      </c>
      <c r="D136" s="42" t="s">
        <v>759</v>
      </c>
      <c r="E136" s="34" t="s">
        <v>459</v>
      </c>
      <c r="F136" s="43" t="s">
        <v>459</v>
      </c>
      <c r="G136" s="31" t="s">
        <v>543</v>
      </c>
      <c r="H136" s="44" t="s">
        <v>461</v>
      </c>
      <c r="I136" s="42" t="s">
        <v>544</v>
      </c>
      <c r="J136" s="42"/>
      <c r="K136" s="45" t="n">
        <f aca="false">IF(AND(E136="yes",F136="yes",H136="covered"),1,IF(H136="partial",0.5,0))</f>
        <v>1</v>
      </c>
    </row>
    <row r="137" customFormat="false" ht="30" hidden="false" customHeight="true" outlineLevel="0" collapsed="false">
      <c r="A137" s="31" t="n">
        <v>129</v>
      </c>
      <c r="B137" s="42" t="s">
        <v>760</v>
      </c>
      <c r="C137" s="42" t="s">
        <v>15</v>
      </c>
      <c r="D137" s="42" t="s">
        <v>761</v>
      </c>
      <c r="E137" s="34" t="s">
        <v>459</v>
      </c>
      <c r="F137" s="43" t="s">
        <v>459</v>
      </c>
      <c r="G137" s="31" t="s">
        <v>543</v>
      </c>
      <c r="H137" s="44" t="s">
        <v>461</v>
      </c>
      <c r="I137" s="42" t="s">
        <v>544</v>
      </c>
      <c r="J137" s="42"/>
      <c r="K137" s="45" t="n">
        <f aca="false">IF(AND(E137="yes",F137="yes",H137="covered"),1,IF(H137="partial",0.5,0))</f>
        <v>1</v>
      </c>
    </row>
    <row r="138" customFormat="false" ht="15" hidden="false" customHeight="true" outlineLevel="0" collapsed="false">
      <c r="A138" s="31" t="n">
        <v>130</v>
      </c>
      <c r="B138" s="42" t="s">
        <v>760</v>
      </c>
      <c r="C138" s="42" t="s">
        <v>15</v>
      </c>
      <c r="D138" s="42" t="s">
        <v>762</v>
      </c>
      <c r="E138" s="34" t="s">
        <v>459</v>
      </c>
      <c r="F138" s="43" t="s">
        <v>459</v>
      </c>
      <c r="G138" s="31" t="s">
        <v>543</v>
      </c>
      <c r="H138" s="44" t="s">
        <v>461</v>
      </c>
      <c r="I138" s="42" t="s">
        <v>544</v>
      </c>
      <c r="J138" s="42"/>
      <c r="K138" s="45" t="n">
        <f aca="false">IF(AND(E138="yes",F138="yes",H138="covered"),1,IF(H138="partial",0.5,0))</f>
        <v>1</v>
      </c>
    </row>
    <row r="139" customFormat="false" ht="15" hidden="false" customHeight="true" outlineLevel="0" collapsed="false">
      <c r="A139" s="31" t="n">
        <v>131</v>
      </c>
      <c r="B139" s="42" t="s">
        <v>760</v>
      </c>
      <c r="C139" s="42" t="s">
        <v>15</v>
      </c>
      <c r="D139" s="42" t="s">
        <v>763</v>
      </c>
      <c r="E139" s="34" t="s">
        <v>459</v>
      </c>
      <c r="F139" s="43" t="s">
        <v>459</v>
      </c>
      <c r="G139" s="31" t="s">
        <v>543</v>
      </c>
      <c r="H139" s="44" t="s">
        <v>461</v>
      </c>
      <c r="I139" s="42" t="s">
        <v>544</v>
      </c>
      <c r="J139" s="42"/>
      <c r="K139" s="45" t="n">
        <f aca="false">IF(AND(E139="yes",F139="yes",H139="covered"),1,IF(H139="partial",0.5,0))</f>
        <v>1</v>
      </c>
    </row>
    <row r="140" customFormat="false" ht="30" hidden="false" customHeight="true" outlineLevel="0" collapsed="false">
      <c r="A140" s="31" t="n">
        <v>132</v>
      </c>
      <c r="B140" s="42" t="s">
        <v>55</v>
      </c>
      <c r="C140" s="42" t="s">
        <v>15</v>
      </c>
      <c r="D140" s="42" t="s">
        <v>764</v>
      </c>
      <c r="E140" s="34" t="s">
        <v>459</v>
      </c>
      <c r="F140" s="43" t="s">
        <v>459</v>
      </c>
      <c r="G140" s="31" t="s">
        <v>543</v>
      </c>
      <c r="H140" s="44" t="s">
        <v>461</v>
      </c>
      <c r="I140" s="42" t="s">
        <v>544</v>
      </c>
      <c r="J140" s="42"/>
      <c r="K140" s="45" t="n">
        <f aca="false">IF(AND(E140="yes",F140="yes",H140="covered"),1,IF(H140="partial",0.5,0))</f>
        <v>1</v>
      </c>
    </row>
    <row r="141" customFormat="false" ht="15" hidden="false" customHeight="true" outlineLevel="0" collapsed="false">
      <c r="A141" s="31" t="n">
        <v>133</v>
      </c>
      <c r="B141" s="42" t="s">
        <v>765</v>
      </c>
      <c r="C141" s="42" t="s">
        <v>15</v>
      </c>
      <c r="D141" s="42" t="s">
        <v>766</v>
      </c>
      <c r="E141" s="34" t="s">
        <v>459</v>
      </c>
      <c r="F141" s="43" t="s">
        <v>459</v>
      </c>
      <c r="G141" s="31" t="s">
        <v>543</v>
      </c>
      <c r="H141" s="44" t="s">
        <v>461</v>
      </c>
      <c r="I141" s="42" t="s">
        <v>544</v>
      </c>
      <c r="J141" s="42"/>
      <c r="K141" s="45" t="n">
        <f aca="false">IF(AND(E141="yes",F141="yes",H141="covered"),1,IF(H141="partial",0.5,0))</f>
        <v>1</v>
      </c>
    </row>
    <row r="142" customFormat="false" ht="15" hidden="false" customHeight="true" outlineLevel="0" collapsed="false">
      <c r="A142" s="31" t="n">
        <v>134</v>
      </c>
      <c r="B142" s="42" t="s">
        <v>751</v>
      </c>
      <c r="C142" s="42" t="s">
        <v>15</v>
      </c>
      <c r="D142" s="42" t="s">
        <v>767</v>
      </c>
      <c r="E142" s="34" t="s">
        <v>459</v>
      </c>
      <c r="F142" s="43" t="s">
        <v>459</v>
      </c>
      <c r="G142" s="31" t="s">
        <v>543</v>
      </c>
      <c r="H142" s="44" t="s">
        <v>461</v>
      </c>
      <c r="I142" s="42" t="s">
        <v>544</v>
      </c>
      <c r="J142" s="42"/>
      <c r="K142" s="45" t="n">
        <f aca="false">IF(AND(E142="yes",F142="yes",H142="covered"),1,IF(H142="partial",0.5,0))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768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68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769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769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16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769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16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769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16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769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16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769</v>
      </c>
      <c r="J14" s="42"/>
      <c r="K14" s="45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16</v>
      </c>
      <c r="D15" s="42" t="s">
        <v>770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769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16</v>
      </c>
      <c r="D16" s="42" t="s">
        <v>771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769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16</v>
      </c>
      <c r="D17" s="42" t="s">
        <v>772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769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16</v>
      </c>
      <c r="D18" s="42" t="s">
        <v>773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769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16</v>
      </c>
      <c r="D19" s="42" t="s">
        <v>474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769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477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769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478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769</v>
      </c>
      <c r="J21" s="42"/>
      <c r="K21" s="45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480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769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481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769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457</v>
      </c>
      <c r="C24" s="42" t="s">
        <v>476</v>
      </c>
      <c r="D24" s="42" t="s">
        <v>482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769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774</v>
      </c>
      <c r="C25" s="42" t="s">
        <v>476</v>
      </c>
      <c r="D25" s="42" t="s">
        <v>775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769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483</v>
      </c>
      <c r="C26" s="42" t="s">
        <v>476</v>
      </c>
      <c r="D26" s="42" t="s">
        <v>484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769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483</v>
      </c>
      <c r="C27" s="42" t="s">
        <v>476</v>
      </c>
      <c r="D27" s="42" t="s">
        <v>485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769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486</v>
      </c>
      <c r="C28" s="42" t="s">
        <v>476</v>
      </c>
      <c r="D28" s="42" t="s">
        <v>776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769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486</v>
      </c>
      <c r="C29" s="42" t="s">
        <v>476</v>
      </c>
      <c r="D29" s="42" t="s">
        <v>495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769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777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769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475</v>
      </c>
      <c r="C31" s="42" t="s">
        <v>778</v>
      </c>
      <c r="D31" s="42" t="s">
        <v>477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769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475</v>
      </c>
      <c r="C32" s="42" t="s">
        <v>778</v>
      </c>
      <c r="D32" s="42" t="s">
        <v>478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769</v>
      </c>
      <c r="J32" s="42"/>
      <c r="K32" s="45" t="n">
        <f aca="false">IF(AND(E32="yes",F32="yes",H32="covered"),1,IF(H32="partial",0.5,0))</f>
        <v>1</v>
      </c>
    </row>
    <row r="33" customFormat="false" ht="30" hidden="false" customHeight="true" outlineLevel="0" collapsed="false">
      <c r="A33" s="31" t="n">
        <v>25</v>
      </c>
      <c r="B33" s="42" t="s">
        <v>479</v>
      </c>
      <c r="C33" s="42" t="s">
        <v>778</v>
      </c>
      <c r="D33" s="42" t="s">
        <v>480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769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479</v>
      </c>
      <c r="C34" s="42" t="s">
        <v>778</v>
      </c>
      <c r="D34" s="42" t="s">
        <v>481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769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457</v>
      </c>
      <c r="C35" s="42" t="s">
        <v>778</v>
      </c>
      <c r="D35" s="42" t="s">
        <v>482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769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774</v>
      </c>
      <c r="C36" s="42" t="s">
        <v>778</v>
      </c>
      <c r="D36" s="42" t="s">
        <v>775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769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483</v>
      </c>
      <c r="C37" s="42" t="s">
        <v>778</v>
      </c>
      <c r="D37" s="42" t="s">
        <v>484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769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483</v>
      </c>
      <c r="C38" s="42" t="s">
        <v>778</v>
      </c>
      <c r="D38" s="42" t="s">
        <v>485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769</v>
      </c>
      <c r="J38" s="42"/>
      <c r="K38" s="45" t="n">
        <f aca="false">IF(AND(E38="yes",F38="yes",H38="covered"),1,IF(H38="partial",0.5,0))</f>
        <v>1</v>
      </c>
    </row>
    <row r="39" customFormat="false" ht="30" hidden="false" customHeight="true" outlineLevel="0" collapsed="false">
      <c r="A39" s="31" t="n">
        <v>31</v>
      </c>
      <c r="B39" s="42" t="s">
        <v>486</v>
      </c>
      <c r="C39" s="42" t="s">
        <v>778</v>
      </c>
      <c r="D39" s="42" t="s">
        <v>495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769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475</v>
      </c>
      <c r="C40" s="42" t="s">
        <v>779</v>
      </c>
      <c r="D40" s="42" t="s">
        <v>477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769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475</v>
      </c>
      <c r="C41" s="42" t="s">
        <v>779</v>
      </c>
      <c r="D41" s="42" t="s">
        <v>478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769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479</v>
      </c>
      <c r="C42" s="42" t="s">
        <v>779</v>
      </c>
      <c r="D42" s="42" t="s">
        <v>480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769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479</v>
      </c>
      <c r="C43" s="42" t="s">
        <v>779</v>
      </c>
      <c r="D43" s="42" t="s">
        <v>481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769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457</v>
      </c>
      <c r="C44" s="42" t="s">
        <v>779</v>
      </c>
      <c r="D44" s="42" t="s">
        <v>482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769</v>
      </c>
      <c r="J44" s="42"/>
      <c r="K44" s="45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31" t="n">
        <v>37</v>
      </c>
      <c r="B45" s="42" t="s">
        <v>774</v>
      </c>
      <c r="C45" s="42" t="s">
        <v>779</v>
      </c>
      <c r="D45" s="42" t="s">
        <v>775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769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483</v>
      </c>
      <c r="C46" s="42" t="s">
        <v>779</v>
      </c>
      <c r="D46" s="42" t="s">
        <v>484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769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483</v>
      </c>
      <c r="C47" s="42" t="s">
        <v>779</v>
      </c>
      <c r="D47" s="42" t="s">
        <v>485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769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486</v>
      </c>
      <c r="C48" s="42" t="s">
        <v>779</v>
      </c>
      <c r="D48" s="42" t="s">
        <v>495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769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475</v>
      </c>
      <c r="C49" s="42" t="s">
        <v>780</v>
      </c>
      <c r="D49" s="42" t="s">
        <v>477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769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475</v>
      </c>
      <c r="C50" s="42" t="s">
        <v>780</v>
      </c>
      <c r="D50" s="42" t="s">
        <v>478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769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479</v>
      </c>
      <c r="C51" s="42" t="s">
        <v>780</v>
      </c>
      <c r="D51" s="42" t="s">
        <v>480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769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479</v>
      </c>
      <c r="C52" s="42" t="s">
        <v>780</v>
      </c>
      <c r="D52" s="42" t="s">
        <v>481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769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457</v>
      </c>
      <c r="C53" s="42" t="s">
        <v>780</v>
      </c>
      <c r="D53" s="42" t="s">
        <v>482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769</v>
      </c>
      <c r="J53" s="42"/>
      <c r="K53" s="45" t="n">
        <f aca="false">IF(AND(E53="yes",F53="yes",H53="covered"),1,IF(H53="partial",0.5,0))</f>
        <v>1</v>
      </c>
    </row>
    <row r="54" customFormat="false" ht="30" hidden="false" customHeight="true" outlineLevel="0" collapsed="false">
      <c r="A54" s="31" t="n">
        <v>46</v>
      </c>
      <c r="B54" s="42" t="s">
        <v>774</v>
      </c>
      <c r="C54" s="42" t="s">
        <v>780</v>
      </c>
      <c r="D54" s="42" t="s">
        <v>775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769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483</v>
      </c>
      <c r="C55" s="42" t="s">
        <v>780</v>
      </c>
      <c r="D55" s="42" t="s">
        <v>484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769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483</v>
      </c>
      <c r="C56" s="42" t="s">
        <v>780</v>
      </c>
      <c r="D56" s="42" t="s">
        <v>485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769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486</v>
      </c>
      <c r="C57" s="42" t="s">
        <v>780</v>
      </c>
      <c r="D57" s="42" t="s">
        <v>495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769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475</v>
      </c>
      <c r="C58" s="42" t="s">
        <v>73</v>
      </c>
      <c r="D58" s="42" t="s">
        <v>477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769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475</v>
      </c>
      <c r="C59" s="42" t="s">
        <v>73</v>
      </c>
      <c r="D59" s="42" t="s">
        <v>478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769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479</v>
      </c>
      <c r="C60" s="42" t="s">
        <v>73</v>
      </c>
      <c r="D60" s="42" t="s">
        <v>480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769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479</v>
      </c>
      <c r="C61" s="42" t="s">
        <v>73</v>
      </c>
      <c r="D61" s="42" t="s">
        <v>481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769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457</v>
      </c>
      <c r="C62" s="42" t="s">
        <v>73</v>
      </c>
      <c r="D62" s="42" t="s">
        <v>482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769</v>
      </c>
      <c r="J62" s="42"/>
      <c r="K62" s="45" t="n">
        <f aca="false">IF(AND(E62="yes",F62="yes",H62="covered"),1,IF(H62="partial",0.5,0))</f>
        <v>1</v>
      </c>
    </row>
    <row r="63" customFormat="false" ht="30" hidden="false" customHeight="true" outlineLevel="0" collapsed="false">
      <c r="A63" s="31" t="n">
        <v>55</v>
      </c>
      <c r="B63" s="42" t="s">
        <v>774</v>
      </c>
      <c r="C63" s="42" t="s">
        <v>73</v>
      </c>
      <c r="D63" s="42" t="s">
        <v>775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769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483</v>
      </c>
      <c r="C64" s="42" t="s">
        <v>73</v>
      </c>
      <c r="D64" s="42" t="s">
        <v>484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769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483</v>
      </c>
      <c r="C65" s="42" t="s">
        <v>73</v>
      </c>
      <c r="D65" s="42" t="s">
        <v>485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769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486</v>
      </c>
      <c r="C66" s="42" t="s">
        <v>73</v>
      </c>
      <c r="D66" s="42" t="s">
        <v>781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769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486</v>
      </c>
      <c r="C67" s="42" t="s">
        <v>73</v>
      </c>
      <c r="D67" s="42" t="s">
        <v>495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769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486</v>
      </c>
      <c r="C68" s="42" t="s">
        <v>73</v>
      </c>
      <c r="D68" s="42" t="s">
        <v>782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769</v>
      </c>
      <c r="J68" s="42"/>
      <c r="K68" s="45" t="n">
        <f aca="false">IF(AND(E68="yes",F68="yes",H68="covered"),1,IF(H68="partial",0.5,0))</f>
        <v>1</v>
      </c>
    </row>
    <row r="69" customFormat="false" ht="30" hidden="false" customHeight="true" outlineLevel="0" collapsed="false">
      <c r="A69" s="31" t="n">
        <v>61</v>
      </c>
      <c r="B69" s="42" t="s">
        <v>505</v>
      </c>
      <c r="C69" s="42" t="s">
        <v>506</v>
      </c>
      <c r="D69" s="42" t="s">
        <v>783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769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511</v>
      </c>
      <c r="C70" s="42" t="s">
        <v>506</v>
      </c>
      <c r="D70" s="42" t="s">
        <v>784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769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511</v>
      </c>
      <c r="C71" s="42" t="s">
        <v>506</v>
      </c>
      <c r="D71" s="42" t="s">
        <v>785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769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511</v>
      </c>
      <c r="C72" s="42" t="s">
        <v>506</v>
      </c>
      <c r="D72" s="42" t="s">
        <v>514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769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483</v>
      </c>
      <c r="C73" s="42" t="s">
        <v>16</v>
      </c>
      <c r="D73" s="42" t="s">
        <v>516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769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483</v>
      </c>
      <c r="C74" s="42" t="s">
        <v>16</v>
      </c>
      <c r="D74" s="42" t="s">
        <v>517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769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483</v>
      </c>
      <c r="C75" s="42" t="s">
        <v>16</v>
      </c>
      <c r="D75" s="42" t="s">
        <v>519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769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483</v>
      </c>
      <c r="C76" s="42" t="s">
        <v>16</v>
      </c>
      <c r="D76" s="42" t="s">
        <v>520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769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/>
    <row r="78" customFormat="false" ht="30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30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786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28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47" t="n">
        <v>1</v>
      </c>
      <c r="B9" s="48" t="s">
        <v>456</v>
      </c>
      <c r="C9" s="48" t="s">
        <v>457</v>
      </c>
      <c r="D9" s="48" t="s">
        <v>458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787</v>
      </c>
      <c r="J9" s="48"/>
      <c r="K9" s="49" t="n">
        <f aca="false">IF(H9="covered",1,IF(H9="partial",0.5,0))</f>
        <v>1</v>
      </c>
    </row>
    <row r="10" customFormat="false" ht="15" hidden="false" customHeight="true" outlineLevel="0" collapsed="false">
      <c r="A10" s="47" t="n">
        <v>2</v>
      </c>
      <c r="B10" s="48" t="s">
        <v>456</v>
      </c>
      <c r="C10" s="48" t="s">
        <v>457</v>
      </c>
      <c r="D10" s="48" t="s">
        <v>463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787</v>
      </c>
      <c r="J10" s="48"/>
      <c r="K10" s="49" t="n">
        <f aca="false">IF(H10="covered",1,IF(H10="partial",0.5,0))</f>
        <v>1</v>
      </c>
    </row>
    <row r="11" customFormat="false" ht="15" hidden="false" customHeight="true" outlineLevel="0" collapsed="false">
      <c r="A11" s="47" t="n">
        <v>3</v>
      </c>
      <c r="B11" s="48" t="s">
        <v>456</v>
      </c>
      <c r="C11" s="48" t="s">
        <v>17</v>
      </c>
      <c r="D11" s="48" t="s">
        <v>464</v>
      </c>
      <c r="E11" s="47" t="s">
        <v>459</v>
      </c>
      <c r="F11" s="47" t="s">
        <v>459</v>
      </c>
      <c r="G11" s="47" t="s">
        <v>110</v>
      </c>
      <c r="H11" s="47" t="s">
        <v>461</v>
      </c>
      <c r="I11" s="48" t="s">
        <v>788</v>
      </c>
      <c r="J11" s="48"/>
      <c r="K11" s="49" t="n">
        <f aca="false">IF(H11="covered",1,IF(H11="partial",0.5,0))</f>
        <v>1</v>
      </c>
    </row>
    <row r="12" customFormat="false" ht="15" hidden="false" customHeight="true" outlineLevel="0" collapsed="false">
      <c r="A12" s="47" t="n">
        <v>4</v>
      </c>
      <c r="B12" s="48" t="s">
        <v>456</v>
      </c>
      <c r="C12" s="48" t="s">
        <v>17</v>
      </c>
      <c r="D12" s="48" t="s">
        <v>465</v>
      </c>
      <c r="E12" s="47" t="s">
        <v>459</v>
      </c>
      <c r="F12" s="47" t="s">
        <v>459</v>
      </c>
      <c r="G12" s="47" t="s">
        <v>110</v>
      </c>
      <c r="H12" s="47" t="s">
        <v>461</v>
      </c>
      <c r="I12" s="48" t="s">
        <v>788</v>
      </c>
      <c r="J12" s="48"/>
      <c r="K12" s="49" t="n">
        <f aca="false">IF(H12="covered",1,IF(H12="partial",0.5,0))</f>
        <v>1</v>
      </c>
    </row>
    <row r="13" customFormat="false" ht="15" hidden="false" customHeight="true" outlineLevel="0" collapsed="false">
      <c r="A13" s="47" t="n">
        <v>5</v>
      </c>
      <c r="B13" s="48" t="s">
        <v>456</v>
      </c>
      <c r="C13" s="48" t="s">
        <v>17</v>
      </c>
      <c r="D13" s="48" t="s">
        <v>466</v>
      </c>
      <c r="E13" s="47" t="s">
        <v>459</v>
      </c>
      <c r="F13" s="47" t="s">
        <v>459</v>
      </c>
      <c r="G13" s="47" t="s">
        <v>110</v>
      </c>
      <c r="H13" s="47" t="s">
        <v>461</v>
      </c>
      <c r="I13" s="48" t="s">
        <v>788</v>
      </c>
      <c r="J13" s="48"/>
      <c r="K13" s="49" t="n">
        <f aca="false">IF(H13="covered",1,IF(H13="partial",0.5,0))</f>
        <v>1</v>
      </c>
    </row>
    <row r="14" customFormat="false" ht="15" hidden="false" customHeight="true" outlineLevel="0" collapsed="false">
      <c r="A14" s="47" t="n">
        <v>6</v>
      </c>
      <c r="B14" s="48" t="s">
        <v>456</v>
      </c>
      <c r="C14" s="48" t="s">
        <v>17</v>
      </c>
      <c r="D14" s="48" t="s">
        <v>467</v>
      </c>
      <c r="E14" s="47" t="s">
        <v>459</v>
      </c>
      <c r="F14" s="47" t="s">
        <v>459</v>
      </c>
      <c r="G14" s="47" t="s">
        <v>110</v>
      </c>
      <c r="H14" s="47" t="s">
        <v>461</v>
      </c>
      <c r="I14" s="48" t="s">
        <v>788</v>
      </c>
      <c r="J14" s="48"/>
      <c r="K14" s="49" t="n">
        <f aca="false">IF(H14="covered",1,IF(H14="partial",0.5,0))</f>
        <v>1</v>
      </c>
    </row>
    <row r="15" customFormat="false" ht="30" hidden="false" customHeight="true" outlineLevel="0" collapsed="false">
      <c r="A15" s="47" t="n">
        <v>7</v>
      </c>
      <c r="B15" s="48" t="s">
        <v>468</v>
      </c>
      <c r="C15" s="48" t="s">
        <v>17</v>
      </c>
      <c r="D15" s="48" t="s">
        <v>789</v>
      </c>
      <c r="E15" s="47" t="s">
        <v>459</v>
      </c>
      <c r="F15" s="47" t="s">
        <v>459</v>
      </c>
      <c r="G15" s="47" t="s">
        <v>110</v>
      </c>
      <c r="H15" s="47" t="s">
        <v>461</v>
      </c>
      <c r="I15" s="48" t="s">
        <v>788</v>
      </c>
      <c r="J15" s="48"/>
      <c r="K15" s="49" t="n">
        <f aca="false">IF(H15="covered",1,IF(H15="partial",0.5,0))</f>
        <v>1</v>
      </c>
    </row>
    <row r="16" customFormat="false" ht="15" hidden="false" customHeight="true" outlineLevel="0" collapsed="false">
      <c r="A16" s="47" t="n">
        <v>8</v>
      </c>
      <c r="B16" s="48" t="s">
        <v>468</v>
      </c>
      <c r="C16" s="48" t="s">
        <v>17</v>
      </c>
      <c r="D16" s="48" t="s">
        <v>790</v>
      </c>
      <c r="E16" s="47" t="s">
        <v>459</v>
      </c>
      <c r="F16" s="47" t="s">
        <v>459</v>
      </c>
      <c r="G16" s="47" t="s">
        <v>110</v>
      </c>
      <c r="H16" s="47" t="s">
        <v>461</v>
      </c>
      <c r="I16" s="48" t="s">
        <v>788</v>
      </c>
      <c r="J16" s="48"/>
      <c r="K16" s="49" t="n">
        <f aca="false">IF(H16="covered",1,IF(H16="partial",0.5,0))</f>
        <v>1</v>
      </c>
    </row>
    <row r="17" customFormat="false" ht="15" hidden="false" customHeight="true" outlineLevel="0" collapsed="false">
      <c r="A17" s="47" t="n">
        <v>9</v>
      </c>
      <c r="B17" s="48" t="s">
        <v>468</v>
      </c>
      <c r="C17" s="48" t="s">
        <v>17</v>
      </c>
      <c r="D17" s="48" t="s">
        <v>791</v>
      </c>
      <c r="E17" s="47" t="s">
        <v>459</v>
      </c>
      <c r="F17" s="47" t="s">
        <v>459</v>
      </c>
      <c r="G17" s="47" t="s">
        <v>110</v>
      </c>
      <c r="H17" s="47" t="s">
        <v>461</v>
      </c>
      <c r="I17" s="48" t="s">
        <v>788</v>
      </c>
      <c r="J17" s="48"/>
      <c r="K17" s="49" t="n">
        <f aca="false">IF(H17="covered",1,IF(H17="partial",0.5,0))</f>
        <v>1</v>
      </c>
    </row>
    <row r="18" customFormat="false" ht="15" hidden="false" customHeight="true" outlineLevel="0" collapsed="false">
      <c r="A18" s="47" t="n">
        <v>10</v>
      </c>
      <c r="B18" s="48" t="s">
        <v>468</v>
      </c>
      <c r="C18" s="48" t="s">
        <v>17</v>
      </c>
      <c r="D18" s="48" t="s">
        <v>792</v>
      </c>
      <c r="E18" s="47" t="s">
        <v>459</v>
      </c>
      <c r="F18" s="47" t="s">
        <v>459</v>
      </c>
      <c r="G18" s="47" t="s">
        <v>110</v>
      </c>
      <c r="H18" s="47" t="s">
        <v>461</v>
      </c>
      <c r="I18" s="48" t="s">
        <v>788</v>
      </c>
      <c r="J18" s="48"/>
      <c r="K18" s="49" t="n">
        <f aca="false">IF(H18="covered",1,IF(H18="partial",0.5,0))</f>
        <v>1</v>
      </c>
    </row>
    <row r="19" customFormat="false" ht="15" hidden="false" customHeight="true" outlineLevel="0" collapsed="false">
      <c r="A19" s="47" t="n">
        <v>11</v>
      </c>
      <c r="B19" s="48" t="s">
        <v>475</v>
      </c>
      <c r="C19" s="48" t="s">
        <v>476</v>
      </c>
      <c r="D19" s="48" t="s">
        <v>477</v>
      </c>
      <c r="E19" s="47" t="s">
        <v>459</v>
      </c>
      <c r="F19" s="47" t="s">
        <v>459</v>
      </c>
      <c r="G19" s="47" t="s">
        <v>110</v>
      </c>
      <c r="H19" s="47" t="s">
        <v>461</v>
      </c>
      <c r="I19" s="48" t="s">
        <v>788</v>
      </c>
      <c r="J19" s="48"/>
      <c r="K19" s="49" t="n">
        <f aca="false">IF(H19="covered",1,IF(H19="partial",0.5,0))</f>
        <v>1</v>
      </c>
    </row>
    <row r="20" customFormat="false" ht="15" hidden="false" customHeight="true" outlineLevel="0" collapsed="false">
      <c r="A20" s="47" t="n">
        <v>12</v>
      </c>
      <c r="B20" s="48" t="s">
        <v>475</v>
      </c>
      <c r="C20" s="48" t="s">
        <v>476</v>
      </c>
      <c r="D20" s="48" t="s">
        <v>478</v>
      </c>
      <c r="E20" s="47" t="s">
        <v>459</v>
      </c>
      <c r="F20" s="47" t="s">
        <v>459</v>
      </c>
      <c r="G20" s="47" t="s">
        <v>110</v>
      </c>
      <c r="H20" s="47" t="s">
        <v>461</v>
      </c>
      <c r="I20" s="48" t="s">
        <v>788</v>
      </c>
      <c r="J20" s="48"/>
      <c r="K20" s="49" t="n">
        <f aca="false">IF(H20="covered",1,IF(H20="partial",0.5,0))</f>
        <v>1</v>
      </c>
    </row>
    <row r="21" customFormat="false" ht="30" hidden="false" customHeight="true" outlineLevel="0" collapsed="false">
      <c r="A21" s="47" t="n">
        <v>13</v>
      </c>
      <c r="B21" s="48" t="s">
        <v>479</v>
      </c>
      <c r="C21" s="48" t="s">
        <v>476</v>
      </c>
      <c r="D21" s="48" t="s">
        <v>480</v>
      </c>
      <c r="E21" s="47" t="s">
        <v>459</v>
      </c>
      <c r="F21" s="47" t="s">
        <v>459</v>
      </c>
      <c r="G21" s="47" t="s">
        <v>110</v>
      </c>
      <c r="H21" s="47" t="s">
        <v>461</v>
      </c>
      <c r="I21" s="48" t="s">
        <v>788</v>
      </c>
      <c r="J21" s="48"/>
      <c r="K21" s="49" t="n">
        <f aca="false">IF(H21="covered",1,IF(H21="partial",0.5,0))</f>
        <v>1</v>
      </c>
    </row>
    <row r="22" customFormat="false" ht="15" hidden="false" customHeight="true" outlineLevel="0" collapsed="false">
      <c r="A22" s="47" t="n">
        <v>14</v>
      </c>
      <c r="B22" s="48" t="s">
        <v>479</v>
      </c>
      <c r="C22" s="48" t="s">
        <v>476</v>
      </c>
      <c r="D22" s="48" t="s">
        <v>481</v>
      </c>
      <c r="E22" s="47" t="s">
        <v>459</v>
      </c>
      <c r="F22" s="47" t="s">
        <v>459</v>
      </c>
      <c r="G22" s="47" t="s">
        <v>110</v>
      </c>
      <c r="H22" s="47" t="s">
        <v>461</v>
      </c>
      <c r="I22" s="48" t="s">
        <v>788</v>
      </c>
      <c r="J22" s="48"/>
      <c r="K22" s="49" t="n">
        <f aca="false">IF(H22="covered",1,IF(H22="partial",0.5,0))</f>
        <v>1</v>
      </c>
    </row>
    <row r="23" customFormat="false" ht="15" hidden="false" customHeight="true" outlineLevel="0" collapsed="false">
      <c r="A23" s="47" t="n">
        <v>15</v>
      </c>
      <c r="B23" s="48" t="s">
        <v>457</v>
      </c>
      <c r="C23" s="48" t="s">
        <v>476</v>
      </c>
      <c r="D23" s="48" t="s">
        <v>482</v>
      </c>
      <c r="E23" s="47" t="s">
        <v>459</v>
      </c>
      <c r="F23" s="47" t="s">
        <v>459</v>
      </c>
      <c r="G23" s="47" t="s">
        <v>110</v>
      </c>
      <c r="H23" s="47" t="s">
        <v>461</v>
      </c>
      <c r="I23" s="48" t="s">
        <v>788</v>
      </c>
      <c r="J23" s="48"/>
      <c r="K23" s="49" t="n">
        <f aca="false">IF(H23="covered",1,IF(H23="partial",0.5,0))</f>
        <v>1</v>
      </c>
    </row>
    <row r="24" customFormat="false" ht="15" hidden="false" customHeight="true" outlineLevel="0" collapsed="false">
      <c r="A24" s="47" t="n">
        <v>16</v>
      </c>
      <c r="B24" s="48" t="s">
        <v>774</v>
      </c>
      <c r="C24" s="48" t="s">
        <v>476</v>
      </c>
      <c r="D24" s="48" t="s">
        <v>775</v>
      </c>
      <c r="E24" s="47" t="s">
        <v>459</v>
      </c>
      <c r="F24" s="47" t="s">
        <v>459</v>
      </c>
      <c r="G24" s="47" t="s">
        <v>110</v>
      </c>
      <c r="H24" s="47" t="s">
        <v>461</v>
      </c>
      <c r="I24" s="48" t="s">
        <v>788</v>
      </c>
      <c r="J24" s="48"/>
      <c r="K24" s="49" t="n">
        <f aca="false">IF(H24="covered",1,IF(H24="partial",0.5,0))</f>
        <v>1</v>
      </c>
    </row>
    <row r="25" customFormat="false" ht="15" hidden="false" customHeight="true" outlineLevel="0" collapsed="false">
      <c r="A25" s="47" t="n">
        <v>17</v>
      </c>
      <c r="B25" s="48" t="s">
        <v>483</v>
      </c>
      <c r="C25" s="48" t="s">
        <v>476</v>
      </c>
      <c r="D25" s="48" t="s">
        <v>484</v>
      </c>
      <c r="E25" s="47" t="s">
        <v>459</v>
      </c>
      <c r="F25" s="47" t="s">
        <v>459</v>
      </c>
      <c r="G25" s="47" t="s">
        <v>110</v>
      </c>
      <c r="H25" s="47" t="s">
        <v>461</v>
      </c>
      <c r="I25" s="48" t="s">
        <v>788</v>
      </c>
      <c r="J25" s="48"/>
      <c r="K25" s="49" t="n">
        <f aca="false">IF(H25="covered",1,IF(H25="partial",0.5,0))</f>
        <v>1</v>
      </c>
    </row>
    <row r="26" customFormat="false" ht="15" hidden="false" customHeight="true" outlineLevel="0" collapsed="false">
      <c r="A26" s="47" t="n">
        <v>18</v>
      </c>
      <c r="B26" s="48" t="s">
        <v>483</v>
      </c>
      <c r="C26" s="48" t="s">
        <v>476</v>
      </c>
      <c r="D26" s="48" t="s">
        <v>485</v>
      </c>
      <c r="E26" s="47" t="s">
        <v>459</v>
      </c>
      <c r="F26" s="47" t="s">
        <v>459</v>
      </c>
      <c r="G26" s="47" t="s">
        <v>110</v>
      </c>
      <c r="H26" s="47" t="s">
        <v>461</v>
      </c>
      <c r="I26" s="48" t="s">
        <v>788</v>
      </c>
      <c r="J26" s="48"/>
      <c r="K26" s="49" t="n">
        <f aca="false">IF(H26="covered",1,IF(H26="partial",0.5,0))</f>
        <v>1</v>
      </c>
    </row>
    <row r="27" customFormat="false" ht="15" hidden="false" customHeight="true" outlineLevel="0" collapsed="false">
      <c r="A27" s="47" t="n">
        <v>19</v>
      </c>
      <c r="B27" s="48" t="s">
        <v>486</v>
      </c>
      <c r="C27" s="48" t="s">
        <v>476</v>
      </c>
      <c r="D27" s="48" t="s">
        <v>793</v>
      </c>
      <c r="E27" s="47" t="s">
        <v>459</v>
      </c>
      <c r="F27" s="47" t="s">
        <v>459</v>
      </c>
      <c r="G27" s="47" t="s">
        <v>110</v>
      </c>
      <c r="H27" s="47" t="s">
        <v>461</v>
      </c>
      <c r="I27" s="48" t="s">
        <v>788</v>
      </c>
      <c r="J27" s="48"/>
      <c r="K27" s="49" t="n">
        <f aca="false">IF(H27="covered",1,IF(H27="partial",0.5,0))</f>
        <v>1</v>
      </c>
    </row>
    <row r="28" customFormat="false" ht="15" hidden="false" customHeight="true" outlineLevel="0" collapsed="false">
      <c r="A28" s="47" t="n">
        <v>20</v>
      </c>
      <c r="B28" s="48" t="s">
        <v>486</v>
      </c>
      <c r="C28" s="48" t="s">
        <v>476</v>
      </c>
      <c r="D28" s="48" t="s">
        <v>495</v>
      </c>
      <c r="E28" s="47" t="s">
        <v>459</v>
      </c>
      <c r="F28" s="47" t="s">
        <v>459</v>
      </c>
      <c r="G28" s="47" t="s">
        <v>110</v>
      </c>
      <c r="H28" s="47" t="s">
        <v>461</v>
      </c>
      <c r="I28" s="48" t="s">
        <v>788</v>
      </c>
      <c r="J28" s="48"/>
      <c r="K28" s="49" t="n">
        <f aca="false">IF(H28="covered",1,IF(H28="partial",0.5,0))</f>
        <v>1</v>
      </c>
    </row>
    <row r="29" customFormat="false" ht="15" hidden="false" customHeight="true" outlineLevel="0" collapsed="false">
      <c r="A29" s="47" t="n">
        <v>21</v>
      </c>
      <c r="B29" s="48" t="s">
        <v>511</v>
      </c>
      <c r="C29" s="48" t="s">
        <v>506</v>
      </c>
      <c r="D29" s="48" t="s">
        <v>514</v>
      </c>
      <c r="E29" s="47" t="s">
        <v>459</v>
      </c>
      <c r="F29" s="47" t="s">
        <v>459</v>
      </c>
      <c r="G29" s="47" t="s">
        <v>110</v>
      </c>
      <c r="H29" s="47" t="s">
        <v>461</v>
      </c>
      <c r="I29" s="48" t="s">
        <v>788</v>
      </c>
      <c r="J29" s="48"/>
      <c r="K29" s="49" t="n">
        <f aca="false">IF(H29="covered",1,IF(H29="partial",0.5,0))</f>
        <v>1</v>
      </c>
    </row>
    <row r="30" customFormat="false" ht="30" hidden="false" customHeight="true" outlineLevel="0" collapsed="false">
      <c r="A30" s="47" t="n">
        <v>22</v>
      </c>
      <c r="B30" s="48" t="s">
        <v>483</v>
      </c>
      <c r="C30" s="48" t="s">
        <v>17</v>
      </c>
      <c r="D30" s="48" t="s">
        <v>516</v>
      </c>
      <c r="E30" s="47" t="s">
        <v>459</v>
      </c>
      <c r="F30" s="47" t="s">
        <v>459</v>
      </c>
      <c r="G30" s="47" t="s">
        <v>110</v>
      </c>
      <c r="H30" s="47" t="s">
        <v>461</v>
      </c>
      <c r="I30" s="48" t="s">
        <v>788</v>
      </c>
      <c r="J30" s="48"/>
      <c r="K30" s="49" t="n">
        <f aca="false">IF(H30="covered",1,IF(H30="partial",0.5,0))</f>
        <v>1</v>
      </c>
    </row>
    <row r="31" customFormat="false" ht="15" hidden="false" customHeight="true" outlineLevel="0" collapsed="false">
      <c r="A31" s="47" t="n">
        <v>23</v>
      </c>
      <c r="B31" s="48" t="s">
        <v>483</v>
      </c>
      <c r="C31" s="48" t="s">
        <v>17</v>
      </c>
      <c r="D31" s="48" t="s">
        <v>517</v>
      </c>
      <c r="E31" s="47" t="s">
        <v>459</v>
      </c>
      <c r="F31" s="47" t="s">
        <v>459</v>
      </c>
      <c r="G31" s="47" t="s">
        <v>110</v>
      </c>
      <c r="H31" s="47" t="s">
        <v>461</v>
      </c>
      <c r="I31" s="48" t="s">
        <v>788</v>
      </c>
      <c r="J31" s="48"/>
      <c r="K31" s="49" t="n">
        <f aca="false">IF(H31="covered",1,IF(H31="partial",0.5,0))</f>
        <v>1</v>
      </c>
    </row>
    <row r="32" customFormat="false" ht="15" hidden="false" customHeight="true" outlineLevel="0" collapsed="false">
      <c r="A32" s="47" t="n">
        <v>24</v>
      </c>
      <c r="B32" s="48" t="s">
        <v>483</v>
      </c>
      <c r="C32" s="48" t="s">
        <v>17</v>
      </c>
      <c r="D32" s="48" t="s">
        <v>518</v>
      </c>
      <c r="E32" s="47" t="s">
        <v>459</v>
      </c>
      <c r="F32" s="47" t="s">
        <v>459</v>
      </c>
      <c r="G32" s="47" t="s">
        <v>110</v>
      </c>
      <c r="H32" s="47" t="s">
        <v>461</v>
      </c>
      <c r="I32" s="48" t="s">
        <v>788</v>
      </c>
      <c r="J32" s="48"/>
      <c r="K32" s="49" t="n">
        <f aca="false">IF(H32="covered",1,IF(H32="partial",0.5,0))</f>
        <v>1</v>
      </c>
    </row>
    <row r="33" customFormat="false" ht="15" hidden="false" customHeight="true" outlineLevel="0" collapsed="false">
      <c r="A33" s="47" t="n">
        <v>25</v>
      </c>
      <c r="B33" s="48" t="s">
        <v>483</v>
      </c>
      <c r="C33" s="48" t="s">
        <v>17</v>
      </c>
      <c r="D33" s="48" t="s">
        <v>519</v>
      </c>
      <c r="E33" s="47" t="s">
        <v>459</v>
      </c>
      <c r="F33" s="47" t="s">
        <v>459</v>
      </c>
      <c r="G33" s="47" t="s">
        <v>110</v>
      </c>
      <c r="H33" s="47" t="s">
        <v>461</v>
      </c>
      <c r="I33" s="48" t="s">
        <v>788</v>
      </c>
      <c r="J33" s="48"/>
      <c r="K33" s="49" t="n">
        <f aca="false">IF(H33="covered",1,IF(H33="partial",0.5,0))</f>
        <v>1</v>
      </c>
    </row>
    <row r="34" customFormat="false" ht="15" hidden="false" customHeight="true" outlineLevel="0" collapsed="false">
      <c r="A34" s="47" t="n">
        <v>26</v>
      </c>
      <c r="B34" s="48" t="s">
        <v>483</v>
      </c>
      <c r="C34" s="48" t="s">
        <v>17</v>
      </c>
      <c r="D34" s="48" t="s">
        <v>520</v>
      </c>
      <c r="E34" s="47" t="s">
        <v>459</v>
      </c>
      <c r="F34" s="47" t="s">
        <v>459</v>
      </c>
      <c r="G34" s="47" t="s">
        <v>110</v>
      </c>
      <c r="H34" s="47" t="s">
        <v>461</v>
      </c>
      <c r="I34" s="48" t="s">
        <v>788</v>
      </c>
      <c r="J34" s="48"/>
      <c r="K34" s="49" t="n">
        <f aca="false">IF(H34="covered",1,IF(H34="partial",0.5,0))</f>
        <v>1</v>
      </c>
    </row>
    <row r="35" customFormat="false" ht="15" hidden="false" customHeight="true" outlineLevel="0" collapsed="false">
      <c r="A35" s="47" t="n">
        <v>27</v>
      </c>
      <c r="B35" s="48" t="s">
        <v>794</v>
      </c>
      <c r="C35" s="48" t="s">
        <v>17</v>
      </c>
      <c r="D35" s="48" t="s">
        <v>795</v>
      </c>
      <c r="E35" s="47" t="s">
        <v>459</v>
      </c>
      <c r="F35" s="47" t="s">
        <v>459</v>
      </c>
      <c r="G35" s="47" t="s">
        <v>110</v>
      </c>
      <c r="H35" s="47" t="s">
        <v>461</v>
      </c>
      <c r="I35" s="48" t="s">
        <v>788</v>
      </c>
      <c r="J35" s="48"/>
      <c r="K35" s="49" t="n">
        <f aca="false">IF(H35="covered",1,IF(H35="partial",0.5,0))</f>
        <v>1</v>
      </c>
    </row>
    <row r="36" customFormat="false" ht="15" hidden="false" customHeight="true" outlineLevel="0" collapsed="false">
      <c r="A36" s="47" t="n">
        <v>28</v>
      </c>
      <c r="B36" s="48" t="s">
        <v>794</v>
      </c>
      <c r="C36" s="48" t="s">
        <v>17</v>
      </c>
      <c r="D36" s="48" t="s">
        <v>796</v>
      </c>
      <c r="E36" s="47" t="s">
        <v>459</v>
      </c>
      <c r="F36" s="47" t="s">
        <v>459</v>
      </c>
      <c r="G36" s="47" t="s">
        <v>110</v>
      </c>
      <c r="H36" s="47" t="s">
        <v>461</v>
      </c>
      <c r="I36" s="48" t="s">
        <v>788</v>
      </c>
      <c r="J36" s="48"/>
      <c r="K36" s="49" t="n">
        <f aca="false">IF(H36="covered",1,IF(H36="partial",0.5,0))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797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IFERROR(SUM(K9:K66)/COUNTA(A9:A66),0)</f>
        <v>1</v>
      </c>
      <c r="C4" s="28" t="s">
        <v>8</v>
      </c>
      <c r="D4" s="40" t="n">
        <f aca="false">COUNTIF(H9:H66,"covered")</f>
        <v>58</v>
      </c>
      <c r="E4" s="28" t="s">
        <v>9</v>
      </c>
      <c r="F4" s="40" t="n">
        <f aca="false">COUNTIF(H9:H66,"partial")</f>
        <v>0</v>
      </c>
      <c r="G4" s="28" t="s">
        <v>10</v>
      </c>
      <c r="H4" s="40" t="n">
        <f aca="false">COUNTIF(H9:H66,"missing")</f>
        <v>0</v>
      </c>
      <c r="I4" s="28" t="s">
        <v>11</v>
      </c>
      <c r="J4" s="40" t="n">
        <f aca="false">COUNTIF(F9:F66,"no")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34" t="s">
        <v>459</v>
      </c>
      <c r="G9" s="31" t="s">
        <v>110</v>
      </c>
      <c r="H9" s="50" t="s">
        <v>461</v>
      </c>
      <c r="I9" s="42" t="s">
        <v>798</v>
      </c>
      <c r="J9" s="42"/>
      <c r="K9" s="45" t="n">
        <f aca="false">IF(AND(E9="yes",F9="yes",H9="covered"),1,IF(AND(E9="yes",H9="partial"),0.5,0))</f>
        <v>1</v>
      </c>
    </row>
    <row r="10" customFormat="false" ht="30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34" t="s">
        <v>459</v>
      </c>
      <c r="G10" s="31" t="s">
        <v>110</v>
      </c>
      <c r="H10" s="50" t="s">
        <v>461</v>
      </c>
      <c r="I10" s="42" t="s">
        <v>798</v>
      </c>
      <c r="J10" s="42"/>
      <c r="K10" s="45" t="n">
        <f aca="false">IF(AND(E10="yes",F10="yes",H10="covered"),1,IF(AND(E10="yes",H10="partial"),0.5,0))</f>
        <v>1</v>
      </c>
    </row>
    <row r="11" customFormat="false" ht="45" hidden="false" customHeight="true" outlineLevel="0" collapsed="false">
      <c r="A11" s="31" t="n">
        <v>3</v>
      </c>
      <c r="B11" s="42" t="s">
        <v>456</v>
      </c>
      <c r="C11" s="42" t="s">
        <v>18</v>
      </c>
      <c r="D11" s="42" t="s">
        <v>464</v>
      </c>
      <c r="E11" s="34" t="s">
        <v>459</v>
      </c>
      <c r="F11" s="34" t="s">
        <v>459</v>
      </c>
      <c r="G11" s="31" t="s">
        <v>110</v>
      </c>
      <c r="H11" s="50" t="s">
        <v>461</v>
      </c>
      <c r="I11" s="42" t="s">
        <v>799</v>
      </c>
      <c r="J11" s="42"/>
      <c r="K11" s="45" t="n">
        <f aca="false">IF(AND(E11="yes",F11="yes",H11="covered"),1,IF(AND(E11="yes",H11="partial"),0.5,0))</f>
        <v>1</v>
      </c>
    </row>
    <row r="12" customFormat="false" ht="30" hidden="false" customHeight="true" outlineLevel="0" collapsed="false">
      <c r="A12" s="31" t="n">
        <v>4</v>
      </c>
      <c r="B12" s="42" t="s">
        <v>456</v>
      </c>
      <c r="C12" s="42" t="s">
        <v>18</v>
      </c>
      <c r="D12" s="42" t="s">
        <v>465</v>
      </c>
      <c r="E12" s="34" t="s">
        <v>459</v>
      </c>
      <c r="F12" s="34" t="s">
        <v>459</v>
      </c>
      <c r="G12" s="31" t="s">
        <v>110</v>
      </c>
      <c r="H12" s="50" t="s">
        <v>461</v>
      </c>
      <c r="I12" s="42" t="s">
        <v>800</v>
      </c>
      <c r="J12" s="42"/>
      <c r="K12" s="45" t="n">
        <f aca="false">IF(AND(E12="yes",F12="yes",H12="covered"),1,IF(AND(E12="yes",H12="partial"),0.5,0))</f>
        <v>1</v>
      </c>
    </row>
    <row r="13" customFormat="false" ht="30" hidden="false" customHeight="true" outlineLevel="0" collapsed="false">
      <c r="A13" s="31" t="n">
        <v>5</v>
      </c>
      <c r="B13" s="42" t="s">
        <v>456</v>
      </c>
      <c r="C13" s="42" t="s">
        <v>18</v>
      </c>
      <c r="D13" s="42" t="s">
        <v>466</v>
      </c>
      <c r="E13" s="34" t="s">
        <v>459</v>
      </c>
      <c r="F13" s="34" t="s">
        <v>459</v>
      </c>
      <c r="G13" s="31" t="s">
        <v>110</v>
      </c>
      <c r="H13" s="50" t="s">
        <v>461</v>
      </c>
      <c r="I13" s="42" t="s">
        <v>801</v>
      </c>
      <c r="J13" s="42"/>
      <c r="K13" s="45" t="n">
        <f aca="false">IF(AND(E13="yes",F13="yes",H13="covered"),1,IF(AND(E13="yes",H13="partial"),0.5,0))</f>
        <v>1</v>
      </c>
    </row>
    <row r="14" customFormat="false" ht="30" hidden="false" customHeight="true" outlineLevel="0" collapsed="false">
      <c r="A14" s="31" t="n">
        <v>6</v>
      </c>
      <c r="B14" s="42" t="s">
        <v>456</v>
      </c>
      <c r="C14" s="42" t="s">
        <v>18</v>
      </c>
      <c r="D14" s="42" t="s">
        <v>467</v>
      </c>
      <c r="E14" s="34" t="s">
        <v>459</v>
      </c>
      <c r="F14" s="34" t="s">
        <v>459</v>
      </c>
      <c r="G14" s="31" t="s">
        <v>110</v>
      </c>
      <c r="H14" s="50" t="s">
        <v>461</v>
      </c>
      <c r="I14" s="42" t="s">
        <v>802</v>
      </c>
      <c r="J14" s="42"/>
      <c r="K14" s="45" t="n">
        <f aca="false">IF(AND(E14="yes",F14="yes",H14="covered"),1,IF(AND(E14="yes",H14="partial"),0.5,0))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18</v>
      </c>
      <c r="D15" s="42" t="s">
        <v>803</v>
      </c>
      <c r="E15" s="34" t="s">
        <v>459</v>
      </c>
      <c r="F15" s="34" t="s">
        <v>459</v>
      </c>
      <c r="G15" s="31" t="s">
        <v>110</v>
      </c>
      <c r="H15" s="50" t="s">
        <v>461</v>
      </c>
      <c r="I15" s="42" t="s">
        <v>804</v>
      </c>
      <c r="J15" s="42"/>
      <c r="K15" s="45" t="n">
        <f aca="false">IF(AND(E15="yes",F15="yes",H15="covered"),1,IF(AND(E15="yes",H15="partial"),0.5,0))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18</v>
      </c>
      <c r="D16" s="42" t="s">
        <v>805</v>
      </c>
      <c r="E16" s="34" t="s">
        <v>459</v>
      </c>
      <c r="F16" s="34" t="s">
        <v>459</v>
      </c>
      <c r="G16" s="31" t="s">
        <v>110</v>
      </c>
      <c r="H16" s="50" t="s">
        <v>461</v>
      </c>
      <c r="I16" s="42" t="s">
        <v>806</v>
      </c>
      <c r="J16" s="42"/>
      <c r="K16" s="45" t="n">
        <f aca="false">IF(AND(E16="yes",F16="yes",H16="covered"),1,IF(AND(E16="yes",H16="partial"),0.5,0))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18</v>
      </c>
      <c r="D17" s="42" t="s">
        <v>807</v>
      </c>
      <c r="E17" s="34" t="s">
        <v>459</v>
      </c>
      <c r="F17" s="34" t="s">
        <v>459</v>
      </c>
      <c r="G17" s="31" t="s">
        <v>110</v>
      </c>
      <c r="H17" s="50" t="s">
        <v>461</v>
      </c>
      <c r="I17" s="42" t="s">
        <v>808</v>
      </c>
      <c r="J17" s="42"/>
      <c r="K17" s="45" t="n">
        <f aca="false">IF(AND(E17="yes",F17="yes",H17="covered"),1,IF(AND(E17="yes",H17="partial"),0.5,0))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18</v>
      </c>
      <c r="D18" s="42" t="s">
        <v>809</v>
      </c>
      <c r="E18" s="34" t="s">
        <v>459</v>
      </c>
      <c r="F18" s="34" t="s">
        <v>459</v>
      </c>
      <c r="G18" s="31" t="s">
        <v>110</v>
      </c>
      <c r="H18" s="50" t="s">
        <v>461</v>
      </c>
      <c r="I18" s="42" t="s">
        <v>810</v>
      </c>
      <c r="J18" s="42"/>
      <c r="K18" s="45" t="n">
        <f aca="false">IF(AND(E18="yes",F18="yes",H18="covered"),1,IF(AND(E18="yes",H18="partial"),0.5,0))</f>
        <v>1</v>
      </c>
    </row>
    <row r="19" customFormat="false" ht="30" hidden="false" customHeight="true" outlineLevel="0" collapsed="false">
      <c r="A19" s="31" t="n">
        <v>11</v>
      </c>
      <c r="B19" s="42" t="s">
        <v>468</v>
      </c>
      <c r="C19" s="42" t="s">
        <v>18</v>
      </c>
      <c r="D19" s="42" t="s">
        <v>474</v>
      </c>
      <c r="E19" s="34" t="s">
        <v>459</v>
      </c>
      <c r="F19" s="34" t="s">
        <v>459</v>
      </c>
      <c r="G19" s="31" t="s">
        <v>110</v>
      </c>
      <c r="H19" s="50" t="s">
        <v>461</v>
      </c>
      <c r="I19" s="42" t="s">
        <v>811</v>
      </c>
      <c r="J19" s="42"/>
      <c r="K19" s="45" t="n">
        <f aca="false">IF(AND(E19="yes",F19="yes",H19="covered"),1,IF(AND(E19="yes",H19="partial"),0.5,0))</f>
        <v>1</v>
      </c>
    </row>
    <row r="20" customFormat="false" ht="1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477</v>
      </c>
      <c r="E20" s="34" t="s">
        <v>459</v>
      </c>
      <c r="F20" s="34" t="s">
        <v>459</v>
      </c>
      <c r="G20" s="31" t="s">
        <v>110</v>
      </c>
      <c r="H20" s="50" t="s">
        <v>461</v>
      </c>
      <c r="I20" s="42" t="s">
        <v>812</v>
      </c>
      <c r="J20" s="42"/>
      <c r="K20" s="45" t="n">
        <f aca="false">IF(AND(E20="yes",F20="yes",H20="covered"),1,IF(AND(E20="yes",H20="partial"),0.5,0))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478</v>
      </c>
      <c r="E21" s="34" t="s">
        <v>459</v>
      </c>
      <c r="F21" s="34" t="s">
        <v>459</v>
      </c>
      <c r="G21" s="31" t="s">
        <v>110</v>
      </c>
      <c r="H21" s="50" t="s">
        <v>461</v>
      </c>
      <c r="I21" s="42" t="s">
        <v>813</v>
      </c>
      <c r="J21" s="42"/>
      <c r="K21" s="45" t="n">
        <f aca="false">IF(AND(E21="yes",F21="yes",H21="covered"),1,IF(AND(E21="yes",H21="partial"),0.5,0))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480</v>
      </c>
      <c r="E22" s="34" t="s">
        <v>459</v>
      </c>
      <c r="F22" s="34" t="s">
        <v>459</v>
      </c>
      <c r="G22" s="31" t="s">
        <v>110</v>
      </c>
      <c r="H22" s="50" t="s">
        <v>461</v>
      </c>
      <c r="I22" s="42" t="s">
        <v>814</v>
      </c>
      <c r="J22" s="42"/>
      <c r="K22" s="45" t="n">
        <f aca="false">IF(AND(E22="yes",F22="yes",H22="covered"),1,IF(AND(E22="yes",H22="partial"),0.5,0))</f>
        <v>1</v>
      </c>
    </row>
    <row r="23" customFormat="false" ht="1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481</v>
      </c>
      <c r="E23" s="34" t="s">
        <v>459</v>
      </c>
      <c r="F23" s="34" t="s">
        <v>459</v>
      </c>
      <c r="G23" s="31" t="s">
        <v>110</v>
      </c>
      <c r="H23" s="50" t="s">
        <v>461</v>
      </c>
      <c r="I23" s="42" t="s">
        <v>815</v>
      </c>
      <c r="J23" s="42"/>
      <c r="K23" s="45" t="n">
        <f aca="false">IF(AND(E23="yes",F23="yes",H23="covered"),1,IF(AND(E23="yes",H23="partial"),0.5,0))</f>
        <v>1</v>
      </c>
    </row>
    <row r="24" customFormat="false" ht="15" hidden="false" customHeight="true" outlineLevel="0" collapsed="false">
      <c r="A24" s="31" t="n">
        <v>16</v>
      </c>
      <c r="B24" s="42" t="s">
        <v>457</v>
      </c>
      <c r="C24" s="42" t="s">
        <v>476</v>
      </c>
      <c r="D24" s="42" t="s">
        <v>482</v>
      </c>
      <c r="E24" s="34" t="s">
        <v>459</v>
      </c>
      <c r="F24" s="34" t="s">
        <v>459</v>
      </c>
      <c r="G24" s="31" t="s">
        <v>110</v>
      </c>
      <c r="H24" s="50" t="s">
        <v>461</v>
      </c>
      <c r="I24" s="42" t="s">
        <v>816</v>
      </c>
      <c r="J24" s="42"/>
      <c r="K24" s="45" t="n">
        <f aca="false">IF(AND(E24="yes",F24="yes",H24="covered"),1,IF(AND(E24="yes",H24="partial"),0.5,0))</f>
        <v>1</v>
      </c>
    </row>
    <row r="25" customFormat="false" ht="30" hidden="false" customHeight="true" outlineLevel="0" collapsed="false">
      <c r="A25" s="31" t="n">
        <v>17</v>
      </c>
      <c r="B25" s="42" t="s">
        <v>774</v>
      </c>
      <c r="C25" s="42" t="s">
        <v>476</v>
      </c>
      <c r="D25" s="42" t="s">
        <v>775</v>
      </c>
      <c r="E25" s="34" t="s">
        <v>459</v>
      </c>
      <c r="F25" s="34" t="s">
        <v>459</v>
      </c>
      <c r="G25" s="31" t="s">
        <v>110</v>
      </c>
      <c r="H25" s="50" t="s">
        <v>461</v>
      </c>
      <c r="I25" s="42" t="s">
        <v>817</v>
      </c>
      <c r="J25" s="42"/>
      <c r="K25" s="45" t="n">
        <f aca="false">IF(AND(E25="yes",F25="yes",H25="covered"),1,IF(AND(E25="yes",H25="partial"),0.5,0))</f>
        <v>1</v>
      </c>
    </row>
    <row r="26" customFormat="false" ht="30" hidden="false" customHeight="true" outlineLevel="0" collapsed="false">
      <c r="A26" s="31" t="n">
        <v>18</v>
      </c>
      <c r="B26" s="42" t="s">
        <v>483</v>
      </c>
      <c r="C26" s="42" t="s">
        <v>476</v>
      </c>
      <c r="D26" s="42" t="s">
        <v>484</v>
      </c>
      <c r="E26" s="34" t="s">
        <v>459</v>
      </c>
      <c r="F26" s="34" t="s">
        <v>459</v>
      </c>
      <c r="G26" s="31" t="s">
        <v>110</v>
      </c>
      <c r="H26" s="50" t="s">
        <v>461</v>
      </c>
      <c r="I26" s="42" t="s">
        <v>818</v>
      </c>
      <c r="J26" s="42"/>
      <c r="K26" s="45" t="n">
        <f aca="false">IF(AND(E26="yes",F26="yes",H26="covered"),1,IF(AND(E26="yes",H26="partial"),0.5,0))</f>
        <v>1</v>
      </c>
    </row>
    <row r="27" customFormat="false" ht="30" hidden="false" customHeight="true" outlineLevel="0" collapsed="false">
      <c r="A27" s="31" t="n">
        <v>19</v>
      </c>
      <c r="B27" s="42" t="s">
        <v>483</v>
      </c>
      <c r="C27" s="42" t="s">
        <v>476</v>
      </c>
      <c r="D27" s="42" t="s">
        <v>485</v>
      </c>
      <c r="E27" s="34" t="s">
        <v>459</v>
      </c>
      <c r="F27" s="34" t="s">
        <v>459</v>
      </c>
      <c r="G27" s="31" t="s">
        <v>110</v>
      </c>
      <c r="H27" s="50" t="s">
        <v>461</v>
      </c>
      <c r="I27" s="42" t="s">
        <v>819</v>
      </c>
      <c r="J27" s="42"/>
      <c r="K27" s="45" t="n">
        <f aca="false">IF(AND(E27="yes",F27="yes",H27="covered"),1,IF(AND(E27="yes",H27="partial"),0.5,0))</f>
        <v>1</v>
      </c>
    </row>
    <row r="28" customFormat="false" ht="30" hidden="false" customHeight="true" outlineLevel="0" collapsed="false">
      <c r="A28" s="31" t="n">
        <v>20</v>
      </c>
      <c r="B28" s="42" t="s">
        <v>486</v>
      </c>
      <c r="C28" s="42" t="s">
        <v>476</v>
      </c>
      <c r="D28" s="42" t="s">
        <v>820</v>
      </c>
      <c r="E28" s="34" t="s">
        <v>459</v>
      </c>
      <c r="F28" s="34" t="s">
        <v>459</v>
      </c>
      <c r="G28" s="31" t="s">
        <v>110</v>
      </c>
      <c r="H28" s="50" t="s">
        <v>461</v>
      </c>
      <c r="I28" s="42" t="s">
        <v>821</v>
      </c>
      <c r="J28" s="42"/>
      <c r="K28" s="45" t="n">
        <f aca="false">IF(AND(E28="yes",F28="yes",H28="covered"),1,IF(AND(E28="yes",H28="partial"),0.5,0))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822</v>
      </c>
      <c r="E29" s="34" t="s">
        <v>459</v>
      </c>
      <c r="F29" s="34" t="s">
        <v>459</v>
      </c>
      <c r="G29" s="31" t="s">
        <v>110</v>
      </c>
      <c r="H29" s="50" t="s">
        <v>461</v>
      </c>
      <c r="I29" s="42" t="s">
        <v>823</v>
      </c>
      <c r="J29" s="42"/>
      <c r="K29" s="45" t="n">
        <f aca="false">IF(AND(E29="yes",F29="yes",H29="covered"),1,IF(AND(E29="yes",H29="partial"),0.5,0))</f>
        <v>1</v>
      </c>
    </row>
    <row r="30" customFormat="false" ht="30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495</v>
      </c>
      <c r="E30" s="34" t="s">
        <v>459</v>
      </c>
      <c r="F30" s="34" t="s">
        <v>459</v>
      </c>
      <c r="G30" s="31" t="s">
        <v>110</v>
      </c>
      <c r="H30" s="50" t="s">
        <v>461</v>
      </c>
      <c r="I30" s="42" t="s">
        <v>824</v>
      </c>
      <c r="J30" s="42"/>
      <c r="K30" s="45" t="n">
        <f aca="false">IF(AND(E30="yes",F30="yes",H30="covered"),1,IF(AND(E30="yes",H30="partial"),0.5,0))</f>
        <v>1</v>
      </c>
    </row>
    <row r="31" customFormat="false" ht="30" hidden="false" customHeight="true" outlineLevel="0" collapsed="false">
      <c r="A31" s="31" t="n">
        <v>23</v>
      </c>
      <c r="B31" s="42" t="s">
        <v>475</v>
      </c>
      <c r="C31" s="42" t="s">
        <v>825</v>
      </c>
      <c r="D31" s="42" t="s">
        <v>477</v>
      </c>
      <c r="E31" s="34" t="s">
        <v>459</v>
      </c>
      <c r="F31" s="34" t="s">
        <v>459</v>
      </c>
      <c r="G31" s="31" t="s">
        <v>110</v>
      </c>
      <c r="H31" s="50" t="s">
        <v>461</v>
      </c>
      <c r="I31" s="42" t="s">
        <v>826</v>
      </c>
      <c r="J31" s="42"/>
      <c r="K31" s="45" t="n">
        <f aca="false">IF(AND(E31="yes",F31="yes",H31="covered"),1,IF(AND(E31="yes",H31="partial"),0.5,0))</f>
        <v>1</v>
      </c>
    </row>
    <row r="32" customFormat="false" ht="15" hidden="false" customHeight="true" outlineLevel="0" collapsed="false">
      <c r="A32" s="31" t="n">
        <v>24</v>
      </c>
      <c r="B32" s="42" t="s">
        <v>475</v>
      </c>
      <c r="C32" s="42" t="s">
        <v>825</v>
      </c>
      <c r="D32" s="42" t="s">
        <v>478</v>
      </c>
      <c r="E32" s="34" t="s">
        <v>459</v>
      </c>
      <c r="F32" s="34" t="s">
        <v>459</v>
      </c>
      <c r="G32" s="31" t="s">
        <v>110</v>
      </c>
      <c r="H32" s="50" t="s">
        <v>461</v>
      </c>
      <c r="I32" s="42" t="s">
        <v>827</v>
      </c>
      <c r="J32" s="42"/>
      <c r="K32" s="45" t="n">
        <f aca="false">IF(AND(E32="yes",F32="yes",H32="covered"),1,IF(AND(E32="yes",H32="partial"),0.5,0))</f>
        <v>1</v>
      </c>
    </row>
    <row r="33" customFormat="false" ht="30" hidden="false" customHeight="true" outlineLevel="0" collapsed="false">
      <c r="A33" s="31" t="n">
        <v>25</v>
      </c>
      <c r="B33" s="42" t="s">
        <v>479</v>
      </c>
      <c r="C33" s="42" t="s">
        <v>825</v>
      </c>
      <c r="D33" s="42" t="s">
        <v>480</v>
      </c>
      <c r="E33" s="34" t="s">
        <v>459</v>
      </c>
      <c r="F33" s="34" t="s">
        <v>459</v>
      </c>
      <c r="G33" s="31" t="s">
        <v>110</v>
      </c>
      <c r="H33" s="50" t="s">
        <v>461</v>
      </c>
      <c r="I33" s="42" t="s">
        <v>828</v>
      </c>
      <c r="J33" s="42"/>
      <c r="K33" s="45" t="n">
        <f aca="false">IF(AND(E33="yes",F33="yes",H33="covered"),1,IF(AND(E33="yes",H33="partial"),0.5,0))</f>
        <v>1</v>
      </c>
    </row>
    <row r="34" customFormat="false" ht="15" hidden="false" customHeight="true" outlineLevel="0" collapsed="false">
      <c r="A34" s="31" t="n">
        <v>26</v>
      </c>
      <c r="B34" s="42" t="s">
        <v>479</v>
      </c>
      <c r="C34" s="42" t="s">
        <v>825</v>
      </c>
      <c r="D34" s="42" t="s">
        <v>481</v>
      </c>
      <c r="E34" s="34" t="s">
        <v>459</v>
      </c>
      <c r="F34" s="34" t="s">
        <v>459</v>
      </c>
      <c r="G34" s="31" t="s">
        <v>110</v>
      </c>
      <c r="H34" s="50" t="s">
        <v>461</v>
      </c>
      <c r="I34" s="42" t="s">
        <v>829</v>
      </c>
      <c r="J34" s="42"/>
      <c r="K34" s="45" t="n">
        <f aca="false">IF(AND(E34="yes",F34="yes",H34="covered"),1,IF(AND(E34="yes",H34="partial"),0.5,0))</f>
        <v>1</v>
      </c>
    </row>
    <row r="35" customFormat="false" ht="15" hidden="false" customHeight="true" outlineLevel="0" collapsed="false">
      <c r="A35" s="31" t="n">
        <v>27</v>
      </c>
      <c r="B35" s="42" t="s">
        <v>457</v>
      </c>
      <c r="C35" s="42" t="s">
        <v>825</v>
      </c>
      <c r="D35" s="42" t="s">
        <v>482</v>
      </c>
      <c r="E35" s="34" t="s">
        <v>459</v>
      </c>
      <c r="F35" s="34" t="s">
        <v>459</v>
      </c>
      <c r="G35" s="31" t="s">
        <v>110</v>
      </c>
      <c r="H35" s="50" t="s">
        <v>461</v>
      </c>
      <c r="I35" s="42" t="s">
        <v>830</v>
      </c>
      <c r="J35" s="42"/>
      <c r="K35" s="45" t="n">
        <f aca="false">IF(AND(E35="yes",F35="yes",H35="covered"),1,IF(AND(E35="yes",H35="partial"),0.5,0))</f>
        <v>1</v>
      </c>
    </row>
    <row r="36" customFormat="false" ht="30" hidden="false" customHeight="true" outlineLevel="0" collapsed="false">
      <c r="A36" s="31" t="n">
        <v>28</v>
      </c>
      <c r="B36" s="42" t="s">
        <v>774</v>
      </c>
      <c r="C36" s="42" t="s">
        <v>825</v>
      </c>
      <c r="D36" s="42" t="s">
        <v>775</v>
      </c>
      <c r="E36" s="34" t="s">
        <v>459</v>
      </c>
      <c r="F36" s="34" t="s">
        <v>459</v>
      </c>
      <c r="G36" s="31" t="s">
        <v>110</v>
      </c>
      <c r="H36" s="50" t="s">
        <v>461</v>
      </c>
      <c r="I36" s="42" t="s">
        <v>831</v>
      </c>
      <c r="J36" s="42"/>
      <c r="K36" s="45" t="n">
        <f aca="false">IF(AND(E36="yes",F36="yes",H36="covered"),1,IF(AND(E36="yes",H36="partial"),0.5,0))</f>
        <v>1</v>
      </c>
    </row>
    <row r="37" customFormat="false" ht="30" hidden="false" customHeight="true" outlineLevel="0" collapsed="false">
      <c r="A37" s="31" t="n">
        <v>29</v>
      </c>
      <c r="B37" s="42" t="s">
        <v>483</v>
      </c>
      <c r="C37" s="42" t="s">
        <v>825</v>
      </c>
      <c r="D37" s="42" t="s">
        <v>484</v>
      </c>
      <c r="E37" s="34" t="s">
        <v>459</v>
      </c>
      <c r="F37" s="34" t="s">
        <v>459</v>
      </c>
      <c r="G37" s="31" t="s">
        <v>110</v>
      </c>
      <c r="H37" s="50" t="s">
        <v>461</v>
      </c>
      <c r="I37" s="42" t="s">
        <v>832</v>
      </c>
      <c r="J37" s="42"/>
      <c r="K37" s="45" t="n">
        <f aca="false">IF(AND(E37="yes",F37="yes",H37="covered"),1,IF(AND(E37="yes",H37="partial"),0.5,0))</f>
        <v>1</v>
      </c>
    </row>
    <row r="38" customFormat="false" ht="30" hidden="false" customHeight="true" outlineLevel="0" collapsed="false">
      <c r="A38" s="31" t="n">
        <v>30</v>
      </c>
      <c r="B38" s="42" t="s">
        <v>483</v>
      </c>
      <c r="C38" s="42" t="s">
        <v>825</v>
      </c>
      <c r="D38" s="42" t="s">
        <v>485</v>
      </c>
      <c r="E38" s="34" t="s">
        <v>459</v>
      </c>
      <c r="F38" s="34" t="s">
        <v>459</v>
      </c>
      <c r="G38" s="31" t="s">
        <v>110</v>
      </c>
      <c r="H38" s="50" t="s">
        <v>461</v>
      </c>
      <c r="I38" s="42" t="s">
        <v>833</v>
      </c>
      <c r="J38" s="42"/>
      <c r="K38" s="45" t="n">
        <f aca="false">IF(AND(E38="yes",F38="yes",H38="covered"),1,IF(AND(E38="yes",H38="partial"),0.5,0))</f>
        <v>1</v>
      </c>
    </row>
    <row r="39" customFormat="false" ht="30" hidden="false" customHeight="true" outlineLevel="0" collapsed="false">
      <c r="A39" s="31" t="n">
        <v>31</v>
      </c>
      <c r="B39" s="42" t="s">
        <v>486</v>
      </c>
      <c r="C39" s="42" t="s">
        <v>825</v>
      </c>
      <c r="D39" s="42" t="s">
        <v>495</v>
      </c>
      <c r="E39" s="34" t="s">
        <v>459</v>
      </c>
      <c r="F39" s="34" t="s">
        <v>459</v>
      </c>
      <c r="G39" s="31" t="s">
        <v>110</v>
      </c>
      <c r="H39" s="50" t="s">
        <v>461</v>
      </c>
      <c r="I39" s="42" t="s">
        <v>834</v>
      </c>
      <c r="J39" s="42"/>
      <c r="K39" s="45" t="n">
        <f aca="false">IF(AND(E39="yes",F39="yes",H39="covered"),1,IF(AND(E39="yes",H39="partial"),0.5,0))</f>
        <v>1</v>
      </c>
    </row>
    <row r="40" customFormat="false" ht="30" hidden="false" customHeight="true" outlineLevel="0" collapsed="false">
      <c r="A40" s="31" t="n">
        <v>32</v>
      </c>
      <c r="B40" s="42" t="s">
        <v>475</v>
      </c>
      <c r="C40" s="42" t="s">
        <v>835</v>
      </c>
      <c r="D40" s="42" t="s">
        <v>477</v>
      </c>
      <c r="E40" s="34" t="s">
        <v>459</v>
      </c>
      <c r="F40" s="34" t="s">
        <v>459</v>
      </c>
      <c r="G40" s="31" t="s">
        <v>110</v>
      </c>
      <c r="H40" s="50" t="s">
        <v>461</v>
      </c>
      <c r="I40" s="42" t="s">
        <v>836</v>
      </c>
      <c r="J40" s="42"/>
      <c r="K40" s="45" t="n">
        <f aca="false">IF(AND(E40="yes",F40="yes",H40="covered"),1,IF(AND(E40="yes",H40="partial"),0.5,0))</f>
        <v>1</v>
      </c>
    </row>
    <row r="41" customFormat="false" ht="30" hidden="false" customHeight="true" outlineLevel="0" collapsed="false">
      <c r="A41" s="31" t="n">
        <v>33</v>
      </c>
      <c r="B41" s="42" t="s">
        <v>475</v>
      </c>
      <c r="C41" s="42" t="s">
        <v>835</v>
      </c>
      <c r="D41" s="42" t="s">
        <v>478</v>
      </c>
      <c r="E41" s="34" t="s">
        <v>459</v>
      </c>
      <c r="F41" s="34" t="s">
        <v>459</v>
      </c>
      <c r="G41" s="31" t="s">
        <v>110</v>
      </c>
      <c r="H41" s="50" t="s">
        <v>461</v>
      </c>
      <c r="I41" s="42" t="s">
        <v>837</v>
      </c>
      <c r="J41" s="42"/>
      <c r="K41" s="45" t="n">
        <f aca="false">IF(AND(E41="yes",F41="yes",H41="covered"),1,IF(AND(E41="yes",H41="partial"),0.5,0))</f>
        <v>1</v>
      </c>
    </row>
    <row r="42" customFormat="false" ht="30" hidden="false" customHeight="true" outlineLevel="0" collapsed="false">
      <c r="A42" s="31" t="n">
        <v>34</v>
      </c>
      <c r="B42" s="42" t="s">
        <v>479</v>
      </c>
      <c r="C42" s="42" t="s">
        <v>835</v>
      </c>
      <c r="D42" s="42" t="s">
        <v>480</v>
      </c>
      <c r="E42" s="34" t="s">
        <v>459</v>
      </c>
      <c r="F42" s="34" t="s">
        <v>459</v>
      </c>
      <c r="G42" s="31" t="s">
        <v>110</v>
      </c>
      <c r="H42" s="50" t="s">
        <v>461</v>
      </c>
      <c r="I42" s="42" t="s">
        <v>838</v>
      </c>
      <c r="J42" s="42"/>
      <c r="K42" s="45" t="n">
        <f aca="false">IF(AND(E42="yes",F42="yes",H42="covered"),1,IF(AND(E42="yes",H42="partial"),0.5,0))</f>
        <v>1</v>
      </c>
    </row>
    <row r="43" customFormat="false" ht="15" hidden="false" customHeight="true" outlineLevel="0" collapsed="false">
      <c r="A43" s="31" t="n">
        <v>35</v>
      </c>
      <c r="B43" s="42" t="s">
        <v>479</v>
      </c>
      <c r="C43" s="42" t="s">
        <v>835</v>
      </c>
      <c r="D43" s="42" t="s">
        <v>481</v>
      </c>
      <c r="E43" s="34" t="s">
        <v>459</v>
      </c>
      <c r="F43" s="34" t="s">
        <v>459</v>
      </c>
      <c r="G43" s="31" t="s">
        <v>110</v>
      </c>
      <c r="H43" s="50" t="s">
        <v>461</v>
      </c>
      <c r="I43" s="42" t="s">
        <v>839</v>
      </c>
      <c r="J43" s="42"/>
      <c r="K43" s="45" t="n">
        <f aca="false">IF(AND(E43="yes",F43="yes",H43="covered"),1,IF(AND(E43="yes",H43="partial"),0.5,0))</f>
        <v>1</v>
      </c>
    </row>
    <row r="44" customFormat="false" ht="15" hidden="false" customHeight="true" outlineLevel="0" collapsed="false">
      <c r="A44" s="31" t="n">
        <v>36</v>
      </c>
      <c r="B44" s="42" t="s">
        <v>457</v>
      </c>
      <c r="C44" s="42" t="s">
        <v>835</v>
      </c>
      <c r="D44" s="42" t="s">
        <v>482</v>
      </c>
      <c r="E44" s="34" t="s">
        <v>459</v>
      </c>
      <c r="F44" s="34" t="s">
        <v>459</v>
      </c>
      <c r="G44" s="31" t="s">
        <v>110</v>
      </c>
      <c r="H44" s="50" t="s">
        <v>461</v>
      </c>
      <c r="I44" s="42" t="s">
        <v>840</v>
      </c>
      <c r="J44" s="42"/>
      <c r="K44" s="45" t="n">
        <f aca="false">IF(AND(E44="yes",F44="yes",H44="covered"),1,IF(AND(E44="yes",H44="partial"),0.5,0))</f>
        <v>1</v>
      </c>
    </row>
    <row r="45" customFormat="false" ht="15" hidden="false" customHeight="true" outlineLevel="0" collapsed="false">
      <c r="A45" s="31" t="n">
        <v>37</v>
      </c>
      <c r="B45" s="42" t="s">
        <v>774</v>
      </c>
      <c r="C45" s="42" t="s">
        <v>835</v>
      </c>
      <c r="D45" s="42" t="s">
        <v>775</v>
      </c>
      <c r="E45" s="34" t="s">
        <v>459</v>
      </c>
      <c r="F45" s="34" t="s">
        <v>459</v>
      </c>
      <c r="G45" s="31" t="s">
        <v>110</v>
      </c>
      <c r="H45" s="50" t="s">
        <v>461</v>
      </c>
      <c r="I45" s="42" t="s">
        <v>841</v>
      </c>
      <c r="J45" s="42"/>
      <c r="K45" s="45" t="n">
        <f aca="false">IF(AND(E45="yes",F45="yes",H45="covered"),1,IF(AND(E45="yes",H45="partial"),0.5,0))</f>
        <v>1</v>
      </c>
    </row>
    <row r="46" customFormat="false" ht="30" hidden="false" customHeight="true" outlineLevel="0" collapsed="false">
      <c r="A46" s="31" t="n">
        <v>38</v>
      </c>
      <c r="B46" s="42" t="s">
        <v>483</v>
      </c>
      <c r="C46" s="42" t="s">
        <v>835</v>
      </c>
      <c r="D46" s="42" t="s">
        <v>484</v>
      </c>
      <c r="E46" s="34" t="s">
        <v>459</v>
      </c>
      <c r="F46" s="34" t="s">
        <v>459</v>
      </c>
      <c r="G46" s="31" t="s">
        <v>110</v>
      </c>
      <c r="H46" s="50" t="s">
        <v>461</v>
      </c>
      <c r="I46" s="42" t="s">
        <v>842</v>
      </c>
      <c r="J46" s="42"/>
      <c r="K46" s="45" t="n">
        <f aca="false">IF(AND(E46="yes",F46="yes",H46="covered"),1,IF(AND(E46="yes",H46="partial"),0.5,0))</f>
        <v>1</v>
      </c>
    </row>
    <row r="47" customFormat="false" ht="30" hidden="false" customHeight="true" outlineLevel="0" collapsed="false">
      <c r="A47" s="31" t="n">
        <v>39</v>
      </c>
      <c r="B47" s="42" t="s">
        <v>483</v>
      </c>
      <c r="C47" s="42" t="s">
        <v>835</v>
      </c>
      <c r="D47" s="42" t="s">
        <v>485</v>
      </c>
      <c r="E47" s="34" t="s">
        <v>459</v>
      </c>
      <c r="F47" s="34" t="s">
        <v>459</v>
      </c>
      <c r="G47" s="31" t="s">
        <v>110</v>
      </c>
      <c r="H47" s="50" t="s">
        <v>461</v>
      </c>
      <c r="I47" s="42" t="s">
        <v>843</v>
      </c>
      <c r="J47" s="42"/>
      <c r="K47" s="45" t="n">
        <f aca="false">IF(AND(E47="yes",F47="yes",H47="covered"),1,IF(AND(E47="yes",H47="partial"),0.5,0))</f>
        <v>1</v>
      </c>
    </row>
    <row r="48" customFormat="false" ht="30" hidden="false" customHeight="true" outlineLevel="0" collapsed="false">
      <c r="A48" s="31" t="n">
        <v>40</v>
      </c>
      <c r="B48" s="42" t="s">
        <v>486</v>
      </c>
      <c r="C48" s="42" t="s">
        <v>835</v>
      </c>
      <c r="D48" s="42" t="s">
        <v>844</v>
      </c>
      <c r="E48" s="34" t="s">
        <v>459</v>
      </c>
      <c r="F48" s="34" t="s">
        <v>459</v>
      </c>
      <c r="G48" s="31" t="s">
        <v>110</v>
      </c>
      <c r="H48" s="50" t="s">
        <v>461</v>
      </c>
      <c r="I48" s="42" t="s">
        <v>845</v>
      </c>
      <c r="J48" s="42"/>
      <c r="K48" s="45" t="n">
        <f aca="false">IF(AND(E48="yes",F48="yes",H48="covered"),1,IF(AND(E48="yes",H48="partial"),0.5,0))</f>
        <v>1</v>
      </c>
    </row>
    <row r="49" customFormat="false" ht="30" hidden="false" customHeight="true" outlineLevel="0" collapsed="false">
      <c r="A49" s="31" t="n">
        <v>41</v>
      </c>
      <c r="B49" s="42" t="s">
        <v>486</v>
      </c>
      <c r="C49" s="42" t="s">
        <v>835</v>
      </c>
      <c r="D49" s="42" t="s">
        <v>495</v>
      </c>
      <c r="E49" s="34" t="s">
        <v>459</v>
      </c>
      <c r="F49" s="34" t="s">
        <v>459</v>
      </c>
      <c r="G49" s="31" t="s">
        <v>110</v>
      </c>
      <c r="H49" s="50" t="s">
        <v>461</v>
      </c>
      <c r="I49" s="42" t="s">
        <v>846</v>
      </c>
      <c r="J49" s="42"/>
      <c r="K49" s="45" t="n">
        <f aca="false">IF(AND(E49="yes",F49="yes",H49="covered"),1,IF(AND(E49="yes",H49="partial"),0.5,0))</f>
        <v>1</v>
      </c>
    </row>
    <row r="50" customFormat="false" ht="15" hidden="false" customHeight="true" outlineLevel="0" collapsed="false">
      <c r="A50" s="31" t="n">
        <v>42</v>
      </c>
      <c r="B50" s="42" t="s">
        <v>475</v>
      </c>
      <c r="C50" s="42" t="s">
        <v>847</v>
      </c>
      <c r="D50" s="42" t="s">
        <v>477</v>
      </c>
      <c r="E50" s="34" t="s">
        <v>459</v>
      </c>
      <c r="F50" s="34" t="s">
        <v>459</v>
      </c>
      <c r="G50" s="31" t="s">
        <v>110</v>
      </c>
      <c r="H50" s="50" t="s">
        <v>461</v>
      </c>
      <c r="I50" s="42" t="s">
        <v>848</v>
      </c>
      <c r="J50" s="42"/>
      <c r="K50" s="45" t="n">
        <f aca="false">IF(AND(E50="yes",F50="yes",H50="covered"),1,IF(AND(E50="yes",H50="partial"),0.5,0))</f>
        <v>1</v>
      </c>
    </row>
    <row r="51" customFormat="false" ht="30" hidden="false" customHeight="true" outlineLevel="0" collapsed="false">
      <c r="A51" s="31" t="n">
        <v>43</v>
      </c>
      <c r="B51" s="42" t="s">
        <v>475</v>
      </c>
      <c r="C51" s="42" t="s">
        <v>847</v>
      </c>
      <c r="D51" s="42" t="s">
        <v>478</v>
      </c>
      <c r="E51" s="34" t="s">
        <v>459</v>
      </c>
      <c r="F51" s="34" t="s">
        <v>459</v>
      </c>
      <c r="G51" s="31" t="s">
        <v>110</v>
      </c>
      <c r="H51" s="50" t="s">
        <v>461</v>
      </c>
      <c r="I51" s="42" t="s">
        <v>849</v>
      </c>
      <c r="J51" s="42"/>
      <c r="K51" s="45" t="n">
        <f aca="false">IF(AND(E51="yes",F51="yes",H51="covered"),1,IF(AND(E51="yes",H51="partial"),0.5,0))</f>
        <v>1</v>
      </c>
    </row>
    <row r="52" customFormat="false" ht="30" hidden="false" customHeight="true" outlineLevel="0" collapsed="false">
      <c r="A52" s="31" t="n">
        <v>44</v>
      </c>
      <c r="B52" s="42" t="s">
        <v>479</v>
      </c>
      <c r="C52" s="42" t="s">
        <v>847</v>
      </c>
      <c r="D52" s="42" t="s">
        <v>480</v>
      </c>
      <c r="E52" s="34" t="s">
        <v>459</v>
      </c>
      <c r="F52" s="34" t="s">
        <v>459</v>
      </c>
      <c r="G52" s="31" t="s">
        <v>110</v>
      </c>
      <c r="H52" s="50" t="s">
        <v>461</v>
      </c>
      <c r="I52" s="42" t="s">
        <v>850</v>
      </c>
      <c r="J52" s="42"/>
      <c r="K52" s="45" t="n">
        <f aca="false">IF(AND(E52="yes",F52="yes",H52="covered"),1,IF(AND(E52="yes",H52="partial"),0.5,0))</f>
        <v>1</v>
      </c>
    </row>
    <row r="53" customFormat="false" ht="15" hidden="false" customHeight="true" outlineLevel="0" collapsed="false">
      <c r="A53" s="31" t="n">
        <v>45</v>
      </c>
      <c r="B53" s="42" t="s">
        <v>479</v>
      </c>
      <c r="C53" s="42" t="s">
        <v>847</v>
      </c>
      <c r="D53" s="42" t="s">
        <v>481</v>
      </c>
      <c r="E53" s="34" t="s">
        <v>459</v>
      </c>
      <c r="F53" s="34" t="s">
        <v>459</v>
      </c>
      <c r="G53" s="31" t="s">
        <v>110</v>
      </c>
      <c r="H53" s="50" t="s">
        <v>461</v>
      </c>
      <c r="I53" s="42" t="s">
        <v>851</v>
      </c>
      <c r="J53" s="42"/>
      <c r="K53" s="45" t="n">
        <f aca="false">IF(AND(E53="yes",F53="yes",H53="covered"),1,IF(AND(E53="yes",H53="partial"),0.5,0))</f>
        <v>1</v>
      </c>
    </row>
    <row r="54" customFormat="false" ht="30" hidden="false" customHeight="true" outlineLevel="0" collapsed="false">
      <c r="A54" s="31" t="n">
        <v>46</v>
      </c>
      <c r="B54" s="42" t="s">
        <v>457</v>
      </c>
      <c r="C54" s="42" t="s">
        <v>847</v>
      </c>
      <c r="D54" s="42" t="s">
        <v>482</v>
      </c>
      <c r="E54" s="34" t="s">
        <v>459</v>
      </c>
      <c r="F54" s="34" t="s">
        <v>459</v>
      </c>
      <c r="G54" s="31" t="s">
        <v>110</v>
      </c>
      <c r="H54" s="50" t="s">
        <v>461</v>
      </c>
      <c r="I54" s="42" t="s">
        <v>852</v>
      </c>
      <c r="J54" s="42"/>
      <c r="K54" s="45" t="n">
        <f aca="false">IF(AND(E54="yes",F54="yes",H54="covered"),1,IF(AND(E54="yes",H54="partial"),0.5,0))</f>
        <v>1</v>
      </c>
    </row>
    <row r="55" customFormat="false" ht="30" hidden="false" customHeight="true" outlineLevel="0" collapsed="false">
      <c r="A55" s="31" t="n">
        <v>47</v>
      </c>
      <c r="B55" s="42" t="s">
        <v>774</v>
      </c>
      <c r="C55" s="42" t="s">
        <v>847</v>
      </c>
      <c r="D55" s="42" t="s">
        <v>775</v>
      </c>
      <c r="E55" s="34" t="s">
        <v>459</v>
      </c>
      <c r="F55" s="34" t="s">
        <v>459</v>
      </c>
      <c r="G55" s="31" t="s">
        <v>110</v>
      </c>
      <c r="H55" s="50" t="s">
        <v>461</v>
      </c>
      <c r="I55" s="42" t="s">
        <v>853</v>
      </c>
      <c r="J55" s="42"/>
      <c r="K55" s="45" t="n">
        <f aca="false">IF(AND(E55="yes",F55="yes",H55="covered"),1,IF(AND(E55="yes",H55="partial"),0.5,0))</f>
        <v>1</v>
      </c>
    </row>
    <row r="56" customFormat="false" ht="30" hidden="false" customHeight="true" outlineLevel="0" collapsed="false">
      <c r="A56" s="31" t="n">
        <v>48</v>
      </c>
      <c r="B56" s="42" t="s">
        <v>483</v>
      </c>
      <c r="C56" s="42" t="s">
        <v>847</v>
      </c>
      <c r="D56" s="42" t="s">
        <v>484</v>
      </c>
      <c r="E56" s="34" t="s">
        <v>459</v>
      </c>
      <c r="F56" s="34" t="s">
        <v>459</v>
      </c>
      <c r="G56" s="31" t="s">
        <v>110</v>
      </c>
      <c r="H56" s="50" t="s">
        <v>461</v>
      </c>
      <c r="I56" s="42" t="s">
        <v>854</v>
      </c>
      <c r="J56" s="42"/>
      <c r="K56" s="45" t="n">
        <f aca="false">IF(AND(E56="yes",F56="yes",H56="covered"),1,IF(AND(E56="yes",H56="partial"),0.5,0))</f>
        <v>1</v>
      </c>
    </row>
    <row r="57" customFormat="false" ht="30" hidden="false" customHeight="true" outlineLevel="0" collapsed="false">
      <c r="A57" s="31" t="n">
        <v>49</v>
      </c>
      <c r="B57" s="42" t="s">
        <v>483</v>
      </c>
      <c r="C57" s="42" t="s">
        <v>847</v>
      </c>
      <c r="D57" s="42" t="s">
        <v>485</v>
      </c>
      <c r="E57" s="34" t="s">
        <v>459</v>
      </c>
      <c r="F57" s="34" t="s">
        <v>459</v>
      </c>
      <c r="G57" s="31" t="s">
        <v>110</v>
      </c>
      <c r="H57" s="50" t="s">
        <v>461</v>
      </c>
      <c r="I57" s="42" t="s">
        <v>855</v>
      </c>
      <c r="J57" s="42"/>
      <c r="K57" s="45" t="n">
        <f aca="false">IF(AND(E57="yes",F57="yes",H57="covered"),1,IF(AND(E57="yes",H57="partial"),0.5,0))</f>
        <v>1</v>
      </c>
    </row>
    <row r="58" customFormat="false" ht="30" hidden="false" customHeight="true" outlineLevel="0" collapsed="false">
      <c r="A58" s="31" t="n">
        <v>50</v>
      </c>
      <c r="B58" s="42" t="s">
        <v>486</v>
      </c>
      <c r="C58" s="42" t="s">
        <v>847</v>
      </c>
      <c r="D58" s="42" t="s">
        <v>820</v>
      </c>
      <c r="E58" s="34" t="s">
        <v>459</v>
      </c>
      <c r="F58" s="34" t="s">
        <v>459</v>
      </c>
      <c r="G58" s="31" t="s">
        <v>110</v>
      </c>
      <c r="H58" s="50" t="s">
        <v>461</v>
      </c>
      <c r="I58" s="42" t="s">
        <v>856</v>
      </c>
      <c r="J58" s="42"/>
      <c r="K58" s="45" t="n">
        <f aca="false">IF(AND(E58="yes",F58="yes",H58="covered"),1,IF(AND(E58="yes",H58="partial"),0.5,0))</f>
        <v>1</v>
      </c>
    </row>
    <row r="59" customFormat="false" ht="30" hidden="false" customHeight="true" outlineLevel="0" collapsed="false">
      <c r="A59" s="31" t="n">
        <v>51</v>
      </c>
      <c r="B59" s="42" t="s">
        <v>486</v>
      </c>
      <c r="C59" s="42" t="s">
        <v>847</v>
      </c>
      <c r="D59" s="42" t="s">
        <v>857</v>
      </c>
      <c r="E59" s="34" t="s">
        <v>459</v>
      </c>
      <c r="F59" s="34" t="s">
        <v>459</v>
      </c>
      <c r="G59" s="31" t="s">
        <v>110</v>
      </c>
      <c r="H59" s="50" t="s">
        <v>461</v>
      </c>
      <c r="I59" s="42" t="s">
        <v>858</v>
      </c>
      <c r="J59" s="42"/>
      <c r="K59" s="45" t="n">
        <f aca="false">IF(AND(E59="yes",F59="yes",H59="covered"),1,IF(AND(E59="yes",H59="partial"),0.5,0))</f>
        <v>1</v>
      </c>
    </row>
    <row r="60" customFormat="false" ht="30" hidden="false" customHeight="true" outlineLevel="0" collapsed="false">
      <c r="A60" s="31" t="n">
        <v>52</v>
      </c>
      <c r="B60" s="42" t="s">
        <v>486</v>
      </c>
      <c r="C60" s="42" t="s">
        <v>847</v>
      </c>
      <c r="D60" s="42" t="s">
        <v>495</v>
      </c>
      <c r="E60" s="34" t="s">
        <v>459</v>
      </c>
      <c r="F60" s="34" t="s">
        <v>459</v>
      </c>
      <c r="G60" s="31" t="s">
        <v>110</v>
      </c>
      <c r="H60" s="50" t="s">
        <v>461</v>
      </c>
      <c r="I60" s="42" t="s">
        <v>859</v>
      </c>
      <c r="J60" s="42"/>
      <c r="K60" s="45" t="n">
        <f aca="false">IF(AND(E60="yes",F60="yes",H60="covered"),1,IF(AND(E60="yes",H60="partial"),0.5,0))</f>
        <v>1</v>
      </c>
    </row>
    <row r="61" customFormat="false" ht="30" hidden="false" customHeight="true" outlineLevel="0" collapsed="false">
      <c r="A61" s="31" t="n">
        <v>53</v>
      </c>
      <c r="B61" s="42" t="s">
        <v>511</v>
      </c>
      <c r="C61" s="42" t="s">
        <v>506</v>
      </c>
      <c r="D61" s="42" t="s">
        <v>514</v>
      </c>
      <c r="E61" s="34" t="s">
        <v>459</v>
      </c>
      <c r="F61" s="34" t="s">
        <v>459</v>
      </c>
      <c r="G61" s="31" t="s">
        <v>110</v>
      </c>
      <c r="H61" s="50" t="s">
        <v>461</v>
      </c>
      <c r="I61" s="42" t="s">
        <v>860</v>
      </c>
      <c r="J61" s="42"/>
      <c r="K61" s="45" t="n">
        <f aca="false">IF(AND(E61="yes",F61="yes",H61="covered"),1,IF(AND(E61="yes",H61="partial"),0.5,0))</f>
        <v>1</v>
      </c>
    </row>
    <row r="62" customFormat="false" ht="30" hidden="false" customHeight="true" outlineLevel="0" collapsed="false">
      <c r="A62" s="31" t="n">
        <v>54</v>
      </c>
      <c r="B62" s="42" t="s">
        <v>483</v>
      </c>
      <c r="C62" s="42" t="s">
        <v>18</v>
      </c>
      <c r="D62" s="42" t="s">
        <v>516</v>
      </c>
      <c r="E62" s="34" t="s">
        <v>459</v>
      </c>
      <c r="F62" s="34" t="s">
        <v>459</v>
      </c>
      <c r="G62" s="31" t="s">
        <v>110</v>
      </c>
      <c r="H62" s="50" t="s">
        <v>461</v>
      </c>
      <c r="I62" s="42" t="s">
        <v>861</v>
      </c>
      <c r="J62" s="42"/>
      <c r="K62" s="45" t="n">
        <f aca="false">IF(AND(E62="yes",F62="yes",H62="covered"),1,IF(AND(E62="yes",H62="partial"),0.5,0))</f>
        <v>1</v>
      </c>
    </row>
    <row r="63" customFormat="false" ht="30" hidden="false" customHeight="true" outlineLevel="0" collapsed="false">
      <c r="A63" s="31" t="n">
        <v>55</v>
      </c>
      <c r="B63" s="42" t="s">
        <v>483</v>
      </c>
      <c r="C63" s="42" t="s">
        <v>18</v>
      </c>
      <c r="D63" s="42" t="s">
        <v>517</v>
      </c>
      <c r="E63" s="34" t="s">
        <v>459</v>
      </c>
      <c r="F63" s="34" t="s">
        <v>459</v>
      </c>
      <c r="G63" s="31" t="s">
        <v>110</v>
      </c>
      <c r="H63" s="50" t="s">
        <v>461</v>
      </c>
      <c r="I63" s="42" t="s">
        <v>862</v>
      </c>
      <c r="J63" s="42"/>
      <c r="K63" s="45" t="n">
        <f aca="false">IF(AND(E63="yes",F63="yes",H63="covered"),1,IF(AND(E63="yes",H63="partial"),0.5,0))</f>
        <v>1</v>
      </c>
    </row>
    <row r="64" customFormat="false" ht="30" hidden="false" customHeight="true" outlineLevel="0" collapsed="false">
      <c r="A64" s="31" t="n">
        <v>56</v>
      </c>
      <c r="B64" s="42" t="s">
        <v>483</v>
      </c>
      <c r="C64" s="42" t="s">
        <v>18</v>
      </c>
      <c r="D64" s="42" t="s">
        <v>519</v>
      </c>
      <c r="E64" s="34" t="s">
        <v>459</v>
      </c>
      <c r="F64" s="34" t="s">
        <v>459</v>
      </c>
      <c r="G64" s="31" t="s">
        <v>110</v>
      </c>
      <c r="H64" s="50" t="s">
        <v>461</v>
      </c>
      <c r="I64" s="42" t="s">
        <v>863</v>
      </c>
      <c r="J64" s="42"/>
      <c r="K64" s="45" t="n">
        <f aca="false">IF(AND(E64="yes",F64="yes",H64="covered"),1,IF(AND(E64="yes",H64="partial"),0.5,0))</f>
        <v>1</v>
      </c>
    </row>
    <row r="65" customFormat="false" ht="30" hidden="false" customHeight="true" outlineLevel="0" collapsed="false">
      <c r="A65" s="31" t="n">
        <v>57</v>
      </c>
      <c r="B65" s="42" t="s">
        <v>483</v>
      </c>
      <c r="C65" s="42" t="s">
        <v>18</v>
      </c>
      <c r="D65" s="42" t="s">
        <v>520</v>
      </c>
      <c r="E65" s="34" t="s">
        <v>459</v>
      </c>
      <c r="F65" s="34" t="s">
        <v>459</v>
      </c>
      <c r="G65" s="31" t="s">
        <v>110</v>
      </c>
      <c r="H65" s="50" t="s">
        <v>461</v>
      </c>
      <c r="I65" s="42" t="s">
        <v>864</v>
      </c>
      <c r="J65" s="42"/>
      <c r="K65" s="45" t="n">
        <f aca="false">IF(AND(E65="yes",F65="yes",H65="covered"),1,IF(AND(E65="yes",H65="partial"),0.5,0))</f>
        <v>1</v>
      </c>
    </row>
    <row r="66" customFormat="false" ht="30" hidden="false" customHeight="true" outlineLevel="0" collapsed="false">
      <c r="A66" s="31" t="n">
        <v>58</v>
      </c>
      <c r="B66" s="42" t="s">
        <v>488</v>
      </c>
      <c r="C66" s="42" t="s">
        <v>476</v>
      </c>
      <c r="D66" s="42" t="s">
        <v>523</v>
      </c>
      <c r="E66" s="34" t="s">
        <v>459</v>
      </c>
      <c r="F66" s="34" t="s">
        <v>459</v>
      </c>
      <c r="G66" s="31" t="s">
        <v>110</v>
      </c>
      <c r="H66" s="50" t="s">
        <v>461</v>
      </c>
      <c r="I66" s="42" t="s">
        <v>865</v>
      </c>
      <c r="J66" s="42"/>
      <c r="K66" s="45" t="n">
        <f aca="false">IF(AND(E66="yes",F66="yes",H66="covered"),1,IF(AND(E66="yes",H66="partial"),0.5,0))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866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IFERROR(SUM(K9:K33)/COUNTA(A9:A33),0)</f>
        <v>1</v>
      </c>
      <c r="C4" s="28" t="s">
        <v>8</v>
      </c>
      <c r="D4" s="40" t="n">
        <f aca="false">COUNTIF(H9:H33,"covered")</f>
        <v>25</v>
      </c>
      <c r="E4" s="28" t="s">
        <v>9</v>
      </c>
      <c r="F4" s="40" t="n">
        <f aca="false">COUNTIF(H9:H33,"partial")</f>
        <v>0</v>
      </c>
      <c r="G4" s="28" t="s">
        <v>10</v>
      </c>
      <c r="H4" s="40" t="n">
        <f aca="false">COUNTIF(H9:H33,"missing")</f>
        <v>0</v>
      </c>
      <c r="I4" s="28" t="s">
        <v>11</v>
      </c>
      <c r="J4" s="40" t="n">
        <f aca="false">COUNTIF(F9:F33,"no")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34" t="s">
        <v>459</v>
      </c>
      <c r="G9" s="31" t="s">
        <v>110</v>
      </c>
      <c r="H9" s="50" t="s">
        <v>461</v>
      </c>
      <c r="I9" s="42" t="s">
        <v>867</v>
      </c>
      <c r="J9" s="42"/>
      <c r="K9" s="45" t="n">
        <f aca="false">IF(AND(E9="yes",F9="yes",H9="covered"),1,IF(AND(E9="yes",H9="partial"),0.5,0))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34" t="s">
        <v>459</v>
      </c>
      <c r="G10" s="31" t="s">
        <v>110</v>
      </c>
      <c r="H10" s="50" t="s">
        <v>461</v>
      </c>
      <c r="I10" s="42" t="s">
        <v>867</v>
      </c>
      <c r="J10" s="42"/>
      <c r="K10" s="45" t="n">
        <f aca="false">IF(AND(E10="yes",F10="yes",H10="covered"),1,IF(AND(E10="yes",H10="partial"),0.5,0))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19</v>
      </c>
      <c r="D11" s="42" t="s">
        <v>464</v>
      </c>
      <c r="E11" s="34" t="s">
        <v>459</v>
      </c>
      <c r="F11" s="34" t="s">
        <v>459</v>
      </c>
      <c r="G11" s="31" t="s">
        <v>110</v>
      </c>
      <c r="H11" s="50" t="s">
        <v>461</v>
      </c>
      <c r="I11" s="42" t="s">
        <v>868</v>
      </c>
      <c r="J11" s="42"/>
      <c r="K11" s="45" t="n">
        <f aca="false">IF(AND(E11="yes",F11="yes",H11="covered"),1,IF(AND(E11="yes",H11="partial"),0.5,0))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19</v>
      </c>
      <c r="D12" s="42" t="s">
        <v>465</v>
      </c>
      <c r="E12" s="34" t="s">
        <v>459</v>
      </c>
      <c r="F12" s="34" t="s">
        <v>459</v>
      </c>
      <c r="G12" s="31" t="s">
        <v>110</v>
      </c>
      <c r="H12" s="50" t="s">
        <v>461</v>
      </c>
      <c r="I12" s="42" t="s">
        <v>868</v>
      </c>
      <c r="J12" s="42"/>
      <c r="K12" s="45" t="n">
        <f aca="false">IF(AND(E12="yes",F12="yes",H12="covered"),1,IF(AND(E12="yes",H12="partial"),0.5,0))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19</v>
      </c>
      <c r="D13" s="42" t="s">
        <v>466</v>
      </c>
      <c r="E13" s="34" t="s">
        <v>459</v>
      </c>
      <c r="F13" s="34" t="s">
        <v>459</v>
      </c>
      <c r="G13" s="31" t="s">
        <v>110</v>
      </c>
      <c r="H13" s="50" t="s">
        <v>461</v>
      </c>
      <c r="I13" s="42" t="s">
        <v>868</v>
      </c>
      <c r="J13" s="42"/>
      <c r="K13" s="45" t="n">
        <f aca="false">IF(AND(E13="yes",F13="yes",H13="covered"),1,IF(AND(E13="yes",H13="partial"),0.5,0))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19</v>
      </c>
      <c r="D14" s="42" t="s">
        <v>467</v>
      </c>
      <c r="E14" s="34" t="s">
        <v>459</v>
      </c>
      <c r="F14" s="34" t="s">
        <v>459</v>
      </c>
      <c r="G14" s="31" t="s">
        <v>110</v>
      </c>
      <c r="H14" s="50" t="s">
        <v>461</v>
      </c>
      <c r="I14" s="42" t="s">
        <v>868</v>
      </c>
      <c r="J14" s="42"/>
      <c r="K14" s="45" t="n">
        <f aca="false">IF(AND(E14="yes",F14="yes",H14="covered"),1,IF(AND(E14="yes",H14="partial"),0.5,0))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19</v>
      </c>
      <c r="D15" s="42" t="s">
        <v>869</v>
      </c>
      <c r="E15" s="34" t="s">
        <v>459</v>
      </c>
      <c r="F15" s="34" t="s">
        <v>459</v>
      </c>
      <c r="G15" s="31" t="s">
        <v>110</v>
      </c>
      <c r="H15" s="50" t="s">
        <v>461</v>
      </c>
      <c r="I15" s="42" t="s">
        <v>868</v>
      </c>
      <c r="J15" s="42"/>
      <c r="K15" s="45" t="n">
        <f aca="false">IF(AND(E15="yes",F15="yes",H15="covered"),1,IF(AND(E15="yes",H15="partial"),0.5,0))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19</v>
      </c>
      <c r="D16" s="42" t="s">
        <v>870</v>
      </c>
      <c r="E16" s="34" t="s">
        <v>459</v>
      </c>
      <c r="F16" s="34" t="s">
        <v>459</v>
      </c>
      <c r="G16" s="31" t="s">
        <v>110</v>
      </c>
      <c r="H16" s="50" t="s">
        <v>461</v>
      </c>
      <c r="I16" s="42" t="s">
        <v>868</v>
      </c>
      <c r="J16" s="42"/>
      <c r="K16" s="45" t="n">
        <f aca="false">IF(AND(E16="yes",F16="yes",H16="covered"),1,IF(AND(E16="yes",H16="partial"),0.5,0))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19</v>
      </c>
      <c r="D17" s="42" t="s">
        <v>871</v>
      </c>
      <c r="E17" s="34" t="s">
        <v>459</v>
      </c>
      <c r="F17" s="34" t="s">
        <v>459</v>
      </c>
      <c r="G17" s="31" t="s">
        <v>110</v>
      </c>
      <c r="H17" s="50" t="s">
        <v>461</v>
      </c>
      <c r="I17" s="42" t="s">
        <v>868</v>
      </c>
      <c r="J17" s="42"/>
      <c r="K17" s="45" t="n">
        <f aca="false">IF(AND(E17="yes",F17="yes",H17="covered"),1,IF(AND(E17="yes",H17="partial"),0.5,0))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19</v>
      </c>
      <c r="D18" s="42" t="s">
        <v>792</v>
      </c>
      <c r="E18" s="34" t="s">
        <v>459</v>
      </c>
      <c r="F18" s="34" t="s">
        <v>459</v>
      </c>
      <c r="G18" s="31" t="s">
        <v>110</v>
      </c>
      <c r="H18" s="50" t="s">
        <v>461</v>
      </c>
      <c r="I18" s="42" t="s">
        <v>868</v>
      </c>
      <c r="J18" s="42"/>
      <c r="K18" s="45" t="n">
        <f aca="false">IF(AND(E18="yes",F18="yes",H18="covered"),1,IF(AND(E18="yes",H18="partial"),0.5,0))</f>
        <v>1</v>
      </c>
    </row>
    <row r="19" customFormat="false" ht="15" hidden="false" customHeight="true" outlineLevel="0" collapsed="false">
      <c r="A19" s="31" t="n">
        <v>11</v>
      </c>
      <c r="B19" s="42" t="s">
        <v>475</v>
      </c>
      <c r="C19" s="42" t="s">
        <v>476</v>
      </c>
      <c r="D19" s="42" t="s">
        <v>477</v>
      </c>
      <c r="E19" s="34" t="s">
        <v>459</v>
      </c>
      <c r="F19" s="34" t="s">
        <v>459</v>
      </c>
      <c r="G19" s="31" t="s">
        <v>110</v>
      </c>
      <c r="H19" s="50" t="s">
        <v>461</v>
      </c>
      <c r="I19" s="42" t="s">
        <v>868</v>
      </c>
      <c r="J19" s="42"/>
      <c r="K19" s="45" t="n">
        <f aca="false">IF(AND(E19="yes",F19="yes",H19="covered"),1,IF(AND(E19="yes",H19="partial"),0.5,0))</f>
        <v>1</v>
      </c>
    </row>
    <row r="20" customFormat="false" ht="30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478</v>
      </c>
      <c r="E20" s="34" t="s">
        <v>459</v>
      </c>
      <c r="F20" s="34" t="s">
        <v>459</v>
      </c>
      <c r="G20" s="31" t="s">
        <v>110</v>
      </c>
      <c r="H20" s="50" t="s">
        <v>461</v>
      </c>
      <c r="I20" s="42" t="s">
        <v>868</v>
      </c>
      <c r="J20" s="42"/>
      <c r="K20" s="45" t="n">
        <f aca="false">IF(AND(E20="yes",F20="yes",H20="covered"),1,IF(AND(E20="yes",H20="partial"),0.5,0))</f>
        <v>1</v>
      </c>
    </row>
    <row r="21" customFormat="false" ht="30" hidden="false" customHeight="true" outlineLevel="0" collapsed="false">
      <c r="A21" s="31" t="n">
        <v>13</v>
      </c>
      <c r="B21" s="42" t="s">
        <v>479</v>
      </c>
      <c r="C21" s="42" t="s">
        <v>476</v>
      </c>
      <c r="D21" s="42" t="s">
        <v>480</v>
      </c>
      <c r="E21" s="34" t="s">
        <v>459</v>
      </c>
      <c r="F21" s="34" t="s">
        <v>459</v>
      </c>
      <c r="G21" s="31" t="s">
        <v>110</v>
      </c>
      <c r="H21" s="50" t="s">
        <v>461</v>
      </c>
      <c r="I21" s="42" t="s">
        <v>868</v>
      </c>
      <c r="J21" s="42"/>
      <c r="K21" s="45" t="n">
        <f aca="false">IF(AND(E21="yes",F21="yes",H21="covered"),1,IF(AND(E21="yes",H21="partial"),0.5,0))</f>
        <v>1</v>
      </c>
    </row>
    <row r="22" customFormat="false" ht="15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481</v>
      </c>
      <c r="E22" s="34" t="s">
        <v>459</v>
      </c>
      <c r="F22" s="34" t="s">
        <v>459</v>
      </c>
      <c r="G22" s="31" t="s">
        <v>110</v>
      </c>
      <c r="H22" s="50" t="s">
        <v>461</v>
      </c>
      <c r="I22" s="42" t="s">
        <v>872</v>
      </c>
      <c r="J22" s="42"/>
      <c r="K22" s="45" t="n">
        <f aca="false">IF(AND(E22="yes",F22="yes",H22="covered"),1,IF(AND(E22="yes",H22="partial"),0.5,0))</f>
        <v>1</v>
      </c>
    </row>
    <row r="23" customFormat="false" ht="30" hidden="false" customHeight="true" outlineLevel="0" collapsed="false">
      <c r="A23" s="31" t="n">
        <v>15</v>
      </c>
      <c r="B23" s="42" t="s">
        <v>457</v>
      </c>
      <c r="C23" s="42" t="s">
        <v>476</v>
      </c>
      <c r="D23" s="42" t="s">
        <v>482</v>
      </c>
      <c r="E23" s="34" t="s">
        <v>459</v>
      </c>
      <c r="F23" s="34" t="s">
        <v>459</v>
      </c>
      <c r="G23" s="31" t="s">
        <v>110</v>
      </c>
      <c r="H23" s="50" t="s">
        <v>461</v>
      </c>
      <c r="I23" s="42" t="s">
        <v>868</v>
      </c>
      <c r="J23" s="42"/>
      <c r="K23" s="45" t="n">
        <f aca="false">IF(AND(E23="yes",F23="yes",H23="covered"),1,IF(AND(E23="yes",H23="partial"),0.5,0))</f>
        <v>1</v>
      </c>
    </row>
    <row r="24" customFormat="false" ht="30" hidden="false" customHeight="true" outlineLevel="0" collapsed="false">
      <c r="A24" s="31" t="n">
        <v>16</v>
      </c>
      <c r="B24" s="42" t="s">
        <v>774</v>
      </c>
      <c r="C24" s="42" t="s">
        <v>476</v>
      </c>
      <c r="D24" s="42" t="s">
        <v>775</v>
      </c>
      <c r="E24" s="34" t="s">
        <v>459</v>
      </c>
      <c r="F24" s="34" t="s">
        <v>459</v>
      </c>
      <c r="G24" s="31" t="s">
        <v>110</v>
      </c>
      <c r="H24" s="50" t="s">
        <v>461</v>
      </c>
      <c r="I24" s="42" t="s">
        <v>868</v>
      </c>
      <c r="J24" s="42"/>
      <c r="K24" s="45" t="n">
        <f aca="false">IF(AND(E24="yes",F24="yes",H24="covered"),1,IF(AND(E24="yes",H24="partial"),0.5,0))</f>
        <v>1</v>
      </c>
    </row>
    <row r="25" customFormat="false" ht="30" hidden="false" customHeight="true" outlineLevel="0" collapsed="false">
      <c r="A25" s="31" t="n">
        <v>17</v>
      </c>
      <c r="B25" s="42" t="s">
        <v>483</v>
      </c>
      <c r="C25" s="42" t="s">
        <v>476</v>
      </c>
      <c r="D25" s="42" t="s">
        <v>484</v>
      </c>
      <c r="E25" s="34" t="s">
        <v>459</v>
      </c>
      <c r="F25" s="34" t="s">
        <v>459</v>
      </c>
      <c r="G25" s="31" t="s">
        <v>110</v>
      </c>
      <c r="H25" s="50" t="s">
        <v>461</v>
      </c>
      <c r="I25" s="42" t="s">
        <v>873</v>
      </c>
      <c r="J25" s="42"/>
      <c r="K25" s="45" t="n">
        <f aca="false">IF(AND(E25="yes",F25="yes",H25="covered"),1,IF(AND(E25="yes",H25="partial"),0.5,0))</f>
        <v>1</v>
      </c>
    </row>
    <row r="26" customFormat="false" ht="30" hidden="false" customHeight="true" outlineLevel="0" collapsed="false">
      <c r="A26" s="31" t="n">
        <v>18</v>
      </c>
      <c r="B26" s="42" t="s">
        <v>483</v>
      </c>
      <c r="C26" s="42" t="s">
        <v>476</v>
      </c>
      <c r="D26" s="42" t="s">
        <v>485</v>
      </c>
      <c r="E26" s="34" t="s">
        <v>459</v>
      </c>
      <c r="F26" s="34" t="s">
        <v>459</v>
      </c>
      <c r="G26" s="31" t="s">
        <v>110</v>
      </c>
      <c r="H26" s="50" t="s">
        <v>461</v>
      </c>
      <c r="I26" s="42" t="s">
        <v>873</v>
      </c>
      <c r="J26" s="42"/>
      <c r="K26" s="45" t="n">
        <f aca="false">IF(AND(E26="yes",F26="yes",H26="covered"),1,IF(AND(E26="yes",H26="partial"),0.5,0))</f>
        <v>1</v>
      </c>
    </row>
    <row r="27" customFormat="false" ht="30" hidden="false" customHeight="true" outlineLevel="0" collapsed="false">
      <c r="A27" s="31" t="n">
        <v>19</v>
      </c>
      <c r="B27" s="42" t="s">
        <v>486</v>
      </c>
      <c r="C27" s="42" t="s">
        <v>476</v>
      </c>
      <c r="D27" s="42" t="s">
        <v>495</v>
      </c>
      <c r="E27" s="34" t="s">
        <v>459</v>
      </c>
      <c r="F27" s="34" t="s">
        <v>459</v>
      </c>
      <c r="G27" s="31" t="s">
        <v>110</v>
      </c>
      <c r="H27" s="50" t="s">
        <v>461</v>
      </c>
      <c r="I27" s="42" t="s">
        <v>872</v>
      </c>
      <c r="J27" s="42"/>
      <c r="K27" s="45" t="n">
        <f aca="false">IF(AND(E27="yes",F27="yes",H27="covered"),1,IF(AND(E27="yes",H27="partial"),0.5,0))</f>
        <v>1</v>
      </c>
    </row>
    <row r="28" customFormat="false" ht="30" hidden="false" customHeight="true" outlineLevel="0" collapsed="false">
      <c r="A28" s="31" t="n">
        <v>20</v>
      </c>
      <c r="B28" s="42" t="s">
        <v>511</v>
      </c>
      <c r="C28" s="42" t="s">
        <v>506</v>
      </c>
      <c r="D28" s="42" t="s">
        <v>514</v>
      </c>
      <c r="E28" s="34" t="s">
        <v>459</v>
      </c>
      <c r="F28" s="34" t="s">
        <v>459</v>
      </c>
      <c r="G28" s="31" t="s">
        <v>110</v>
      </c>
      <c r="H28" s="50" t="s">
        <v>461</v>
      </c>
      <c r="I28" s="42" t="s">
        <v>872</v>
      </c>
      <c r="J28" s="42"/>
      <c r="K28" s="45" t="n">
        <f aca="false">IF(AND(E28="yes",F28="yes",H28="covered"),1,IF(AND(E28="yes",H28="partial"),0.5,0))</f>
        <v>1</v>
      </c>
    </row>
    <row r="29" customFormat="false" ht="30" hidden="false" customHeight="true" outlineLevel="0" collapsed="false">
      <c r="A29" s="31" t="n">
        <v>21</v>
      </c>
      <c r="B29" s="42" t="s">
        <v>483</v>
      </c>
      <c r="C29" s="42" t="s">
        <v>19</v>
      </c>
      <c r="D29" s="42" t="s">
        <v>516</v>
      </c>
      <c r="E29" s="34" t="s">
        <v>459</v>
      </c>
      <c r="F29" s="34" t="s">
        <v>459</v>
      </c>
      <c r="G29" s="31" t="s">
        <v>110</v>
      </c>
      <c r="H29" s="50" t="s">
        <v>461</v>
      </c>
      <c r="I29" s="42" t="s">
        <v>873</v>
      </c>
      <c r="J29" s="42"/>
      <c r="K29" s="45" t="n">
        <f aca="false">IF(AND(E29="yes",F29="yes",H29="covered"),1,IF(AND(E29="yes",H29="partial"),0.5,0))</f>
        <v>1</v>
      </c>
    </row>
    <row r="30" customFormat="false" ht="30" hidden="false" customHeight="true" outlineLevel="0" collapsed="false">
      <c r="A30" s="31" t="n">
        <v>22</v>
      </c>
      <c r="B30" s="42" t="s">
        <v>483</v>
      </c>
      <c r="C30" s="42" t="s">
        <v>19</v>
      </c>
      <c r="D30" s="42" t="s">
        <v>517</v>
      </c>
      <c r="E30" s="34" t="s">
        <v>459</v>
      </c>
      <c r="F30" s="34" t="s">
        <v>459</v>
      </c>
      <c r="G30" s="31" t="s">
        <v>110</v>
      </c>
      <c r="H30" s="50" t="s">
        <v>461</v>
      </c>
      <c r="I30" s="42" t="s">
        <v>873</v>
      </c>
      <c r="J30" s="42"/>
      <c r="K30" s="45" t="n">
        <f aca="false">IF(AND(E30="yes",F30="yes",H30="covered"),1,IF(AND(E30="yes",H30="partial"),0.5,0))</f>
        <v>1</v>
      </c>
    </row>
    <row r="31" customFormat="false" ht="30" hidden="false" customHeight="true" outlineLevel="0" collapsed="false">
      <c r="A31" s="31" t="n">
        <v>23</v>
      </c>
      <c r="B31" s="42" t="s">
        <v>483</v>
      </c>
      <c r="C31" s="42" t="s">
        <v>19</v>
      </c>
      <c r="D31" s="42" t="s">
        <v>518</v>
      </c>
      <c r="E31" s="34" t="s">
        <v>459</v>
      </c>
      <c r="F31" s="34" t="s">
        <v>459</v>
      </c>
      <c r="G31" s="31" t="s">
        <v>110</v>
      </c>
      <c r="H31" s="50" t="s">
        <v>461</v>
      </c>
      <c r="I31" s="42" t="s">
        <v>868</v>
      </c>
      <c r="J31" s="42"/>
      <c r="K31" s="45" t="n">
        <f aca="false">IF(AND(E31="yes",F31="yes",H31="covered"),1,IF(AND(E31="yes",H31="partial"),0.5,0))</f>
        <v>1</v>
      </c>
    </row>
    <row r="32" customFormat="false" ht="30" hidden="false" customHeight="true" outlineLevel="0" collapsed="false">
      <c r="A32" s="31" t="n">
        <v>24</v>
      </c>
      <c r="B32" s="42" t="s">
        <v>483</v>
      </c>
      <c r="C32" s="42" t="s">
        <v>19</v>
      </c>
      <c r="D32" s="42" t="s">
        <v>519</v>
      </c>
      <c r="E32" s="34" t="s">
        <v>459</v>
      </c>
      <c r="F32" s="34" t="s">
        <v>459</v>
      </c>
      <c r="G32" s="31" t="s">
        <v>110</v>
      </c>
      <c r="H32" s="50" t="s">
        <v>461</v>
      </c>
      <c r="I32" s="42" t="s">
        <v>873</v>
      </c>
      <c r="J32" s="42"/>
      <c r="K32" s="45" t="n">
        <f aca="false">IF(AND(E32="yes",F32="yes",H32="covered"),1,IF(AND(E32="yes",H32="partial"),0.5,0))</f>
        <v>1</v>
      </c>
    </row>
    <row r="33" customFormat="false" ht="30" hidden="false" customHeight="true" outlineLevel="0" collapsed="false">
      <c r="A33" s="31" t="n">
        <v>25</v>
      </c>
      <c r="B33" s="42" t="s">
        <v>483</v>
      </c>
      <c r="C33" s="42" t="s">
        <v>19</v>
      </c>
      <c r="D33" s="42" t="s">
        <v>520</v>
      </c>
      <c r="E33" s="34" t="s">
        <v>459</v>
      </c>
      <c r="F33" s="34" t="s">
        <v>459</v>
      </c>
      <c r="G33" s="31" t="s">
        <v>110</v>
      </c>
      <c r="H33" s="50" t="s">
        <v>461</v>
      </c>
      <c r="I33" s="42" t="s">
        <v>873</v>
      </c>
      <c r="J33" s="42"/>
      <c r="K33" s="45" t="n">
        <f aca="false">IF(AND(E33="yes",F33="yes",H33="covered"),1,IF(AND(E33="yes",H33="partial"),0.5,0))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874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61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460</v>
      </c>
      <c r="H9" s="44" t="s">
        <v>461</v>
      </c>
      <c r="I9" s="42" t="s">
        <v>875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460</v>
      </c>
      <c r="H10" s="44" t="s">
        <v>461</v>
      </c>
      <c r="I10" s="42" t="s">
        <v>875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20</v>
      </c>
      <c r="D11" s="42" t="s">
        <v>464</v>
      </c>
      <c r="E11" s="34" t="s">
        <v>459</v>
      </c>
      <c r="F11" s="43" t="s">
        <v>459</v>
      </c>
      <c r="G11" s="31" t="s">
        <v>460</v>
      </c>
      <c r="H11" s="44" t="s">
        <v>461</v>
      </c>
      <c r="I11" s="42" t="s">
        <v>875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20</v>
      </c>
      <c r="D12" s="42" t="s">
        <v>465</v>
      </c>
      <c r="E12" s="34" t="s">
        <v>459</v>
      </c>
      <c r="F12" s="43" t="s">
        <v>459</v>
      </c>
      <c r="G12" s="31" t="s">
        <v>460</v>
      </c>
      <c r="H12" s="44" t="s">
        <v>461</v>
      </c>
      <c r="I12" s="42" t="s">
        <v>875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20</v>
      </c>
      <c r="D13" s="42" t="s">
        <v>466</v>
      </c>
      <c r="E13" s="34" t="s">
        <v>459</v>
      </c>
      <c r="F13" s="43" t="s">
        <v>459</v>
      </c>
      <c r="G13" s="31" t="s">
        <v>460</v>
      </c>
      <c r="H13" s="44" t="s">
        <v>461</v>
      </c>
      <c r="I13" s="42" t="s">
        <v>875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20</v>
      </c>
      <c r="D14" s="42" t="s">
        <v>467</v>
      </c>
      <c r="E14" s="34" t="s">
        <v>459</v>
      </c>
      <c r="F14" s="43" t="s">
        <v>459</v>
      </c>
      <c r="G14" s="31" t="s">
        <v>460</v>
      </c>
      <c r="H14" s="44" t="s">
        <v>461</v>
      </c>
      <c r="I14" s="42" t="s">
        <v>875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20</v>
      </c>
      <c r="D15" s="42" t="s">
        <v>876</v>
      </c>
      <c r="E15" s="34" t="s">
        <v>459</v>
      </c>
      <c r="F15" s="43" t="s">
        <v>459</v>
      </c>
      <c r="G15" s="31" t="s">
        <v>460</v>
      </c>
      <c r="H15" s="44" t="s">
        <v>461</v>
      </c>
      <c r="I15" s="42" t="s">
        <v>875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20</v>
      </c>
      <c r="D16" s="42" t="s">
        <v>877</v>
      </c>
      <c r="E16" s="34" t="s">
        <v>459</v>
      </c>
      <c r="F16" s="43" t="s">
        <v>459</v>
      </c>
      <c r="G16" s="31" t="s">
        <v>460</v>
      </c>
      <c r="H16" s="44" t="s">
        <v>461</v>
      </c>
      <c r="I16" s="42" t="s">
        <v>875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20</v>
      </c>
      <c r="D17" s="42" t="s">
        <v>878</v>
      </c>
      <c r="E17" s="34" t="s">
        <v>459</v>
      </c>
      <c r="F17" s="43" t="s">
        <v>459</v>
      </c>
      <c r="G17" s="31" t="s">
        <v>460</v>
      </c>
      <c r="H17" s="44" t="s">
        <v>461</v>
      </c>
      <c r="I17" s="42" t="s">
        <v>875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20</v>
      </c>
      <c r="D18" s="42" t="s">
        <v>879</v>
      </c>
      <c r="E18" s="34" t="s">
        <v>459</v>
      </c>
      <c r="F18" s="43" t="s">
        <v>459</v>
      </c>
      <c r="G18" s="31" t="s">
        <v>460</v>
      </c>
      <c r="H18" s="44" t="s">
        <v>461</v>
      </c>
      <c r="I18" s="42" t="s">
        <v>875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20</v>
      </c>
      <c r="D19" s="42" t="s">
        <v>474</v>
      </c>
      <c r="E19" s="34" t="s">
        <v>459</v>
      </c>
      <c r="F19" s="43" t="s">
        <v>459</v>
      </c>
      <c r="G19" s="31" t="s">
        <v>460</v>
      </c>
      <c r="H19" s="44" t="s">
        <v>461</v>
      </c>
      <c r="I19" s="42" t="s">
        <v>875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477</v>
      </c>
      <c r="E20" s="34" t="s">
        <v>459</v>
      </c>
      <c r="F20" s="43" t="s">
        <v>459</v>
      </c>
      <c r="G20" s="31" t="s">
        <v>460</v>
      </c>
      <c r="H20" s="44" t="s">
        <v>461</v>
      </c>
      <c r="I20" s="42" t="s">
        <v>875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478</v>
      </c>
      <c r="E21" s="34" t="s">
        <v>459</v>
      </c>
      <c r="F21" s="43" t="s">
        <v>459</v>
      </c>
      <c r="G21" s="31" t="s">
        <v>460</v>
      </c>
      <c r="H21" s="44" t="s">
        <v>461</v>
      </c>
      <c r="I21" s="42" t="s">
        <v>875</v>
      </c>
      <c r="J21" s="42"/>
      <c r="K21" s="45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480</v>
      </c>
      <c r="E22" s="34" t="s">
        <v>459</v>
      </c>
      <c r="F22" s="43" t="s">
        <v>459</v>
      </c>
      <c r="G22" s="31" t="s">
        <v>460</v>
      </c>
      <c r="H22" s="44" t="s">
        <v>461</v>
      </c>
      <c r="I22" s="42" t="s">
        <v>875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481</v>
      </c>
      <c r="E23" s="34" t="s">
        <v>459</v>
      </c>
      <c r="F23" s="43" t="s">
        <v>459</v>
      </c>
      <c r="G23" s="31" t="s">
        <v>460</v>
      </c>
      <c r="H23" s="44" t="s">
        <v>461</v>
      </c>
      <c r="I23" s="42" t="s">
        <v>875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457</v>
      </c>
      <c r="C24" s="42" t="s">
        <v>476</v>
      </c>
      <c r="D24" s="42" t="s">
        <v>482</v>
      </c>
      <c r="E24" s="34" t="s">
        <v>459</v>
      </c>
      <c r="F24" s="43" t="s">
        <v>459</v>
      </c>
      <c r="G24" s="31" t="s">
        <v>460</v>
      </c>
      <c r="H24" s="44" t="s">
        <v>461</v>
      </c>
      <c r="I24" s="42" t="s">
        <v>875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774</v>
      </c>
      <c r="C25" s="42" t="s">
        <v>476</v>
      </c>
      <c r="D25" s="42" t="s">
        <v>775</v>
      </c>
      <c r="E25" s="34" t="s">
        <v>459</v>
      </c>
      <c r="F25" s="43" t="s">
        <v>459</v>
      </c>
      <c r="G25" s="31" t="s">
        <v>460</v>
      </c>
      <c r="H25" s="44" t="s">
        <v>461</v>
      </c>
      <c r="I25" s="42" t="s">
        <v>875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483</v>
      </c>
      <c r="C26" s="42" t="s">
        <v>476</v>
      </c>
      <c r="D26" s="42" t="s">
        <v>484</v>
      </c>
      <c r="E26" s="34" t="s">
        <v>459</v>
      </c>
      <c r="F26" s="43" t="s">
        <v>459</v>
      </c>
      <c r="G26" s="31" t="s">
        <v>460</v>
      </c>
      <c r="H26" s="44" t="s">
        <v>461</v>
      </c>
      <c r="I26" s="42" t="s">
        <v>875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483</v>
      </c>
      <c r="C27" s="42" t="s">
        <v>476</v>
      </c>
      <c r="D27" s="42" t="s">
        <v>485</v>
      </c>
      <c r="E27" s="34" t="s">
        <v>459</v>
      </c>
      <c r="F27" s="43" t="s">
        <v>459</v>
      </c>
      <c r="G27" s="31" t="s">
        <v>460</v>
      </c>
      <c r="H27" s="44" t="s">
        <v>461</v>
      </c>
      <c r="I27" s="42" t="s">
        <v>875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489</v>
      </c>
      <c r="E28" s="34" t="s">
        <v>459</v>
      </c>
      <c r="F28" s="43" t="s">
        <v>459</v>
      </c>
      <c r="G28" s="31" t="s">
        <v>460</v>
      </c>
      <c r="H28" s="44" t="s">
        <v>461</v>
      </c>
      <c r="I28" s="42" t="s">
        <v>875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490</v>
      </c>
      <c r="E29" s="34" t="s">
        <v>459</v>
      </c>
      <c r="F29" s="43" t="s">
        <v>459</v>
      </c>
      <c r="G29" s="31" t="s">
        <v>460</v>
      </c>
      <c r="H29" s="44" t="s">
        <v>461</v>
      </c>
      <c r="I29" s="42" t="s">
        <v>875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880</v>
      </c>
      <c r="E30" s="34" t="s">
        <v>459</v>
      </c>
      <c r="F30" s="43" t="s">
        <v>459</v>
      </c>
      <c r="G30" s="31" t="s">
        <v>460</v>
      </c>
      <c r="H30" s="44" t="s">
        <v>461</v>
      </c>
      <c r="I30" s="42" t="s">
        <v>875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881</v>
      </c>
      <c r="E31" s="34" t="s">
        <v>459</v>
      </c>
      <c r="F31" s="43" t="s">
        <v>459</v>
      </c>
      <c r="G31" s="31" t="s">
        <v>460</v>
      </c>
      <c r="H31" s="44" t="s">
        <v>461</v>
      </c>
      <c r="I31" s="42" t="s">
        <v>875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882</v>
      </c>
      <c r="C32" s="42" t="s">
        <v>476</v>
      </c>
      <c r="D32" s="42" t="s">
        <v>883</v>
      </c>
      <c r="E32" s="34" t="s">
        <v>459</v>
      </c>
      <c r="F32" s="43" t="s">
        <v>459</v>
      </c>
      <c r="G32" s="31" t="s">
        <v>460</v>
      </c>
      <c r="H32" s="44" t="s">
        <v>461</v>
      </c>
      <c r="I32" s="42" t="s">
        <v>875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495</v>
      </c>
      <c r="E33" s="34" t="s">
        <v>459</v>
      </c>
      <c r="F33" s="43" t="s">
        <v>459</v>
      </c>
      <c r="G33" s="31" t="s">
        <v>460</v>
      </c>
      <c r="H33" s="44" t="s">
        <v>461</v>
      </c>
      <c r="I33" s="42" t="s">
        <v>875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475</v>
      </c>
      <c r="C34" s="42" t="s">
        <v>502</v>
      </c>
      <c r="D34" s="42" t="s">
        <v>477</v>
      </c>
      <c r="E34" s="34" t="s">
        <v>459</v>
      </c>
      <c r="F34" s="43" t="s">
        <v>459</v>
      </c>
      <c r="G34" s="31" t="s">
        <v>460</v>
      </c>
      <c r="H34" s="44" t="s">
        <v>461</v>
      </c>
      <c r="I34" s="42" t="s">
        <v>875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475</v>
      </c>
      <c r="C35" s="42" t="s">
        <v>502</v>
      </c>
      <c r="D35" s="42" t="s">
        <v>478</v>
      </c>
      <c r="E35" s="34" t="s">
        <v>459</v>
      </c>
      <c r="F35" s="43" t="s">
        <v>459</v>
      </c>
      <c r="G35" s="31" t="s">
        <v>460</v>
      </c>
      <c r="H35" s="44" t="s">
        <v>461</v>
      </c>
      <c r="I35" s="42" t="s">
        <v>875</v>
      </c>
      <c r="J35" s="42"/>
      <c r="K35" s="45" t="n">
        <f aca="false">IF(AND(E35="yes",F35="yes",H35="covered"),1,IF(H35="partial",0.5,0))</f>
        <v>1</v>
      </c>
    </row>
    <row r="36" customFormat="false" ht="30" hidden="false" customHeight="true" outlineLevel="0" collapsed="false">
      <c r="A36" s="31" t="n">
        <v>28</v>
      </c>
      <c r="B36" s="42" t="s">
        <v>479</v>
      </c>
      <c r="C36" s="42" t="s">
        <v>502</v>
      </c>
      <c r="D36" s="42" t="s">
        <v>480</v>
      </c>
      <c r="E36" s="34" t="s">
        <v>459</v>
      </c>
      <c r="F36" s="43" t="s">
        <v>459</v>
      </c>
      <c r="G36" s="31" t="s">
        <v>460</v>
      </c>
      <c r="H36" s="44" t="s">
        <v>461</v>
      </c>
      <c r="I36" s="42" t="s">
        <v>875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479</v>
      </c>
      <c r="C37" s="42" t="s">
        <v>502</v>
      </c>
      <c r="D37" s="42" t="s">
        <v>481</v>
      </c>
      <c r="E37" s="34" t="s">
        <v>459</v>
      </c>
      <c r="F37" s="43" t="s">
        <v>459</v>
      </c>
      <c r="G37" s="31" t="s">
        <v>460</v>
      </c>
      <c r="H37" s="44" t="s">
        <v>461</v>
      </c>
      <c r="I37" s="42" t="s">
        <v>875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457</v>
      </c>
      <c r="C38" s="42" t="s">
        <v>502</v>
      </c>
      <c r="D38" s="42" t="s">
        <v>482</v>
      </c>
      <c r="E38" s="34" t="s">
        <v>459</v>
      </c>
      <c r="F38" s="43" t="s">
        <v>459</v>
      </c>
      <c r="G38" s="31" t="s">
        <v>460</v>
      </c>
      <c r="H38" s="44" t="s">
        <v>461</v>
      </c>
      <c r="I38" s="42" t="s">
        <v>875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774</v>
      </c>
      <c r="C39" s="42" t="s">
        <v>502</v>
      </c>
      <c r="D39" s="42" t="s">
        <v>775</v>
      </c>
      <c r="E39" s="34" t="s">
        <v>459</v>
      </c>
      <c r="F39" s="43" t="s">
        <v>459</v>
      </c>
      <c r="G39" s="31" t="s">
        <v>460</v>
      </c>
      <c r="H39" s="44" t="s">
        <v>461</v>
      </c>
      <c r="I39" s="42" t="s">
        <v>875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483</v>
      </c>
      <c r="C40" s="42" t="s">
        <v>502</v>
      </c>
      <c r="D40" s="42" t="s">
        <v>484</v>
      </c>
      <c r="E40" s="34" t="s">
        <v>459</v>
      </c>
      <c r="F40" s="43" t="s">
        <v>459</v>
      </c>
      <c r="G40" s="31" t="s">
        <v>460</v>
      </c>
      <c r="H40" s="44" t="s">
        <v>461</v>
      </c>
      <c r="I40" s="42" t="s">
        <v>875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483</v>
      </c>
      <c r="C41" s="42" t="s">
        <v>502</v>
      </c>
      <c r="D41" s="42" t="s">
        <v>485</v>
      </c>
      <c r="E41" s="34" t="s">
        <v>459</v>
      </c>
      <c r="F41" s="43" t="s">
        <v>459</v>
      </c>
      <c r="G41" s="31" t="s">
        <v>460</v>
      </c>
      <c r="H41" s="44" t="s">
        <v>461</v>
      </c>
      <c r="I41" s="42" t="s">
        <v>875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488</v>
      </c>
      <c r="C42" s="42" t="s">
        <v>502</v>
      </c>
      <c r="D42" s="42" t="s">
        <v>489</v>
      </c>
      <c r="E42" s="34" t="s">
        <v>459</v>
      </c>
      <c r="F42" s="43" t="s">
        <v>459</v>
      </c>
      <c r="G42" s="31" t="s">
        <v>460</v>
      </c>
      <c r="H42" s="44" t="s">
        <v>461</v>
      </c>
      <c r="I42" s="42" t="s">
        <v>875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486</v>
      </c>
      <c r="C43" s="42" t="s">
        <v>502</v>
      </c>
      <c r="D43" s="42" t="s">
        <v>884</v>
      </c>
      <c r="E43" s="34" t="s">
        <v>459</v>
      </c>
      <c r="F43" s="43" t="s">
        <v>459</v>
      </c>
      <c r="G43" s="31" t="s">
        <v>460</v>
      </c>
      <c r="H43" s="44" t="s">
        <v>461</v>
      </c>
      <c r="I43" s="42" t="s">
        <v>875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486</v>
      </c>
      <c r="C44" s="42" t="s">
        <v>502</v>
      </c>
      <c r="D44" s="42" t="s">
        <v>885</v>
      </c>
      <c r="E44" s="34" t="s">
        <v>459</v>
      </c>
      <c r="F44" s="43" t="s">
        <v>459</v>
      </c>
      <c r="G44" s="31" t="s">
        <v>460</v>
      </c>
      <c r="H44" s="44" t="s">
        <v>461</v>
      </c>
      <c r="I44" s="42" t="s">
        <v>875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486</v>
      </c>
      <c r="C45" s="42" t="s">
        <v>502</v>
      </c>
      <c r="D45" s="42" t="s">
        <v>886</v>
      </c>
      <c r="E45" s="34" t="s">
        <v>459</v>
      </c>
      <c r="F45" s="43" t="s">
        <v>459</v>
      </c>
      <c r="G45" s="31" t="s">
        <v>460</v>
      </c>
      <c r="H45" s="44" t="s">
        <v>461</v>
      </c>
      <c r="I45" s="42" t="s">
        <v>875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488</v>
      </c>
      <c r="C46" s="42" t="s">
        <v>502</v>
      </c>
      <c r="D46" s="42" t="s">
        <v>493</v>
      </c>
      <c r="E46" s="34" t="s">
        <v>459</v>
      </c>
      <c r="F46" s="43" t="s">
        <v>459</v>
      </c>
      <c r="G46" s="31" t="s">
        <v>460</v>
      </c>
      <c r="H46" s="44" t="s">
        <v>461</v>
      </c>
      <c r="I46" s="42" t="s">
        <v>875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486</v>
      </c>
      <c r="C47" s="42" t="s">
        <v>502</v>
      </c>
      <c r="D47" s="42" t="s">
        <v>495</v>
      </c>
      <c r="E47" s="34" t="s">
        <v>459</v>
      </c>
      <c r="F47" s="43" t="s">
        <v>459</v>
      </c>
      <c r="G47" s="31" t="s">
        <v>460</v>
      </c>
      <c r="H47" s="44" t="s">
        <v>461</v>
      </c>
      <c r="I47" s="42" t="s">
        <v>875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486</v>
      </c>
      <c r="C48" s="42" t="s">
        <v>502</v>
      </c>
      <c r="D48" s="42" t="s">
        <v>499</v>
      </c>
      <c r="E48" s="34" t="s">
        <v>459</v>
      </c>
      <c r="F48" s="43" t="s">
        <v>459</v>
      </c>
      <c r="G48" s="31" t="s">
        <v>460</v>
      </c>
      <c r="H48" s="44" t="s">
        <v>461</v>
      </c>
      <c r="I48" s="42" t="s">
        <v>875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488</v>
      </c>
      <c r="C49" s="42" t="s">
        <v>502</v>
      </c>
      <c r="D49" s="42" t="s">
        <v>887</v>
      </c>
      <c r="E49" s="34" t="s">
        <v>459</v>
      </c>
      <c r="F49" s="43" t="s">
        <v>459</v>
      </c>
      <c r="G49" s="31" t="s">
        <v>460</v>
      </c>
      <c r="H49" s="44" t="s">
        <v>461</v>
      </c>
      <c r="I49" s="42" t="s">
        <v>875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486</v>
      </c>
      <c r="C50" s="42" t="s">
        <v>502</v>
      </c>
      <c r="D50" s="42" t="s">
        <v>888</v>
      </c>
      <c r="E50" s="34" t="s">
        <v>459</v>
      </c>
      <c r="F50" s="43" t="s">
        <v>459</v>
      </c>
      <c r="G50" s="31" t="s">
        <v>460</v>
      </c>
      <c r="H50" s="44" t="s">
        <v>461</v>
      </c>
      <c r="I50" s="42" t="s">
        <v>875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488</v>
      </c>
      <c r="C51" s="42" t="s">
        <v>502</v>
      </c>
      <c r="D51" s="42" t="s">
        <v>497</v>
      </c>
      <c r="E51" s="34" t="s">
        <v>459</v>
      </c>
      <c r="F51" s="43" t="s">
        <v>459</v>
      </c>
      <c r="G51" s="31" t="s">
        <v>460</v>
      </c>
      <c r="H51" s="44" t="s">
        <v>461</v>
      </c>
      <c r="I51" s="42" t="s">
        <v>875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486</v>
      </c>
      <c r="C52" s="42" t="s">
        <v>502</v>
      </c>
      <c r="D52" s="42" t="s">
        <v>889</v>
      </c>
      <c r="E52" s="34" t="s">
        <v>459</v>
      </c>
      <c r="F52" s="43" t="s">
        <v>459</v>
      </c>
      <c r="G52" s="31" t="s">
        <v>460</v>
      </c>
      <c r="H52" s="44" t="s">
        <v>461</v>
      </c>
      <c r="I52" s="42" t="s">
        <v>875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505</v>
      </c>
      <c r="C53" s="42" t="s">
        <v>506</v>
      </c>
      <c r="D53" s="42" t="s">
        <v>890</v>
      </c>
      <c r="E53" s="34" t="s">
        <v>459</v>
      </c>
      <c r="F53" s="43" t="s">
        <v>459</v>
      </c>
      <c r="G53" s="31" t="s">
        <v>460</v>
      </c>
      <c r="H53" s="44" t="s">
        <v>461</v>
      </c>
      <c r="I53" s="42" t="s">
        <v>875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505</v>
      </c>
      <c r="C54" s="42" t="s">
        <v>506</v>
      </c>
      <c r="D54" s="42" t="s">
        <v>508</v>
      </c>
      <c r="E54" s="34" t="s">
        <v>459</v>
      </c>
      <c r="F54" s="43" t="s">
        <v>459</v>
      </c>
      <c r="G54" s="31" t="s">
        <v>460</v>
      </c>
      <c r="H54" s="44" t="s">
        <v>461</v>
      </c>
      <c r="I54" s="42" t="s">
        <v>875</v>
      </c>
      <c r="J54" s="42"/>
      <c r="K54" s="45" t="n">
        <f aca="false">IF(AND(E54="yes",F54="yes",H54="covered"),1,IF(H54="partial",0.5,0))</f>
        <v>1</v>
      </c>
    </row>
    <row r="55" customFormat="false" ht="30" hidden="false" customHeight="true" outlineLevel="0" collapsed="false">
      <c r="A55" s="31" t="n">
        <v>47</v>
      </c>
      <c r="B55" s="42" t="s">
        <v>505</v>
      </c>
      <c r="C55" s="42" t="s">
        <v>506</v>
      </c>
      <c r="D55" s="42" t="s">
        <v>783</v>
      </c>
      <c r="E55" s="34" t="s">
        <v>459</v>
      </c>
      <c r="F55" s="43" t="s">
        <v>459</v>
      </c>
      <c r="G55" s="31" t="s">
        <v>460</v>
      </c>
      <c r="H55" s="44" t="s">
        <v>461</v>
      </c>
      <c r="I55" s="42" t="s">
        <v>875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511</v>
      </c>
      <c r="C56" s="42" t="s">
        <v>506</v>
      </c>
      <c r="D56" s="42" t="s">
        <v>891</v>
      </c>
      <c r="E56" s="34" t="s">
        <v>459</v>
      </c>
      <c r="F56" s="43" t="s">
        <v>459</v>
      </c>
      <c r="G56" s="31" t="s">
        <v>460</v>
      </c>
      <c r="H56" s="44" t="s">
        <v>461</v>
      </c>
      <c r="I56" s="42" t="s">
        <v>875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511</v>
      </c>
      <c r="C57" s="42" t="s">
        <v>506</v>
      </c>
      <c r="D57" s="42" t="s">
        <v>512</v>
      </c>
      <c r="E57" s="34" t="s">
        <v>459</v>
      </c>
      <c r="F57" s="43" t="s">
        <v>459</v>
      </c>
      <c r="G57" s="31" t="s">
        <v>460</v>
      </c>
      <c r="H57" s="44" t="s">
        <v>461</v>
      </c>
      <c r="I57" s="42" t="s">
        <v>875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511</v>
      </c>
      <c r="C58" s="42" t="s">
        <v>506</v>
      </c>
      <c r="D58" s="42" t="s">
        <v>892</v>
      </c>
      <c r="E58" s="34" t="s">
        <v>459</v>
      </c>
      <c r="F58" s="43" t="s">
        <v>459</v>
      </c>
      <c r="G58" s="31" t="s">
        <v>460</v>
      </c>
      <c r="H58" s="44" t="s">
        <v>461</v>
      </c>
      <c r="I58" s="42" t="s">
        <v>875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511</v>
      </c>
      <c r="C59" s="42" t="s">
        <v>506</v>
      </c>
      <c r="D59" s="42" t="s">
        <v>514</v>
      </c>
      <c r="E59" s="34" t="s">
        <v>459</v>
      </c>
      <c r="F59" s="43" t="s">
        <v>459</v>
      </c>
      <c r="G59" s="31" t="s">
        <v>460</v>
      </c>
      <c r="H59" s="44" t="s">
        <v>461</v>
      </c>
      <c r="I59" s="42" t="s">
        <v>875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511</v>
      </c>
      <c r="C60" s="42" t="s">
        <v>506</v>
      </c>
      <c r="D60" s="42" t="s">
        <v>515</v>
      </c>
      <c r="E60" s="34" t="s">
        <v>459</v>
      </c>
      <c r="F60" s="43" t="s">
        <v>459</v>
      </c>
      <c r="G60" s="31" t="s">
        <v>460</v>
      </c>
      <c r="H60" s="44" t="s">
        <v>461</v>
      </c>
      <c r="I60" s="42" t="s">
        <v>875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511</v>
      </c>
      <c r="C61" s="42" t="s">
        <v>506</v>
      </c>
      <c r="D61" s="42" t="s">
        <v>893</v>
      </c>
      <c r="E61" s="34" t="s">
        <v>459</v>
      </c>
      <c r="F61" s="43" t="s">
        <v>459</v>
      </c>
      <c r="G61" s="31" t="s">
        <v>460</v>
      </c>
      <c r="H61" s="44" t="s">
        <v>461</v>
      </c>
      <c r="I61" s="42" t="s">
        <v>875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483</v>
      </c>
      <c r="C62" s="42" t="s">
        <v>20</v>
      </c>
      <c r="D62" s="42" t="s">
        <v>516</v>
      </c>
      <c r="E62" s="34" t="s">
        <v>459</v>
      </c>
      <c r="F62" s="43" t="s">
        <v>459</v>
      </c>
      <c r="G62" s="31" t="s">
        <v>460</v>
      </c>
      <c r="H62" s="44" t="s">
        <v>461</v>
      </c>
      <c r="I62" s="42" t="s">
        <v>875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483</v>
      </c>
      <c r="C63" s="42" t="s">
        <v>20</v>
      </c>
      <c r="D63" s="42" t="s">
        <v>517</v>
      </c>
      <c r="E63" s="34" t="s">
        <v>459</v>
      </c>
      <c r="F63" s="43" t="s">
        <v>459</v>
      </c>
      <c r="G63" s="31" t="s">
        <v>460</v>
      </c>
      <c r="H63" s="44" t="s">
        <v>461</v>
      </c>
      <c r="I63" s="42" t="s">
        <v>875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483</v>
      </c>
      <c r="C64" s="42" t="s">
        <v>20</v>
      </c>
      <c r="D64" s="42" t="s">
        <v>518</v>
      </c>
      <c r="E64" s="34" t="s">
        <v>459</v>
      </c>
      <c r="F64" s="43" t="s">
        <v>459</v>
      </c>
      <c r="G64" s="31" t="s">
        <v>460</v>
      </c>
      <c r="H64" s="44" t="s">
        <v>461</v>
      </c>
      <c r="I64" s="42" t="s">
        <v>875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483</v>
      </c>
      <c r="C65" s="42" t="s">
        <v>20</v>
      </c>
      <c r="D65" s="42" t="s">
        <v>519</v>
      </c>
      <c r="E65" s="34" t="s">
        <v>459</v>
      </c>
      <c r="F65" s="43" t="s">
        <v>459</v>
      </c>
      <c r="G65" s="31" t="s">
        <v>460</v>
      </c>
      <c r="H65" s="44" t="s">
        <v>461</v>
      </c>
      <c r="I65" s="42" t="s">
        <v>875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483</v>
      </c>
      <c r="C66" s="42" t="s">
        <v>20</v>
      </c>
      <c r="D66" s="42" t="s">
        <v>520</v>
      </c>
      <c r="E66" s="34" t="s">
        <v>459</v>
      </c>
      <c r="F66" s="43" t="s">
        <v>459</v>
      </c>
      <c r="G66" s="31" t="s">
        <v>460</v>
      </c>
      <c r="H66" s="44" t="s">
        <v>461</v>
      </c>
      <c r="I66" s="42" t="s">
        <v>875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488</v>
      </c>
      <c r="C67" s="42" t="s">
        <v>476</v>
      </c>
      <c r="D67" s="42" t="s">
        <v>521</v>
      </c>
      <c r="E67" s="34" t="s">
        <v>459</v>
      </c>
      <c r="F67" s="43" t="s">
        <v>459</v>
      </c>
      <c r="G67" s="31" t="s">
        <v>460</v>
      </c>
      <c r="H67" s="44" t="s">
        <v>461</v>
      </c>
      <c r="I67" s="42" t="s">
        <v>875</v>
      </c>
      <c r="J67" s="42"/>
      <c r="K67" s="45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31" t="n">
        <v>60</v>
      </c>
      <c r="B68" s="42" t="s">
        <v>488</v>
      </c>
      <c r="C68" s="42" t="s">
        <v>476</v>
      </c>
      <c r="D68" s="42" t="s">
        <v>522</v>
      </c>
      <c r="E68" s="34" t="s">
        <v>459</v>
      </c>
      <c r="F68" s="43" t="s">
        <v>459</v>
      </c>
      <c r="G68" s="31" t="s">
        <v>460</v>
      </c>
      <c r="H68" s="44" t="s">
        <v>461</v>
      </c>
      <c r="I68" s="42" t="s">
        <v>875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488</v>
      </c>
      <c r="C69" s="42" t="s">
        <v>476</v>
      </c>
      <c r="D69" s="42" t="s">
        <v>523</v>
      </c>
      <c r="E69" s="34" t="s">
        <v>459</v>
      </c>
      <c r="F69" s="43" t="s">
        <v>459</v>
      </c>
      <c r="G69" s="31" t="s">
        <v>460</v>
      </c>
      <c r="H69" s="44" t="s">
        <v>461</v>
      </c>
      <c r="I69" s="42" t="s">
        <v>875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894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83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895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895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21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895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21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895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21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895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21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895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21</v>
      </c>
      <c r="D15" s="42" t="s">
        <v>896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895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21</v>
      </c>
      <c r="D16" s="42" t="s">
        <v>897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895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21</v>
      </c>
      <c r="D17" s="42" t="s">
        <v>898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895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21</v>
      </c>
      <c r="D18" s="42" t="s">
        <v>899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895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21</v>
      </c>
      <c r="D19" s="42" t="s">
        <v>474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895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477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895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478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895</v>
      </c>
      <c r="J21" s="42"/>
      <c r="K21" s="45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480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895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481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895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457</v>
      </c>
      <c r="C24" s="42" t="s">
        <v>476</v>
      </c>
      <c r="D24" s="42" t="s">
        <v>482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895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774</v>
      </c>
      <c r="C25" s="42" t="s">
        <v>476</v>
      </c>
      <c r="D25" s="42" t="s">
        <v>775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895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483</v>
      </c>
      <c r="C26" s="42" t="s">
        <v>476</v>
      </c>
      <c r="D26" s="42" t="s">
        <v>484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895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483</v>
      </c>
      <c r="C27" s="42" t="s">
        <v>476</v>
      </c>
      <c r="D27" s="42" t="s">
        <v>485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895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882</v>
      </c>
      <c r="C28" s="42" t="s">
        <v>476</v>
      </c>
      <c r="D28" s="42" t="s">
        <v>900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895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486</v>
      </c>
      <c r="C29" s="42" t="s">
        <v>476</v>
      </c>
      <c r="D29" s="42" t="s">
        <v>495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895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475</v>
      </c>
      <c r="C30" s="42" t="s">
        <v>43</v>
      </c>
      <c r="D30" s="42" t="s">
        <v>477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895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475</v>
      </c>
      <c r="C31" s="42" t="s">
        <v>43</v>
      </c>
      <c r="D31" s="42" t="s">
        <v>478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895</v>
      </c>
      <c r="J31" s="42"/>
      <c r="K31" s="45" t="n">
        <f aca="false">IF(AND(E31="yes",F31="yes",H31="covered"),1,IF(H31="partial",0.5,0))</f>
        <v>1</v>
      </c>
    </row>
    <row r="32" customFormat="false" ht="30" hidden="false" customHeight="true" outlineLevel="0" collapsed="false">
      <c r="A32" s="31" t="n">
        <v>24</v>
      </c>
      <c r="B32" s="42" t="s">
        <v>479</v>
      </c>
      <c r="C32" s="42" t="s">
        <v>43</v>
      </c>
      <c r="D32" s="42" t="s">
        <v>480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895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479</v>
      </c>
      <c r="C33" s="42" t="s">
        <v>43</v>
      </c>
      <c r="D33" s="42" t="s">
        <v>481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895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457</v>
      </c>
      <c r="C34" s="42" t="s">
        <v>43</v>
      </c>
      <c r="D34" s="42" t="s">
        <v>482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895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774</v>
      </c>
      <c r="C35" s="42" t="s">
        <v>43</v>
      </c>
      <c r="D35" s="42" t="s">
        <v>775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895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483</v>
      </c>
      <c r="C36" s="42" t="s">
        <v>43</v>
      </c>
      <c r="D36" s="42" t="s">
        <v>484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895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483</v>
      </c>
      <c r="C37" s="42" t="s">
        <v>43</v>
      </c>
      <c r="D37" s="42" t="s">
        <v>485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895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43</v>
      </c>
      <c r="D38" s="42" t="s">
        <v>495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895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475</v>
      </c>
      <c r="C39" s="42" t="s">
        <v>502</v>
      </c>
      <c r="D39" s="42" t="s">
        <v>477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895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475</v>
      </c>
      <c r="C40" s="42" t="s">
        <v>502</v>
      </c>
      <c r="D40" s="42" t="s">
        <v>478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895</v>
      </c>
      <c r="J40" s="42"/>
      <c r="K40" s="45" t="n">
        <f aca="false">IF(AND(E40="yes",F40="yes",H40="covered"),1,IF(H40="partial",0.5,0))</f>
        <v>1</v>
      </c>
    </row>
    <row r="41" customFormat="false" ht="30" hidden="false" customHeight="true" outlineLevel="0" collapsed="false">
      <c r="A41" s="31" t="n">
        <v>33</v>
      </c>
      <c r="B41" s="42" t="s">
        <v>479</v>
      </c>
      <c r="C41" s="42" t="s">
        <v>502</v>
      </c>
      <c r="D41" s="42" t="s">
        <v>480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895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479</v>
      </c>
      <c r="C42" s="42" t="s">
        <v>502</v>
      </c>
      <c r="D42" s="42" t="s">
        <v>481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895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457</v>
      </c>
      <c r="C43" s="42" t="s">
        <v>502</v>
      </c>
      <c r="D43" s="42" t="s">
        <v>482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895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774</v>
      </c>
      <c r="C44" s="42" t="s">
        <v>502</v>
      </c>
      <c r="D44" s="42" t="s">
        <v>775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895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483</v>
      </c>
      <c r="C45" s="42" t="s">
        <v>502</v>
      </c>
      <c r="D45" s="42" t="s">
        <v>484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895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483</v>
      </c>
      <c r="C46" s="42" t="s">
        <v>502</v>
      </c>
      <c r="D46" s="42" t="s">
        <v>485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895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486</v>
      </c>
      <c r="C47" s="42" t="s">
        <v>502</v>
      </c>
      <c r="D47" s="42" t="s">
        <v>495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895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475</v>
      </c>
      <c r="C48" s="42" t="s">
        <v>901</v>
      </c>
      <c r="D48" s="42" t="s">
        <v>477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895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475</v>
      </c>
      <c r="C49" s="42" t="s">
        <v>901</v>
      </c>
      <c r="D49" s="42" t="s">
        <v>478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895</v>
      </c>
      <c r="J49" s="42"/>
      <c r="K49" s="45" t="n">
        <f aca="false">IF(AND(E49="yes",F49="yes",H49="covered"),1,IF(H49="partial",0.5,0))</f>
        <v>1</v>
      </c>
    </row>
    <row r="50" customFormat="false" ht="30" hidden="false" customHeight="true" outlineLevel="0" collapsed="false">
      <c r="A50" s="31" t="n">
        <v>42</v>
      </c>
      <c r="B50" s="42" t="s">
        <v>479</v>
      </c>
      <c r="C50" s="42" t="s">
        <v>901</v>
      </c>
      <c r="D50" s="42" t="s">
        <v>480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895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479</v>
      </c>
      <c r="C51" s="42" t="s">
        <v>901</v>
      </c>
      <c r="D51" s="42" t="s">
        <v>481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895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457</v>
      </c>
      <c r="C52" s="42" t="s">
        <v>901</v>
      </c>
      <c r="D52" s="42" t="s">
        <v>482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895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774</v>
      </c>
      <c r="C53" s="42" t="s">
        <v>901</v>
      </c>
      <c r="D53" s="42" t="s">
        <v>775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895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483</v>
      </c>
      <c r="C54" s="42" t="s">
        <v>901</v>
      </c>
      <c r="D54" s="42" t="s">
        <v>484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895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483</v>
      </c>
      <c r="C55" s="42" t="s">
        <v>901</v>
      </c>
      <c r="D55" s="42" t="s">
        <v>485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895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486</v>
      </c>
      <c r="C56" s="42" t="s">
        <v>901</v>
      </c>
      <c r="D56" s="42" t="s">
        <v>495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895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475</v>
      </c>
      <c r="C57" s="42" t="s">
        <v>902</v>
      </c>
      <c r="D57" s="42" t="s">
        <v>477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895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475</v>
      </c>
      <c r="C58" s="42" t="s">
        <v>902</v>
      </c>
      <c r="D58" s="42" t="s">
        <v>478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895</v>
      </c>
      <c r="J58" s="42"/>
      <c r="K58" s="45" t="n">
        <f aca="false">IF(AND(E58="yes",F58="yes",H58="covered"),1,IF(H58="partial",0.5,0))</f>
        <v>1</v>
      </c>
    </row>
    <row r="59" customFormat="false" ht="30" hidden="false" customHeight="true" outlineLevel="0" collapsed="false">
      <c r="A59" s="31" t="n">
        <v>51</v>
      </c>
      <c r="B59" s="42" t="s">
        <v>479</v>
      </c>
      <c r="C59" s="42" t="s">
        <v>902</v>
      </c>
      <c r="D59" s="42" t="s">
        <v>480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895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479</v>
      </c>
      <c r="C60" s="42" t="s">
        <v>902</v>
      </c>
      <c r="D60" s="42" t="s">
        <v>481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895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457</v>
      </c>
      <c r="C61" s="42" t="s">
        <v>902</v>
      </c>
      <c r="D61" s="42" t="s">
        <v>482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895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774</v>
      </c>
      <c r="C62" s="42" t="s">
        <v>902</v>
      </c>
      <c r="D62" s="42" t="s">
        <v>775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895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483</v>
      </c>
      <c r="C63" s="42" t="s">
        <v>902</v>
      </c>
      <c r="D63" s="42" t="s">
        <v>484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895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483</v>
      </c>
      <c r="C64" s="42" t="s">
        <v>902</v>
      </c>
      <c r="D64" s="42" t="s">
        <v>485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895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486</v>
      </c>
      <c r="C65" s="42" t="s">
        <v>902</v>
      </c>
      <c r="D65" s="42" t="s">
        <v>495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895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475</v>
      </c>
      <c r="C66" s="42" t="s">
        <v>903</v>
      </c>
      <c r="D66" s="42" t="s">
        <v>477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895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475</v>
      </c>
      <c r="C67" s="42" t="s">
        <v>903</v>
      </c>
      <c r="D67" s="42" t="s">
        <v>478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895</v>
      </c>
      <c r="J67" s="42"/>
      <c r="K67" s="45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31" t="n">
        <v>60</v>
      </c>
      <c r="B68" s="42" t="s">
        <v>479</v>
      </c>
      <c r="C68" s="42" t="s">
        <v>903</v>
      </c>
      <c r="D68" s="42" t="s">
        <v>480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895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479</v>
      </c>
      <c r="C69" s="42" t="s">
        <v>903</v>
      </c>
      <c r="D69" s="42" t="s">
        <v>481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895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457</v>
      </c>
      <c r="C70" s="42" t="s">
        <v>903</v>
      </c>
      <c r="D70" s="42" t="s">
        <v>482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895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774</v>
      </c>
      <c r="C71" s="42" t="s">
        <v>903</v>
      </c>
      <c r="D71" s="42" t="s">
        <v>775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895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483</v>
      </c>
      <c r="C72" s="42" t="s">
        <v>903</v>
      </c>
      <c r="D72" s="42" t="s">
        <v>484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895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483</v>
      </c>
      <c r="C73" s="42" t="s">
        <v>903</v>
      </c>
      <c r="D73" s="42" t="s">
        <v>485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895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486</v>
      </c>
      <c r="C74" s="42" t="s">
        <v>903</v>
      </c>
      <c r="D74" s="42" t="s">
        <v>495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895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475</v>
      </c>
      <c r="C75" s="42" t="s">
        <v>904</v>
      </c>
      <c r="D75" s="42" t="s">
        <v>477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895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475</v>
      </c>
      <c r="C76" s="42" t="s">
        <v>904</v>
      </c>
      <c r="D76" s="42" t="s">
        <v>478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895</v>
      </c>
      <c r="J76" s="42"/>
      <c r="K76" s="45" t="n">
        <f aca="false">IF(AND(E76="yes",F76="yes",H76="covered"),1,IF(H76="partial",0.5,0))</f>
        <v>1</v>
      </c>
    </row>
    <row r="77" customFormat="false" ht="30" hidden="false" customHeight="true" outlineLevel="0" collapsed="false">
      <c r="A77" s="31" t="n">
        <v>69</v>
      </c>
      <c r="B77" s="42" t="s">
        <v>479</v>
      </c>
      <c r="C77" s="42" t="s">
        <v>904</v>
      </c>
      <c r="D77" s="42" t="s">
        <v>480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895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479</v>
      </c>
      <c r="C78" s="42" t="s">
        <v>904</v>
      </c>
      <c r="D78" s="42" t="s">
        <v>481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895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457</v>
      </c>
      <c r="C79" s="42" t="s">
        <v>904</v>
      </c>
      <c r="D79" s="42" t="s">
        <v>482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895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774</v>
      </c>
      <c r="C80" s="42" t="s">
        <v>904</v>
      </c>
      <c r="D80" s="42" t="s">
        <v>775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895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483</v>
      </c>
      <c r="C81" s="42" t="s">
        <v>904</v>
      </c>
      <c r="D81" s="42" t="s">
        <v>484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895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483</v>
      </c>
      <c r="C82" s="42" t="s">
        <v>904</v>
      </c>
      <c r="D82" s="42" t="s">
        <v>485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895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486</v>
      </c>
      <c r="C83" s="42" t="s">
        <v>904</v>
      </c>
      <c r="D83" s="42" t="s">
        <v>495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895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505</v>
      </c>
      <c r="C84" s="42" t="s">
        <v>506</v>
      </c>
      <c r="D84" s="42" t="s">
        <v>890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895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505</v>
      </c>
      <c r="C85" s="42" t="s">
        <v>506</v>
      </c>
      <c r="D85" s="42" t="s">
        <v>905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895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505</v>
      </c>
      <c r="C86" s="42" t="s">
        <v>506</v>
      </c>
      <c r="D86" s="42" t="s">
        <v>783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895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511</v>
      </c>
      <c r="C87" s="42" t="s">
        <v>506</v>
      </c>
      <c r="D87" s="42" t="s">
        <v>514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895</v>
      </c>
      <c r="J87" s="42"/>
      <c r="K87" s="45" t="n">
        <f aca="false">IF(AND(E87="yes",F87="yes",H87="covered"),1,IF(H87="partial",0.5,0))</f>
        <v>1</v>
      </c>
    </row>
    <row r="88" customFormat="false" ht="30" hidden="false" customHeight="true" outlineLevel="0" collapsed="false">
      <c r="A88" s="31" t="n">
        <v>80</v>
      </c>
      <c r="B88" s="42" t="s">
        <v>483</v>
      </c>
      <c r="C88" s="42" t="s">
        <v>21</v>
      </c>
      <c r="D88" s="42" t="s">
        <v>516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895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483</v>
      </c>
      <c r="C89" s="42" t="s">
        <v>21</v>
      </c>
      <c r="D89" s="42" t="s">
        <v>517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895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483</v>
      </c>
      <c r="C90" s="42" t="s">
        <v>21</v>
      </c>
      <c r="D90" s="42" t="s">
        <v>519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895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483</v>
      </c>
      <c r="C91" s="42" t="s">
        <v>21</v>
      </c>
      <c r="D91" s="42" t="s">
        <v>520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895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906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46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51" t="n">
        <v>1</v>
      </c>
      <c r="B9" s="52" t="s">
        <v>456</v>
      </c>
      <c r="C9" s="52" t="s">
        <v>457</v>
      </c>
      <c r="D9" s="52" t="s">
        <v>458</v>
      </c>
      <c r="E9" s="51" t="s">
        <v>459</v>
      </c>
      <c r="F9" s="51" t="s">
        <v>459</v>
      </c>
      <c r="G9" s="51" t="s">
        <v>907</v>
      </c>
      <c r="H9" s="51" t="s">
        <v>461</v>
      </c>
      <c r="I9" s="52" t="s">
        <v>908</v>
      </c>
      <c r="J9" s="52"/>
      <c r="K9" s="53" t="n">
        <f aca="false">IF(AND(E9="yes",F9="yes",H9="covered"),1,IF(H9="partial",0.5,0))</f>
        <v>1</v>
      </c>
    </row>
    <row r="10" customFormat="false" ht="45" hidden="false" customHeight="true" outlineLevel="0" collapsed="false">
      <c r="A10" s="51" t="n">
        <v>2</v>
      </c>
      <c r="B10" s="52" t="s">
        <v>456</v>
      </c>
      <c r="C10" s="52" t="s">
        <v>457</v>
      </c>
      <c r="D10" s="52" t="s">
        <v>463</v>
      </c>
      <c r="E10" s="51" t="s">
        <v>459</v>
      </c>
      <c r="F10" s="51" t="s">
        <v>459</v>
      </c>
      <c r="G10" s="51" t="s">
        <v>907</v>
      </c>
      <c r="H10" s="51" t="s">
        <v>461</v>
      </c>
      <c r="I10" s="52" t="s">
        <v>908</v>
      </c>
      <c r="J10" s="52"/>
      <c r="K10" s="53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51" t="n">
        <v>3</v>
      </c>
      <c r="B11" s="52" t="s">
        <v>456</v>
      </c>
      <c r="C11" s="52" t="s">
        <v>22</v>
      </c>
      <c r="D11" s="52" t="s">
        <v>464</v>
      </c>
      <c r="E11" s="51" t="s">
        <v>459</v>
      </c>
      <c r="F11" s="51" t="s">
        <v>459</v>
      </c>
      <c r="G11" s="51" t="s">
        <v>907</v>
      </c>
      <c r="H11" s="51" t="s">
        <v>461</v>
      </c>
      <c r="I11" s="52" t="s">
        <v>908</v>
      </c>
      <c r="J11" s="52"/>
      <c r="K11" s="53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51" t="n">
        <v>4</v>
      </c>
      <c r="B12" s="52" t="s">
        <v>456</v>
      </c>
      <c r="C12" s="52" t="s">
        <v>22</v>
      </c>
      <c r="D12" s="52" t="s">
        <v>465</v>
      </c>
      <c r="E12" s="51" t="s">
        <v>459</v>
      </c>
      <c r="F12" s="51" t="s">
        <v>459</v>
      </c>
      <c r="G12" s="51" t="s">
        <v>907</v>
      </c>
      <c r="H12" s="51" t="s">
        <v>461</v>
      </c>
      <c r="I12" s="52" t="s">
        <v>908</v>
      </c>
      <c r="J12" s="52"/>
      <c r="K12" s="53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51" t="n">
        <v>5</v>
      </c>
      <c r="B13" s="52" t="s">
        <v>456</v>
      </c>
      <c r="C13" s="52" t="s">
        <v>22</v>
      </c>
      <c r="D13" s="52" t="s">
        <v>466</v>
      </c>
      <c r="E13" s="51" t="s">
        <v>459</v>
      </c>
      <c r="F13" s="51" t="s">
        <v>459</v>
      </c>
      <c r="G13" s="51" t="s">
        <v>907</v>
      </c>
      <c r="H13" s="51" t="s">
        <v>461</v>
      </c>
      <c r="I13" s="52" t="s">
        <v>908</v>
      </c>
      <c r="J13" s="52"/>
      <c r="K13" s="53" t="n">
        <f aca="false">IF(AND(E13="yes",F13="yes",H13="covered"),1,IF(H13="partial",0.5,0))</f>
        <v>1</v>
      </c>
    </row>
    <row r="14" customFormat="false" ht="30" hidden="false" customHeight="true" outlineLevel="0" collapsed="false">
      <c r="A14" s="51" t="n">
        <v>6</v>
      </c>
      <c r="B14" s="52" t="s">
        <v>456</v>
      </c>
      <c r="C14" s="52" t="s">
        <v>22</v>
      </c>
      <c r="D14" s="52" t="s">
        <v>467</v>
      </c>
      <c r="E14" s="51" t="s">
        <v>459</v>
      </c>
      <c r="F14" s="51" t="s">
        <v>459</v>
      </c>
      <c r="G14" s="51" t="s">
        <v>907</v>
      </c>
      <c r="H14" s="51" t="s">
        <v>461</v>
      </c>
      <c r="I14" s="52" t="s">
        <v>908</v>
      </c>
      <c r="J14" s="52"/>
      <c r="K14" s="53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51" t="n">
        <v>7</v>
      </c>
      <c r="B15" s="52" t="s">
        <v>468</v>
      </c>
      <c r="C15" s="52" t="s">
        <v>476</v>
      </c>
      <c r="D15" s="52" t="s">
        <v>909</v>
      </c>
      <c r="E15" s="51" t="s">
        <v>459</v>
      </c>
      <c r="F15" s="51" t="s">
        <v>459</v>
      </c>
      <c r="G15" s="51" t="s">
        <v>907</v>
      </c>
      <c r="H15" s="51" t="s">
        <v>461</v>
      </c>
      <c r="I15" s="52" t="s">
        <v>908</v>
      </c>
      <c r="J15" s="52"/>
      <c r="K15" s="53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51" t="n">
        <v>8</v>
      </c>
      <c r="B16" s="52" t="s">
        <v>468</v>
      </c>
      <c r="C16" s="52" t="s">
        <v>476</v>
      </c>
      <c r="D16" s="52" t="s">
        <v>910</v>
      </c>
      <c r="E16" s="51" t="s">
        <v>459</v>
      </c>
      <c r="F16" s="51" t="s">
        <v>459</v>
      </c>
      <c r="G16" s="51" t="s">
        <v>907</v>
      </c>
      <c r="H16" s="51" t="s">
        <v>461</v>
      </c>
      <c r="I16" s="52" t="s">
        <v>908</v>
      </c>
      <c r="J16" s="52"/>
      <c r="K16" s="53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51" t="n">
        <v>9</v>
      </c>
      <c r="B17" s="52" t="s">
        <v>468</v>
      </c>
      <c r="C17" s="52" t="s">
        <v>476</v>
      </c>
      <c r="D17" s="52" t="s">
        <v>911</v>
      </c>
      <c r="E17" s="51" t="s">
        <v>459</v>
      </c>
      <c r="F17" s="51" t="s">
        <v>459</v>
      </c>
      <c r="G17" s="51" t="s">
        <v>907</v>
      </c>
      <c r="H17" s="51" t="s">
        <v>461</v>
      </c>
      <c r="I17" s="52" t="s">
        <v>908</v>
      </c>
      <c r="J17" s="52"/>
      <c r="K17" s="53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51" t="n">
        <v>10</v>
      </c>
      <c r="B18" s="52" t="s">
        <v>468</v>
      </c>
      <c r="C18" s="52" t="s">
        <v>476</v>
      </c>
      <c r="D18" s="52" t="s">
        <v>912</v>
      </c>
      <c r="E18" s="51" t="s">
        <v>459</v>
      </c>
      <c r="F18" s="51" t="s">
        <v>459</v>
      </c>
      <c r="G18" s="51" t="s">
        <v>907</v>
      </c>
      <c r="H18" s="51" t="s">
        <v>461</v>
      </c>
      <c r="I18" s="52" t="s">
        <v>908</v>
      </c>
      <c r="J18" s="52"/>
      <c r="K18" s="53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51" t="n">
        <v>11</v>
      </c>
      <c r="B19" s="52" t="s">
        <v>468</v>
      </c>
      <c r="C19" s="52" t="s">
        <v>476</v>
      </c>
      <c r="D19" s="52" t="s">
        <v>913</v>
      </c>
      <c r="E19" s="51" t="s">
        <v>459</v>
      </c>
      <c r="F19" s="51" t="s">
        <v>459</v>
      </c>
      <c r="G19" s="51" t="s">
        <v>907</v>
      </c>
      <c r="H19" s="51" t="s">
        <v>461</v>
      </c>
      <c r="I19" s="52" t="s">
        <v>908</v>
      </c>
      <c r="J19" s="52"/>
      <c r="K19" s="53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51" t="n">
        <v>12</v>
      </c>
      <c r="B20" s="52" t="s">
        <v>468</v>
      </c>
      <c r="C20" s="52" t="s">
        <v>476</v>
      </c>
      <c r="D20" s="52" t="s">
        <v>914</v>
      </c>
      <c r="E20" s="51" t="s">
        <v>459</v>
      </c>
      <c r="F20" s="51" t="s">
        <v>459</v>
      </c>
      <c r="G20" s="51" t="s">
        <v>907</v>
      </c>
      <c r="H20" s="51" t="s">
        <v>461</v>
      </c>
      <c r="I20" s="52" t="s">
        <v>908</v>
      </c>
      <c r="J20" s="52"/>
      <c r="K20" s="53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51" t="n">
        <v>13</v>
      </c>
      <c r="B21" s="52" t="s">
        <v>468</v>
      </c>
      <c r="C21" s="52" t="s">
        <v>476</v>
      </c>
      <c r="D21" s="52" t="s">
        <v>915</v>
      </c>
      <c r="E21" s="51" t="s">
        <v>459</v>
      </c>
      <c r="F21" s="51" t="s">
        <v>459</v>
      </c>
      <c r="G21" s="51" t="s">
        <v>907</v>
      </c>
      <c r="H21" s="51" t="s">
        <v>461</v>
      </c>
      <c r="I21" s="52" t="s">
        <v>908</v>
      </c>
      <c r="J21" s="52"/>
      <c r="K21" s="53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51" t="n">
        <v>14</v>
      </c>
      <c r="B22" s="52" t="s">
        <v>468</v>
      </c>
      <c r="C22" s="52" t="s">
        <v>476</v>
      </c>
      <c r="D22" s="52" t="s">
        <v>916</v>
      </c>
      <c r="E22" s="51" t="s">
        <v>459</v>
      </c>
      <c r="F22" s="51" t="s">
        <v>459</v>
      </c>
      <c r="G22" s="51" t="s">
        <v>907</v>
      </c>
      <c r="H22" s="51" t="s">
        <v>461</v>
      </c>
      <c r="I22" s="52" t="s">
        <v>908</v>
      </c>
      <c r="J22" s="52"/>
      <c r="K22" s="53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51" t="n">
        <v>15</v>
      </c>
      <c r="B23" s="52" t="s">
        <v>475</v>
      </c>
      <c r="C23" s="52" t="s">
        <v>476</v>
      </c>
      <c r="D23" s="52" t="s">
        <v>477</v>
      </c>
      <c r="E23" s="51" t="s">
        <v>459</v>
      </c>
      <c r="F23" s="51" t="s">
        <v>459</v>
      </c>
      <c r="G23" s="51" t="s">
        <v>907</v>
      </c>
      <c r="H23" s="51" t="s">
        <v>461</v>
      </c>
      <c r="I23" s="52" t="s">
        <v>908</v>
      </c>
      <c r="J23" s="52"/>
      <c r="K23" s="53" t="n">
        <f aca="false">IF(AND(E23="yes",F23="yes",H23="covered"),1,IF(H23="partial",0.5,0))</f>
        <v>1</v>
      </c>
    </row>
    <row r="24" customFormat="false" ht="45" hidden="false" customHeight="true" outlineLevel="0" collapsed="false">
      <c r="A24" s="51" t="n">
        <v>16</v>
      </c>
      <c r="B24" s="52" t="s">
        <v>475</v>
      </c>
      <c r="C24" s="52" t="s">
        <v>476</v>
      </c>
      <c r="D24" s="52" t="s">
        <v>917</v>
      </c>
      <c r="E24" s="51" t="s">
        <v>459</v>
      </c>
      <c r="F24" s="51" t="s">
        <v>459</v>
      </c>
      <c r="G24" s="51" t="s">
        <v>907</v>
      </c>
      <c r="H24" s="51" t="s">
        <v>461</v>
      </c>
      <c r="I24" s="52" t="s">
        <v>908</v>
      </c>
      <c r="J24" s="52"/>
      <c r="K24" s="53" t="n">
        <f aca="false">IF(AND(E24="yes",F24="yes",H24="covered"),1,IF(H24="partial",0.5,0))</f>
        <v>1</v>
      </c>
    </row>
    <row r="25" customFormat="false" ht="30" hidden="false" customHeight="true" outlineLevel="0" collapsed="false">
      <c r="A25" s="51" t="n">
        <v>17</v>
      </c>
      <c r="B25" s="52" t="s">
        <v>479</v>
      </c>
      <c r="C25" s="52" t="s">
        <v>476</v>
      </c>
      <c r="D25" s="52" t="s">
        <v>583</v>
      </c>
      <c r="E25" s="51" t="s">
        <v>459</v>
      </c>
      <c r="F25" s="51" t="s">
        <v>459</v>
      </c>
      <c r="G25" s="51" t="s">
        <v>907</v>
      </c>
      <c r="H25" s="51" t="s">
        <v>461</v>
      </c>
      <c r="I25" s="52" t="s">
        <v>908</v>
      </c>
      <c r="J25" s="52"/>
      <c r="K25" s="53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51" t="n">
        <v>18</v>
      </c>
      <c r="B26" s="52" t="s">
        <v>479</v>
      </c>
      <c r="C26" s="52" t="s">
        <v>476</v>
      </c>
      <c r="D26" s="52" t="s">
        <v>918</v>
      </c>
      <c r="E26" s="51" t="s">
        <v>459</v>
      </c>
      <c r="F26" s="51" t="s">
        <v>459</v>
      </c>
      <c r="G26" s="51" t="s">
        <v>907</v>
      </c>
      <c r="H26" s="51" t="s">
        <v>461</v>
      </c>
      <c r="I26" s="52" t="s">
        <v>908</v>
      </c>
      <c r="J26" s="52"/>
      <c r="K26" s="53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51" t="n">
        <v>19</v>
      </c>
      <c r="B27" s="52" t="s">
        <v>479</v>
      </c>
      <c r="C27" s="52" t="s">
        <v>476</v>
      </c>
      <c r="D27" s="52" t="s">
        <v>919</v>
      </c>
      <c r="E27" s="51" t="s">
        <v>459</v>
      </c>
      <c r="F27" s="51" t="s">
        <v>459</v>
      </c>
      <c r="G27" s="51" t="s">
        <v>907</v>
      </c>
      <c r="H27" s="51" t="s">
        <v>461</v>
      </c>
      <c r="I27" s="52" t="s">
        <v>908</v>
      </c>
      <c r="J27" s="52"/>
      <c r="K27" s="53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51" t="n">
        <v>20</v>
      </c>
      <c r="B28" s="52" t="s">
        <v>479</v>
      </c>
      <c r="C28" s="52" t="s">
        <v>476</v>
      </c>
      <c r="D28" s="52" t="s">
        <v>920</v>
      </c>
      <c r="E28" s="51" t="s">
        <v>459</v>
      </c>
      <c r="F28" s="51" t="s">
        <v>459</v>
      </c>
      <c r="G28" s="51" t="s">
        <v>907</v>
      </c>
      <c r="H28" s="51" t="s">
        <v>461</v>
      </c>
      <c r="I28" s="52" t="s">
        <v>908</v>
      </c>
      <c r="J28" s="52"/>
      <c r="K28" s="53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51" t="n">
        <v>21</v>
      </c>
      <c r="B29" s="52" t="s">
        <v>479</v>
      </c>
      <c r="C29" s="52" t="s">
        <v>476</v>
      </c>
      <c r="D29" s="52" t="s">
        <v>921</v>
      </c>
      <c r="E29" s="51" t="s">
        <v>459</v>
      </c>
      <c r="F29" s="51" t="s">
        <v>459</v>
      </c>
      <c r="G29" s="51" t="s">
        <v>907</v>
      </c>
      <c r="H29" s="51" t="s">
        <v>461</v>
      </c>
      <c r="I29" s="52" t="s">
        <v>908</v>
      </c>
      <c r="J29" s="52"/>
      <c r="K29" s="53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51" t="n">
        <v>22</v>
      </c>
      <c r="B30" s="52" t="s">
        <v>457</v>
      </c>
      <c r="C30" s="52" t="s">
        <v>476</v>
      </c>
      <c r="D30" s="52" t="s">
        <v>482</v>
      </c>
      <c r="E30" s="51" t="s">
        <v>459</v>
      </c>
      <c r="F30" s="51" t="s">
        <v>459</v>
      </c>
      <c r="G30" s="51" t="s">
        <v>907</v>
      </c>
      <c r="H30" s="51" t="s">
        <v>461</v>
      </c>
      <c r="I30" s="52" t="s">
        <v>908</v>
      </c>
      <c r="J30" s="52"/>
      <c r="K30" s="53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51" t="n">
        <v>23</v>
      </c>
      <c r="B31" s="52" t="s">
        <v>486</v>
      </c>
      <c r="C31" s="52" t="s">
        <v>476</v>
      </c>
      <c r="D31" s="52" t="s">
        <v>884</v>
      </c>
      <c r="E31" s="51" t="s">
        <v>459</v>
      </c>
      <c r="F31" s="51" t="s">
        <v>459</v>
      </c>
      <c r="G31" s="51" t="s">
        <v>907</v>
      </c>
      <c r="H31" s="51" t="s">
        <v>461</v>
      </c>
      <c r="I31" s="52" t="s">
        <v>908</v>
      </c>
      <c r="J31" s="52"/>
      <c r="K31" s="53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51" t="n">
        <v>24</v>
      </c>
      <c r="B32" s="52" t="s">
        <v>486</v>
      </c>
      <c r="C32" s="52" t="s">
        <v>476</v>
      </c>
      <c r="D32" s="52" t="s">
        <v>885</v>
      </c>
      <c r="E32" s="51" t="s">
        <v>459</v>
      </c>
      <c r="F32" s="51" t="s">
        <v>459</v>
      </c>
      <c r="G32" s="51" t="s">
        <v>907</v>
      </c>
      <c r="H32" s="51" t="s">
        <v>461</v>
      </c>
      <c r="I32" s="52" t="s">
        <v>908</v>
      </c>
      <c r="J32" s="52"/>
      <c r="K32" s="53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51" t="n">
        <v>25</v>
      </c>
      <c r="B33" s="52" t="s">
        <v>486</v>
      </c>
      <c r="C33" s="52" t="s">
        <v>476</v>
      </c>
      <c r="D33" s="52" t="s">
        <v>886</v>
      </c>
      <c r="E33" s="51" t="s">
        <v>459</v>
      </c>
      <c r="F33" s="51" t="s">
        <v>459</v>
      </c>
      <c r="G33" s="51" t="s">
        <v>907</v>
      </c>
      <c r="H33" s="51" t="s">
        <v>461</v>
      </c>
      <c r="I33" s="52" t="s">
        <v>908</v>
      </c>
      <c r="J33" s="52"/>
      <c r="K33" s="53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51" t="n">
        <v>26</v>
      </c>
      <c r="B34" s="52" t="s">
        <v>486</v>
      </c>
      <c r="C34" s="52" t="s">
        <v>476</v>
      </c>
      <c r="D34" s="52" t="s">
        <v>487</v>
      </c>
      <c r="E34" s="51" t="s">
        <v>459</v>
      </c>
      <c r="F34" s="51" t="s">
        <v>459</v>
      </c>
      <c r="G34" s="51" t="s">
        <v>907</v>
      </c>
      <c r="H34" s="51" t="s">
        <v>461</v>
      </c>
      <c r="I34" s="52" t="s">
        <v>908</v>
      </c>
      <c r="J34" s="52"/>
      <c r="K34" s="53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51" t="n">
        <v>27</v>
      </c>
      <c r="B35" s="52" t="s">
        <v>486</v>
      </c>
      <c r="C35" s="52" t="s">
        <v>476</v>
      </c>
      <c r="D35" s="52" t="s">
        <v>493</v>
      </c>
      <c r="E35" s="51" t="s">
        <v>459</v>
      </c>
      <c r="F35" s="51" t="s">
        <v>459</v>
      </c>
      <c r="G35" s="51" t="s">
        <v>907</v>
      </c>
      <c r="H35" s="51" t="s">
        <v>461</v>
      </c>
      <c r="I35" s="52" t="s">
        <v>908</v>
      </c>
      <c r="J35" s="52"/>
      <c r="K35" s="53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51" t="n">
        <v>28</v>
      </c>
      <c r="B36" s="52" t="s">
        <v>486</v>
      </c>
      <c r="C36" s="52" t="s">
        <v>476</v>
      </c>
      <c r="D36" s="52" t="s">
        <v>922</v>
      </c>
      <c r="E36" s="51" t="s">
        <v>459</v>
      </c>
      <c r="F36" s="51" t="s">
        <v>459</v>
      </c>
      <c r="G36" s="51" t="s">
        <v>907</v>
      </c>
      <c r="H36" s="51" t="s">
        <v>461</v>
      </c>
      <c r="I36" s="52" t="s">
        <v>908</v>
      </c>
      <c r="J36" s="52"/>
      <c r="K36" s="53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51" t="n">
        <v>29</v>
      </c>
      <c r="B37" s="52" t="s">
        <v>486</v>
      </c>
      <c r="C37" s="52" t="s">
        <v>476</v>
      </c>
      <c r="D37" s="52" t="s">
        <v>923</v>
      </c>
      <c r="E37" s="51" t="s">
        <v>459</v>
      </c>
      <c r="F37" s="51" t="s">
        <v>459</v>
      </c>
      <c r="G37" s="51" t="s">
        <v>907</v>
      </c>
      <c r="H37" s="51" t="s">
        <v>461</v>
      </c>
      <c r="I37" s="52" t="s">
        <v>908</v>
      </c>
      <c r="J37" s="52"/>
      <c r="K37" s="53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51" t="n">
        <v>30</v>
      </c>
      <c r="B38" s="52" t="s">
        <v>486</v>
      </c>
      <c r="C38" s="52" t="s">
        <v>476</v>
      </c>
      <c r="D38" s="52" t="s">
        <v>924</v>
      </c>
      <c r="E38" s="51" t="s">
        <v>459</v>
      </c>
      <c r="F38" s="51" t="s">
        <v>459</v>
      </c>
      <c r="G38" s="51" t="s">
        <v>907</v>
      </c>
      <c r="H38" s="51" t="s">
        <v>461</v>
      </c>
      <c r="I38" s="52" t="s">
        <v>908</v>
      </c>
      <c r="J38" s="52"/>
      <c r="K38" s="53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51" t="n">
        <v>31</v>
      </c>
      <c r="B39" s="52" t="s">
        <v>483</v>
      </c>
      <c r="C39" s="52" t="s">
        <v>476</v>
      </c>
      <c r="D39" s="52" t="s">
        <v>484</v>
      </c>
      <c r="E39" s="51" t="s">
        <v>459</v>
      </c>
      <c r="F39" s="51" t="s">
        <v>459</v>
      </c>
      <c r="G39" s="51" t="s">
        <v>907</v>
      </c>
      <c r="H39" s="51" t="s">
        <v>461</v>
      </c>
      <c r="I39" s="52" t="s">
        <v>908</v>
      </c>
      <c r="J39" s="52"/>
      <c r="K39" s="53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51" t="n">
        <v>32</v>
      </c>
      <c r="B40" s="52" t="s">
        <v>483</v>
      </c>
      <c r="C40" s="52" t="s">
        <v>476</v>
      </c>
      <c r="D40" s="52" t="s">
        <v>485</v>
      </c>
      <c r="E40" s="51" t="s">
        <v>459</v>
      </c>
      <c r="F40" s="51" t="s">
        <v>459</v>
      </c>
      <c r="G40" s="51" t="s">
        <v>907</v>
      </c>
      <c r="H40" s="51" t="s">
        <v>461</v>
      </c>
      <c r="I40" s="52" t="s">
        <v>908</v>
      </c>
      <c r="J40" s="52"/>
      <c r="K40" s="53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51" t="n">
        <v>33</v>
      </c>
      <c r="B41" s="52" t="s">
        <v>483</v>
      </c>
      <c r="C41" s="52" t="s">
        <v>476</v>
      </c>
      <c r="D41" s="52" t="s">
        <v>516</v>
      </c>
      <c r="E41" s="51" t="s">
        <v>459</v>
      </c>
      <c r="F41" s="51" t="s">
        <v>459</v>
      </c>
      <c r="G41" s="51" t="s">
        <v>907</v>
      </c>
      <c r="H41" s="51" t="s">
        <v>461</v>
      </c>
      <c r="I41" s="52" t="s">
        <v>908</v>
      </c>
      <c r="J41" s="52"/>
      <c r="K41" s="53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51" t="n">
        <v>34</v>
      </c>
      <c r="B42" s="52" t="s">
        <v>483</v>
      </c>
      <c r="C42" s="52" t="s">
        <v>476</v>
      </c>
      <c r="D42" s="52" t="s">
        <v>517</v>
      </c>
      <c r="E42" s="51" t="s">
        <v>459</v>
      </c>
      <c r="F42" s="51" t="s">
        <v>459</v>
      </c>
      <c r="G42" s="51" t="s">
        <v>907</v>
      </c>
      <c r="H42" s="51" t="s">
        <v>461</v>
      </c>
      <c r="I42" s="52" t="s">
        <v>908</v>
      </c>
      <c r="J42" s="52"/>
      <c r="K42" s="53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51" t="n">
        <v>35</v>
      </c>
      <c r="B43" s="52" t="s">
        <v>483</v>
      </c>
      <c r="C43" s="52" t="s">
        <v>476</v>
      </c>
      <c r="D43" s="52" t="s">
        <v>520</v>
      </c>
      <c r="E43" s="51" t="s">
        <v>459</v>
      </c>
      <c r="F43" s="51" t="s">
        <v>459</v>
      </c>
      <c r="G43" s="51" t="s">
        <v>907</v>
      </c>
      <c r="H43" s="51" t="s">
        <v>461</v>
      </c>
      <c r="I43" s="52" t="s">
        <v>908</v>
      </c>
      <c r="J43" s="52"/>
      <c r="K43" s="53" t="n">
        <f aca="false">IF(AND(E43="yes",F43="yes",H43="covered"),1,IF(H43="partial",0.5,0))</f>
        <v>1</v>
      </c>
    </row>
    <row r="44" customFormat="false" ht="30" hidden="false" customHeight="true" outlineLevel="0" collapsed="false">
      <c r="A44" s="51" t="n">
        <v>36</v>
      </c>
      <c r="B44" s="52" t="s">
        <v>531</v>
      </c>
      <c r="C44" s="52" t="s">
        <v>476</v>
      </c>
      <c r="D44" s="52" t="s">
        <v>925</v>
      </c>
      <c r="E44" s="51" t="s">
        <v>459</v>
      </c>
      <c r="F44" s="51" t="s">
        <v>459</v>
      </c>
      <c r="G44" s="51" t="s">
        <v>907</v>
      </c>
      <c r="H44" s="51" t="s">
        <v>461</v>
      </c>
      <c r="I44" s="52" t="s">
        <v>908</v>
      </c>
      <c r="J44" s="52"/>
      <c r="K44" s="53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51" t="n">
        <v>37</v>
      </c>
      <c r="B45" s="52" t="s">
        <v>531</v>
      </c>
      <c r="C45" s="52" t="s">
        <v>476</v>
      </c>
      <c r="D45" s="52" t="s">
        <v>926</v>
      </c>
      <c r="E45" s="51" t="s">
        <v>459</v>
      </c>
      <c r="F45" s="51" t="s">
        <v>459</v>
      </c>
      <c r="G45" s="51" t="s">
        <v>907</v>
      </c>
      <c r="H45" s="51" t="s">
        <v>461</v>
      </c>
      <c r="I45" s="52" t="s">
        <v>908</v>
      </c>
      <c r="J45" s="52"/>
      <c r="K45" s="53" t="n">
        <f aca="false">IF(AND(E45="yes",F45="yes",H45="covered"),1,IF(H45="partial",0.5,0))</f>
        <v>1</v>
      </c>
    </row>
    <row r="46" customFormat="false" ht="45" hidden="false" customHeight="true" outlineLevel="0" collapsed="false">
      <c r="A46" s="51" t="n">
        <v>38</v>
      </c>
      <c r="B46" s="52" t="s">
        <v>531</v>
      </c>
      <c r="C46" s="52" t="s">
        <v>476</v>
      </c>
      <c r="D46" s="52" t="s">
        <v>927</v>
      </c>
      <c r="E46" s="51" t="s">
        <v>459</v>
      </c>
      <c r="F46" s="51" t="s">
        <v>459</v>
      </c>
      <c r="G46" s="51" t="s">
        <v>907</v>
      </c>
      <c r="H46" s="51" t="s">
        <v>461</v>
      </c>
      <c r="I46" s="52" t="s">
        <v>908</v>
      </c>
      <c r="J46" s="52"/>
      <c r="K46" s="53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51" t="n">
        <v>39</v>
      </c>
      <c r="B47" s="52" t="s">
        <v>505</v>
      </c>
      <c r="C47" s="52" t="s">
        <v>506</v>
      </c>
      <c r="D47" s="52" t="s">
        <v>928</v>
      </c>
      <c r="E47" s="51" t="s">
        <v>459</v>
      </c>
      <c r="F47" s="51" t="s">
        <v>459</v>
      </c>
      <c r="G47" s="51" t="s">
        <v>907</v>
      </c>
      <c r="H47" s="51" t="s">
        <v>461</v>
      </c>
      <c r="I47" s="52" t="s">
        <v>908</v>
      </c>
      <c r="J47" s="52"/>
      <c r="K47" s="53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51" t="n">
        <v>40</v>
      </c>
      <c r="B48" s="52" t="s">
        <v>505</v>
      </c>
      <c r="C48" s="52" t="s">
        <v>506</v>
      </c>
      <c r="D48" s="52" t="s">
        <v>929</v>
      </c>
      <c r="E48" s="51" t="s">
        <v>459</v>
      </c>
      <c r="F48" s="51" t="s">
        <v>459</v>
      </c>
      <c r="G48" s="51" t="s">
        <v>907</v>
      </c>
      <c r="H48" s="51" t="s">
        <v>461</v>
      </c>
      <c r="I48" s="52" t="s">
        <v>908</v>
      </c>
      <c r="J48" s="52"/>
      <c r="K48" s="53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51" t="n">
        <v>41</v>
      </c>
      <c r="B49" s="52" t="s">
        <v>511</v>
      </c>
      <c r="C49" s="52" t="s">
        <v>506</v>
      </c>
      <c r="D49" s="52" t="s">
        <v>930</v>
      </c>
      <c r="E49" s="51" t="s">
        <v>459</v>
      </c>
      <c r="F49" s="51" t="s">
        <v>459</v>
      </c>
      <c r="G49" s="51" t="s">
        <v>907</v>
      </c>
      <c r="H49" s="51" t="s">
        <v>461</v>
      </c>
      <c r="I49" s="52" t="s">
        <v>908</v>
      </c>
      <c r="J49" s="52"/>
      <c r="K49" s="53" t="n">
        <f aca="false">IF(AND(E49="yes",F49="yes",H49="covered"),1,IF(H49="partial",0.5,0))</f>
        <v>1</v>
      </c>
    </row>
    <row r="50" customFormat="false" ht="30" hidden="false" customHeight="true" outlineLevel="0" collapsed="false">
      <c r="A50" s="51" t="n">
        <v>42</v>
      </c>
      <c r="B50" s="52" t="s">
        <v>511</v>
      </c>
      <c r="C50" s="52" t="s">
        <v>506</v>
      </c>
      <c r="D50" s="52" t="s">
        <v>931</v>
      </c>
      <c r="E50" s="51" t="s">
        <v>459</v>
      </c>
      <c r="F50" s="51" t="s">
        <v>459</v>
      </c>
      <c r="G50" s="51" t="s">
        <v>907</v>
      </c>
      <c r="H50" s="51" t="s">
        <v>461</v>
      </c>
      <c r="I50" s="52" t="s">
        <v>908</v>
      </c>
      <c r="J50" s="52"/>
      <c r="K50" s="53" t="n">
        <f aca="false">IF(AND(E50="yes",F50="yes",H50="covered"),1,IF(H50="partial",0.5,0))</f>
        <v>1</v>
      </c>
    </row>
    <row r="51" customFormat="false" ht="30" hidden="false" customHeight="true" outlineLevel="0" collapsed="false">
      <c r="A51" s="51" t="n">
        <v>43</v>
      </c>
      <c r="B51" s="52" t="s">
        <v>511</v>
      </c>
      <c r="C51" s="52" t="s">
        <v>506</v>
      </c>
      <c r="D51" s="52" t="s">
        <v>932</v>
      </c>
      <c r="E51" s="51" t="s">
        <v>459</v>
      </c>
      <c r="F51" s="51" t="s">
        <v>459</v>
      </c>
      <c r="G51" s="51" t="s">
        <v>907</v>
      </c>
      <c r="H51" s="51" t="s">
        <v>461</v>
      </c>
      <c r="I51" s="52" t="s">
        <v>908</v>
      </c>
      <c r="J51" s="52"/>
      <c r="K51" s="53" t="n">
        <f aca="false">IF(AND(E51="yes",F51="yes",H51="covered"),1,IF(H51="partial",0.5,0))</f>
        <v>1</v>
      </c>
    </row>
    <row r="52" customFormat="false" ht="30" hidden="false" customHeight="true" outlineLevel="0" collapsed="false">
      <c r="A52" s="51" t="n">
        <v>44</v>
      </c>
      <c r="B52" s="52" t="s">
        <v>933</v>
      </c>
      <c r="C52" s="52" t="s">
        <v>476</v>
      </c>
      <c r="D52" s="52" t="s">
        <v>934</v>
      </c>
      <c r="E52" s="51" t="s">
        <v>459</v>
      </c>
      <c r="F52" s="51" t="s">
        <v>459</v>
      </c>
      <c r="G52" s="51" t="s">
        <v>907</v>
      </c>
      <c r="H52" s="51" t="s">
        <v>461</v>
      </c>
      <c r="I52" s="52" t="s">
        <v>908</v>
      </c>
      <c r="J52" s="52"/>
      <c r="K52" s="53" t="n">
        <f aca="false">IF(AND(E52="yes",F52="yes",H52="covered"),1,IF(H52="partial",0.5,0))</f>
        <v>1</v>
      </c>
    </row>
    <row r="53" customFormat="false" ht="30" hidden="false" customHeight="true" outlineLevel="0" collapsed="false">
      <c r="A53" s="51" t="n">
        <v>45</v>
      </c>
      <c r="B53" s="52" t="s">
        <v>933</v>
      </c>
      <c r="C53" s="52" t="s">
        <v>476</v>
      </c>
      <c r="D53" s="52" t="s">
        <v>935</v>
      </c>
      <c r="E53" s="51" t="s">
        <v>459</v>
      </c>
      <c r="F53" s="51" t="s">
        <v>459</v>
      </c>
      <c r="G53" s="51" t="s">
        <v>907</v>
      </c>
      <c r="H53" s="51" t="s">
        <v>461</v>
      </c>
      <c r="I53" s="52" t="s">
        <v>908</v>
      </c>
      <c r="J53" s="52"/>
      <c r="K53" s="53" t="n">
        <f aca="false">IF(AND(E53="yes",F53="yes",H53="covered"),1,IF(H53="partial",0.5,0))</f>
        <v>1</v>
      </c>
    </row>
    <row r="54" customFormat="false" ht="30" hidden="false" customHeight="true" outlineLevel="0" collapsed="false">
      <c r="A54" s="51" t="n">
        <v>46</v>
      </c>
      <c r="B54" s="52" t="s">
        <v>936</v>
      </c>
      <c r="C54" s="52" t="s">
        <v>476</v>
      </c>
      <c r="D54" s="52" t="s">
        <v>937</v>
      </c>
      <c r="E54" s="51" t="s">
        <v>459</v>
      </c>
      <c r="F54" s="51" t="s">
        <v>459</v>
      </c>
      <c r="G54" s="51" t="s">
        <v>907</v>
      </c>
      <c r="H54" s="51" t="s">
        <v>461</v>
      </c>
      <c r="I54" s="52" t="s">
        <v>908</v>
      </c>
      <c r="J54" s="52"/>
      <c r="K54" s="53" t="n">
        <f aca="false">IF(AND(E54="yes",F54="yes",H54="covered"),1,IF(H54="partial",0.5,0))</f>
        <v>1</v>
      </c>
    </row>
    <row r="55" customFormat="false" ht="30" hidden="false" customHeight="true" outlineLevel="0" collapsed="false">
      <c r="A55" s="31"/>
      <c r="B55" s="42"/>
      <c r="C55" s="42"/>
      <c r="D55" s="42"/>
      <c r="E55" s="34"/>
      <c r="F55" s="43"/>
      <c r="G55" s="31"/>
      <c r="H55" s="44"/>
      <c r="I55" s="42"/>
      <c r="J55" s="42"/>
      <c r="K55" s="45"/>
    </row>
    <row r="56" customFormat="false" ht="13.5" hidden="false" customHeight="true" outlineLevel="0" collapsed="false">
      <c r="A56" s="31"/>
      <c r="B56" s="42"/>
      <c r="C56" s="42"/>
      <c r="D56" s="42"/>
      <c r="E56" s="34"/>
      <c r="F56" s="43"/>
      <c r="G56" s="31"/>
      <c r="H56" s="44"/>
      <c r="I56" s="42"/>
      <c r="J56" s="42"/>
      <c r="K56" s="45"/>
    </row>
    <row r="57" customFormat="false" ht="13.5" hidden="false" customHeight="true" outlineLevel="0" collapsed="false">
      <c r="A57" s="31"/>
      <c r="B57" s="42"/>
      <c r="C57" s="42"/>
      <c r="D57" s="42"/>
      <c r="E57" s="34"/>
      <c r="F57" s="43"/>
      <c r="G57" s="31"/>
      <c r="H57" s="44"/>
      <c r="I57" s="42"/>
      <c r="J57" s="42"/>
      <c r="K57" s="45"/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938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74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939</v>
      </c>
      <c r="H9" s="44" t="s">
        <v>461</v>
      </c>
      <c r="I9" s="42" t="s">
        <v>940</v>
      </c>
      <c r="J9" s="42"/>
      <c r="K9" s="45" t="n">
        <f aca="false">IF(AND(E9="yes",F9="yes",H9="covered"),1,IF(H9="partial",0.5,0))</f>
        <v>1</v>
      </c>
    </row>
    <row r="10" customFormat="false" ht="4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939</v>
      </c>
      <c r="H10" s="44" t="s">
        <v>461</v>
      </c>
      <c r="I10" s="42" t="s">
        <v>940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23</v>
      </c>
      <c r="D11" s="42" t="s">
        <v>464</v>
      </c>
      <c r="E11" s="34" t="s">
        <v>459</v>
      </c>
      <c r="F11" s="43" t="s">
        <v>459</v>
      </c>
      <c r="G11" s="31" t="s">
        <v>939</v>
      </c>
      <c r="H11" s="44" t="s">
        <v>461</v>
      </c>
      <c r="I11" s="42" t="s">
        <v>940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23</v>
      </c>
      <c r="D12" s="42" t="s">
        <v>465</v>
      </c>
      <c r="E12" s="34" t="s">
        <v>459</v>
      </c>
      <c r="F12" s="43" t="s">
        <v>459</v>
      </c>
      <c r="G12" s="31" t="s">
        <v>939</v>
      </c>
      <c r="H12" s="44" t="s">
        <v>461</v>
      </c>
      <c r="I12" s="42" t="s">
        <v>941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23</v>
      </c>
      <c r="D13" s="42" t="s">
        <v>466</v>
      </c>
      <c r="E13" s="34" t="s">
        <v>459</v>
      </c>
      <c r="F13" s="43" t="s">
        <v>459</v>
      </c>
      <c r="G13" s="31" t="s">
        <v>939</v>
      </c>
      <c r="H13" s="44" t="s">
        <v>461</v>
      </c>
      <c r="I13" s="42" t="s">
        <v>940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23</v>
      </c>
      <c r="D14" s="42" t="s">
        <v>467</v>
      </c>
      <c r="E14" s="34" t="s">
        <v>459</v>
      </c>
      <c r="F14" s="43" t="s">
        <v>459</v>
      </c>
      <c r="G14" s="31" t="s">
        <v>939</v>
      </c>
      <c r="H14" s="44" t="s">
        <v>461</v>
      </c>
      <c r="I14" s="42" t="s">
        <v>940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23</v>
      </c>
      <c r="D15" s="42" t="s">
        <v>942</v>
      </c>
      <c r="E15" s="34" t="s">
        <v>459</v>
      </c>
      <c r="F15" s="43" t="s">
        <v>459</v>
      </c>
      <c r="G15" s="31" t="s">
        <v>939</v>
      </c>
      <c r="H15" s="44" t="s">
        <v>461</v>
      </c>
      <c r="I15" s="42" t="s">
        <v>940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23</v>
      </c>
      <c r="D16" s="42" t="s">
        <v>943</v>
      </c>
      <c r="E16" s="34" t="s">
        <v>459</v>
      </c>
      <c r="F16" s="43" t="s">
        <v>459</v>
      </c>
      <c r="G16" s="31" t="s">
        <v>939</v>
      </c>
      <c r="H16" s="44" t="s">
        <v>461</v>
      </c>
      <c r="I16" s="42" t="s">
        <v>940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23</v>
      </c>
      <c r="D17" s="42" t="s">
        <v>944</v>
      </c>
      <c r="E17" s="34" t="s">
        <v>459</v>
      </c>
      <c r="F17" s="43" t="s">
        <v>459</v>
      </c>
      <c r="G17" s="31" t="s">
        <v>939</v>
      </c>
      <c r="H17" s="44" t="s">
        <v>461</v>
      </c>
      <c r="I17" s="42" t="s">
        <v>940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23</v>
      </c>
      <c r="D18" s="42" t="s">
        <v>945</v>
      </c>
      <c r="E18" s="34" t="s">
        <v>459</v>
      </c>
      <c r="F18" s="43" t="s">
        <v>459</v>
      </c>
      <c r="G18" s="31" t="s">
        <v>939</v>
      </c>
      <c r="H18" s="44" t="s">
        <v>461</v>
      </c>
      <c r="I18" s="42" t="s">
        <v>940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23</v>
      </c>
      <c r="D19" s="42" t="s">
        <v>946</v>
      </c>
      <c r="E19" s="34" t="s">
        <v>459</v>
      </c>
      <c r="F19" s="43" t="s">
        <v>459</v>
      </c>
      <c r="G19" s="31" t="s">
        <v>939</v>
      </c>
      <c r="H19" s="44" t="s">
        <v>461</v>
      </c>
      <c r="I19" s="42" t="s">
        <v>940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477</v>
      </c>
      <c r="E20" s="34" t="s">
        <v>459</v>
      </c>
      <c r="F20" s="43" t="s">
        <v>459</v>
      </c>
      <c r="G20" s="31" t="s">
        <v>939</v>
      </c>
      <c r="H20" s="44" t="s">
        <v>461</v>
      </c>
      <c r="I20" s="42" t="s">
        <v>940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478</v>
      </c>
      <c r="E21" s="34" t="s">
        <v>459</v>
      </c>
      <c r="F21" s="43" t="s">
        <v>459</v>
      </c>
      <c r="G21" s="31" t="s">
        <v>939</v>
      </c>
      <c r="H21" s="44" t="s">
        <v>461</v>
      </c>
      <c r="I21" s="42" t="s">
        <v>940</v>
      </c>
      <c r="J21" s="42"/>
      <c r="K21" s="45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480</v>
      </c>
      <c r="E22" s="34" t="s">
        <v>459</v>
      </c>
      <c r="F22" s="43" t="s">
        <v>459</v>
      </c>
      <c r="G22" s="31" t="s">
        <v>939</v>
      </c>
      <c r="H22" s="44" t="s">
        <v>461</v>
      </c>
      <c r="I22" s="42" t="s">
        <v>940</v>
      </c>
      <c r="J22" s="42"/>
      <c r="K22" s="45" t="n">
        <f aca="false">IF(AND(E22="yes",F22="yes",H22="covered"),1,IF(H22="partial",0.5,0))</f>
        <v>1</v>
      </c>
    </row>
    <row r="23" customFormat="false" ht="4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481</v>
      </c>
      <c r="E23" s="34" t="s">
        <v>459</v>
      </c>
      <c r="F23" s="43" t="s">
        <v>459</v>
      </c>
      <c r="G23" s="31" t="s">
        <v>939</v>
      </c>
      <c r="H23" s="44" t="s">
        <v>461</v>
      </c>
      <c r="I23" s="42" t="s">
        <v>940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457</v>
      </c>
      <c r="C24" s="42" t="s">
        <v>476</v>
      </c>
      <c r="D24" s="42" t="s">
        <v>482</v>
      </c>
      <c r="E24" s="34" t="s">
        <v>459</v>
      </c>
      <c r="F24" s="43" t="s">
        <v>459</v>
      </c>
      <c r="G24" s="31" t="s">
        <v>939</v>
      </c>
      <c r="H24" s="44" t="s">
        <v>461</v>
      </c>
      <c r="I24" s="42" t="s">
        <v>940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774</v>
      </c>
      <c r="C25" s="42" t="s">
        <v>476</v>
      </c>
      <c r="D25" s="42" t="s">
        <v>775</v>
      </c>
      <c r="E25" s="34" t="s">
        <v>459</v>
      </c>
      <c r="F25" s="43" t="s">
        <v>459</v>
      </c>
      <c r="G25" s="31" t="s">
        <v>939</v>
      </c>
      <c r="H25" s="44" t="s">
        <v>461</v>
      </c>
      <c r="I25" s="42" t="s">
        <v>947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488</v>
      </c>
      <c r="C26" s="42" t="s">
        <v>476</v>
      </c>
      <c r="D26" s="42" t="s">
        <v>948</v>
      </c>
      <c r="E26" s="34" t="s">
        <v>459</v>
      </c>
      <c r="F26" s="43" t="s">
        <v>459</v>
      </c>
      <c r="G26" s="31" t="s">
        <v>939</v>
      </c>
      <c r="H26" s="44" t="s">
        <v>461</v>
      </c>
      <c r="I26" s="42" t="s">
        <v>940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949</v>
      </c>
      <c r="E27" s="34" t="s">
        <v>459</v>
      </c>
      <c r="F27" s="43" t="s">
        <v>459</v>
      </c>
      <c r="G27" s="31" t="s">
        <v>939</v>
      </c>
      <c r="H27" s="44" t="s">
        <v>461</v>
      </c>
      <c r="I27" s="42" t="s">
        <v>940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950</v>
      </c>
      <c r="E28" s="34" t="s">
        <v>459</v>
      </c>
      <c r="F28" s="43" t="s">
        <v>459</v>
      </c>
      <c r="G28" s="31" t="s">
        <v>939</v>
      </c>
      <c r="H28" s="44" t="s">
        <v>461</v>
      </c>
      <c r="I28" s="42" t="s">
        <v>940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493</v>
      </c>
      <c r="E29" s="34" t="s">
        <v>459</v>
      </c>
      <c r="F29" s="43" t="s">
        <v>459</v>
      </c>
      <c r="G29" s="31" t="s">
        <v>939</v>
      </c>
      <c r="H29" s="44" t="s">
        <v>461</v>
      </c>
      <c r="I29" s="42" t="s">
        <v>940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951</v>
      </c>
      <c r="E30" s="34" t="s">
        <v>459</v>
      </c>
      <c r="F30" s="43" t="s">
        <v>459</v>
      </c>
      <c r="G30" s="31" t="s">
        <v>939</v>
      </c>
      <c r="H30" s="44" t="s">
        <v>461</v>
      </c>
      <c r="I30" s="42" t="s">
        <v>940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952</v>
      </c>
      <c r="E31" s="34" t="s">
        <v>459</v>
      </c>
      <c r="F31" s="43" t="s">
        <v>459</v>
      </c>
      <c r="G31" s="31" t="s">
        <v>939</v>
      </c>
      <c r="H31" s="44" t="s">
        <v>461</v>
      </c>
      <c r="I31" s="42" t="s">
        <v>940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953</v>
      </c>
      <c r="E32" s="34" t="s">
        <v>459</v>
      </c>
      <c r="F32" s="43" t="s">
        <v>459</v>
      </c>
      <c r="G32" s="31" t="s">
        <v>939</v>
      </c>
      <c r="H32" s="44" t="s">
        <v>461</v>
      </c>
      <c r="I32" s="42" t="s">
        <v>940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954</v>
      </c>
      <c r="E33" s="34" t="s">
        <v>459</v>
      </c>
      <c r="F33" s="43" t="s">
        <v>459</v>
      </c>
      <c r="G33" s="31" t="s">
        <v>939</v>
      </c>
      <c r="H33" s="44" t="s">
        <v>461</v>
      </c>
      <c r="I33" s="42" t="s">
        <v>940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488</v>
      </c>
      <c r="C34" s="42" t="s">
        <v>476</v>
      </c>
      <c r="D34" s="42" t="s">
        <v>489</v>
      </c>
      <c r="E34" s="34" t="s">
        <v>459</v>
      </c>
      <c r="F34" s="43" t="s">
        <v>459</v>
      </c>
      <c r="G34" s="31" t="s">
        <v>939</v>
      </c>
      <c r="H34" s="44" t="s">
        <v>461</v>
      </c>
      <c r="I34" s="42" t="s">
        <v>940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955</v>
      </c>
      <c r="E35" s="34" t="s">
        <v>459</v>
      </c>
      <c r="F35" s="43" t="s">
        <v>459</v>
      </c>
      <c r="G35" s="31" t="s">
        <v>939</v>
      </c>
      <c r="H35" s="44" t="s">
        <v>461</v>
      </c>
      <c r="I35" s="42" t="s">
        <v>940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882</v>
      </c>
      <c r="C36" s="42" t="s">
        <v>476</v>
      </c>
      <c r="D36" s="42" t="s">
        <v>956</v>
      </c>
      <c r="E36" s="34" t="s">
        <v>459</v>
      </c>
      <c r="F36" s="43" t="s">
        <v>459</v>
      </c>
      <c r="G36" s="31" t="s">
        <v>939</v>
      </c>
      <c r="H36" s="44" t="s">
        <v>461</v>
      </c>
      <c r="I36" s="42" t="s">
        <v>940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483</v>
      </c>
      <c r="C37" s="42" t="s">
        <v>476</v>
      </c>
      <c r="D37" s="42" t="s">
        <v>484</v>
      </c>
      <c r="E37" s="34" t="s">
        <v>459</v>
      </c>
      <c r="F37" s="43" t="s">
        <v>459</v>
      </c>
      <c r="G37" s="31" t="s">
        <v>939</v>
      </c>
      <c r="H37" s="44" t="s">
        <v>461</v>
      </c>
      <c r="I37" s="42" t="s">
        <v>940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483</v>
      </c>
      <c r="C38" s="42" t="s">
        <v>476</v>
      </c>
      <c r="D38" s="42" t="s">
        <v>485</v>
      </c>
      <c r="E38" s="34" t="s">
        <v>459</v>
      </c>
      <c r="F38" s="43" t="s">
        <v>459</v>
      </c>
      <c r="G38" s="31" t="s">
        <v>939</v>
      </c>
      <c r="H38" s="44" t="s">
        <v>461</v>
      </c>
      <c r="I38" s="42" t="s">
        <v>940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476</v>
      </c>
      <c r="D39" s="42" t="s">
        <v>495</v>
      </c>
      <c r="E39" s="34" t="s">
        <v>459</v>
      </c>
      <c r="F39" s="43" t="s">
        <v>459</v>
      </c>
      <c r="G39" s="31" t="s">
        <v>939</v>
      </c>
      <c r="H39" s="44" t="s">
        <v>461</v>
      </c>
      <c r="I39" s="42" t="s">
        <v>940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476</v>
      </c>
      <c r="D40" s="42" t="s">
        <v>499</v>
      </c>
      <c r="E40" s="34" t="s">
        <v>459</v>
      </c>
      <c r="F40" s="43" t="s">
        <v>459</v>
      </c>
      <c r="G40" s="31" t="s">
        <v>939</v>
      </c>
      <c r="H40" s="44" t="s">
        <v>461</v>
      </c>
      <c r="I40" s="42" t="s">
        <v>940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488</v>
      </c>
      <c r="C41" s="42" t="s">
        <v>476</v>
      </c>
      <c r="D41" s="42" t="s">
        <v>497</v>
      </c>
      <c r="E41" s="34" t="s">
        <v>459</v>
      </c>
      <c r="F41" s="43" t="s">
        <v>459</v>
      </c>
      <c r="G41" s="31" t="s">
        <v>939</v>
      </c>
      <c r="H41" s="44" t="s">
        <v>461</v>
      </c>
      <c r="I41" s="42" t="s">
        <v>940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488</v>
      </c>
      <c r="C42" s="42" t="s">
        <v>476</v>
      </c>
      <c r="D42" s="42" t="s">
        <v>957</v>
      </c>
      <c r="E42" s="34" t="s">
        <v>459</v>
      </c>
      <c r="F42" s="43" t="s">
        <v>459</v>
      </c>
      <c r="G42" s="31" t="s">
        <v>939</v>
      </c>
      <c r="H42" s="44" t="s">
        <v>461</v>
      </c>
      <c r="I42" s="42" t="s">
        <v>940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488</v>
      </c>
      <c r="C43" s="42" t="s">
        <v>476</v>
      </c>
      <c r="D43" s="42" t="s">
        <v>958</v>
      </c>
      <c r="E43" s="34" t="s">
        <v>459</v>
      </c>
      <c r="F43" s="43" t="s">
        <v>459</v>
      </c>
      <c r="G43" s="31" t="s">
        <v>939</v>
      </c>
      <c r="H43" s="44" t="s">
        <v>461</v>
      </c>
      <c r="I43" s="42" t="s">
        <v>940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475</v>
      </c>
      <c r="C44" s="42" t="s">
        <v>959</v>
      </c>
      <c r="D44" s="42" t="s">
        <v>477</v>
      </c>
      <c r="E44" s="34" t="s">
        <v>459</v>
      </c>
      <c r="F44" s="43" t="s">
        <v>459</v>
      </c>
      <c r="G44" s="31" t="s">
        <v>939</v>
      </c>
      <c r="H44" s="44" t="s">
        <v>461</v>
      </c>
      <c r="I44" s="42" t="s">
        <v>940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475</v>
      </c>
      <c r="C45" s="42" t="s">
        <v>959</v>
      </c>
      <c r="D45" s="42" t="s">
        <v>478</v>
      </c>
      <c r="E45" s="34" t="s">
        <v>459</v>
      </c>
      <c r="F45" s="43" t="s">
        <v>459</v>
      </c>
      <c r="G45" s="31" t="s">
        <v>939</v>
      </c>
      <c r="H45" s="44" t="s">
        <v>461</v>
      </c>
      <c r="I45" s="42" t="s">
        <v>940</v>
      </c>
      <c r="J45" s="42"/>
      <c r="K45" s="45" t="n">
        <f aca="false">IF(AND(E45="yes",F45="yes",H45="covered"),1,IF(H45="partial",0.5,0))</f>
        <v>1</v>
      </c>
    </row>
    <row r="46" customFormat="false" ht="30" hidden="false" customHeight="true" outlineLevel="0" collapsed="false">
      <c r="A46" s="31" t="n">
        <v>38</v>
      </c>
      <c r="B46" s="42" t="s">
        <v>479</v>
      </c>
      <c r="C46" s="42" t="s">
        <v>959</v>
      </c>
      <c r="D46" s="42" t="s">
        <v>480</v>
      </c>
      <c r="E46" s="34" t="s">
        <v>459</v>
      </c>
      <c r="F46" s="43" t="s">
        <v>459</v>
      </c>
      <c r="G46" s="31" t="s">
        <v>939</v>
      </c>
      <c r="H46" s="44" t="s">
        <v>461</v>
      </c>
      <c r="I46" s="42" t="s">
        <v>940</v>
      </c>
      <c r="J46" s="42"/>
      <c r="K46" s="45" t="n">
        <f aca="false">IF(AND(E46="yes",F46="yes",H46="covered"),1,IF(H46="partial",0.5,0))</f>
        <v>1</v>
      </c>
    </row>
    <row r="47" customFormat="false" ht="45" hidden="false" customHeight="true" outlineLevel="0" collapsed="false">
      <c r="A47" s="31" t="n">
        <v>39</v>
      </c>
      <c r="B47" s="42" t="s">
        <v>479</v>
      </c>
      <c r="C47" s="42" t="s">
        <v>959</v>
      </c>
      <c r="D47" s="42" t="s">
        <v>481</v>
      </c>
      <c r="E47" s="34" t="s">
        <v>459</v>
      </c>
      <c r="F47" s="43" t="s">
        <v>459</v>
      </c>
      <c r="G47" s="31" t="s">
        <v>939</v>
      </c>
      <c r="H47" s="44" t="s">
        <v>461</v>
      </c>
      <c r="I47" s="42" t="s">
        <v>940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457</v>
      </c>
      <c r="C48" s="42" t="s">
        <v>959</v>
      </c>
      <c r="D48" s="42" t="s">
        <v>482</v>
      </c>
      <c r="E48" s="34" t="s">
        <v>459</v>
      </c>
      <c r="F48" s="43" t="s">
        <v>459</v>
      </c>
      <c r="G48" s="31" t="s">
        <v>939</v>
      </c>
      <c r="H48" s="44" t="s">
        <v>461</v>
      </c>
      <c r="I48" s="42" t="s">
        <v>940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774</v>
      </c>
      <c r="C49" s="42" t="s">
        <v>959</v>
      </c>
      <c r="D49" s="42" t="s">
        <v>775</v>
      </c>
      <c r="E49" s="34" t="s">
        <v>459</v>
      </c>
      <c r="F49" s="43" t="s">
        <v>459</v>
      </c>
      <c r="G49" s="31" t="s">
        <v>939</v>
      </c>
      <c r="H49" s="44" t="s">
        <v>461</v>
      </c>
      <c r="I49" s="42" t="s">
        <v>947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486</v>
      </c>
      <c r="C50" s="42" t="s">
        <v>959</v>
      </c>
      <c r="D50" s="42" t="s">
        <v>960</v>
      </c>
      <c r="E50" s="34" t="s">
        <v>459</v>
      </c>
      <c r="F50" s="43" t="s">
        <v>459</v>
      </c>
      <c r="G50" s="31" t="s">
        <v>939</v>
      </c>
      <c r="H50" s="44" t="s">
        <v>461</v>
      </c>
      <c r="I50" s="42" t="s">
        <v>940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483</v>
      </c>
      <c r="C51" s="42" t="s">
        <v>959</v>
      </c>
      <c r="D51" s="42" t="s">
        <v>484</v>
      </c>
      <c r="E51" s="34" t="s">
        <v>459</v>
      </c>
      <c r="F51" s="43" t="s">
        <v>459</v>
      </c>
      <c r="G51" s="31" t="s">
        <v>939</v>
      </c>
      <c r="H51" s="44" t="s">
        <v>461</v>
      </c>
      <c r="I51" s="42" t="s">
        <v>940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483</v>
      </c>
      <c r="C52" s="42" t="s">
        <v>959</v>
      </c>
      <c r="D52" s="42" t="s">
        <v>485</v>
      </c>
      <c r="E52" s="34" t="s">
        <v>459</v>
      </c>
      <c r="F52" s="43" t="s">
        <v>459</v>
      </c>
      <c r="G52" s="31" t="s">
        <v>939</v>
      </c>
      <c r="H52" s="44" t="s">
        <v>461</v>
      </c>
      <c r="I52" s="42" t="s">
        <v>940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486</v>
      </c>
      <c r="C53" s="42" t="s">
        <v>959</v>
      </c>
      <c r="D53" s="42" t="s">
        <v>495</v>
      </c>
      <c r="E53" s="34" t="s">
        <v>459</v>
      </c>
      <c r="F53" s="43" t="s">
        <v>459</v>
      </c>
      <c r="G53" s="31" t="s">
        <v>939</v>
      </c>
      <c r="H53" s="44" t="s">
        <v>461</v>
      </c>
      <c r="I53" s="42" t="s">
        <v>940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959</v>
      </c>
      <c r="D54" s="42" t="s">
        <v>499</v>
      </c>
      <c r="E54" s="34" t="s">
        <v>459</v>
      </c>
      <c r="F54" s="43" t="s">
        <v>459</v>
      </c>
      <c r="G54" s="31" t="s">
        <v>939</v>
      </c>
      <c r="H54" s="44" t="s">
        <v>461</v>
      </c>
      <c r="I54" s="42" t="s">
        <v>940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488</v>
      </c>
      <c r="C55" s="42" t="s">
        <v>959</v>
      </c>
      <c r="D55" s="42" t="s">
        <v>497</v>
      </c>
      <c r="E55" s="34" t="s">
        <v>459</v>
      </c>
      <c r="F55" s="43" t="s">
        <v>459</v>
      </c>
      <c r="G55" s="31" t="s">
        <v>939</v>
      </c>
      <c r="H55" s="44" t="s">
        <v>461</v>
      </c>
      <c r="I55" s="42" t="s">
        <v>940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505</v>
      </c>
      <c r="C56" s="42" t="s">
        <v>506</v>
      </c>
      <c r="D56" s="42" t="s">
        <v>961</v>
      </c>
      <c r="E56" s="34" t="s">
        <v>459</v>
      </c>
      <c r="F56" s="43" t="s">
        <v>459</v>
      </c>
      <c r="G56" s="31" t="s">
        <v>939</v>
      </c>
      <c r="H56" s="44" t="s">
        <v>461</v>
      </c>
      <c r="I56" s="42" t="s">
        <v>940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505</v>
      </c>
      <c r="C57" s="42" t="s">
        <v>506</v>
      </c>
      <c r="D57" s="42" t="s">
        <v>905</v>
      </c>
      <c r="E57" s="34" t="s">
        <v>459</v>
      </c>
      <c r="F57" s="43" t="s">
        <v>459</v>
      </c>
      <c r="G57" s="31" t="s">
        <v>939</v>
      </c>
      <c r="H57" s="44" t="s">
        <v>461</v>
      </c>
      <c r="I57" s="42" t="s">
        <v>940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505</v>
      </c>
      <c r="C58" s="42" t="s">
        <v>506</v>
      </c>
      <c r="D58" s="42" t="s">
        <v>962</v>
      </c>
      <c r="E58" s="34" t="s">
        <v>459</v>
      </c>
      <c r="F58" s="43" t="s">
        <v>459</v>
      </c>
      <c r="G58" s="31" t="s">
        <v>939</v>
      </c>
      <c r="H58" s="44" t="s">
        <v>461</v>
      </c>
      <c r="I58" s="42" t="s">
        <v>940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505</v>
      </c>
      <c r="C59" s="42" t="s">
        <v>506</v>
      </c>
      <c r="D59" s="42" t="s">
        <v>783</v>
      </c>
      <c r="E59" s="34" t="s">
        <v>459</v>
      </c>
      <c r="F59" s="43" t="s">
        <v>459</v>
      </c>
      <c r="G59" s="31" t="s">
        <v>939</v>
      </c>
      <c r="H59" s="44" t="s">
        <v>461</v>
      </c>
      <c r="I59" s="42" t="s">
        <v>940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505</v>
      </c>
      <c r="C60" s="42" t="s">
        <v>506</v>
      </c>
      <c r="D60" s="42" t="s">
        <v>963</v>
      </c>
      <c r="E60" s="34" t="s">
        <v>459</v>
      </c>
      <c r="F60" s="43" t="s">
        <v>459</v>
      </c>
      <c r="G60" s="31" t="s">
        <v>939</v>
      </c>
      <c r="H60" s="44" t="s">
        <v>461</v>
      </c>
      <c r="I60" s="42" t="s">
        <v>940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505</v>
      </c>
      <c r="C61" s="42" t="s">
        <v>506</v>
      </c>
      <c r="D61" s="42" t="s">
        <v>964</v>
      </c>
      <c r="E61" s="34" t="s">
        <v>459</v>
      </c>
      <c r="F61" s="43" t="s">
        <v>459</v>
      </c>
      <c r="G61" s="31" t="s">
        <v>939</v>
      </c>
      <c r="H61" s="44" t="s">
        <v>461</v>
      </c>
      <c r="I61" s="42" t="s">
        <v>940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511</v>
      </c>
      <c r="C62" s="42" t="s">
        <v>506</v>
      </c>
      <c r="D62" s="42" t="s">
        <v>512</v>
      </c>
      <c r="E62" s="34" t="s">
        <v>459</v>
      </c>
      <c r="F62" s="43" t="s">
        <v>459</v>
      </c>
      <c r="G62" s="31" t="s">
        <v>939</v>
      </c>
      <c r="H62" s="44" t="s">
        <v>461</v>
      </c>
      <c r="I62" s="42" t="s">
        <v>940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511</v>
      </c>
      <c r="C63" s="42" t="s">
        <v>506</v>
      </c>
      <c r="D63" s="42" t="s">
        <v>965</v>
      </c>
      <c r="E63" s="34" t="s">
        <v>459</v>
      </c>
      <c r="F63" s="43" t="s">
        <v>459</v>
      </c>
      <c r="G63" s="31" t="s">
        <v>939</v>
      </c>
      <c r="H63" s="44" t="s">
        <v>461</v>
      </c>
      <c r="I63" s="42" t="s">
        <v>940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511</v>
      </c>
      <c r="C64" s="42" t="s">
        <v>506</v>
      </c>
      <c r="D64" s="42" t="s">
        <v>966</v>
      </c>
      <c r="E64" s="34" t="s">
        <v>459</v>
      </c>
      <c r="F64" s="43" t="s">
        <v>459</v>
      </c>
      <c r="G64" s="31" t="s">
        <v>939</v>
      </c>
      <c r="H64" s="44" t="s">
        <v>461</v>
      </c>
      <c r="I64" s="42" t="s">
        <v>940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511</v>
      </c>
      <c r="C65" s="42" t="s">
        <v>506</v>
      </c>
      <c r="D65" s="42" t="s">
        <v>514</v>
      </c>
      <c r="E65" s="34" t="s">
        <v>459</v>
      </c>
      <c r="F65" s="43" t="s">
        <v>459</v>
      </c>
      <c r="G65" s="31" t="s">
        <v>939</v>
      </c>
      <c r="H65" s="44" t="s">
        <v>461</v>
      </c>
      <c r="I65" s="42" t="s">
        <v>940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511</v>
      </c>
      <c r="C66" s="42" t="s">
        <v>506</v>
      </c>
      <c r="D66" s="42" t="s">
        <v>515</v>
      </c>
      <c r="E66" s="34" t="s">
        <v>459</v>
      </c>
      <c r="F66" s="43" t="s">
        <v>459</v>
      </c>
      <c r="G66" s="31" t="s">
        <v>939</v>
      </c>
      <c r="H66" s="44" t="s">
        <v>461</v>
      </c>
      <c r="I66" s="42" t="s">
        <v>940</v>
      </c>
      <c r="J66" s="42"/>
      <c r="K66" s="45" t="n">
        <f aca="false">IF(AND(E66="yes",F66="yes",H66="covered"),1,IF(H66="partial",0.5,0))</f>
        <v>1</v>
      </c>
    </row>
    <row r="67" customFormat="false" ht="30" hidden="false" customHeight="true" outlineLevel="0" collapsed="false">
      <c r="A67" s="31" t="n">
        <v>59</v>
      </c>
      <c r="B67" s="42" t="s">
        <v>483</v>
      </c>
      <c r="C67" s="42" t="s">
        <v>23</v>
      </c>
      <c r="D67" s="42" t="s">
        <v>516</v>
      </c>
      <c r="E67" s="34" t="s">
        <v>459</v>
      </c>
      <c r="F67" s="43" t="s">
        <v>459</v>
      </c>
      <c r="G67" s="31" t="s">
        <v>939</v>
      </c>
      <c r="H67" s="44" t="s">
        <v>461</v>
      </c>
      <c r="I67" s="42" t="s">
        <v>940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483</v>
      </c>
      <c r="C68" s="42" t="s">
        <v>23</v>
      </c>
      <c r="D68" s="42" t="s">
        <v>517</v>
      </c>
      <c r="E68" s="34" t="s">
        <v>459</v>
      </c>
      <c r="F68" s="43" t="s">
        <v>459</v>
      </c>
      <c r="G68" s="31" t="s">
        <v>939</v>
      </c>
      <c r="H68" s="44" t="s">
        <v>461</v>
      </c>
      <c r="I68" s="42" t="s">
        <v>940</v>
      </c>
      <c r="J68" s="42"/>
      <c r="K68" s="45" t="n">
        <f aca="false">IF(AND(E68="yes",F68="yes",H68="covered"),1,IF(H68="partial",0.5,0))</f>
        <v>1</v>
      </c>
    </row>
    <row r="69" customFormat="false" ht="45" hidden="false" customHeight="true" outlineLevel="0" collapsed="false">
      <c r="A69" s="31" t="n">
        <v>61</v>
      </c>
      <c r="B69" s="42" t="s">
        <v>483</v>
      </c>
      <c r="C69" s="42" t="s">
        <v>23</v>
      </c>
      <c r="D69" s="42" t="s">
        <v>518</v>
      </c>
      <c r="E69" s="34" t="s">
        <v>459</v>
      </c>
      <c r="F69" s="43" t="s">
        <v>459</v>
      </c>
      <c r="G69" s="31" t="s">
        <v>939</v>
      </c>
      <c r="H69" s="44" t="s">
        <v>461</v>
      </c>
      <c r="I69" s="42" t="s">
        <v>940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483</v>
      </c>
      <c r="C70" s="42" t="s">
        <v>23</v>
      </c>
      <c r="D70" s="42" t="s">
        <v>519</v>
      </c>
      <c r="E70" s="34" t="s">
        <v>459</v>
      </c>
      <c r="F70" s="43" t="s">
        <v>459</v>
      </c>
      <c r="G70" s="31" t="s">
        <v>939</v>
      </c>
      <c r="H70" s="44" t="s">
        <v>461</v>
      </c>
      <c r="I70" s="42" t="s">
        <v>940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483</v>
      </c>
      <c r="C71" s="42" t="s">
        <v>23</v>
      </c>
      <c r="D71" s="42" t="s">
        <v>520</v>
      </c>
      <c r="E71" s="34" t="s">
        <v>459</v>
      </c>
      <c r="F71" s="43" t="s">
        <v>459</v>
      </c>
      <c r="G71" s="31" t="s">
        <v>939</v>
      </c>
      <c r="H71" s="44" t="s">
        <v>461</v>
      </c>
      <c r="I71" s="42" t="s">
        <v>967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488</v>
      </c>
      <c r="C72" s="42" t="s">
        <v>476</v>
      </c>
      <c r="D72" s="42" t="s">
        <v>521</v>
      </c>
      <c r="E72" s="34" t="s">
        <v>459</v>
      </c>
      <c r="F72" s="43" t="s">
        <v>459</v>
      </c>
      <c r="G72" s="31" t="s">
        <v>939</v>
      </c>
      <c r="H72" s="44" t="s">
        <v>461</v>
      </c>
      <c r="I72" s="42" t="s">
        <v>940</v>
      </c>
      <c r="J72" s="42"/>
      <c r="K72" s="45" t="n">
        <f aca="false">IF(AND(E72="yes",F72="yes",H72="covered"),1,IF(H72="partial",0.5,0))</f>
        <v>1</v>
      </c>
    </row>
    <row r="73" customFormat="false" ht="30" hidden="false" customHeight="true" outlineLevel="0" collapsed="false">
      <c r="A73" s="31" t="n">
        <v>65</v>
      </c>
      <c r="B73" s="42" t="s">
        <v>488</v>
      </c>
      <c r="C73" s="42" t="s">
        <v>476</v>
      </c>
      <c r="D73" s="42" t="s">
        <v>522</v>
      </c>
      <c r="E73" s="34" t="s">
        <v>459</v>
      </c>
      <c r="F73" s="43" t="s">
        <v>459</v>
      </c>
      <c r="G73" s="31" t="s">
        <v>939</v>
      </c>
      <c r="H73" s="44" t="s">
        <v>461</v>
      </c>
      <c r="I73" s="42" t="s">
        <v>940</v>
      </c>
      <c r="J73" s="42"/>
      <c r="K73" s="45" t="n">
        <f aca="false">IF(AND(E73="yes",F73="yes",H73="covered"),1,IF(H73="partial",0.5,0))</f>
        <v>1</v>
      </c>
    </row>
    <row r="74" customFormat="false" ht="30" hidden="false" customHeight="true" outlineLevel="0" collapsed="false">
      <c r="A74" s="31" t="n">
        <v>66</v>
      </c>
      <c r="B74" s="42" t="s">
        <v>488</v>
      </c>
      <c r="C74" s="42" t="s">
        <v>476</v>
      </c>
      <c r="D74" s="42" t="s">
        <v>523</v>
      </c>
      <c r="E74" s="34" t="s">
        <v>459</v>
      </c>
      <c r="F74" s="43" t="s">
        <v>459</v>
      </c>
      <c r="G74" s="31" t="s">
        <v>939</v>
      </c>
      <c r="H74" s="44" t="s">
        <v>461</v>
      </c>
      <c r="I74" s="42" t="s">
        <v>940</v>
      </c>
      <c r="J74" s="42"/>
      <c r="K74" s="45" t="n">
        <f aca="false">IF(AND(E74="yes",F74="yes",H74="covered"),1,IF(H74="partial",0.5,0))</f>
        <v>1</v>
      </c>
    </row>
    <row r="75" customFormat="false" ht="30" hidden="false" customHeight="true" outlineLevel="0" collapsed="false">
      <c r="A75" s="31" t="n">
        <v>67</v>
      </c>
      <c r="B75" s="42" t="s">
        <v>488</v>
      </c>
      <c r="C75" s="42" t="s">
        <v>23</v>
      </c>
      <c r="D75" s="42" t="s">
        <v>968</v>
      </c>
      <c r="E75" s="34" t="s">
        <v>459</v>
      </c>
      <c r="F75" s="43" t="s">
        <v>459</v>
      </c>
      <c r="G75" s="31" t="s">
        <v>939</v>
      </c>
      <c r="H75" s="44" t="s">
        <v>461</v>
      </c>
      <c r="I75" s="42" t="s">
        <v>940</v>
      </c>
      <c r="J75" s="42"/>
      <c r="K75" s="45" t="n">
        <f aca="false">IF(AND(E75="yes",F75="yes",H75="covered"),1,IF(H75="partial",0.5,0))</f>
        <v>1</v>
      </c>
    </row>
    <row r="76" customFormat="false" ht="30" hidden="false" customHeight="true" outlineLevel="0" collapsed="false">
      <c r="A76" s="31" t="n">
        <v>68</v>
      </c>
      <c r="B76" s="42" t="s">
        <v>488</v>
      </c>
      <c r="C76" s="42" t="s">
        <v>23</v>
      </c>
      <c r="D76" s="42" t="s">
        <v>969</v>
      </c>
      <c r="E76" s="34" t="s">
        <v>459</v>
      </c>
      <c r="F76" s="43" t="s">
        <v>459</v>
      </c>
      <c r="G76" s="31" t="s">
        <v>939</v>
      </c>
      <c r="H76" s="44" t="s">
        <v>461</v>
      </c>
      <c r="I76" s="42" t="s">
        <v>940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488</v>
      </c>
      <c r="C77" s="42" t="s">
        <v>23</v>
      </c>
      <c r="D77" s="42" t="s">
        <v>970</v>
      </c>
      <c r="E77" s="34" t="s">
        <v>459</v>
      </c>
      <c r="F77" s="43" t="s">
        <v>459</v>
      </c>
      <c r="G77" s="31" t="s">
        <v>939</v>
      </c>
      <c r="H77" s="44" t="s">
        <v>461</v>
      </c>
      <c r="I77" s="42" t="s">
        <v>940</v>
      </c>
      <c r="J77" s="42"/>
      <c r="K77" s="45" t="n">
        <f aca="false">IF(AND(E77="yes",F77="yes",H77="covered"),1,IF(H77="partial",0.5,0))</f>
        <v>1</v>
      </c>
    </row>
    <row r="78" customFormat="false" ht="30" hidden="false" customHeight="true" outlineLevel="0" collapsed="false">
      <c r="A78" s="31" t="n">
        <v>70</v>
      </c>
      <c r="B78" s="42" t="s">
        <v>488</v>
      </c>
      <c r="C78" s="42" t="s">
        <v>23</v>
      </c>
      <c r="D78" s="42" t="s">
        <v>971</v>
      </c>
      <c r="E78" s="34" t="s">
        <v>459</v>
      </c>
      <c r="F78" s="43" t="s">
        <v>459</v>
      </c>
      <c r="G78" s="31" t="s">
        <v>939</v>
      </c>
      <c r="H78" s="44" t="s">
        <v>461</v>
      </c>
      <c r="I78" s="42" t="s">
        <v>940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933</v>
      </c>
      <c r="C79" s="42" t="s">
        <v>23</v>
      </c>
      <c r="D79" s="42" t="s">
        <v>972</v>
      </c>
      <c r="E79" s="34" t="s">
        <v>459</v>
      </c>
      <c r="F79" s="43" t="s">
        <v>459</v>
      </c>
      <c r="G79" s="31" t="s">
        <v>939</v>
      </c>
      <c r="H79" s="44" t="s">
        <v>461</v>
      </c>
      <c r="I79" s="42" t="s">
        <v>940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933</v>
      </c>
      <c r="C80" s="42" t="s">
        <v>23</v>
      </c>
      <c r="D80" s="42" t="s">
        <v>973</v>
      </c>
      <c r="E80" s="34" t="s">
        <v>459</v>
      </c>
      <c r="F80" s="43" t="s">
        <v>459</v>
      </c>
      <c r="G80" s="31" t="s">
        <v>939</v>
      </c>
      <c r="H80" s="44" t="s">
        <v>461</v>
      </c>
      <c r="I80" s="42" t="s">
        <v>940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531</v>
      </c>
      <c r="C81" s="42" t="s">
        <v>23</v>
      </c>
      <c r="D81" s="42" t="s">
        <v>974</v>
      </c>
      <c r="E81" s="34" t="s">
        <v>459</v>
      </c>
      <c r="F81" s="43" t="s">
        <v>459</v>
      </c>
      <c r="G81" s="31" t="s">
        <v>939</v>
      </c>
      <c r="H81" s="44" t="s">
        <v>461</v>
      </c>
      <c r="I81" s="42" t="s">
        <v>940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531</v>
      </c>
      <c r="C82" s="42" t="s">
        <v>23</v>
      </c>
      <c r="D82" s="42" t="s">
        <v>975</v>
      </c>
      <c r="E82" s="34" t="s">
        <v>459</v>
      </c>
      <c r="F82" s="43" t="s">
        <v>459</v>
      </c>
      <c r="G82" s="31" t="s">
        <v>939</v>
      </c>
      <c r="H82" s="44" t="s">
        <v>461</v>
      </c>
      <c r="I82" s="42" t="s">
        <v>940</v>
      </c>
      <c r="J82" s="42"/>
      <c r="K82" s="45" t="n">
        <f aca="false">IF(AND(E82="yes",F82="yes",H82="covered"),1,IF(H82="partial",0.5,0))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976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98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939</v>
      </c>
      <c r="H9" s="44" t="s">
        <v>461</v>
      </c>
      <c r="I9" s="42" t="s">
        <v>977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939</v>
      </c>
      <c r="H10" s="44" t="s">
        <v>461</v>
      </c>
      <c r="I10" s="42" t="s">
        <v>977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24</v>
      </c>
      <c r="D11" s="42" t="s">
        <v>464</v>
      </c>
      <c r="E11" s="34" t="s">
        <v>459</v>
      </c>
      <c r="F11" s="43" t="s">
        <v>459</v>
      </c>
      <c r="G11" s="31" t="s">
        <v>939</v>
      </c>
      <c r="H11" s="44" t="s">
        <v>461</v>
      </c>
      <c r="I11" s="42" t="s">
        <v>977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24</v>
      </c>
      <c r="D12" s="42" t="s">
        <v>465</v>
      </c>
      <c r="E12" s="34" t="s">
        <v>459</v>
      </c>
      <c r="F12" s="43" t="s">
        <v>459</v>
      </c>
      <c r="G12" s="31" t="s">
        <v>939</v>
      </c>
      <c r="H12" s="44" t="s">
        <v>461</v>
      </c>
      <c r="I12" s="42" t="s">
        <v>977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24</v>
      </c>
      <c r="D13" s="42" t="s">
        <v>466</v>
      </c>
      <c r="E13" s="34" t="s">
        <v>459</v>
      </c>
      <c r="F13" s="43" t="s">
        <v>459</v>
      </c>
      <c r="G13" s="31" t="s">
        <v>939</v>
      </c>
      <c r="H13" s="44" t="s">
        <v>461</v>
      </c>
      <c r="I13" s="42" t="s">
        <v>977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24</v>
      </c>
      <c r="D14" s="42" t="s">
        <v>467</v>
      </c>
      <c r="E14" s="34" t="s">
        <v>459</v>
      </c>
      <c r="F14" s="43" t="s">
        <v>459</v>
      </c>
      <c r="G14" s="31" t="s">
        <v>939</v>
      </c>
      <c r="H14" s="44" t="s">
        <v>461</v>
      </c>
      <c r="I14" s="42" t="s">
        <v>977</v>
      </c>
      <c r="J14" s="42"/>
      <c r="K14" s="45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24</v>
      </c>
      <c r="D15" s="42" t="s">
        <v>978</v>
      </c>
      <c r="E15" s="34" t="s">
        <v>459</v>
      </c>
      <c r="F15" s="43" t="s">
        <v>459</v>
      </c>
      <c r="G15" s="31" t="s">
        <v>939</v>
      </c>
      <c r="H15" s="44" t="s">
        <v>461</v>
      </c>
      <c r="I15" s="42" t="s">
        <v>977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24</v>
      </c>
      <c r="D16" s="42" t="s">
        <v>943</v>
      </c>
      <c r="E16" s="34" t="s">
        <v>459</v>
      </c>
      <c r="F16" s="43" t="s">
        <v>459</v>
      </c>
      <c r="G16" s="31" t="s">
        <v>939</v>
      </c>
      <c r="H16" s="44" t="s">
        <v>461</v>
      </c>
      <c r="I16" s="42" t="s">
        <v>977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24</v>
      </c>
      <c r="D17" s="42" t="s">
        <v>979</v>
      </c>
      <c r="E17" s="34" t="s">
        <v>459</v>
      </c>
      <c r="F17" s="43" t="s">
        <v>459</v>
      </c>
      <c r="G17" s="31" t="s">
        <v>939</v>
      </c>
      <c r="H17" s="44" t="s">
        <v>461</v>
      </c>
      <c r="I17" s="42" t="s">
        <v>977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24</v>
      </c>
      <c r="D18" s="42" t="s">
        <v>980</v>
      </c>
      <c r="E18" s="34" t="s">
        <v>459</v>
      </c>
      <c r="F18" s="43" t="s">
        <v>459</v>
      </c>
      <c r="G18" s="31" t="s">
        <v>939</v>
      </c>
      <c r="H18" s="44" t="s">
        <v>461</v>
      </c>
      <c r="I18" s="42" t="s">
        <v>977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24</v>
      </c>
      <c r="D19" s="42" t="s">
        <v>981</v>
      </c>
      <c r="E19" s="34" t="s">
        <v>459</v>
      </c>
      <c r="F19" s="43" t="s">
        <v>459</v>
      </c>
      <c r="G19" s="31" t="s">
        <v>939</v>
      </c>
      <c r="H19" s="44" t="s">
        <v>461</v>
      </c>
      <c r="I19" s="42" t="s">
        <v>977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477</v>
      </c>
      <c r="E20" s="34" t="s">
        <v>459</v>
      </c>
      <c r="F20" s="43" t="s">
        <v>459</v>
      </c>
      <c r="G20" s="31" t="s">
        <v>939</v>
      </c>
      <c r="H20" s="44" t="s">
        <v>461</v>
      </c>
      <c r="I20" s="42" t="s">
        <v>977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478</v>
      </c>
      <c r="E21" s="34" t="s">
        <v>459</v>
      </c>
      <c r="F21" s="43" t="s">
        <v>459</v>
      </c>
      <c r="G21" s="31" t="s">
        <v>939</v>
      </c>
      <c r="H21" s="44" t="s">
        <v>461</v>
      </c>
      <c r="I21" s="42" t="s">
        <v>977</v>
      </c>
      <c r="J21" s="42"/>
      <c r="K21" s="45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480</v>
      </c>
      <c r="E22" s="34" t="s">
        <v>459</v>
      </c>
      <c r="F22" s="43" t="s">
        <v>459</v>
      </c>
      <c r="G22" s="31" t="s">
        <v>939</v>
      </c>
      <c r="H22" s="44" t="s">
        <v>461</v>
      </c>
      <c r="I22" s="42" t="s">
        <v>977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481</v>
      </c>
      <c r="E23" s="34" t="s">
        <v>459</v>
      </c>
      <c r="F23" s="43" t="s">
        <v>459</v>
      </c>
      <c r="G23" s="31" t="s">
        <v>939</v>
      </c>
      <c r="H23" s="44" t="s">
        <v>461</v>
      </c>
      <c r="I23" s="42" t="s">
        <v>977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457</v>
      </c>
      <c r="C24" s="42" t="s">
        <v>476</v>
      </c>
      <c r="D24" s="42" t="s">
        <v>482</v>
      </c>
      <c r="E24" s="34" t="s">
        <v>459</v>
      </c>
      <c r="F24" s="43" t="s">
        <v>459</v>
      </c>
      <c r="G24" s="31" t="s">
        <v>939</v>
      </c>
      <c r="H24" s="44" t="s">
        <v>461</v>
      </c>
      <c r="I24" s="42" t="s">
        <v>977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774</v>
      </c>
      <c r="C25" s="42" t="s">
        <v>476</v>
      </c>
      <c r="D25" s="42" t="s">
        <v>775</v>
      </c>
      <c r="E25" s="34" t="s">
        <v>459</v>
      </c>
      <c r="F25" s="43" t="s">
        <v>459</v>
      </c>
      <c r="G25" s="31" t="s">
        <v>939</v>
      </c>
      <c r="H25" s="44" t="s">
        <v>461</v>
      </c>
      <c r="I25" s="42" t="s">
        <v>977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488</v>
      </c>
      <c r="C26" s="42" t="s">
        <v>476</v>
      </c>
      <c r="D26" s="42" t="s">
        <v>489</v>
      </c>
      <c r="E26" s="34" t="s">
        <v>459</v>
      </c>
      <c r="F26" s="43" t="s">
        <v>459</v>
      </c>
      <c r="G26" s="31" t="s">
        <v>939</v>
      </c>
      <c r="H26" s="44" t="s">
        <v>461</v>
      </c>
      <c r="I26" s="42" t="s">
        <v>977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490</v>
      </c>
      <c r="E27" s="34" t="s">
        <v>459</v>
      </c>
      <c r="F27" s="43" t="s">
        <v>459</v>
      </c>
      <c r="G27" s="31" t="s">
        <v>939</v>
      </c>
      <c r="H27" s="44" t="s">
        <v>461</v>
      </c>
      <c r="I27" s="42" t="s">
        <v>977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491</v>
      </c>
      <c r="E28" s="34" t="s">
        <v>459</v>
      </c>
      <c r="F28" s="43" t="s">
        <v>459</v>
      </c>
      <c r="G28" s="31" t="s">
        <v>939</v>
      </c>
      <c r="H28" s="44" t="s">
        <v>461</v>
      </c>
      <c r="I28" s="42" t="s">
        <v>977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486</v>
      </c>
      <c r="C29" s="42" t="s">
        <v>476</v>
      </c>
      <c r="D29" s="42" t="s">
        <v>954</v>
      </c>
      <c r="E29" s="34" t="s">
        <v>459</v>
      </c>
      <c r="F29" s="43" t="s">
        <v>459</v>
      </c>
      <c r="G29" s="31" t="s">
        <v>939</v>
      </c>
      <c r="H29" s="44" t="s">
        <v>461</v>
      </c>
      <c r="I29" s="42" t="s">
        <v>977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955</v>
      </c>
      <c r="E30" s="34" t="s">
        <v>459</v>
      </c>
      <c r="F30" s="43" t="s">
        <v>459</v>
      </c>
      <c r="G30" s="31" t="s">
        <v>939</v>
      </c>
      <c r="H30" s="44" t="s">
        <v>461</v>
      </c>
      <c r="I30" s="42" t="s">
        <v>977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493</v>
      </c>
      <c r="E31" s="34" t="s">
        <v>459</v>
      </c>
      <c r="F31" s="43" t="s">
        <v>459</v>
      </c>
      <c r="G31" s="31" t="s">
        <v>939</v>
      </c>
      <c r="H31" s="44" t="s">
        <v>461</v>
      </c>
      <c r="I31" s="42" t="s">
        <v>977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953</v>
      </c>
      <c r="E32" s="34" t="s">
        <v>459</v>
      </c>
      <c r="F32" s="43" t="s">
        <v>459</v>
      </c>
      <c r="G32" s="31" t="s">
        <v>939</v>
      </c>
      <c r="H32" s="44" t="s">
        <v>461</v>
      </c>
      <c r="I32" s="42" t="s">
        <v>977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488</v>
      </c>
      <c r="C33" s="42" t="s">
        <v>476</v>
      </c>
      <c r="D33" s="42" t="s">
        <v>951</v>
      </c>
      <c r="E33" s="34" t="s">
        <v>459</v>
      </c>
      <c r="F33" s="43" t="s">
        <v>459</v>
      </c>
      <c r="G33" s="31" t="s">
        <v>939</v>
      </c>
      <c r="H33" s="44" t="s">
        <v>461</v>
      </c>
      <c r="I33" s="42" t="s">
        <v>977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488</v>
      </c>
      <c r="C34" s="42" t="s">
        <v>476</v>
      </c>
      <c r="D34" s="42" t="s">
        <v>952</v>
      </c>
      <c r="E34" s="34" t="s">
        <v>459</v>
      </c>
      <c r="F34" s="43" t="s">
        <v>459</v>
      </c>
      <c r="G34" s="31" t="s">
        <v>939</v>
      </c>
      <c r="H34" s="44" t="s">
        <v>461</v>
      </c>
      <c r="I34" s="42" t="s">
        <v>977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494</v>
      </c>
      <c r="E35" s="34" t="s">
        <v>459</v>
      </c>
      <c r="F35" s="43" t="s">
        <v>459</v>
      </c>
      <c r="G35" s="31" t="s">
        <v>939</v>
      </c>
      <c r="H35" s="44" t="s">
        <v>461</v>
      </c>
      <c r="I35" s="42" t="s">
        <v>977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882</v>
      </c>
      <c r="C36" s="42" t="s">
        <v>476</v>
      </c>
      <c r="D36" s="42" t="s">
        <v>956</v>
      </c>
      <c r="E36" s="34" t="s">
        <v>459</v>
      </c>
      <c r="F36" s="43" t="s">
        <v>459</v>
      </c>
      <c r="G36" s="31" t="s">
        <v>939</v>
      </c>
      <c r="H36" s="44" t="s">
        <v>461</v>
      </c>
      <c r="I36" s="42" t="s">
        <v>977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483</v>
      </c>
      <c r="C37" s="42" t="s">
        <v>476</v>
      </c>
      <c r="D37" s="42" t="s">
        <v>484</v>
      </c>
      <c r="E37" s="34" t="s">
        <v>459</v>
      </c>
      <c r="F37" s="43" t="s">
        <v>459</v>
      </c>
      <c r="G37" s="31" t="s">
        <v>939</v>
      </c>
      <c r="H37" s="44" t="s">
        <v>461</v>
      </c>
      <c r="I37" s="42" t="s">
        <v>977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483</v>
      </c>
      <c r="C38" s="42" t="s">
        <v>476</v>
      </c>
      <c r="D38" s="42" t="s">
        <v>485</v>
      </c>
      <c r="E38" s="34" t="s">
        <v>459</v>
      </c>
      <c r="F38" s="43" t="s">
        <v>459</v>
      </c>
      <c r="G38" s="31" t="s">
        <v>939</v>
      </c>
      <c r="H38" s="44" t="s">
        <v>461</v>
      </c>
      <c r="I38" s="42" t="s">
        <v>977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476</v>
      </c>
      <c r="D39" s="42" t="s">
        <v>495</v>
      </c>
      <c r="E39" s="34" t="s">
        <v>459</v>
      </c>
      <c r="F39" s="43" t="s">
        <v>459</v>
      </c>
      <c r="G39" s="31" t="s">
        <v>939</v>
      </c>
      <c r="H39" s="44" t="s">
        <v>461</v>
      </c>
      <c r="I39" s="42" t="s">
        <v>977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476</v>
      </c>
      <c r="D40" s="42" t="s">
        <v>496</v>
      </c>
      <c r="E40" s="34" t="s">
        <v>459</v>
      </c>
      <c r="F40" s="43" t="s">
        <v>459</v>
      </c>
      <c r="G40" s="31" t="s">
        <v>939</v>
      </c>
      <c r="H40" s="44" t="s">
        <v>461</v>
      </c>
      <c r="I40" s="42" t="s">
        <v>977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488</v>
      </c>
      <c r="C41" s="42" t="s">
        <v>476</v>
      </c>
      <c r="D41" s="42" t="s">
        <v>497</v>
      </c>
      <c r="E41" s="34" t="s">
        <v>459</v>
      </c>
      <c r="F41" s="43" t="s">
        <v>459</v>
      </c>
      <c r="G41" s="31" t="s">
        <v>939</v>
      </c>
      <c r="H41" s="44" t="s">
        <v>461</v>
      </c>
      <c r="I41" s="42" t="s">
        <v>977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488</v>
      </c>
      <c r="C42" s="42" t="s">
        <v>476</v>
      </c>
      <c r="D42" s="42" t="s">
        <v>957</v>
      </c>
      <c r="E42" s="34" t="s">
        <v>459</v>
      </c>
      <c r="F42" s="43" t="s">
        <v>459</v>
      </c>
      <c r="G42" s="31" t="s">
        <v>939</v>
      </c>
      <c r="H42" s="44" t="s">
        <v>461</v>
      </c>
      <c r="I42" s="42" t="s">
        <v>977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488</v>
      </c>
      <c r="C43" s="42" t="s">
        <v>476</v>
      </c>
      <c r="D43" s="42" t="s">
        <v>958</v>
      </c>
      <c r="E43" s="34" t="s">
        <v>459</v>
      </c>
      <c r="F43" s="43" t="s">
        <v>459</v>
      </c>
      <c r="G43" s="31" t="s">
        <v>939</v>
      </c>
      <c r="H43" s="44" t="s">
        <v>461</v>
      </c>
      <c r="I43" s="42" t="s">
        <v>977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475</v>
      </c>
      <c r="C44" s="42" t="s">
        <v>502</v>
      </c>
      <c r="D44" s="42" t="s">
        <v>477</v>
      </c>
      <c r="E44" s="34" t="s">
        <v>459</v>
      </c>
      <c r="F44" s="43" t="s">
        <v>459</v>
      </c>
      <c r="G44" s="31" t="s">
        <v>939</v>
      </c>
      <c r="H44" s="44" t="s">
        <v>461</v>
      </c>
      <c r="I44" s="42" t="s">
        <v>977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475</v>
      </c>
      <c r="C45" s="42" t="s">
        <v>502</v>
      </c>
      <c r="D45" s="42" t="s">
        <v>478</v>
      </c>
      <c r="E45" s="34" t="s">
        <v>459</v>
      </c>
      <c r="F45" s="43" t="s">
        <v>459</v>
      </c>
      <c r="G45" s="31" t="s">
        <v>939</v>
      </c>
      <c r="H45" s="44" t="s">
        <v>461</v>
      </c>
      <c r="I45" s="42" t="s">
        <v>977</v>
      </c>
      <c r="J45" s="42"/>
      <c r="K45" s="45" t="n">
        <f aca="false">IF(AND(E45="yes",F45="yes",H45="covered"),1,IF(H45="partial",0.5,0))</f>
        <v>1</v>
      </c>
    </row>
    <row r="46" customFormat="false" ht="30" hidden="false" customHeight="true" outlineLevel="0" collapsed="false">
      <c r="A46" s="31" t="n">
        <v>38</v>
      </c>
      <c r="B46" s="42" t="s">
        <v>479</v>
      </c>
      <c r="C46" s="42" t="s">
        <v>502</v>
      </c>
      <c r="D46" s="42" t="s">
        <v>480</v>
      </c>
      <c r="E46" s="34" t="s">
        <v>459</v>
      </c>
      <c r="F46" s="43" t="s">
        <v>459</v>
      </c>
      <c r="G46" s="31" t="s">
        <v>939</v>
      </c>
      <c r="H46" s="44" t="s">
        <v>461</v>
      </c>
      <c r="I46" s="42" t="s">
        <v>977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479</v>
      </c>
      <c r="C47" s="42" t="s">
        <v>502</v>
      </c>
      <c r="D47" s="42" t="s">
        <v>481</v>
      </c>
      <c r="E47" s="34" t="s">
        <v>459</v>
      </c>
      <c r="F47" s="43" t="s">
        <v>459</v>
      </c>
      <c r="G47" s="31" t="s">
        <v>939</v>
      </c>
      <c r="H47" s="44" t="s">
        <v>461</v>
      </c>
      <c r="I47" s="42" t="s">
        <v>977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457</v>
      </c>
      <c r="C48" s="42" t="s">
        <v>502</v>
      </c>
      <c r="D48" s="42" t="s">
        <v>482</v>
      </c>
      <c r="E48" s="34" t="s">
        <v>459</v>
      </c>
      <c r="F48" s="43" t="s">
        <v>459</v>
      </c>
      <c r="G48" s="31" t="s">
        <v>939</v>
      </c>
      <c r="H48" s="44" t="s">
        <v>461</v>
      </c>
      <c r="I48" s="42" t="s">
        <v>977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774</v>
      </c>
      <c r="C49" s="42" t="s">
        <v>502</v>
      </c>
      <c r="D49" s="42" t="s">
        <v>775</v>
      </c>
      <c r="E49" s="34" t="s">
        <v>459</v>
      </c>
      <c r="F49" s="43" t="s">
        <v>459</v>
      </c>
      <c r="G49" s="31" t="s">
        <v>939</v>
      </c>
      <c r="H49" s="44" t="s">
        <v>461</v>
      </c>
      <c r="I49" s="42" t="s">
        <v>977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488</v>
      </c>
      <c r="C50" s="42" t="s">
        <v>502</v>
      </c>
      <c r="D50" s="42" t="s">
        <v>489</v>
      </c>
      <c r="E50" s="34" t="s">
        <v>459</v>
      </c>
      <c r="F50" s="43" t="s">
        <v>459</v>
      </c>
      <c r="G50" s="31" t="s">
        <v>939</v>
      </c>
      <c r="H50" s="44" t="s">
        <v>461</v>
      </c>
      <c r="I50" s="42" t="s">
        <v>977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488</v>
      </c>
      <c r="C51" s="42" t="s">
        <v>502</v>
      </c>
      <c r="D51" s="42" t="s">
        <v>493</v>
      </c>
      <c r="E51" s="34" t="s">
        <v>459</v>
      </c>
      <c r="F51" s="43" t="s">
        <v>459</v>
      </c>
      <c r="G51" s="31" t="s">
        <v>939</v>
      </c>
      <c r="H51" s="44" t="s">
        <v>461</v>
      </c>
      <c r="I51" s="42" t="s">
        <v>977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488</v>
      </c>
      <c r="C52" s="42" t="s">
        <v>502</v>
      </c>
      <c r="D52" s="42" t="s">
        <v>951</v>
      </c>
      <c r="E52" s="34" t="s">
        <v>459</v>
      </c>
      <c r="F52" s="43" t="s">
        <v>459</v>
      </c>
      <c r="G52" s="31" t="s">
        <v>939</v>
      </c>
      <c r="H52" s="44" t="s">
        <v>461</v>
      </c>
      <c r="I52" s="42" t="s">
        <v>977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488</v>
      </c>
      <c r="C53" s="42" t="s">
        <v>502</v>
      </c>
      <c r="D53" s="42" t="s">
        <v>952</v>
      </c>
      <c r="E53" s="34" t="s">
        <v>459</v>
      </c>
      <c r="F53" s="43" t="s">
        <v>459</v>
      </c>
      <c r="G53" s="31" t="s">
        <v>939</v>
      </c>
      <c r="H53" s="44" t="s">
        <v>461</v>
      </c>
      <c r="I53" s="42" t="s">
        <v>977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488</v>
      </c>
      <c r="C54" s="42" t="s">
        <v>502</v>
      </c>
      <c r="D54" s="42" t="s">
        <v>953</v>
      </c>
      <c r="E54" s="34" t="s">
        <v>459</v>
      </c>
      <c r="F54" s="43" t="s">
        <v>459</v>
      </c>
      <c r="G54" s="31" t="s">
        <v>939</v>
      </c>
      <c r="H54" s="44" t="s">
        <v>461</v>
      </c>
      <c r="I54" s="42" t="s">
        <v>977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486</v>
      </c>
      <c r="C55" s="42" t="s">
        <v>502</v>
      </c>
      <c r="D55" s="42" t="s">
        <v>954</v>
      </c>
      <c r="E55" s="34" t="s">
        <v>459</v>
      </c>
      <c r="F55" s="43" t="s">
        <v>459</v>
      </c>
      <c r="G55" s="31" t="s">
        <v>939</v>
      </c>
      <c r="H55" s="44" t="s">
        <v>461</v>
      </c>
      <c r="I55" s="42" t="s">
        <v>977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486</v>
      </c>
      <c r="C56" s="42" t="s">
        <v>502</v>
      </c>
      <c r="D56" s="42" t="s">
        <v>955</v>
      </c>
      <c r="E56" s="34" t="s">
        <v>459</v>
      </c>
      <c r="F56" s="43" t="s">
        <v>459</v>
      </c>
      <c r="G56" s="31" t="s">
        <v>939</v>
      </c>
      <c r="H56" s="44" t="s">
        <v>461</v>
      </c>
      <c r="I56" s="42" t="s">
        <v>977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882</v>
      </c>
      <c r="C57" s="42" t="s">
        <v>502</v>
      </c>
      <c r="D57" s="42" t="s">
        <v>956</v>
      </c>
      <c r="E57" s="34" t="s">
        <v>459</v>
      </c>
      <c r="F57" s="43" t="s">
        <v>459</v>
      </c>
      <c r="G57" s="31" t="s">
        <v>939</v>
      </c>
      <c r="H57" s="44" t="s">
        <v>461</v>
      </c>
      <c r="I57" s="42" t="s">
        <v>977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483</v>
      </c>
      <c r="C58" s="42" t="s">
        <v>502</v>
      </c>
      <c r="D58" s="42" t="s">
        <v>484</v>
      </c>
      <c r="E58" s="34" t="s">
        <v>459</v>
      </c>
      <c r="F58" s="43" t="s">
        <v>459</v>
      </c>
      <c r="G58" s="31" t="s">
        <v>939</v>
      </c>
      <c r="H58" s="44" t="s">
        <v>461</v>
      </c>
      <c r="I58" s="42" t="s">
        <v>977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483</v>
      </c>
      <c r="C59" s="42" t="s">
        <v>502</v>
      </c>
      <c r="D59" s="42" t="s">
        <v>485</v>
      </c>
      <c r="E59" s="34" t="s">
        <v>459</v>
      </c>
      <c r="F59" s="43" t="s">
        <v>459</v>
      </c>
      <c r="G59" s="31" t="s">
        <v>939</v>
      </c>
      <c r="H59" s="44" t="s">
        <v>461</v>
      </c>
      <c r="I59" s="42" t="s">
        <v>977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486</v>
      </c>
      <c r="C60" s="42" t="s">
        <v>502</v>
      </c>
      <c r="D60" s="42" t="s">
        <v>495</v>
      </c>
      <c r="E60" s="34" t="s">
        <v>459</v>
      </c>
      <c r="F60" s="43" t="s">
        <v>459</v>
      </c>
      <c r="G60" s="31" t="s">
        <v>939</v>
      </c>
      <c r="H60" s="44" t="s">
        <v>461</v>
      </c>
      <c r="I60" s="42" t="s">
        <v>977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488</v>
      </c>
      <c r="C61" s="42" t="s">
        <v>502</v>
      </c>
      <c r="D61" s="42" t="s">
        <v>887</v>
      </c>
      <c r="E61" s="34" t="s">
        <v>459</v>
      </c>
      <c r="F61" s="43" t="s">
        <v>459</v>
      </c>
      <c r="G61" s="31" t="s">
        <v>939</v>
      </c>
      <c r="H61" s="44" t="s">
        <v>461</v>
      </c>
      <c r="I61" s="42" t="s">
        <v>977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486</v>
      </c>
      <c r="C62" s="42" t="s">
        <v>502</v>
      </c>
      <c r="D62" s="42" t="s">
        <v>499</v>
      </c>
      <c r="E62" s="34" t="s">
        <v>459</v>
      </c>
      <c r="F62" s="43" t="s">
        <v>459</v>
      </c>
      <c r="G62" s="31" t="s">
        <v>939</v>
      </c>
      <c r="H62" s="44" t="s">
        <v>461</v>
      </c>
      <c r="I62" s="42" t="s">
        <v>977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488</v>
      </c>
      <c r="C63" s="42" t="s">
        <v>502</v>
      </c>
      <c r="D63" s="42" t="s">
        <v>497</v>
      </c>
      <c r="E63" s="34" t="s">
        <v>459</v>
      </c>
      <c r="F63" s="43" t="s">
        <v>459</v>
      </c>
      <c r="G63" s="31" t="s">
        <v>939</v>
      </c>
      <c r="H63" s="44" t="s">
        <v>461</v>
      </c>
      <c r="I63" s="42" t="s">
        <v>977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488</v>
      </c>
      <c r="C64" s="42" t="s">
        <v>502</v>
      </c>
      <c r="D64" s="42" t="s">
        <v>957</v>
      </c>
      <c r="E64" s="34" t="s">
        <v>459</v>
      </c>
      <c r="F64" s="43" t="s">
        <v>459</v>
      </c>
      <c r="G64" s="31" t="s">
        <v>939</v>
      </c>
      <c r="H64" s="44" t="s">
        <v>461</v>
      </c>
      <c r="I64" s="42" t="s">
        <v>977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488</v>
      </c>
      <c r="C65" s="42" t="s">
        <v>502</v>
      </c>
      <c r="D65" s="42" t="s">
        <v>958</v>
      </c>
      <c r="E65" s="34" t="s">
        <v>459</v>
      </c>
      <c r="F65" s="43" t="s">
        <v>459</v>
      </c>
      <c r="G65" s="31" t="s">
        <v>939</v>
      </c>
      <c r="H65" s="44" t="s">
        <v>461</v>
      </c>
      <c r="I65" s="42" t="s">
        <v>977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475</v>
      </c>
      <c r="C66" s="42" t="s">
        <v>982</v>
      </c>
      <c r="D66" s="42" t="s">
        <v>477</v>
      </c>
      <c r="E66" s="34" t="s">
        <v>459</v>
      </c>
      <c r="F66" s="43" t="s">
        <v>459</v>
      </c>
      <c r="G66" s="31" t="s">
        <v>939</v>
      </c>
      <c r="H66" s="44" t="s">
        <v>461</v>
      </c>
      <c r="I66" s="42" t="s">
        <v>977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475</v>
      </c>
      <c r="C67" s="42" t="s">
        <v>982</v>
      </c>
      <c r="D67" s="42" t="s">
        <v>478</v>
      </c>
      <c r="E67" s="34" t="s">
        <v>459</v>
      </c>
      <c r="F67" s="43" t="s">
        <v>459</v>
      </c>
      <c r="G67" s="31" t="s">
        <v>939</v>
      </c>
      <c r="H67" s="44" t="s">
        <v>461</v>
      </c>
      <c r="I67" s="42" t="s">
        <v>977</v>
      </c>
      <c r="J67" s="42"/>
      <c r="K67" s="45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31" t="n">
        <v>60</v>
      </c>
      <c r="B68" s="42" t="s">
        <v>479</v>
      </c>
      <c r="C68" s="42" t="s">
        <v>982</v>
      </c>
      <c r="D68" s="42" t="s">
        <v>480</v>
      </c>
      <c r="E68" s="34" t="s">
        <v>459</v>
      </c>
      <c r="F68" s="43" t="s">
        <v>459</v>
      </c>
      <c r="G68" s="31" t="s">
        <v>939</v>
      </c>
      <c r="H68" s="44" t="s">
        <v>461</v>
      </c>
      <c r="I68" s="42" t="s">
        <v>977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479</v>
      </c>
      <c r="C69" s="42" t="s">
        <v>982</v>
      </c>
      <c r="D69" s="42" t="s">
        <v>481</v>
      </c>
      <c r="E69" s="34" t="s">
        <v>459</v>
      </c>
      <c r="F69" s="43" t="s">
        <v>459</v>
      </c>
      <c r="G69" s="31" t="s">
        <v>939</v>
      </c>
      <c r="H69" s="44" t="s">
        <v>461</v>
      </c>
      <c r="I69" s="42" t="s">
        <v>977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457</v>
      </c>
      <c r="C70" s="42" t="s">
        <v>982</v>
      </c>
      <c r="D70" s="42" t="s">
        <v>482</v>
      </c>
      <c r="E70" s="34" t="s">
        <v>459</v>
      </c>
      <c r="F70" s="43" t="s">
        <v>459</v>
      </c>
      <c r="G70" s="31" t="s">
        <v>939</v>
      </c>
      <c r="H70" s="44" t="s">
        <v>461</v>
      </c>
      <c r="I70" s="42" t="s">
        <v>977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774</v>
      </c>
      <c r="C71" s="42" t="s">
        <v>982</v>
      </c>
      <c r="D71" s="42" t="s">
        <v>775</v>
      </c>
      <c r="E71" s="34" t="s">
        <v>459</v>
      </c>
      <c r="F71" s="43" t="s">
        <v>459</v>
      </c>
      <c r="G71" s="31" t="s">
        <v>939</v>
      </c>
      <c r="H71" s="44" t="s">
        <v>461</v>
      </c>
      <c r="I71" s="42" t="s">
        <v>977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505</v>
      </c>
      <c r="C72" s="42" t="s">
        <v>506</v>
      </c>
      <c r="D72" s="42" t="s">
        <v>961</v>
      </c>
      <c r="E72" s="34" t="s">
        <v>459</v>
      </c>
      <c r="F72" s="43" t="s">
        <v>459</v>
      </c>
      <c r="G72" s="31" t="s">
        <v>939</v>
      </c>
      <c r="H72" s="44" t="s">
        <v>461</v>
      </c>
      <c r="I72" s="42" t="s">
        <v>977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505</v>
      </c>
      <c r="C73" s="42" t="s">
        <v>506</v>
      </c>
      <c r="D73" s="42" t="s">
        <v>508</v>
      </c>
      <c r="E73" s="34" t="s">
        <v>459</v>
      </c>
      <c r="F73" s="43" t="s">
        <v>459</v>
      </c>
      <c r="G73" s="31" t="s">
        <v>939</v>
      </c>
      <c r="H73" s="44" t="s">
        <v>461</v>
      </c>
      <c r="I73" s="42" t="s">
        <v>977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505</v>
      </c>
      <c r="C74" s="42" t="s">
        <v>506</v>
      </c>
      <c r="D74" s="42" t="s">
        <v>905</v>
      </c>
      <c r="E74" s="34" t="s">
        <v>459</v>
      </c>
      <c r="F74" s="43" t="s">
        <v>459</v>
      </c>
      <c r="G74" s="31" t="s">
        <v>939</v>
      </c>
      <c r="H74" s="44" t="s">
        <v>461</v>
      </c>
      <c r="I74" s="42" t="s">
        <v>977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505</v>
      </c>
      <c r="C75" s="42" t="s">
        <v>506</v>
      </c>
      <c r="D75" s="42" t="s">
        <v>962</v>
      </c>
      <c r="E75" s="34" t="s">
        <v>459</v>
      </c>
      <c r="F75" s="43" t="s">
        <v>459</v>
      </c>
      <c r="G75" s="31" t="s">
        <v>939</v>
      </c>
      <c r="H75" s="44" t="s">
        <v>461</v>
      </c>
      <c r="I75" s="42" t="s">
        <v>977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505</v>
      </c>
      <c r="C76" s="42" t="s">
        <v>506</v>
      </c>
      <c r="D76" s="42" t="s">
        <v>783</v>
      </c>
      <c r="E76" s="34" t="s">
        <v>459</v>
      </c>
      <c r="F76" s="43" t="s">
        <v>459</v>
      </c>
      <c r="G76" s="31" t="s">
        <v>939</v>
      </c>
      <c r="H76" s="44" t="s">
        <v>461</v>
      </c>
      <c r="I76" s="42" t="s">
        <v>977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505</v>
      </c>
      <c r="C77" s="42" t="s">
        <v>506</v>
      </c>
      <c r="D77" s="42" t="s">
        <v>963</v>
      </c>
      <c r="E77" s="34" t="s">
        <v>459</v>
      </c>
      <c r="F77" s="43" t="s">
        <v>459</v>
      </c>
      <c r="G77" s="31" t="s">
        <v>939</v>
      </c>
      <c r="H77" s="44" t="s">
        <v>461</v>
      </c>
      <c r="I77" s="42" t="s">
        <v>977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505</v>
      </c>
      <c r="C78" s="42" t="s">
        <v>506</v>
      </c>
      <c r="D78" s="42" t="s">
        <v>964</v>
      </c>
      <c r="E78" s="34" t="s">
        <v>459</v>
      </c>
      <c r="F78" s="43" t="s">
        <v>459</v>
      </c>
      <c r="G78" s="31" t="s">
        <v>939</v>
      </c>
      <c r="H78" s="44" t="s">
        <v>461</v>
      </c>
      <c r="I78" s="42" t="s">
        <v>977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511</v>
      </c>
      <c r="C79" s="42" t="s">
        <v>506</v>
      </c>
      <c r="D79" s="42" t="s">
        <v>512</v>
      </c>
      <c r="E79" s="34" t="s">
        <v>459</v>
      </c>
      <c r="F79" s="43" t="s">
        <v>459</v>
      </c>
      <c r="G79" s="31" t="s">
        <v>939</v>
      </c>
      <c r="H79" s="44" t="s">
        <v>461</v>
      </c>
      <c r="I79" s="42" t="s">
        <v>977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511</v>
      </c>
      <c r="C80" s="42" t="s">
        <v>506</v>
      </c>
      <c r="D80" s="42" t="s">
        <v>965</v>
      </c>
      <c r="E80" s="34" t="s">
        <v>459</v>
      </c>
      <c r="F80" s="43" t="s">
        <v>459</v>
      </c>
      <c r="G80" s="31" t="s">
        <v>939</v>
      </c>
      <c r="H80" s="44" t="s">
        <v>461</v>
      </c>
      <c r="I80" s="42" t="s">
        <v>977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511</v>
      </c>
      <c r="C81" s="42" t="s">
        <v>506</v>
      </c>
      <c r="D81" s="42" t="s">
        <v>513</v>
      </c>
      <c r="E81" s="34" t="s">
        <v>459</v>
      </c>
      <c r="F81" s="43" t="s">
        <v>459</v>
      </c>
      <c r="G81" s="31" t="s">
        <v>939</v>
      </c>
      <c r="H81" s="44" t="s">
        <v>461</v>
      </c>
      <c r="I81" s="42" t="s">
        <v>977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511</v>
      </c>
      <c r="C82" s="42" t="s">
        <v>506</v>
      </c>
      <c r="D82" s="42" t="s">
        <v>966</v>
      </c>
      <c r="E82" s="34" t="s">
        <v>459</v>
      </c>
      <c r="F82" s="43" t="s">
        <v>459</v>
      </c>
      <c r="G82" s="31" t="s">
        <v>939</v>
      </c>
      <c r="H82" s="44" t="s">
        <v>461</v>
      </c>
      <c r="I82" s="42" t="s">
        <v>977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511</v>
      </c>
      <c r="C83" s="42" t="s">
        <v>506</v>
      </c>
      <c r="D83" s="42" t="s">
        <v>514</v>
      </c>
      <c r="E83" s="34" t="s">
        <v>459</v>
      </c>
      <c r="F83" s="43" t="s">
        <v>459</v>
      </c>
      <c r="G83" s="31" t="s">
        <v>939</v>
      </c>
      <c r="H83" s="44" t="s">
        <v>461</v>
      </c>
      <c r="I83" s="42" t="s">
        <v>977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511</v>
      </c>
      <c r="C84" s="42" t="s">
        <v>506</v>
      </c>
      <c r="D84" s="42" t="s">
        <v>515</v>
      </c>
      <c r="E84" s="34" t="s">
        <v>459</v>
      </c>
      <c r="F84" s="43" t="s">
        <v>459</v>
      </c>
      <c r="G84" s="31" t="s">
        <v>939</v>
      </c>
      <c r="H84" s="44" t="s">
        <v>461</v>
      </c>
      <c r="I84" s="42" t="s">
        <v>977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511</v>
      </c>
      <c r="C85" s="42" t="s">
        <v>506</v>
      </c>
      <c r="D85" s="42" t="s">
        <v>893</v>
      </c>
      <c r="E85" s="34" t="s">
        <v>459</v>
      </c>
      <c r="F85" s="43" t="s">
        <v>459</v>
      </c>
      <c r="G85" s="31" t="s">
        <v>939</v>
      </c>
      <c r="H85" s="44" t="s">
        <v>461</v>
      </c>
      <c r="I85" s="42" t="s">
        <v>977</v>
      </c>
      <c r="J85" s="42"/>
      <c r="K85" s="45" t="n">
        <f aca="false">IF(AND(E85="yes",F85="yes",H85="covered"),1,IF(H85="partial",0.5,0))</f>
        <v>1</v>
      </c>
    </row>
    <row r="86" customFormat="false" ht="30" hidden="false" customHeight="true" outlineLevel="0" collapsed="false">
      <c r="A86" s="31" t="n">
        <v>78</v>
      </c>
      <c r="B86" s="42" t="s">
        <v>483</v>
      </c>
      <c r="C86" s="42" t="s">
        <v>24</v>
      </c>
      <c r="D86" s="42" t="s">
        <v>516</v>
      </c>
      <c r="E86" s="34" t="s">
        <v>459</v>
      </c>
      <c r="F86" s="43" t="s">
        <v>459</v>
      </c>
      <c r="G86" s="31" t="s">
        <v>939</v>
      </c>
      <c r="H86" s="44" t="s">
        <v>461</v>
      </c>
      <c r="I86" s="42" t="s">
        <v>977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483</v>
      </c>
      <c r="C87" s="42" t="s">
        <v>24</v>
      </c>
      <c r="D87" s="42" t="s">
        <v>517</v>
      </c>
      <c r="E87" s="34" t="s">
        <v>459</v>
      </c>
      <c r="F87" s="43" t="s">
        <v>459</v>
      </c>
      <c r="G87" s="31" t="s">
        <v>939</v>
      </c>
      <c r="H87" s="44" t="s">
        <v>461</v>
      </c>
      <c r="I87" s="42" t="s">
        <v>977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483</v>
      </c>
      <c r="C88" s="42" t="s">
        <v>24</v>
      </c>
      <c r="D88" s="42" t="s">
        <v>518</v>
      </c>
      <c r="E88" s="34" t="s">
        <v>459</v>
      </c>
      <c r="F88" s="43" t="s">
        <v>459</v>
      </c>
      <c r="G88" s="31" t="s">
        <v>939</v>
      </c>
      <c r="H88" s="44" t="s">
        <v>461</v>
      </c>
      <c r="I88" s="42" t="s">
        <v>977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483</v>
      </c>
      <c r="C89" s="42" t="s">
        <v>24</v>
      </c>
      <c r="D89" s="42" t="s">
        <v>519</v>
      </c>
      <c r="E89" s="34" t="s">
        <v>459</v>
      </c>
      <c r="F89" s="43" t="s">
        <v>459</v>
      </c>
      <c r="G89" s="31" t="s">
        <v>939</v>
      </c>
      <c r="H89" s="44" t="s">
        <v>461</v>
      </c>
      <c r="I89" s="42" t="s">
        <v>977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483</v>
      </c>
      <c r="C90" s="42" t="s">
        <v>24</v>
      </c>
      <c r="D90" s="42" t="s">
        <v>520</v>
      </c>
      <c r="E90" s="34" t="s">
        <v>459</v>
      </c>
      <c r="F90" s="43" t="s">
        <v>459</v>
      </c>
      <c r="G90" s="31" t="s">
        <v>939</v>
      </c>
      <c r="H90" s="44" t="s">
        <v>461</v>
      </c>
      <c r="I90" s="42" t="s">
        <v>977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488</v>
      </c>
      <c r="C91" s="42" t="s">
        <v>476</v>
      </c>
      <c r="D91" s="42" t="s">
        <v>521</v>
      </c>
      <c r="E91" s="34" t="s">
        <v>459</v>
      </c>
      <c r="F91" s="43" t="s">
        <v>459</v>
      </c>
      <c r="G91" s="31" t="s">
        <v>939</v>
      </c>
      <c r="H91" s="44" t="s">
        <v>461</v>
      </c>
      <c r="I91" s="42" t="s">
        <v>977</v>
      </c>
      <c r="J91" s="42"/>
      <c r="K91" s="45" t="n">
        <f aca="false">IF(AND(E91="yes",F91="yes",H91="covered"),1,IF(H91="partial",0.5,0))</f>
        <v>1</v>
      </c>
    </row>
    <row r="92" customFormat="false" ht="30" hidden="false" customHeight="true" outlineLevel="0" collapsed="false">
      <c r="A92" s="31" t="n">
        <v>84</v>
      </c>
      <c r="B92" s="42" t="s">
        <v>488</v>
      </c>
      <c r="C92" s="42" t="s">
        <v>476</v>
      </c>
      <c r="D92" s="42" t="s">
        <v>522</v>
      </c>
      <c r="E92" s="34" t="s">
        <v>459</v>
      </c>
      <c r="F92" s="43" t="s">
        <v>459</v>
      </c>
      <c r="G92" s="31" t="s">
        <v>939</v>
      </c>
      <c r="H92" s="44" t="s">
        <v>461</v>
      </c>
      <c r="I92" s="42" t="s">
        <v>977</v>
      </c>
      <c r="J92" s="42"/>
      <c r="K92" s="45" t="n">
        <f aca="false">IF(AND(E92="yes",F92="yes",H92="covered"),1,IF(H92="partial",0.5,0))</f>
        <v>1</v>
      </c>
    </row>
    <row r="93" customFormat="false" ht="30" hidden="false" customHeight="true" outlineLevel="0" collapsed="false">
      <c r="A93" s="31" t="n">
        <v>85</v>
      </c>
      <c r="B93" s="42" t="s">
        <v>488</v>
      </c>
      <c r="C93" s="42" t="s">
        <v>476</v>
      </c>
      <c r="D93" s="42" t="s">
        <v>523</v>
      </c>
      <c r="E93" s="34" t="s">
        <v>459</v>
      </c>
      <c r="F93" s="43" t="s">
        <v>459</v>
      </c>
      <c r="G93" s="31" t="s">
        <v>939</v>
      </c>
      <c r="H93" s="44" t="s">
        <v>461</v>
      </c>
      <c r="I93" s="42" t="s">
        <v>977</v>
      </c>
      <c r="J93" s="42"/>
      <c r="K93" s="45" t="n">
        <f aca="false">IF(AND(E93="yes",F93="yes",H93="covered"),1,IF(H93="partial",0.5,0))</f>
        <v>1</v>
      </c>
    </row>
    <row r="94" customFormat="false" ht="30" hidden="false" customHeight="true" outlineLevel="0" collapsed="false">
      <c r="A94" s="31" t="n">
        <v>86</v>
      </c>
      <c r="B94" s="42" t="s">
        <v>488</v>
      </c>
      <c r="C94" s="42" t="s">
        <v>24</v>
      </c>
      <c r="D94" s="42" t="s">
        <v>968</v>
      </c>
      <c r="E94" s="34" t="s">
        <v>459</v>
      </c>
      <c r="F94" s="43" t="s">
        <v>459</v>
      </c>
      <c r="G94" s="31" t="s">
        <v>939</v>
      </c>
      <c r="H94" s="44" t="s">
        <v>461</v>
      </c>
      <c r="I94" s="42" t="s">
        <v>977</v>
      </c>
      <c r="J94" s="42"/>
      <c r="K94" s="45" t="n">
        <f aca="false">IF(AND(E94="yes",F94="yes",H94="covered"),1,IF(H94="partial",0.5,0))</f>
        <v>1</v>
      </c>
    </row>
    <row r="95" customFormat="false" ht="30" hidden="false" customHeight="true" outlineLevel="0" collapsed="false">
      <c r="A95" s="31" t="n">
        <v>87</v>
      </c>
      <c r="B95" s="42" t="s">
        <v>488</v>
      </c>
      <c r="C95" s="42" t="s">
        <v>24</v>
      </c>
      <c r="D95" s="42" t="s">
        <v>969</v>
      </c>
      <c r="E95" s="34" t="s">
        <v>459</v>
      </c>
      <c r="F95" s="43" t="s">
        <v>459</v>
      </c>
      <c r="G95" s="31" t="s">
        <v>939</v>
      </c>
      <c r="H95" s="44" t="s">
        <v>461</v>
      </c>
      <c r="I95" s="42" t="s">
        <v>977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488</v>
      </c>
      <c r="C96" s="42" t="s">
        <v>24</v>
      </c>
      <c r="D96" s="42" t="s">
        <v>970</v>
      </c>
      <c r="E96" s="34" t="s">
        <v>459</v>
      </c>
      <c r="F96" s="43" t="s">
        <v>459</v>
      </c>
      <c r="G96" s="31" t="s">
        <v>939</v>
      </c>
      <c r="H96" s="44" t="s">
        <v>461</v>
      </c>
      <c r="I96" s="42" t="s">
        <v>977</v>
      </c>
      <c r="J96" s="42"/>
      <c r="K96" s="45" t="n">
        <f aca="false">IF(AND(E96="yes",F96="yes",H96="covered"),1,IF(H96="partial",0.5,0))</f>
        <v>1</v>
      </c>
    </row>
    <row r="97" customFormat="false" ht="30" hidden="false" customHeight="true" outlineLevel="0" collapsed="false">
      <c r="A97" s="31" t="n">
        <v>89</v>
      </c>
      <c r="B97" s="42" t="s">
        <v>488</v>
      </c>
      <c r="C97" s="42" t="s">
        <v>24</v>
      </c>
      <c r="D97" s="42" t="s">
        <v>971</v>
      </c>
      <c r="E97" s="34" t="s">
        <v>459</v>
      </c>
      <c r="F97" s="43" t="s">
        <v>459</v>
      </c>
      <c r="G97" s="31" t="s">
        <v>939</v>
      </c>
      <c r="H97" s="44" t="s">
        <v>461</v>
      </c>
      <c r="I97" s="42" t="s">
        <v>977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933</v>
      </c>
      <c r="C98" s="42" t="s">
        <v>24</v>
      </c>
      <c r="D98" s="42" t="s">
        <v>972</v>
      </c>
      <c r="E98" s="34" t="s">
        <v>459</v>
      </c>
      <c r="F98" s="43" t="s">
        <v>459</v>
      </c>
      <c r="G98" s="31" t="s">
        <v>939</v>
      </c>
      <c r="H98" s="44" t="s">
        <v>461</v>
      </c>
      <c r="I98" s="42" t="s">
        <v>977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933</v>
      </c>
      <c r="C99" s="42" t="s">
        <v>24</v>
      </c>
      <c r="D99" s="42" t="s">
        <v>973</v>
      </c>
      <c r="E99" s="34" t="s">
        <v>459</v>
      </c>
      <c r="F99" s="43" t="s">
        <v>459</v>
      </c>
      <c r="G99" s="31" t="s">
        <v>939</v>
      </c>
      <c r="H99" s="44" t="s">
        <v>461</v>
      </c>
      <c r="I99" s="42" t="s">
        <v>977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531</v>
      </c>
      <c r="C100" s="42" t="s">
        <v>24</v>
      </c>
      <c r="D100" s="42" t="s">
        <v>974</v>
      </c>
      <c r="E100" s="34" t="s">
        <v>459</v>
      </c>
      <c r="F100" s="43" t="s">
        <v>459</v>
      </c>
      <c r="G100" s="31" t="s">
        <v>939</v>
      </c>
      <c r="H100" s="44" t="s">
        <v>461</v>
      </c>
      <c r="I100" s="42" t="s">
        <v>977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531</v>
      </c>
      <c r="C101" s="42" t="s">
        <v>24</v>
      </c>
      <c r="D101" s="42" t="s">
        <v>975</v>
      </c>
      <c r="E101" s="34" t="s">
        <v>459</v>
      </c>
      <c r="F101" s="43" t="s">
        <v>459</v>
      </c>
      <c r="G101" s="31" t="s">
        <v>939</v>
      </c>
      <c r="H101" s="44" t="s">
        <v>461</v>
      </c>
      <c r="I101" s="42" t="s">
        <v>977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531</v>
      </c>
      <c r="C102" s="42" t="s">
        <v>24</v>
      </c>
      <c r="D102" s="42" t="s">
        <v>534</v>
      </c>
      <c r="E102" s="34" t="s">
        <v>459</v>
      </c>
      <c r="F102" s="43" t="s">
        <v>459</v>
      </c>
      <c r="G102" s="31" t="s">
        <v>939</v>
      </c>
      <c r="H102" s="44" t="s">
        <v>461</v>
      </c>
      <c r="I102" s="42" t="s">
        <v>977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531</v>
      </c>
      <c r="C103" s="42" t="s">
        <v>24</v>
      </c>
      <c r="D103" s="42" t="s">
        <v>535</v>
      </c>
      <c r="E103" s="34" t="s">
        <v>459</v>
      </c>
      <c r="F103" s="43" t="s">
        <v>459</v>
      </c>
      <c r="G103" s="31" t="s">
        <v>939</v>
      </c>
      <c r="H103" s="44" t="s">
        <v>461</v>
      </c>
      <c r="I103" s="42" t="s">
        <v>977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531</v>
      </c>
      <c r="C104" s="42" t="s">
        <v>24</v>
      </c>
      <c r="D104" s="42" t="s">
        <v>536</v>
      </c>
      <c r="E104" s="34" t="s">
        <v>459</v>
      </c>
      <c r="F104" s="43" t="s">
        <v>459</v>
      </c>
      <c r="G104" s="31" t="s">
        <v>939</v>
      </c>
      <c r="H104" s="44" t="s">
        <v>461</v>
      </c>
      <c r="I104" s="42" t="s">
        <v>977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531</v>
      </c>
      <c r="C105" s="42" t="s">
        <v>24</v>
      </c>
      <c r="D105" s="42" t="s">
        <v>983</v>
      </c>
      <c r="E105" s="34" t="s">
        <v>459</v>
      </c>
      <c r="F105" s="43" t="s">
        <v>459</v>
      </c>
      <c r="G105" s="31" t="s">
        <v>939</v>
      </c>
      <c r="H105" s="44" t="s">
        <v>461</v>
      </c>
      <c r="I105" s="42" t="s">
        <v>977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529</v>
      </c>
      <c r="C106" s="42" t="s">
        <v>24</v>
      </c>
      <c r="D106" s="42" t="s">
        <v>537</v>
      </c>
      <c r="E106" s="34" t="s">
        <v>459</v>
      </c>
      <c r="F106" s="43" t="s">
        <v>459</v>
      </c>
      <c r="G106" s="31" t="s">
        <v>939</v>
      </c>
      <c r="H106" s="44" t="s">
        <v>461</v>
      </c>
      <c r="I106" s="42" t="s">
        <v>977</v>
      </c>
      <c r="J106" s="42"/>
      <c r="K106" s="45" t="n">
        <f aca="false">IF(AND(E106="yes",F106="yes",H106="covered"),1,IF(H106="partial",0.5,0))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984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69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985</v>
      </c>
      <c r="J9" s="48"/>
      <c r="K9" s="45" t="n">
        <f aca="false">IF(AND(E9="yes",F9="yes",H9="covered"),1,IF(H9="partial",0.5,0))</f>
        <v>1</v>
      </c>
    </row>
    <row r="10" customFormat="false" ht="4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986</v>
      </c>
      <c r="J10" s="48"/>
      <c r="K10" s="45" t="n">
        <f aca="false">IF(AND(E10="yes",F10="yes",H10="covered"),1,IF(H10="partial",0.5,0))</f>
        <v>1</v>
      </c>
    </row>
    <row r="11" customFormat="false" ht="45" hidden="false" customHeight="true" outlineLevel="0" collapsed="false">
      <c r="A11" s="31" t="n">
        <v>3</v>
      </c>
      <c r="B11" s="42" t="s">
        <v>456</v>
      </c>
      <c r="C11" s="42" t="s">
        <v>25</v>
      </c>
      <c r="D11" s="42" t="s">
        <v>464</v>
      </c>
      <c r="E11" s="47" t="s">
        <v>459</v>
      </c>
      <c r="F11" s="47" t="s">
        <v>459</v>
      </c>
      <c r="G11" s="47" t="s">
        <v>110</v>
      </c>
      <c r="H11" s="47" t="s">
        <v>461</v>
      </c>
      <c r="I11" s="48" t="s">
        <v>987</v>
      </c>
      <c r="J11" s="48"/>
      <c r="K11" s="45" t="n">
        <f aca="false">IF(AND(E11="yes",F11="yes",H11="covered"),1,IF(H11="partial",0.5,0))</f>
        <v>1</v>
      </c>
    </row>
    <row r="12" customFormat="false" ht="45" hidden="false" customHeight="true" outlineLevel="0" collapsed="false">
      <c r="A12" s="31" t="n">
        <v>4</v>
      </c>
      <c r="B12" s="42" t="s">
        <v>456</v>
      </c>
      <c r="C12" s="42" t="s">
        <v>25</v>
      </c>
      <c r="D12" s="42" t="s">
        <v>465</v>
      </c>
      <c r="E12" s="47" t="s">
        <v>459</v>
      </c>
      <c r="F12" s="47" t="s">
        <v>459</v>
      </c>
      <c r="G12" s="47" t="s">
        <v>110</v>
      </c>
      <c r="H12" s="47" t="s">
        <v>461</v>
      </c>
      <c r="I12" s="48" t="s">
        <v>988</v>
      </c>
      <c r="J12" s="48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25</v>
      </c>
      <c r="D13" s="42" t="s">
        <v>466</v>
      </c>
      <c r="E13" s="47" t="s">
        <v>459</v>
      </c>
      <c r="F13" s="47" t="s">
        <v>459</v>
      </c>
      <c r="G13" s="47" t="s">
        <v>110</v>
      </c>
      <c r="H13" s="47" t="s">
        <v>461</v>
      </c>
      <c r="I13" s="48" t="s">
        <v>989</v>
      </c>
      <c r="J13" s="48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25</v>
      </c>
      <c r="D14" s="42" t="s">
        <v>467</v>
      </c>
      <c r="E14" s="47" t="s">
        <v>459</v>
      </c>
      <c r="F14" s="47" t="s">
        <v>459</v>
      </c>
      <c r="G14" s="47" t="s">
        <v>110</v>
      </c>
      <c r="H14" s="47" t="s">
        <v>461</v>
      </c>
      <c r="I14" s="48" t="s">
        <v>990</v>
      </c>
      <c r="J14" s="48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25</v>
      </c>
      <c r="D15" s="42" t="s">
        <v>991</v>
      </c>
      <c r="E15" s="47" t="s">
        <v>459</v>
      </c>
      <c r="F15" s="47" t="s">
        <v>459</v>
      </c>
      <c r="G15" s="47" t="s">
        <v>110</v>
      </c>
      <c r="H15" s="47" t="s">
        <v>461</v>
      </c>
      <c r="I15" s="48" t="s">
        <v>992</v>
      </c>
      <c r="J15" s="48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25</v>
      </c>
      <c r="D16" s="42" t="s">
        <v>993</v>
      </c>
      <c r="E16" s="47" t="s">
        <v>459</v>
      </c>
      <c r="F16" s="47" t="s">
        <v>459</v>
      </c>
      <c r="G16" s="47" t="s">
        <v>110</v>
      </c>
      <c r="H16" s="47" t="s">
        <v>461</v>
      </c>
      <c r="I16" s="48" t="s">
        <v>994</v>
      </c>
      <c r="J16" s="48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25</v>
      </c>
      <c r="D17" s="42" t="s">
        <v>473</v>
      </c>
      <c r="E17" s="47" t="s">
        <v>459</v>
      </c>
      <c r="F17" s="47" t="s">
        <v>459</v>
      </c>
      <c r="G17" s="47" t="s">
        <v>110</v>
      </c>
      <c r="H17" s="47" t="s">
        <v>461</v>
      </c>
      <c r="I17" s="48" t="s">
        <v>992</v>
      </c>
      <c r="J17" s="48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25</v>
      </c>
      <c r="D18" s="42" t="s">
        <v>995</v>
      </c>
      <c r="E18" s="47" t="s">
        <v>459</v>
      </c>
      <c r="F18" s="47" t="s">
        <v>459</v>
      </c>
      <c r="G18" s="47" t="s">
        <v>110</v>
      </c>
      <c r="H18" s="47" t="s">
        <v>461</v>
      </c>
      <c r="I18" s="48" t="s">
        <v>996</v>
      </c>
      <c r="J18" s="48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25</v>
      </c>
      <c r="D19" s="42" t="s">
        <v>474</v>
      </c>
      <c r="E19" s="47" t="s">
        <v>459</v>
      </c>
      <c r="F19" s="47" t="s">
        <v>459</v>
      </c>
      <c r="G19" s="47" t="s">
        <v>110</v>
      </c>
      <c r="H19" s="47" t="s">
        <v>461</v>
      </c>
      <c r="I19" s="48" t="s">
        <v>992</v>
      </c>
      <c r="J19" s="48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477</v>
      </c>
      <c r="E20" s="47" t="s">
        <v>459</v>
      </c>
      <c r="F20" s="47" t="s">
        <v>459</v>
      </c>
      <c r="G20" s="47" t="s">
        <v>110</v>
      </c>
      <c r="H20" s="47" t="s">
        <v>461</v>
      </c>
      <c r="I20" s="48" t="s">
        <v>992</v>
      </c>
      <c r="J20" s="48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478</v>
      </c>
      <c r="E21" s="47" t="s">
        <v>459</v>
      </c>
      <c r="F21" s="47" t="s">
        <v>459</v>
      </c>
      <c r="G21" s="47" t="s">
        <v>110</v>
      </c>
      <c r="H21" s="47" t="s">
        <v>461</v>
      </c>
      <c r="I21" s="48" t="s">
        <v>992</v>
      </c>
      <c r="J21" s="48"/>
      <c r="K21" s="45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480</v>
      </c>
      <c r="E22" s="47" t="s">
        <v>459</v>
      </c>
      <c r="F22" s="47" t="s">
        <v>459</v>
      </c>
      <c r="G22" s="47" t="s">
        <v>110</v>
      </c>
      <c r="H22" s="47" t="s">
        <v>461</v>
      </c>
      <c r="I22" s="48" t="s">
        <v>992</v>
      </c>
      <c r="J22" s="48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481</v>
      </c>
      <c r="E23" s="47" t="s">
        <v>459</v>
      </c>
      <c r="F23" s="47" t="s">
        <v>459</v>
      </c>
      <c r="G23" s="47" t="s">
        <v>110</v>
      </c>
      <c r="H23" s="47" t="s">
        <v>461</v>
      </c>
      <c r="I23" s="48" t="s">
        <v>992</v>
      </c>
      <c r="J23" s="48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457</v>
      </c>
      <c r="C24" s="42" t="s">
        <v>476</v>
      </c>
      <c r="D24" s="42" t="s">
        <v>482</v>
      </c>
      <c r="E24" s="47" t="s">
        <v>459</v>
      </c>
      <c r="F24" s="47" t="s">
        <v>459</v>
      </c>
      <c r="G24" s="47" t="s">
        <v>110</v>
      </c>
      <c r="H24" s="47" t="s">
        <v>461</v>
      </c>
      <c r="I24" s="48" t="s">
        <v>997</v>
      </c>
      <c r="J24" s="48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774</v>
      </c>
      <c r="C25" s="42" t="s">
        <v>476</v>
      </c>
      <c r="D25" s="42" t="s">
        <v>775</v>
      </c>
      <c r="E25" s="47" t="s">
        <v>459</v>
      </c>
      <c r="F25" s="47" t="s">
        <v>459</v>
      </c>
      <c r="G25" s="47" t="s">
        <v>110</v>
      </c>
      <c r="H25" s="47" t="s">
        <v>461</v>
      </c>
      <c r="I25" s="48" t="s">
        <v>998</v>
      </c>
      <c r="J25" s="48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483</v>
      </c>
      <c r="C26" s="42" t="s">
        <v>476</v>
      </c>
      <c r="D26" s="42" t="s">
        <v>484</v>
      </c>
      <c r="E26" s="47" t="s">
        <v>459</v>
      </c>
      <c r="F26" s="47" t="s">
        <v>459</v>
      </c>
      <c r="G26" s="47" t="s">
        <v>110</v>
      </c>
      <c r="H26" s="47" t="s">
        <v>461</v>
      </c>
      <c r="I26" s="48" t="s">
        <v>992</v>
      </c>
      <c r="J26" s="48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483</v>
      </c>
      <c r="C27" s="42" t="s">
        <v>476</v>
      </c>
      <c r="D27" s="42" t="s">
        <v>485</v>
      </c>
      <c r="E27" s="47" t="s">
        <v>459</v>
      </c>
      <c r="F27" s="47" t="s">
        <v>459</v>
      </c>
      <c r="G27" s="47" t="s">
        <v>110</v>
      </c>
      <c r="H27" s="47" t="s">
        <v>461</v>
      </c>
      <c r="I27" s="48" t="s">
        <v>992</v>
      </c>
      <c r="J27" s="48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999</v>
      </c>
      <c r="E28" s="47" t="s">
        <v>459</v>
      </c>
      <c r="F28" s="47" t="s">
        <v>459</v>
      </c>
      <c r="G28" s="47" t="s">
        <v>110</v>
      </c>
      <c r="H28" s="47" t="s">
        <v>461</v>
      </c>
      <c r="I28" s="48" t="s">
        <v>992</v>
      </c>
      <c r="J28" s="48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1000</v>
      </c>
      <c r="E29" s="47" t="s">
        <v>459</v>
      </c>
      <c r="F29" s="47" t="s">
        <v>459</v>
      </c>
      <c r="G29" s="47" t="s">
        <v>110</v>
      </c>
      <c r="H29" s="47" t="s">
        <v>461</v>
      </c>
      <c r="I29" s="48" t="s">
        <v>992</v>
      </c>
      <c r="J29" s="48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1001</v>
      </c>
      <c r="E30" s="47" t="s">
        <v>459</v>
      </c>
      <c r="F30" s="47" t="s">
        <v>459</v>
      </c>
      <c r="G30" s="47" t="s">
        <v>110</v>
      </c>
      <c r="H30" s="47" t="s">
        <v>461</v>
      </c>
      <c r="I30" s="48" t="s">
        <v>992</v>
      </c>
      <c r="J30" s="48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493</v>
      </c>
      <c r="E31" s="47" t="s">
        <v>459</v>
      </c>
      <c r="F31" s="47" t="s">
        <v>459</v>
      </c>
      <c r="G31" s="47" t="s">
        <v>110</v>
      </c>
      <c r="H31" s="47" t="s">
        <v>461</v>
      </c>
      <c r="I31" s="48" t="s">
        <v>992</v>
      </c>
      <c r="J31" s="48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495</v>
      </c>
      <c r="E32" s="47" t="s">
        <v>459</v>
      </c>
      <c r="F32" s="47" t="s">
        <v>459</v>
      </c>
      <c r="G32" s="47" t="s">
        <v>110</v>
      </c>
      <c r="H32" s="47" t="s">
        <v>461</v>
      </c>
      <c r="I32" s="48" t="s">
        <v>992</v>
      </c>
      <c r="J32" s="48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499</v>
      </c>
      <c r="E33" s="47" t="s">
        <v>459</v>
      </c>
      <c r="F33" s="47" t="s">
        <v>459</v>
      </c>
      <c r="G33" s="47" t="s">
        <v>110</v>
      </c>
      <c r="H33" s="47" t="s">
        <v>461</v>
      </c>
      <c r="I33" s="48" t="s">
        <v>992</v>
      </c>
      <c r="J33" s="48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488</v>
      </c>
      <c r="C34" s="42" t="s">
        <v>476</v>
      </c>
      <c r="D34" s="42" t="s">
        <v>497</v>
      </c>
      <c r="E34" s="47" t="s">
        <v>459</v>
      </c>
      <c r="F34" s="47" t="s">
        <v>459</v>
      </c>
      <c r="G34" s="47" t="s">
        <v>110</v>
      </c>
      <c r="H34" s="47" t="s">
        <v>461</v>
      </c>
      <c r="I34" s="48" t="s">
        <v>992</v>
      </c>
      <c r="J34" s="48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475</v>
      </c>
      <c r="C35" s="42" t="s">
        <v>498</v>
      </c>
      <c r="D35" s="42" t="s">
        <v>477</v>
      </c>
      <c r="E35" s="47" t="s">
        <v>459</v>
      </c>
      <c r="F35" s="47" t="s">
        <v>459</v>
      </c>
      <c r="G35" s="47" t="s">
        <v>110</v>
      </c>
      <c r="H35" s="47" t="s">
        <v>461</v>
      </c>
      <c r="I35" s="48" t="s">
        <v>992</v>
      </c>
      <c r="J35" s="48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475</v>
      </c>
      <c r="C36" s="42" t="s">
        <v>498</v>
      </c>
      <c r="D36" s="42" t="s">
        <v>478</v>
      </c>
      <c r="E36" s="47" t="s">
        <v>459</v>
      </c>
      <c r="F36" s="47" t="s">
        <v>459</v>
      </c>
      <c r="G36" s="47" t="s">
        <v>110</v>
      </c>
      <c r="H36" s="47" t="s">
        <v>461</v>
      </c>
      <c r="I36" s="48" t="s">
        <v>992</v>
      </c>
      <c r="J36" s="48"/>
      <c r="K36" s="45" t="n">
        <f aca="false">IF(AND(E36="yes",F36="yes",H36="covered"),1,IF(H36="partial",0.5,0))</f>
        <v>1</v>
      </c>
    </row>
    <row r="37" customFormat="false" ht="30" hidden="false" customHeight="true" outlineLevel="0" collapsed="false">
      <c r="A37" s="31" t="n">
        <v>29</v>
      </c>
      <c r="B37" s="42" t="s">
        <v>479</v>
      </c>
      <c r="C37" s="42" t="s">
        <v>498</v>
      </c>
      <c r="D37" s="42" t="s">
        <v>480</v>
      </c>
      <c r="E37" s="47" t="s">
        <v>459</v>
      </c>
      <c r="F37" s="47" t="s">
        <v>459</v>
      </c>
      <c r="G37" s="47" t="s">
        <v>110</v>
      </c>
      <c r="H37" s="47" t="s">
        <v>461</v>
      </c>
      <c r="I37" s="48" t="s">
        <v>992</v>
      </c>
      <c r="J37" s="48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479</v>
      </c>
      <c r="C38" s="42" t="s">
        <v>498</v>
      </c>
      <c r="D38" s="42" t="s">
        <v>481</v>
      </c>
      <c r="E38" s="47" t="s">
        <v>459</v>
      </c>
      <c r="F38" s="47" t="s">
        <v>459</v>
      </c>
      <c r="G38" s="47" t="s">
        <v>110</v>
      </c>
      <c r="H38" s="47" t="s">
        <v>461</v>
      </c>
      <c r="I38" s="48" t="s">
        <v>992</v>
      </c>
      <c r="J38" s="48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457</v>
      </c>
      <c r="C39" s="42" t="s">
        <v>498</v>
      </c>
      <c r="D39" s="42" t="s">
        <v>482</v>
      </c>
      <c r="E39" s="47" t="s">
        <v>459</v>
      </c>
      <c r="F39" s="47" t="s">
        <v>459</v>
      </c>
      <c r="G39" s="47" t="s">
        <v>110</v>
      </c>
      <c r="H39" s="47" t="s">
        <v>461</v>
      </c>
      <c r="I39" s="48" t="s">
        <v>1002</v>
      </c>
      <c r="J39" s="48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774</v>
      </c>
      <c r="C40" s="42" t="s">
        <v>498</v>
      </c>
      <c r="D40" s="42" t="s">
        <v>775</v>
      </c>
      <c r="E40" s="47" t="s">
        <v>459</v>
      </c>
      <c r="F40" s="47" t="s">
        <v>459</v>
      </c>
      <c r="G40" s="47" t="s">
        <v>110</v>
      </c>
      <c r="H40" s="47" t="s">
        <v>461</v>
      </c>
      <c r="I40" s="48" t="s">
        <v>1003</v>
      </c>
      <c r="J40" s="48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483</v>
      </c>
      <c r="C41" s="42" t="s">
        <v>498</v>
      </c>
      <c r="D41" s="42" t="s">
        <v>484</v>
      </c>
      <c r="E41" s="47" t="s">
        <v>459</v>
      </c>
      <c r="F41" s="47" t="s">
        <v>459</v>
      </c>
      <c r="G41" s="47" t="s">
        <v>110</v>
      </c>
      <c r="H41" s="47" t="s">
        <v>461</v>
      </c>
      <c r="I41" s="48" t="s">
        <v>992</v>
      </c>
      <c r="J41" s="48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483</v>
      </c>
      <c r="C42" s="42" t="s">
        <v>498</v>
      </c>
      <c r="D42" s="42" t="s">
        <v>485</v>
      </c>
      <c r="E42" s="47" t="s">
        <v>459</v>
      </c>
      <c r="F42" s="47" t="s">
        <v>459</v>
      </c>
      <c r="G42" s="47" t="s">
        <v>110</v>
      </c>
      <c r="H42" s="47" t="s">
        <v>461</v>
      </c>
      <c r="I42" s="48" t="s">
        <v>992</v>
      </c>
      <c r="J42" s="48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486</v>
      </c>
      <c r="C43" s="42" t="s">
        <v>498</v>
      </c>
      <c r="D43" s="42" t="s">
        <v>495</v>
      </c>
      <c r="E43" s="47" t="s">
        <v>459</v>
      </c>
      <c r="F43" s="47" t="s">
        <v>459</v>
      </c>
      <c r="G43" s="47" t="s">
        <v>110</v>
      </c>
      <c r="H43" s="47" t="s">
        <v>461</v>
      </c>
      <c r="I43" s="48" t="s">
        <v>992</v>
      </c>
      <c r="J43" s="48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486</v>
      </c>
      <c r="C44" s="42" t="s">
        <v>498</v>
      </c>
      <c r="D44" s="42" t="s">
        <v>499</v>
      </c>
      <c r="E44" s="47" t="s">
        <v>459</v>
      </c>
      <c r="F44" s="47" t="s">
        <v>459</v>
      </c>
      <c r="G44" s="47" t="s">
        <v>110</v>
      </c>
      <c r="H44" s="47" t="s">
        <v>461</v>
      </c>
      <c r="I44" s="48" t="s">
        <v>992</v>
      </c>
      <c r="J44" s="48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488</v>
      </c>
      <c r="C45" s="42" t="s">
        <v>498</v>
      </c>
      <c r="D45" s="42" t="s">
        <v>497</v>
      </c>
      <c r="E45" s="47" t="s">
        <v>459</v>
      </c>
      <c r="F45" s="47" t="s">
        <v>459</v>
      </c>
      <c r="G45" s="47" t="s">
        <v>110</v>
      </c>
      <c r="H45" s="47" t="s">
        <v>461</v>
      </c>
      <c r="I45" s="48" t="s">
        <v>992</v>
      </c>
      <c r="J45" s="48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475</v>
      </c>
      <c r="C46" s="42" t="s">
        <v>500</v>
      </c>
      <c r="D46" s="42" t="s">
        <v>477</v>
      </c>
      <c r="E46" s="47" t="s">
        <v>459</v>
      </c>
      <c r="F46" s="47" t="s">
        <v>459</v>
      </c>
      <c r="G46" s="47" t="s">
        <v>110</v>
      </c>
      <c r="H46" s="47" t="s">
        <v>461</v>
      </c>
      <c r="I46" s="48" t="s">
        <v>992</v>
      </c>
      <c r="J46" s="48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475</v>
      </c>
      <c r="C47" s="42" t="s">
        <v>500</v>
      </c>
      <c r="D47" s="42" t="s">
        <v>478</v>
      </c>
      <c r="E47" s="47" t="s">
        <v>459</v>
      </c>
      <c r="F47" s="47" t="s">
        <v>459</v>
      </c>
      <c r="G47" s="47" t="s">
        <v>110</v>
      </c>
      <c r="H47" s="47" t="s">
        <v>461</v>
      </c>
      <c r="I47" s="48" t="s">
        <v>992</v>
      </c>
      <c r="J47" s="48"/>
      <c r="K47" s="45" t="n">
        <f aca="false">IF(AND(E47="yes",F47="yes",H47="covered"),1,IF(H47="partial",0.5,0))</f>
        <v>1</v>
      </c>
    </row>
    <row r="48" customFormat="false" ht="30" hidden="false" customHeight="true" outlineLevel="0" collapsed="false">
      <c r="A48" s="31" t="n">
        <v>40</v>
      </c>
      <c r="B48" s="42" t="s">
        <v>479</v>
      </c>
      <c r="C48" s="42" t="s">
        <v>500</v>
      </c>
      <c r="D48" s="42" t="s">
        <v>480</v>
      </c>
      <c r="E48" s="47" t="s">
        <v>459</v>
      </c>
      <c r="F48" s="47" t="s">
        <v>459</v>
      </c>
      <c r="G48" s="47" t="s">
        <v>110</v>
      </c>
      <c r="H48" s="47" t="s">
        <v>461</v>
      </c>
      <c r="I48" s="48" t="s">
        <v>992</v>
      </c>
      <c r="J48" s="48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479</v>
      </c>
      <c r="C49" s="42" t="s">
        <v>500</v>
      </c>
      <c r="D49" s="42" t="s">
        <v>481</v>
      </c>
      <c r="E49" s="47" t="s">
        <v>459</v>
      </c>
      <c r="F49" s="47" t="s">
        <v>459</v>
      </c>
      <c r="G49" s="47" t="s">
        <v>110</v>
      </c>
      <c r="H49" s="47" t="s">
        <v>461</v>
      </c>
      <c r="I49" s="48" t="s">
        <v>992</v>
      </c>
      <c r="J49" s="48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457</v>
      </c>
      <c r="C50" s="42" t="s">
        <v>500</v>
      </c>
      <c r="D50" s="42" t="s">
        <v>482</v>
      </c>
      <c r="E50" s="47" t="s">
        <v>459</v>
      </c>
      <c r="F50" s="47" t="s">
        <v>459</v>
      </c>
      <c r="G50" s="47" t="s">
        <v>110</v>
      </c>
      <c r="H50" s="47" t="s">
        <v>461</v>
      </c>
      <c r="I50" s="48" t="s">
        <v>1004</v>
      </c>
      <c r="J50" s="48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774</v>
      </c>
      <c r="C51" s="42" t="s">
        <v>500</v>
      </c>
      <c r="D51" s="42" t="s">
        <v>775</v>
      </c>
      <c r="E51" s="47" t="s">
        <v>459</v>
      </c>
      <c r="F51" s="47" t="s">
        <v>459</v>
      </c>
      <c r="G51" s="47" t="s">
        <v>110</v>
      </c>
      <c r="H51" s="47" t="s">
        <v>461</v>
      </c>
      <c r="I51" s="48" t="s">
        <v>1005</v>
      </c>
      <c r="J51" s="48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483</v>
      </c>
      <c r="C52" s="42" t="s">
        <v>500</v>
      </c>
      <c r="D52" s="42" t="s">
        <v>484</v>
      </c>
      <c r="E52" s="47" t="s">
        <v>459</v>
      </c>
      <c r="F52" s="47" t="s">
        <v>459</v>
      </c>
      <c r="G52" s="47" t="s">
        <v>110</v>
      </c>
      <c r="H52" s="47" t="s">
        <v>461</v>
      </c>
      <c r="I52" s="48" t="s">
        <v>992</v>
      </c>
      <c r="J52" s="48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483</v>
      </c>
      <c r="C53" s="42" t="s">
        <v>500</v>
      </c>
      <c r="D53" s="42" t="s">
        <v>485</v>
      </c>
      <c r="E53" s="47" t="s">
        <v>459</v>
      </c>
      <c r="F53" s="47" t="s">
        <v>459</v>
      </c>
      <c r="G53" s="47" t="s">
        <v>110</v>
      </c>
      <c r="H53" s="47" t="s">
        <v>461</v>
      </c>
      <c r="I53" s="48" t="s">
        <v>992</v>
      </c>
      <c r="J53" s="48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500</v>
      </c>
      <c r="D54" s="42" t="s">
        <v>501</v>
      </c>
      <c r="E54" s="47" t="s">
        <v>459</v>
      </c>
      <c r="F54" s="47" t="s">
        <v>459</v>
      </c>
      <c r="G54" s="47" t="s">
        <v>110</v>
      </c>
      <c r="H54" s="47" t="s">
        <v>461</v>
      </c>
      <c r="I54" s="48" t="s">
        <v>992</v>
      </c>
      <c r="J54" s="48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486</v>
      </c>
      <c r="C55" s="42" t="s">
        <v>500</v>
      </c>
      <c r="D55" s="42" t="s">
        <v>495</v>
      </c>
      <c r="E55" s="47" t="s">
        <v>459</v>
      </c>
      <c r="F55" s="47" t="s">
        <v>459</v>
      </c>
      <c r="G55" s="47" t="s">
        <v>110</v>
      </c>
      <c r="H55" s="47" t="s">
        <v>461</v>
      </c>
      <c r="I55" s="48" t="s">
        <v>992</v>
      </c>
      <c r="J55" s="48"/>
      <c r="K55" s="45" t="n">
        <f aca="false">IF(AND(E55="yes",F55="yes",H55="covered"),1,IF(H55="partial",0.5,0))</f>
        <v>1</v>
      </c>
    </row>
    <row r="56" customFormat="false" ht="30" hidden="false" customHeight="true" outlineLevel="0" collapsed="false">
      <c r="A56" s="31" t="n">
        <v>48</v>
      </c>
      <c r="B56" s="42" t="s">
        <v>486</v>
      </c>
      <c r="C56" s="42" t="s">
        <v>500</v>
      </c>
      <c r="D56" s="42" t="s">
        <v>499</v>
      </c>
      <c r="E56" s="47" t="s">
        <v>459</v>
      </c>
      <c r="F56" s="47" t="s">
        <v>459</v>
      </c>
      <c r="G56" s="47" t="s">
        <v>110</v>
      </c>
      <c r="H56" s="47" t="s">
        <v>461</v>
      </c>
      <c r="I56" s="48" t="s">
        <v>992</v>
      </c>
      <c r="J56" s="48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486</v>
      </c>
      <c r="C57" s="42" t="s">
        <v>500</v>
      </c>
      <c r="D57" s="42" t="s">
        <v>1006</v>
      </c>
      <c r="E57" s="47" t="s">
        <v>459</v>
      </c>
      <c r="F57" s="47" t="s">
        <v>459</v>
      </c>
      <c r="G57" s="47" t="s">
        <v>110</v>
      </c>
      <c r="H57" s="47" t="s">
        <v>461</v>
      </c>
      <c r="I57" s="48" t="s">
        <v>1007</v>
      </c>
      <c r="J57" s="48"/>
      <c r="K57" s="45" t="n">
        <f aca="false">IF(AND(E57="yes",F57="yes",H57="covered"),1,IF(H57="partial",0.5,0))</f>
        <v>1</v>
      </c>
    </row>
    <row r="58" customFormat="false" ht="30" hidden="false" customHeight="true" outlineLevel="0" collapsed="false">
      <c r="A58" s="31" t="n">
        <v>50</v>
      </c>
      <c r="B58" s="42" t="s">
        <v>505</v>
      </c>
      <c r="C58" s="42" t="s">
        <v>506</v>
      </c>
      <c r="D58" s="42" t="s">
        <v>507</v>
      </c>
      <c r="E58" s="47" t="s">
        <v>459</v>
      </c>
      <c r="F58" s="47" t="s">
        <v>459</v>
      </c>
      <c r="G58" s="47" t="s">
        <v>110</v>
      </c>
      <c r="H58" s="47" t="s">
        <v>461</v>
      </c>
      <c r="I58" s="48" t="s">
        <v>1008</v>
      </c>
      <c r="J58" s="48"/>
      <c r="K58" s="45" t="n">
        <f aca="false">IF(AND(E58="yes",F58="yes",H58="covered"),1,IF(H58="partial",0.5,0))</f>
        <v>1</v>
      </c>
    </row>
    <row r="59" customFormat="false" ht="30" hidden="false" customHeight="true" outlineLevel="0" collapsed="false">
      <c r="A59" s="31" t="n">
        <v>51</v>
      </c>
      <c r="B59" s="42" t="s">
        <v>505</v>
      </c>
      <c r="C59" s="42" t="s">
        <v>506</v>
      </c>
      <c r="D59" s="42" t="s">
        <v>508</v>
      </c>
      <c r="E59" s="47" t="s">
        <v>459</v>
      </c>
      <c r="F59" s="47" t="s">
        <v>459</v>
      </c>
      <c r="G59" s="47" t="s">
        <v>110</v>
      </c>
      <c r="H59" s="47" t="s">
        <v>461</v>
      </c>
      <c r="I59" s="48" t="s">
        <v>992</v>
      </c>
      <c r="J59" s="48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505</v>
      </c>
      <c r="C60" s="42" t="s">
        <v>506</v>
      </c>
      <c r="D60" s="42" t="s">
        <v>509</v>
      </c>
      <c r="E60" s="47" t="s">
        <v>459</v>
      </c>
      <c r="F60" s="47" t="s">
        <v>459</v>
      </c>
      <c r="G60" s="47" t="s">
        <v>110</v>
      </c>
      <c r="H60" s="47" t="s">
        <v>461</v>
      </c>
      <c r="I60" s="48" t="s">
        <v>992</v>
      </c>
      <c r="J60" s="48"/>
      <c r="K60" s="45" t="n">
        <f aca="false">IF(AND(E60="yes",F60="yes",H60="covered"),1,IF(H60="partial",0.5,0))</f>
        <v>1</v>
      </c>
    </row>
    <row r="61" customFormat="false" ht="30" hidden="false" customHeight="true" outlineLevel="0" collapsed="false">
      <c r="A61" s="31" t="n">
        <v>53</v>
      </c>
      <c r="B61" s="42" t="s">
        <v>505</v>
      </c>
      <c r="C61" s="42" t="s">
        <v>506</v>
      </c>
      <c r="D61" s="42" t="s">
        <v>510</v>
      </c>
      <c r="E61" s="47" t="s">
        <v>459</v>
      </c>
      <c r="F61" s="47" t="s">
        <v>459</v>
      </c>
      <c r="G61" s="47" t="s">
        <v>110</v>
      </c>
      <c r="H61" s="47" t="s">
        <v>461</v>
      </c>
      <c r="I61" s="48" t="s">
        <v>1009</v>
      </c>
      <c r="J61" s="48"/>
      <c r="K61" s="45" t="n">
        <f aca="false">IF(AND(E61="yes",F61="yes",H61="covered"),1,IF(H61="partial",0.5,0))</f>
        <v>1</v>
      </c>
    </row>
    <row r="62" customFormat="false" ht="30" hidden="false" customHeight="true" outlineLevel="0" collapsed="false">
      <c r="A62" s="31" t="n">
        <v>54</v>
      </c>
      <c r="B62" s="42" t="s">
        <v>511</v>
      </c>
      <c r="C62" s="42" t="s">
        <v>506</v>
      </c>
      <c r="D62" s="42" t="s">
        <v>512</v>
      </c>
      <c r="E62" s="47" t="s">
        <v>459</v>
      </c>
      <c r="F62" s="47" t="s">
        <v>459</v>
      </c>
      <c r="G62" s="47" t="s">
        <v>110</v>
      </c>
      <c r="H62" s="47" t="s">
        <v>461</v>
      </c>
      <c r="I62" s="48" t="s">
        <v>992</v>
      </c>
      <c r="J62" s="48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511</v>
      </c>
      <c r="C63" s="42" t="s">
        <v>506</v>
      </c>
      <c r="D63" s="42" t="s">
        <v>514</v>
      </c>
      <c r="E63" s="47" t="s">
        <v>459</v>
      </c>
      <c r="F63" s="47" t="s">
        <v>459</v>
      </c>
      <c r="G63" s="47" t="s">
        <v>110</v>
      </c>
      <c r="H63" s="47" t="s">
        <v>461</v>
      </c>
      <c r="I63" s="48" t="s">
        <v>992</v>
      </c>
      <c r="J63" s="48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511</v>
      </c>
      <c r="C64" s="42" t="s">
        <v>506</v>
      </c>
      <c r="D64" s="42" t="s">
        <v>515</v>
      </c>
      <c r="E64" s="47" t="s">
        <v>459</v>
      </c>
      <c r="F64" s="47" t="s">
        <v>459</v>
      </c>
      <c r="G64" s="47" t="s">
        <v>110</v>
      </c>
      <c r="H64" s="47" t="s">
        <v>461</v>
      </c>
      <c r="I64" s="48" t="s">
        <v>992</v>
      </c>
      <c r="J64" s="48"/>
      <c r="K64" s="45" t="n">
        <f aca="false">IF(AND(E64="yes",F64="yes",H64="covered"),1,IF(H64="partial",0.5,0))</f>
        <v>1</v>
      </c>
    </row>
    <row r="65" customFormat="false" ht="30" hidden="false" customHeight="true" outlineLevel="0" collapsed="false">
      <c r="A65" s="31" t="n">
        <v>57</v>
      </c>
      <c r="B65" s="42" t="s">
        <v>483</v>
      </c>
      <c r="C65" s="42" t="s">
        <v>25</v>
      </c>
      <c r="D65" s="42" t="s">
        <v>516</v>
      </c>
      <c r="E65" s="47" t="s">
        <v>459</v>
      </c>
      <c r="F65" s="47" t="s">
        <v>459</v>
      </c>
      <c r="G65" s="47" t="s">
        <v>110</v>
      </c>
      <c r="H65" s="47" t="s">
        <v>461</v>
      </c>
      <c r="I65" s="48" t="s">
        <v>1010</v>
      </c>
      <c r="J65" s="48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483</v>
      </c>
      <c r="C66" s="42" t="s">
        <v>25</v>
      </c>
      <c r="D66" s="42" t="s">
        <v>517</v>
      </c>
      <c r="E66" s="47" t="s">
        <v>459</v>
      </c>
      <c r="F66" s="47" t="s">
        <v>459</v>
      </c>
      <c r="G66" s="47" t="s">
        <v>110</v>
      </c>
      <c r="H66" s="47" t="s">
        <v>461</v>
      </c>
      <c r="I66" s="48" t="s">
        <v>1011</v>
      </c>
      <c r="J66" s="48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483</v>
      </c>
      <c r="C67" s="42" t="s">
        <v>25</v>
      </c>
      <c r="D67" s="42" t="s">
        <v>518</v>
      </c>
      <c r="E67" s="47" t="s">
        <v>459</v>
      </c>
      <c r="F67" s="47" t="s">
        <v>459</v>
      </c>
      <c r="G67" s="47" t="s">
        <v>110</v>
      </c>
      <c r="H67" s="47" t="s">
        <v>461</v>
      </c>
      <c r="I67" s="48" t="s">
        <v>1012</v>
      </c>
      <c r="J67" s="48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483</v>
      </c>
      <c r="C68" s="42" t="s">
        <v>25</v>
      </c>
      <c r="D68" s="42" t="s">
        <v>519</v>
      </c>
      <c r="E68" s="47" t="s">
        <v>459</v>
      </c>
      <c r="F68" s="47" t="s">
        <v>459</v>
      </c>
      <c r="G68" s="47" t="s">
        <v>110</v>
      </c>
      <c r="H68" s="47" t="s">
        <v>461</v>
      </c>
      <c r="I68" s="48" t="s">
        <v>1013</v>
      </c>
      <c r="J68" s="48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483</v>
      </c>
      <c r="C69" s="42" t="s">
        <v>25</v>
      </c>
      <c r="D69" s="42" t="s">
        <v>520</v>
      </c>
      <c r="E69" s="47" t="s">
        <v>459</v>
      </c>
      <c r="F69" s="47" t="s">
        <v>459</v>
      </c>
      <c r="G69" s="47" t="s">
        <v>110</v>
      </c>
      <c r="H69" s="47" t="s">
        <v>461</v>
      </c>
      <c r="I69" s="48" t="s">
        <v>1014</v>
      </c>
      <c r="J69" s="48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488</v>
      </c>
      <c r="C70" s="42" t="s">
        <v>476</v>
      </c>
      <c r="D70" s="42" t="s">
        <v>521</v>
      </c>
      <c r="E70" s="47" t="s">
        <v>459</v>
      </c>
      <c r="F70" s="47" t="s">
        <v>459</v>
      </c>
      <c r="G70" s="47" t="s">
        <v>110</v>
      </c>
      <c r="H70" s="47" t="s">
        <v>461</v>
      </c>
      <c r="I70" s="48" t="s">
        <v>992</v>
      </c>
      <c r="J70" s="48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488</v>
      </c>
      <c r="C71" s="42" t="s">
        <v>476</v>
      </c>
      <c r="D71" s="42" t="s">
        <v>522</v>
      </c>
      <c r="E71" s="47" t="s">
        <v>459</v>
      </c>
      <c r="F71" s="47" t="s">
        <v>459</v>
      </c>
      <c r="G71" s="47" t="s">
        <v>110</v>
      </c>
      <c r="H71" s="47" t="s">
        <v>461</v>
      </c>
      <c r="I71" s="48" t="s">
        <v>992</v>
      </c>
      <c r="J71" s="48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488</v>
      </c>
      <c r="C72" s="42" t="s">
        <v>476</v>
      </c>
      <c r="D72" s="42" t="s">
        <v>523</v>
      </c>
      <c r="E72" s="47" t="s">
        <v>459</v>
      </c>
      <c r="F72" s="47" t="s">
        <v>459</v>
      </c>
      <c r="G72" s="47" t="s">
        <v>110</v>
      </c>
      <c r="H72" s="47" t="s">
        <v>461</v>
      </c>
      <c r="I72" s="48" t="s">
        <v>992</v>
      </c>
      <c r="J72" s="48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524</v>
      </c>
      <c r="C73" s="42" t="s">
        <v>498</v>
      </c>
      <c r="D73" s="42" t="s">
        <v>525</v>
      </c>
      <c r="E73" s="47" t="s">
        <v>459</v>
      </c>
      <c r="F73" s="47" t="s">
        <v>459</v>
      </c>
      <c r="G73" s="47" t="s">
        <v>110</v>
      </c>
      <c r="H73" s="47" t="s">
        <v>461</v>
      </c>
      <c r="I73" s="48" t="s">
        <v>992</v>
      </c>
      <c r="J73" s="48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524</v>
      </c>
      <c r="C74" s="42" t="s">
        <v>498</v>
      </c>
      <c r="D74" s="42" t="s">
        <v>526</v>
      </c>
      <c r="E74" s="47" t="s">
        <v>459</v>
      </c>
      <c r="F74" s="47" t="s">
        <v>459</v>
      </c>
      <c r="G74" s="47" t="s">
        <v>110</v>
      </c>
      <c r="H74" s="47" t="s">
        <v>461</v>
      </c>
      <c r="I74" s="48" t="s">
        <v>992</v>
      </c>
      <c r="J74" s="48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524</v>
      </c>
      <c r="C75" s="42" t="s">
        <v>498</v>
      </c>
      <c r="D75" s="42" t="s">
        <v>527</v>
      </c>
      <c r="E75" s="47" t="s">
        <v>459</v>
      </c>
      <c r="F75" s="47" t="s">
        <v>459</v>
      </c>
      <c r="G75" s="47" t="s">
        <v>110</v>
      </c>
      <c r="H75" s="47" t="s">
        <v>461</v>
      </c>
      <c r="I75" s="48" t="s">
        <v>992</v>
      </c>
      <c r="J75" s="48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524</v>
      </c>
      <c r="C76" s="42" t="s">
        <v>498</v>
      </c>
      <c r="D76" s="42" t="s">
        <v>528</v>
      </c>
      <c r="E76" s="47" t="s">
        <v>459</v>
      </c>
      <c r="F76" s="47" t="s">
        <v>459</v>
      </c>
      <c r="G76" s="47" t="s">
        <v>110</v>
      </c>
      <c r="H76" s="47" t="s">
        <v>461</v>
      </c>
      <c r="I76" s="48" t="s">
        <v>1015</v>
      </c>
      <c r="J76" s="48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529</v>
      </c>
      <c r="C77" s="42" t="s">
        <v>498</v>
      </c>
      <c r="D77" s="42" t="s">
        <v>530</v>
      </c>
      <c r="E77" s="47" t="s">
        <v>459</v>
      </c>
      <c r="F77" s="47" t="s">
        <v>459</v>
      </c>
      <c r="G77" s="47" t="s">
        <v>110</v>
      </c>
      <c r="H77" s="47" t="s">
        <v>461</v>
      </c>
      <c r="I77" s="48" t="s">
        <v>992</v>
      </c>
      <c r="J77" s="48"/>
      <c r="K77" s="45" t="n">
        <f aca="false">IF(AND(E77="yes",F77="yes",H77="covered"),1,IF(H77="partial",0.5,0))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1016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IFERROR(SUM(K9:K31)/COUNTA(A9:A31),0)</f>
        <v>1</v>
      </c>
      <c r="C4" s="28" t="s">
        <v>8</v>
      </c>
      <c r="D4" s="40" t="n">
        <f aca="false">COUNTIF(H9:H31,"covered")</f>
        <v>23</v>
      </c>
      <c r="E4" s="28" t="s">
        <v>9</v>
      </c>
      <c r="F4" s="40" t="n">
        <f aca="false">COUNTIF(H9:H31,"partial")</f>
        <v>0</v>
      </c>
      <c r="G4" s="28" t="s">
        <v>10</v>
      </c>
      <c r="H4" s="40" t="n">
        <f aca="false">COUNTIF(H9:H31,"missing")</f>
        <v>0</v>
      </c>
      <c r="I4" s="28" t="s">
        <v>11</v>
      </c>
      <c r="J4" s="40" t="n">
        <f aca="false">COUNTIF(F9:F31,"no")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45" hidden="false" customHeight="true" outlineLevel="0" collapsed="false">
      <c r="A9" s="47" t="n">
        <v>1</v>
      </c>
      <c r="B9" s="48" t="s">
        <v>456</v>
      </c>
      <c r="C9" s="48" t="s">
        <v>26</v>
      </c>
      <c r="D9" s="48" t="s">
        <v>464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1017</v>
      </c>
      <c r="J9" s="48"/>
      <c r="K9" s="49" t="n">
        <f aca="false">IF(H9="covered",1,IF(H9="partial",0.5,0))</f>
        <v>1</v>
      </c>
    </row>
    <row r="10" customFormat="false" ht="15" hidden="false" customHeight="true" outlineLevel="0" collapsed="false">
      <c r="A10" s="47" t="n">
        <v>2</v>
      </c>
      <c r="B10" s="48" t="s">
        <v>456</v>
      </c>
      <c r="C10" s="48" t="s">
        <v>26</v>
      </c>
      <c r="D10" s="48" t="s">
        <v>465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1018</v>
      </c>
      <c r="J10" s="48"/>
      <c r="K10" s="49" t="n">
        <f aca="false">IF(H10="covered",1,IF(H10="partial",0.5,0))</f>
        <v>1</v>
      </c>
    </row>
    <row r="11" customFormat="false" ht="45" hidden="false" customHeight="true" outlineLevel="0" collapsed="false">
      <c r="A11" s="47" t="n">
        <v>3</v>
      </c>
      <c r="B11" s="48" t="s">
        <v>456</v>
      </c>
      <c r="C11" s="48" t="s">
        <v>26</v>
      </c>
      <c r="D11" s="48" t="s">
        <v>466</v>
      </c>
      <c r="E11" s="47" t="s">
        <v>459</v>
      </c>
      <c r="F11" s="47" t="s">
        <v>459</v>
      </c>
      <c r="G11" s="47" t="s">
        <v>110</v>
      </c>
      <c r="H11" s="47" t="s">
        <v>461</v>
      </c>
      <c r="I11" s="48" t="s">
        <v>1017</v>
      </c>
      <c r="J11" s="48"/>
      <c r="K11" s="49" t="n">
        <f aca="false">IF(H11="covered",1,IF(H11="partial",0.5,0))</f>
        <v>1</v>
      </c>
    </row>
    <row r="12" customFormat="false" ht="45" hidden="false" customHeight="true" outlineLevel="0" collapsed="false">
      <c r="A12" s="47" t="n">
        <v>4</v>
      </c>
      <c r="B12" s="48" t="s">
        <v>456</v>
      </c>
      <c r="C12" s="48" t="s">
        <v>26</v>
      </c>
      <c r="D12" s="48" t="s">
        <v>467</v>
      </c>
      <c r="E12" s="47" t="s">
        <v>459</v>
      </c>
      <c r="F12" s="47" t="s">
        <v>459</v>
      </c>
      <c r="G12" s="47" t="s">
        <v>110</v>
      </c>
      <c r="H12" s="47" t="s">
        <v>461</v>
      </c>
      <c r="I12" s="48" t="s">
        <v>1017</v>
      </c>
      <c r="J12" s="48"/>
      <c r="K12" s="49" t="n">
        <f aca="false">IF(H12="covered",1,IF(H12="partial",0.5,0))</f>
        <v>1</v>
      </c>
    </row>
    <row r="13" customFormat="false" ht="45" hidden="false" customHeight="true" outlineLevel="0" collapsed="false">
      <c r="A13" s="47" t="n">
        <v>5</v>
      </c>
      <c r="B13" s="48" t="s">
        <v>468</v>
      </c>
      <c r="C13" s="48" t="s">
        <v>26</v>
      </c>
      <c r="D13" s="48" t="s">
        <v>1019</v>
      </c>
      <c r="E13" s="47" t="s">
        <v>459</v>
      </c>
      <c r="F13" s="47" t="s">
        <v>459</v>
      </c>
      <c r="G13" s="47" t="s">
        <v>110</v>
      </c>
      <c r="H13" s="47" t="s">
        <v>461</v>
      </c>
      <c r="I13" s="48" t="s">
        <v>1017</v>
      </c>
      <c r="J13" s="48"/>
      <c r="K13" s="49" t="n">
        <f aca="false">IF(H13="covered",1,IF(H13="partial",0.5,0))</f>
        <v>1</v>
      </c>
    </row>
    <row r="14" customFormat="false" ht="15" hidden="false" customHeight="true" outlineLevel="0" collapsed="false">
      <c r="A14" s="47" t="n">
        <v>6</v>
      </c>
      <c r="B14" s="48" t="s">
        <v>468</v>
      </c>
      <c r="C14" s="48" t="s">
        <v>26</v>
      </c>
      <c r="D14" s="48" t="s">
        <v>1020</v>
      </c>
      <c r="E14" s="47" t="s">
        <v>459</v>
      </c>
      <c r="F14" s="47" t="s">
        <v>459</v>
      </c>
      <c r="G14" s="47" t="s">
        <v>110</v>
      </c>
      <c r="H14" s="47" t="s">
        <v>461</v>
      </c>
      <c r="I14" s="48" t="s">
        <v>1018</v>
      </c>
      <c r="J14" s="48"/>
      <c r="K14" s="49" t="n">
        <f aca="false">IF(H14="covered",1,IF(H14="partial",0.5,0))</f>
        <v>1</v>
      </c>
    </row>
    <row r="15" customFormat="false" ht="45" hidden="false" customHeight="true" outlineLevel="0" collapsed="false">
      <c r="A15" s="47" t="n">
        <v>7</v>
      </c>
      <c r="B15" s="48" t="s">
        <v>468</v>
      </c>
      <c r="C15" s="48" t="s">
        <v>26</v>
      </c>
      <c r="D15" s="48" t="s">
        <v>1021</v>
      </c>
      <c r="E15" s="47" t="s">
        <v>459</v>
      </c>
      <c r="F15" s="47" t="s">
        <v>459</v>
      </c>
      <c r="G15" s="47" t="s">
        <v>110</v>
      </c>
      <c r="H15" s="47" t="s">
        <v>461</v>
      </c>
      <c r="I15" s="48" t="s">
        <v>1017</v>
      </c>
      <c r="J15" s="48"/>
      <c r="K15" s="49" t="n">
        <f aca="false">IF(H15="covered",1,IF(H15="partial",0.5,0))</f>
        <v>1</v>
      </c>
    </row>
    <row r="16" customFormat="false" ht="45" hidden="false" customHeight="true" outlineLevel="0" collapsed="false">
      <c r="A16" s="47" t="n">
        <v>8</v>
      </c>
      <c r="B16" s="48" t="s">
        <v>468</v>
      </c>
      <c r="C16" s="48" t="s">
        <v>26</v>
      </c>
      <c r="D16" s="48" t="s">
        <v>1022</v>
      </c>
      <c r="E16" s="47" t="s">
        <v>459</v>
      </c>
      <c r="F16" s="47" t="s">
        <v>459</v>
      </c>
      <c r="G16" s="47" t="s">
        <v>110</v>
      </c>
      <c r="H16" s="47" t="s">
        <v>461</v>
      </c>
      <c r="I16" s="48" t="s">
        <v>1017</v>
      </c>
      <c r="J16" s="48"/>
      <c r="K16" s="49" t="n">
        <f aca="false">IF(H16="covered",1,IF(H16="partial",0.5,0))</f>
        <v>1</v>
      </c>
    </row>
    <row r="17" customFormat="false" ht="15" hidden="false" customHeight="true" outlineLevel="0" collapsed="false">
      <c r="A17" s="47" t="n">
        <v>9</v>
      </c>
      <c r="B17" s="48" t="s">
        <v>468</v>
      </c>
      <c r="C17" s="48" t="s">
        <v>26</v>
      </c>
      <c r="D17" s="48" t="s">
        <v>1023</v>
      </c>
      <c r="E17" s="47" t="s">
        <v>459</v>
      </c>
      <c r="F17" s="47" t="s">
        <v>459</v>
      </c>
      <c r="G17" s="47" t="s">
        <v>110</v>
      </c>
      <c r="H17" s="47" t="s">
        <v>461</v>
      </c>
      <c r="I17" s="48" t="s">
        <v>1018</v>
      </c>
      <c r="J17" s="48"/>
      <c r="K17" s="49" t="n">
        <f aca="false">IF(H17="covered",1,IF(H17="partial",0.5,0))</f>
        <v>1</v>
      </c>
    </row>
    <row r="18" customFormat="false" ht="30" hidden="false" customHeight="true" outlineLevel="0" collapsed="false">
      <c r="A18" s="47" t="n">
        <v>10</v>
      </c>
      <c r="B18" s="48" t="s">
        <v>468</v>
      </c>
      <c r="C18" s="48" t="s">
        <v>26</v>
      </c>
      <c r="D18" s="48" t="s">
        <v>1024</v>
      </c>
      <c r="E18" s="47" t="s">
        <v>459</v>
      </c>
      <c r="F18" s="47" t="s">
        <v>459</v>
      </c>
      <c r="G18" s="47" t="s">
        <v>110</v>
      </c>
      <c r="H18" s="47" t="s">
        <v>461</v>
      </c>
      <c r="I18" s="48" t="s">
        <v>1018</v>
      </c>
      <c r="J18" s="48"/>
      <c r="K18" s="49" t="n">
        <f aca="false">IF(H18="covered",1,IF(H18="partial",0.5,0))</f>
        <v>1</v>
      </c>
    </row>
    <row r="19" customFormat="false" ht="45" hidden="false" customHeight="true" outlineLevel="0" collapsed="false">
      <c r="A19" s="47" t="n">
        <v>11</v>
      </c>
      <c r="B19" s="48" t="s">
        <v>475</v>
      </c>
      <c r="C19" s="48" t="s">
        <v>1025</v>
      </c>
      <c r="D19" s="48" t="s">
        <v>1026</v>
      </c>
      <c r="E19" s="47" t="s">
        <v>459</v>
      </c>
      <c r="F19" s="47" t="s">
        <v>459</v>
      </c>
      <c r="G19" s="47" t="s">
        <v>110</v>
      </c>
      <c r="H19" s="47" t="s">
        <v>461</v>
      </c>
      <c r="I19" s="48" t="s">
        <v>1017</v>
      </c>
      <c r="J19" s="48"/>
      <c r="K19" s="49" t="n">
        <f aca="false">IF(H19="covered",1,IF(H19="partial",0.5,0))</f>
        <v>1</v>
      </c>
    </row>
    <row r="20" customFormat="false" ht="15" hidden="false" customHeight="true" outlineLevel="0" collapsed="false">
      <c r="A20" s="47" t="n">
        <v>12</v>
      </c>
      <c r="B20" s="48" t="s">
        <v>475</v>
      </c>
      <c r="C20" s="48" t="s">
        <v>1025</v>
      </c>
      <c r="D20" s="48" t="s">
        <v>1027</v>
      </c>
      <c r="E20" s="47" t="s">
        <v>459</v>
      </c>
      <c r="F20" s="47" t="s">
        <v>459</v>
      </c>
      <c r="G20" s="47" t="s">
        <v>110</v>
      </c>
      <c r="H20" s="47" t="s">
        <v>461</v>
      </c>
      <c r="I20" s="48" t="s">
        <v>1018</v>
      </c>
      <c r="J20" s="48"/>
      <c r="K20" s="49" t="n">
        <f aca="false">IF(H20="covered",1,IF(H20="partial",0.5,0))</f>
        <v>1</v>
      </c>
    </row>
    <row r="21" customFormat="false" ht="45" hidden="false" customHeight="true" outlineLevel="0" collapsed="false">
      <c r="A21" s="47" t="n">
        <v>13</v>
      </c>
      <c r="B21" s="48" t="s">
        <v>479</v>
      </c>
      <c r="C21" s="48" t="s">
        <v>1028</v>
      </c>
      <c r="D21" s="48" t="s">
        <v>1029</v>
      </c>
      <c r="E21" s="47" t="s">
        <v>459</v>
      </c>
      <c r="F21" s="47" t="s">
        <v>459</v>
      </c>
      <c r="G21" s="47" t="s">
        <v>110</v>
      </c>
      <c r="H21" s="47" t="s">
        <v>461</v>
      </c>
      <c r="I21" s="48" t="s">
        <v>1017</v>
      </c>
      <c r="J21" s="48"/>
      <c r="K21" s="49" t="n">
        <f aca="false">IF(H21="covered",1,IF(H21="partial",0.5,0))</f>
        <v>1</v>
      </c>
    </row>
    <row r="22" customFormat="false" ht="15" hidden="false" customHeight="true" outlineLevel="0" collapsed="false">
      <c r="A22" s="47" t="n">
        <v>14</v>
      </c>
      <c r="B22" s="48" t="s">
        <v>479</v>
      </c>
      <c r="C22" s="48" t="s">
        <v>1025</v>
      </c>
      <c r="D22" s="48" t="s">
        <v>1030</v>
      </c>
      <c r="E22" s="47" t="s">
        <v>459</v>
      </c>
      <c r="F22" s="47" t="s">
        <v>459</v>
      </c>
      <c r="G22" s="47" t="s">
        <v>110</v>
      </c>
      <c r="H22" s="47" t="s">
        <v>461</v>
      </c>
      <c r="I22" s="48" t="s">
        <v>1018</v>
      </c>
      <c r="J22" s="48"/>
      <c r="K22" s="49" t="n">
        <f aca="false">IF(H22="covered",1,IF(H22="partial",0.5,0))</f>
        <v>1</v>
      </c>
    </row>
    <row r="23" customFormat="false" ht="45" hidden="false" customHeight="true" outlineLevel="0" collapsed="false">
      <c r="A23" s="47" t="n">
        <v>15</v>
      </c>
      <c r="B23" s="48" t="s">
        <v>457</v>
      </c>
      <c r="C23" s="48" t="s">
        <v>1028</v>
      </c>
      <c r="D23" s="48" t="s">
        <v>1031</v>
      </c>
      <c r="E23" s="47" t="s">
        <v>459</v>
      </c>
      <c r="F23" s="47" t="s">
        <v>459</v>
      </c>
      <c r="G23" s="47" t="s">
        <v>110</v>
      </c>
      <c r="H23" s="47" t="s">
        <v>461</v>
      </c>
      <c r="I23" s="48" t="s">
        <v>1017</v>
      </c>
      <c r="J23" s="48"/>
      <c r="K23" s="49" t="n">
        <f aca="false">IF(H23="covered",1,IF(H23="partial",0.5,0))</f>
        <v>1</v>
      </c>
    </row>
    <row r="24" customFormat="false" ht="45" hidden="false" customHeight="true" outlineLevel="0" collapsed="false">
      <c r="A24" s="47" t="n">
        <v>16</v>
      </c>
      <c r="B24" s="48" t="s">
        <v>475</v>
      </c>
      <c r="C24" s="48" t="s">
        <v>1028</v>
      </c>
      <c r="D24" s="48" t="s">
        <v>1032</v>
      </c>
      <c r="E24" s="47" t="s">
        <v>459</v>
      </c>
      <c r="F24" s="47" t="s">
        <v>459</v>
      </c>
      <c r="G24" s="47" t="s">
        <v>110</v>
      </c>
      <c r="H24" s="47" t="s">
        <v>461</v>
      </c>
      <c r="I24" s="48" t="s">
        <v>1017</v>
      </c>
      <c r="J24" s="48"/>
      <c r="K24" s="49" t="n">
        <f aca="false">IF(H24="covered",1,IF(H24="partial",0.5,0))</f>
        <v>1</v>
      </c>
    </row>
    <row r="25" customFormat="false" ht="15" hidden="false" customHeight="true" outlineLevel="0" collapsed="false">
      <c r="A25" s="47" t="n">
        <v>17</v>
      </c>
      <c r="B25" s="48" t="s">
        <v>475</v>
      </c>
      <c r="C25" s="48" t="s">
        <v>1028</v>
      </c>
      <c r="D25" s="48" t="s">
        <v>1033</v>
      </c>
      <c r="E25" s="47" t="s">
        <v>459</v>
      </c>
      <c r="F25" s="47" t="s">
        <v>459</v>
      </c>
      <c r="G25" s="47" t="s">
        <v>110</v>
      </c>
      <c r="H25" s="47" t="s">
        <v>461</v>
      </c>
      <c r="I25" s="48" t="s">
        <v>1018</v>
      </c>
      <c r="J25" s="48"/>
      <c r="K25" s="49" t="n">
        <f aca="false">IF(H25="covered",1,IF(H25="partial",0.5,0))</f>
        <v>1</v>
      </c>
    </row>
    <row r="26" customFormat="false" ht="15" hidden="false" customHeight="true" outlineLevel="0" collapsed="false">
      <c r="A26" s="47" t="n">
        <v>18</v>
      </c>
      <c r="B26" s="48" t="s">
        <v>479</v>
      </c>
      <c r="C26" s="48" t="s">
        <v>1028</v>
      </c>
      <c r="D26" s="48" t="s">
        <v>1034</v>
      </c>
      <c r="E26" s="47" t="s">
        <v>459</v>
      </c>
      <c r="F26" s="47" t="s">
        <v>459</v>
      </c>
      <c r="G26" s="47" t="s">
        <v>110</v>
      </c>
      <c r="H26" s="47" t="s">
        <v>461</v>
      </c>
      <c r="I26" s="48" t="s">
        <v>1018</v>
      </c>
      <c r="J26" s="48"/>
      <c r="K26" s="49" t="n">
        <f aca="false">IF(H26="covered",1,IF(H26="partial",0.5,0))</f>
        <v>1</v>
      </c>
    </row>
    <row r="27" customFormat="false" ht="30" hidden="false" customHeight="true" outlineLevel="0" collapsed="false">
      <c r="A27" s="47" t="n">
        <v>19</v>
      </c>
      <c r="B27" s="48" t="s">
        <v>479</v>
      </c>
      <c r="C27" s="48" t="s">
        <v>1025</v>
      </c>
      <c r="D27" s="48" t="s">
        <v>1035</v>
      </c>
      <c r="E27" s="47" t="s">
        <v>459</v>
      </c>
      <c r="F27" s="47" t="s">
        <v>459</v>
      </c>
      <c r="G27" s="47" t="s">
        <v>110</v>
      </c>
      <c r="H27" s="47" t="s">
        <v>461</v>
      </c>
      <c r="I27" s="48" t="s">
        <v>1018</v>
      </c>
      <c r="J27" s="48"/>
      <c r="K27" s="49" t="n">
        <f aca="false">IF(H27="covered",1,IF(H27="partial",0.5,0))</f>
        <v>1</v>
      </c>
    </row>
    <row r="28" customFormat="false" ht="15" hidden="false" customHeight="true" outlineLevel="0" collapsed="false">
      <c r="A28" s="47" t="n">
        <v>20</v>
      </c>
      <c r="B28" s="48" t="s">
        <v>457</v>
      </c>
      <c r="C28" s="48" t="s">
        <v>1028</v>
      </c>
      <c r="D28" s="48" t="s">
        <v>1036</v>
      </c>
      <c r="E28" s="47" t="s">
        <v>459</v>
      </c>
      <c r="F28" s="47" t="s">
        <v>459</v>
      </c>
      <c r="G28" s="47" t="s">
        <v>110</v>
      </c>
      <c r="H28" s="47" t="s">
        <v>461</v>
      </c>
      <c r="I28" s="48" t="s">
        <v>1018</v>
      </c>
      <c r="J28" s="48"/>
      <c r="K28" s="49" t="n">
        <f aca="false">IF(H28="covered",1,IF(H28="partial",0.5,0))</f>
        <v>1</v>
      </c>
    </row>
    <row r="29" customFormat="false" ht="45" hidden="false" customHeight="true" outlineLevel="0" collapsed="false">
      <c r="A29" s="47" t="n">
        <v>21</v>
      </c>
      <c r="B29" s="48" t="s">
        <v>794</v>
      </c>
      <c r="C29" s="48" t="s">
        <v>26</v>
      </c>
      <c r="D29" s="48" t="s">
        <v>1037</v>
      </c>
      <c r="E29" s="47" t="s">
        <v>459</v>
      </c>
      <c r="F29" s="47" t="s">
        <v>459</v>
      </c>
      <c r="G29" s="47" t="s">
        <v>110</v>
      </c>
      <c r="H29" s="47" t="s">
        <v>461</v>
      </c>
      <c r="I29" s="48" t="s">
        <v>1017</v>
      </c>
      <c r="J29" s="48"/>
      <c r="K29" s="49" t="n">
        <f aca="false">IF(H29="covered",1,IF(H29="partial",0.5,0))</f>
        <v>1</v>
      </c>
    </row>
    <row r="30" customFormat="false" ht="15" hidden="false" customHeight="true" outlineLevel="0" collapsed="false">
      <c r="A30" s="47" t="n">
        <v>22</v>
      </c>
      <c r="B30" s="48" t="s">
        <v>794</v>
      </c>
      <c r="C30" s="48" t="s">
        <v>26</v>
      </c>
      <c r="D30" s="48" t="s">
        <v>1038</v>
      </c>
      <c r="E30" s="47" t="s">
        <v>459</v>
      </c>
      <c r="F30" s="47" t="s">
        <v>459</v>
      </c>
      <c r="G30" s="47" t="s">
        <v>110</v>
      </c>
      <c r="H30" s="47" t="s">
        <v>461</v>
      </c>
      <c r="I30" s="48" t="s">
        <v>1018</v>
      </c>
      <c r="J30" s="48"/>
      <c r="K30" s="49" t="n">
        <f aca="false">IF(H30="covered",1,IF(H30="partial",0.5,0))</f>
        <v>1</v>
      </c>
    </row>
    <row r="31" customFormat="false" ht="15" hidden="false" customHeight="true" outlineLevel="0" collapsed="false">
      <c r="A31" s="47" t="n">
        <v>23</v>
      </c>
      <c r="B31" s="48" t="s">
        <v>794</v>
      </c>
      <c r="C31" s="48" t="s">
        <v>26</v>
      </c>
      <c r="D31" s="48" t="s">
        <v>1039</v>
      </c>
      <c r="E31" s="47" t="s">
        <v>459</v>
      </c>
      <c r="F31" s="47" t="s">
        <v>459</v>
      </c>
      <c r="G31" s="47" t="s">
        <v>110</v>
      </c>
      <c r="H31" s="47" t="s">
        <v>461</v>
      </c>
      <c r="I31" s="48" t="s">
        <v>1018</v>
      </c>
      <c r="J31" s="48"/>
      <c r="K31" s="49" t="n">
        <f aca="false">IF(H31="covered",1,IF(H31="partial",0.5,0))</f>
        <v>1</v>
      </c>
    </row>
    <row r="32" customFormat="false" ht="13.5" hidden="false" customHeight="true" outlineLevel="0" collapsed="false">
      <c r="A32" s="31"/>
      <c r="B32" s="42"/>
      <c r="C32" s="42"/>
      <c r="D32" s="42"/>
      <c r="E32" s="34"/>
      <c r="F32" s="34"/>
      <c r="G32" s="31"/>
      <c r="H32" s="50"/>
      <c r="I32" s="42"/>
      <c r="J32" s="42"/>
      <c r="K32" s="45"/>
    </row>
    <row r="33" customFormat="false" ht="13.5" hidden="false" customHeight="true" outlineLevel="0" collapsed="false">
      <c r="A33" s="31"/>
      <c r="B33" s="42"/>
      <c r="C33" s="42"/>
      <c r="D33" s="42"/>
      <c r="E33" s="34"/>
      <c r="F33" s="34"/>
      <c r="G33" s="31"/>
      <c r="H33" s="50"/>
      <c r="I33" s="42"/>
      <c r="J33" s="42"/>
      <c r="K33" s="45"/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1040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IFERROR(SUM(K9:K186)/COUNTA(A9:A186),0)</f>
        <v>1</v>
      </c>
      <c r="C4" s="28" t="s">
        <v>8</v>
      </c>
      <c r="D4" s="40" t="n">
        <f aca="false">COUNTIF(H9:H186,"covered")</f>
        <v>178</v>
      </c>
      <c r="E4" s="28" t="s">
        <v>9</v>
      </c>
      <c r="F4" s="40" t="n">
        <f aca="false">COUNTIF(H9:H186,"partial")</f>
        <v>0</v>
      </c>
      <c r="G4" s="28" t="s">
        <v>10</v>
      </c>
      <c r="H4" s="40" t="n">
        <f aca="false">COUNTIF(H9:H186,"missing")</f>
        <v>0</v>
      </c>
      <c r="I4" s="28" t="s">
        <v>11</v>
      </c>
      <c r="J4" s="40" t="n">
        <f aca="false">COUNTIF(F9:F186,"no")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110</v>
      </c>
      <c r="H9" s="44" t="s">
        <v>461</v>
      </c>
      <c r="I9" s="42" t="s">
        <v>1041</v>
      </c>
      <c r="J9" s="42"/>
      <c r="K9" s="45" t="n">
        <f aca="false">IF(AND(E9="yes",F9="yes",H9="covered"),1,IF(AND(E9="yes",H9="partial"),0.5,0))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110</v>
      </c>
      <c r="H10" s="44" t="s">
        <v>461</v>
      </c>
      <c r="I10" s="42" t="s">
        <v>1041</v>
      </c>
      <c r="J10" s="42"/>
      <c r="K10" s="45" t="n">
        <f aca="false">IF(AND(E10="yes",F10="yes",H10="covered"),1,IF(AND(E10="yes",H10="partial"),0.5,0))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27</v>
      </c>
      <c r="D11" s="42" t="s">
        <v>464</v>
      </c>
      <c r="E11" s="34" t="s">
        <v>459</v>
      </c>
      <c r="F11" s="43" t="s">
        <v>459</v>
      </c>
      <c r="G11" s="31" t="s">
        <v>110</v>
      </c>
      <c r="H11" s="44" t="s">
        <v>461</v>
      </c>
      <c r="I11" s="42" t="s">
        <v>1041</v>
      </c>
      <c r="J11" s="42"/>
      <c r="K11" s="45" t="n">
        <f aca="false">IF(AND(E11="yes",F11="yes",H11="covered"),1,IF(AND(E11="yes",H11="partial"),0.5,0))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27</v>
      </c>
      <c r="D12" s="42" t="s">
        <v>465</v>
      </c>
      <c r="E12" s="34" t="s">
        <v>459</v>
      </c>
      <c r="F12" s="43" t="s">
        <v>459</v>
      </c>
      <c r="G12" s="31" t="s">
        <v>110</v>
      </c>
      <c r="H12" s="44" t="s">
        <v>461</v>
      </c>
      <c r="I12" s="42" t="s">
        <v>1041</v>
      </c>
      <c r="J12" s="42"/>
      <c r="K12" s="45" t="n">
        <f aca="false">IF(AND(E12="yes",F12="yes",H12="covered"),1,IF(AND(E12="yes",H12="partial"),0.5,0))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27</v>
      </c>
      <c r="D13" s="42" t="s">
        <v>466</v>
      </c>
      <c r="E13" s="34" t="s">
        <v>459</v>
      </c>
      <c r="F13" s="43" t="s">
        <v>459</v>
      </c>
      <c r="G13" s="31" t="s">
        <v>110</v>
      </c>
      <c r="H13" s="44" t="s">
        <v>461</v>
      </c>
      <c r="I13" s="42" t="s">
        <v>1041</v>
      </c>
      <c r="J13" s="42"/>
      <c r="K13" s="45" t="n">
        <f aca="false">IF(AND(E13="yes",F13="yes",H13="covered"),1,IF(AND(E13="yes",H13="partial"),0.5,0))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27</v>
      </c>
      <c r="D14" s="42" t="s">
        <v>467</v>
      </c>
      <c r="E14" s="34" t="s">
        <v>459</v>
      </c>
      <c r="F14" s="43" t="s">
        <v>459</v>
      </c>
      <c r="G14" s="31" t="s">
        <v>110</v>
      </c>
      <c r="H14" s="44" t="s">
        <v>461</v>
      </c>
      <c r="I14" s="42" t="s">
        <v>1041</v>
      </c>
      <c r="J14" s="42"/>
      <c r="K14" s="45" t="n">
        <f aca="false">IF(AND(E14="yes",F14="yes",H14="covered"),1,IF(AND(E14="yes",H14="partial"),0.5,0))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27</v>
      </c>
      <c r="D15" s="42" t="s">
        <v>1042</v>
      </c>
      <c r="E15" s="34" t="s">
        <v>459</v>
      </c>
      <c r="F15" s="43" t="s">
        <v>459</v>
      </c>
      <c r="G15" s="31" t="s">
        <v>110</v>
      </c>
      <c r="H15" s="44" t="s">
        <v>461</v>
      </c>
      <c r="I15" s="42" t="s">
        <v>1041</v>
      </c>
      <c r="J15" s="42"/>
      <c r="K15" s="45" t="n">
        <f aca="false">IF(AND(E15="yes",F15="yes",H15="covered"),1,IF(AND(E15="yes",H15="partial"),0.5,0))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27</v>
      </c>
      <c r="D16" s="42" t="s">
        <v>1043</v>
      </c>
      <c r="E16" s="34" t="s">
        <v>459</v>
      </c>
      <c r="F16" s="43" t="s">
        <v>459</v>
      </c>
      <c r="G16" s="31" t="s">
        <v>110</v>
      </c>
      <c r="H16" s="44" t="s">
        <v>461</v>
      </c>
      <c r="I16" s="42" t="s">
        <v>1041</v>
      </c>
      <c r="J16" s="42"/>
      <c r="K16" s="45" t="n">
        <f aca="false">IF(AND(E16="yes",F16="yes",H16="covered"),1,IF(AND(E16="yes",H16="partial"),0.5,0))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27</v>
      </c>
      <c r="D17" s="42" t="s">
        <v>1044</v>
      </c>
      <c r="E17" s="34" t="s">
        <v>459</v>
      </c>
      <c r="F17" s="43" t="s">
        <v>459</v>
      </c>
      <c r="G17" s="31" t="s">
        <v>110</v>
      </c>
      <c r="H17" s="44" t="s">
        <v>461</v>
      </c>
      <c r="I17" s="42" t="s">
        <v>1041</v>
      </c>
      <c r="J17" s="42"/>
      <c r="K17" s="45" t="n">
        <f aca="false">IF(AND(E17="yes",F17="yes",H17="covered"),1,IF(AND(E17="yes",H17="partial"),0.5,0))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27</v>
      </c>
      <c r="D18" s="42" t="s">
        <v>1045</v>
      </c>
      <c r="E18" s="34" t="s">
        <v>459</v>
      </c>
      <c r="F18" s="43" t="s">
        <v>459</v>
      </c>
      <c r="G18" s="31" t="s">
        <v>110</v>
      </c>
      <c r="H18" s="44" t="s">
        <v>461</v>
      </c>
      <c r="I18" s="42" t="s">
        <v>1041</v>
      </c>
      <c r="J18" s="42"/>
      <c r="K18" s="45" t="n">
        <f aca="false">IF(AND(E18="yes",F18="yes",H18="covered"),1,IF(AND(E18="yes",H18="partial"),0.5,0))</f>
        <v>1</v>
      </c>
    </row>
    <row r="19" customFormat="false" ht="30" hidden="false" customHeight="true" outlineLevel="0" collapsed="false">
      <c r="A19" s="31" t="n">
        <v>11</v>
      </c>
      <c r="B19" s="42" t="s">
        <v>468</v>
      </c>
      <c r="C19" s="42" t="s">
        <v>27</v>
      </c>
      <c r="D19" s="42" t="s">
        <v>1046</v>
      </c>
      <c r="E19" s="34" t="s">
        <v>459</v>
      </c>
      <c r="F19" s="43" t="s">
        <v>459</v>
      </c>
      <c r="G19" s="31" t="s">
        <v>110</v>
      </c>
      <c r="H19" s="44" t="s">
        <v>461</v>
      </c>
      <c r="I19" s="42" t="s">
        <v>1041</v>
      </c>
      <c r="J19" s="42"/>
      <c r="K19" s="45" t="n">
        <f aca="false">IF(AND(E19="yes",F19="yes",H19="covered"),1,IF(AND(E19="yes",H19="partial"),0.5,0))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27</v>
      </c>
      <c r="D20" s="42" t="s">
        <v>1047</v>
      </c>
      <c r="E20" s="34" t="s">
        <v>459</v>
      </c>
      <c r="F20" s="43" t="s">
        <v>459</v>
      </c>
      <c r="G20" s="31" t="s">
        <v>110</v>
      </c>
      <c r="H20" s="44" t="s">
        <v>461</v>
      </c>
      <c r="I20" s="42" t="s">
        <v>1041</v>
      </c>
      <c r="J20" s="42"/>
      <c r="K20" s="45" t="n">
        <f aca="false">IF(AND(E20="yes",F20="yes",H20="covered"),1,IF(AND(E20="yes",H20="partial"),0.5,0))</f>
        <v>1</v>
      </c>
    </row>
    <row r="21" customFormat="false" ht="15" hidden="false" customHeight="true" outlineLevel="0" collapsed="false">
      <c r="A21" s="31" t="n">
        <v>13</v>
      </c>
      <c r="B21" s="42" t="s">
        <v>468</v>
      </c>
      <c r="C21" s="42" t="s">
        <v>27</v>
      </c>
      <c r="D21" s="42" t="s">
        <v>1048</v>
      </c>
      <c r="E21" s="34" t="s">
        <v>459</v>
      </c>
      <c r="F21" s="43" t="s">
        <v>459</v>
      </c>
      <c r="G21" s="31" t="s">
        <v>110</v>
      </c>
      <c r="H21" s="44" t="s">
        <v>461</v>
      </c>
      <c r="I21" s="42" t="s">
        <v>1041</v>
      </c>
      <c r="J21" s="42"/>
      <c r="K21" s="45" t="n">
        <f aca="false">IF(AND(E21="yes",F21="yes",H21="covered"),1,IF(AND(E21="yes",H21="partial"),0.5,0))</f>
        <v>1</v>
      </c>
    </row>
    <row r="22" customFormat="false" ht="15" hidden="false" customHeight="true" outlineLevel="0" collapsed="false">
      <c r="A22" s="31" t="n">
        <v>14</v>
      </c>
      <c r="B22" s="42" t="s">
        <v>468</v>
      </c>
      <c r="C22" s="42" t="s">
        <v>27</v>
      </c>
      <c r="D22" s="42" t="s">
        <v>1049</v>
      </c>
      <c r="E22" s="34" t="s">
        <v>459</v>
      </c>
      <c r="F22" s="43" t="s">
        <v>459</v>
      </c>
      <c r="G22" s="31" t="s">
        <v>110</v>
      </c>
      <c r="H22" s="44" t="s">
        <v>461</v>
      </c>
      <c r="I22" s="42" t="s">
        <v>1041</v>
      </c>
      <c r="J22" s="42"/>
      <c r="K22" s="45" t="n">
        <f aca="false">IF(AND(E22="yes",F22="yes",H22="covered"),1,IF(AND(E22="yes",H22="partial"),0.5,0))</f>
        <v>1</v>
      </c>
    </row>
    <row r="23" customFormat="false" ht="15" hidden="false" customHeight="true" outlineLevel="0" collapsed="false">
      <c r="A23" s="31" t="n">
        <v>15</v>
      </c>
      <c r="B23" s="42" t="s">
        <v>475</v>
      </c>
      <c r="C23" s="42" t="s">
        <v>476</v>
      </c>
      <c r="D23" s="42" t="s">
        <v>477</v>
      </c>
      <c r="E23" s="34" t="s">
        <v>459</v>
      </c>
      <c r="F23" s="43" t="s">
        <v>459</v>
      </c>
      <c r="G23" s="31" t="s">
        <v>110</v>
      </c>
      <c r="H23" s="44" t="s">
        <v>461</v>
      </c>
      <c r="I23" s="42" t="s">
        <v>1041</v>
      </c>
      <c r="J23" s="42"/>
      <c r="K23" s="45" t="n">
        <f aca="false">IF(AND(E23="yes",F23="yes",H23="covered"),1,IF(AND(E23="yes",H23="partial"),0.5,0))</f>
        <v>1</v>
      </c>
    </row>
    <row r="24" customFormat="false" ht="15" hidden="false" customHeight="true" outlineLevel="0" collapsed="false">
      <c r="A24" s="31" t="n">
        <v>16</v>
      </c>
      <c r="B24" s="42" t="s">
        <v>475</v>
      </c>
      <c r="C24" s="42" t="s">
        <v>476</v>
      </c>
      <c r="D24" s="42" t="s">
        <v>478</v>
      </c>
      <c r="E24" s="34" t="s">
        <v>459</v>
      </c>
      <c r="F24" s="43" t="s">
        <v>459</v>
      </c>
      <c r="G24" s="31" t="s">
        <v>110</v>
      </c>
      <c r="H24" s="44" t="s">
        <v>461</v>
      </c>
      <c r="I24" s="42" t="s">
        <v>1041</v>
      </c>
      <c r="J24" s="42"/>
      <c r="K24" s="45" t="n">
        <f aca="false">IF(AND(E24="yes",F24="yes",H24="covered"),1,IF(AND(E24="yes",H24="partial"),0.5,0))</f>
        <v>1</v>
      </c>
    </row>
    <row r="25" customFormat="false" ht="30" hidden="false" customHeight="true" outlineLevel="0" collapsed="false">
      <c r="A25" s="31" t="n">
        <v>17</v>
      </c>
      <c r="B25" s="42" t="s">
        <v>479</v>
      </c>
      <c r="C25" s="42" t="s">
        <v>476</v>
      </c>
      <c r="D25" s="42" t="s">
        <v>480</v>
      </c>
      <c r="E25" s="34" t="s">
        <v>459</v>
      </c>
      <c r="F25" s="43" t="s">
        <v>459</v>
      </c>
      <c r="G25" s="31" t="s">
        <v>110</v>
      </c>
      <c r="H25" s="44" t="s">
        <v>461</v>
      </c>
      <c r="I25" s="42" t="s">
        <v>1041</v>
      </c>
      <c r="J25" s="42"/>
      <c r="K25" s="45" t="n">
        <f aca="false">IF(AND(E25="yes",F25="yes",H25="covered"),1,IF(AND(E25="yes",H25="partial"),0.5,0))</f>
        <v>1</v>
      </c>
    </row>
    <row r="26" customFormat="false" ht="15" hidden="false" customHeight="true" outlineLevel="0" collapsed="false">
      <c r="A26" s="31" t="n">
        <v>18</v>
      </c>
      <c r="B26" s="42" t="s">
        <v>479</v>
      </c>
      <c r="C26" s="42" t="s">
        <v>476</v>
      </c>
      <c r="D26" s="42" t="s">
        <v>481</v>
      </c>
      <c r="E26" s="34" t="s">
        <v>459</v>
      </c>
      <c r="F26" s="43" t="s">
        <v>459</v>
      </c>
      <c r="G26" s="31" t="s">
        <v>110</v>
      </c>
      <c r="H26" s="44" t="s">
        <v>461</v>
      </c>
      <c r="I26" s="42" t="s">
        <v>1041</v>
      </c>
      <c r="J26" s="42"/>
      <c r="K26" s="45" t="n">
        <f aca="false">IF(AND(E26="yes",F26="yes",H26="covered"),1,IF(AND(E26="yes",H26="partial"),0.5,0))</f>
        <v>1</v>
      </c>
    </row>
    <row r="27" customFormat="false" ht="15" hidden="false" customHeight="true" outlineLevel="0" collapsed="false">
      <c r="A27" s="31" t="n">
        <v>19</v>
      </c>
      <c r="B27" s="42" t="s">
        <v>457</v>
      </c>
      <c r="C27" s="42" t="s">
        <v>476</v>
      </c>
      <c r="D27" s="42" t="s">
        <v>482</v>
      </c>
      <c r="E27" s="34" t="s">
        <v>459</v>
      </c>
      <c r="F27" s="43" t="s">
        <v>459</v>
      </c>
      <c r="G27" s="31" t="s">
        <v>110</v>
      </c>
      <c r="H27" s="44" t="s">
        <v>461</v>
      </c>
      <c r="I27" s="42" t="s">
        <v>1041</v>
      </c>
      <c r="J27" s="42"/>
      <c r="K27" s="45" t="n">
        <f aca="false">IF(AND(E27="yes",F27="yes",H27="covered"),1,IF(AND(E27="yes",H27="partial"),0.5,0))</f>
        <v>1</v>
      </c>
    </row>
    <row r="28" customFormat="false" ht="15" hidden="false" customHeight="true" outlineLevel="0" collapsed="false">
      <c r="A28" s="31" t="n">
        <v>20</v>
      </c>
      <c r="B28" s="42" t="s">
        <v>774</v>
      </c>
      <c r="C28" s="42" t="s">
        <v>476</v>
      </c>
      <c r="D28" s="42" t="s">
        <v>775</v>
      </c>
      <c r="E28" s="34" t="s">
        <v>459</v>
      </c>
      <c r="F28" s="43" t="s">
        <v>459</v>
      </c>
      <c r="G28" s="31" t="s">
        <v>110</v>
      </c>
      <c r="H28" s="44" t="s">
        <v>461</v>
      </c>
      <c r="I28" s="42" t="s">
        <v>1041</v>
      </c>
      <c r="J28" s="42"/>
      <c r="K28" s="45" t="n">
        <f aca="false">IF(AND(E28="yes",F28="yes",H28="covered"),1,IF(AND(E28="yes",H28="partial"),0.5,0))</f>
        <v>1</v>
      </c>
    </row>
    <row r="29" customFormat="false" ht="15" hidden="false" customHeight="true" outlineLevel="0" collapsed="false">
      <c r="A29" s="31" t="n">
        <v>21</v>
      </c>
      <c r="B29" s="42" t="s">
        <v>486</v>
      </c>
      <c r="C29" s="42" t="s">
        <v>476</v>
      </c>
      <c r="D29" s="42" t="s">
        <v>1050</v>
      </c>
      <c r="E29" s="34" t="s">
        <v>459</v>
      </c>
      <c r="F29" s="43" t="s">
        <v>459</v>
      </c>
      <c r="G29" s="31" t="s">
        <v>110</v>
      </c>
      <c r="H29" s="44" t="s">
        <v>461</v>
      </c>
      <c r="I29" s="42" t="s">
        <v>1041</v>
      </c>
      <c r="J29" s="42"/>
      <c r="K29" s="45" t="n">
        <f aca="false">IF(AND(E29="yes",F29="yes",H29="covered"),1,IF(AND(E29="yes",H29="partial"),0.5,0))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489</v>
      </c>
      <c r="E30" s="34" t="s">
        <v>459</v>
      </c>
      <c r="F30" s="43" t="s">
        <v>459</v>
      </c>
      <c r="G30" s="31" t="s">
        <v>110</v>
      </c>
      <c r="H30" s="44" t="s">
        <v>461</v>
      </c>
      <c r="I30" s="42" t="s">
        <v>1041</v>
      </c>
      <c r="J30" s="42"/>
      <c r="K30" s="45" t="n">
        <f aca="false">IF(AND(E30="yes",F30="yes",H30="covered"),1,IF(AND(E30="yes",H30="partial"),0.5,0))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490</v>
      </c>
      <c r="E31" s="34" t="s">
        <v>459</v>
      </c>
      <c r="F31" s="43" t="s">
        <v>459</v>
      </c>
      <c r="G31" s="31" t="s">
        <v>110</v>
      </c>
      <c r="H31" s="44" t="s">
        <v>461</v>
      </c>
      <c r="I31" s="42" t="s">
        <v>1041</v>
      </c>
      <c r="J31" s="42"/>
      <c r="K31" s="45" t="n">
        <f aca="false">IF(AND(E31="yes",F31="yes",H31="covered"),1,IF(AND(E31="yes",H31="partial"),0.5,0))</f>
        <v>1</v>
      </c>
    </row>
    <row r="32" customFormat="false" ht="1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491</v>
      </c>
      <c r="E32" s="34" t="s">
        <v>459</v>
      </c>
      <c r="F32" s="43" t="s">
        <v>459</v>
      </c>
      <c r="G32" s="31" t="s">
        <v>110</v>
      </c>
      <c r="H32" s="44" t="s">
        <v>461</v>
      </c>
      <c r="I32" s="42" t="s">
        <v>1041</v>
      </c>
      <c r="J32" s="42"/>
      <c r="K32" s="45" t="n">
        <f aca="false">IF(AND(E32="yes",F32="yes",H32="covered"),1,IF(AND(E32="yes",H32="partial"),0.5,0))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1051</v>
      </c>
      <c r="E33" s="34" t="s">
        <v>459</v>
      </c>
      <c r="F33" s="43" t="s">
        <v>459</v>
      </c>
      <c r="G33" s="31" t="s">
        <v>110</v>
      </c>
      <c r="H33" s="44" t="s">
        <v>461</v>
      </c>
      <c r="I33" s="42" t="s">
        <v>1041</v>
      </c>
      <c r="J33" s="42"/>
      <c r="K33" s="45" t="n">
        <f aca="false">IF(AND(E33="yes",F33="yes",H33="covered"),1,IF(AND(E33="yes",H33="partial"),0.5,0))</f>
        <v>1</v>
      </c>
    </row>
    <row r="34" customFormat="false" ht="15" hidden="false" customHeight="true" outlineLevel="0" collapsed="false">
      <c r="A34" s="31" t="n">
        <v>26</v>
      </c>
      <c r="B34" s="42" t="s">
        <v>488</v>
      </c>
      <c r="C34" s="42" t="s">
        <v>476</v>
      </c>
      <c r="D34" s="42" t="s">
        <v>1052</v>
      </c>
      <c r="E34" s="34" t="s">
        <v>459</v>
      </c>
      <c r="F34" s="43" t="s">
        <v>459</v>
      </c>
      <c r="G34" s="31" t="s">
        <v>110</v>
      </c>
      <c r="H34" s="44" t="s">
        <v>461</v>
      </c>
      <c r="I34" s="42" t="s">
        <v>1041</v>
      </c>
      <c r="J34" s="42"/>
      <c r="K34" s="45" t="n">
        <f aca="false">IF(AND(E34="yes",F34="yes",H34="covered"),1,IF(AND(E34="yes",H34="partial"),0.5,0))</f>
        <v>1</v>
      </c>
    </row>
    <row r="35" customFormat="false" ht="15" hidden="false" customHeight="true" outlineLevel="0" collapsed="false">
      <c r="A35" s="31" t="n">
        <v>27</v>
      </c>
      <c r="B35" s="42" t="s">
        <v>488</v>
      </c>
      <c r="C35" s="42" t="s">
        <v>476</v>
      </c>
      <c r="D35" s="42" t="s">
        <v>1053</v>
      </c>
      <c r="E35" s="34" t="s">
        <v>459</v>
      </c>
      <c r="F35" s="43" t="s">
        <v>459</v>
      </c>
      <c r="G35" s="31" t="s">
        <v>110</v>
      </c>
      <c r="H35" s="44" t="s">
        <v>461</v>
      </c>
      <c r="I35" s="42" t="s">
        <v>1041</v>
      </c>
      <c r="J35" s="42"/>
      <c r="K35" s="45" t="n">
        <f aca="false">IF(AND(E35="yes",F35="yes",H35="covered"),1,IF(AND(E35="yes",H35="partial"),0.5,0))</f>
        <v>1</v>
      </c>
    </row>
    <row r="36" customFormat="false" ht="15" hidden="false" customHeight="true" outlineLevel="0" collapsed="false">
      <c r="A36" s="31" t="n">
        <v>28</v>
      </c>
      <c r="B36" s="42" t="s">
        <v>488</v>
      </c>
      <c r="C36" s="42" t="s">
        <v>476</v>
      </c>
      <c r="D36" s="42" t="s">
        <v>999</v>
      </c>
      <c r="E36" s="34" t="s">
        <v>459</v>
      </c>
      <c r="F36" s="43" t="s">
        <v>459</v>
      </c>
      <c r="G36" s="31" t="s">
        <v>110</v>
      </c>
      <c r="H36" s="44" t="s">
        <v>461</v>
      </c>
      <c r="I36" s="42" t="s">
        <v>1041</v>
      </c>
      <c r="J36" s="42"/>
      <c r="K36" s="45" t="n">
        <f aca="false">IF(AND(E36="yes",F36="yes",H36="covered"),1,IF(AND(E36="yes",H36="partial"),0.5,0))</f>
        <v>1</v>
      </c>
    </row>
    <row r="37" customFormat="false" ht="15" hidden="false" customHeight="true" outlineLevel="0" collapsed="false">
      <c r="A37" s="31" t="n">
        <v>29</v>
      </c>
      <c r="B37" s="42" t="s">
        <v>488</v>
      </c>
      <c r="C37" s="42" t="s">
        <v>476</v>
      </c>
      <c r="D37" s="42" t="s">
        <v>1000</v>
      </c>
      <c r="E37" s="34" t="s">
        <v>459</v>
      </c>
      <c r="F37" s="43" t="s">
        <v>459</v>
      </c>
      <c r="G37" s="31" t="s">
        <v>110</v>
      </c>
      <c r="H37" s="44" t="s">
        <v>461</v>
      </c>
      <c r="I37" s="42" t="s">
        <v>1041</v>
      </c>
      <c r="J37" s="42"/>
      <c r="K37" s="45" t="n">
        <f aca="false">IF(AND(E37="yes",F37="yes",H37="covered"),1,IF(AND(E37="yes",H37="partial"),0.5,0))</f>
        <v>1</v>
      </c>
    </row>
    <row r="38" customFormat="false" ht="15" hidden="false" customHeight="true" outlineLevel="0" collapsed="false">
      <c r="A38" s="31" t="n">
        <v>30</v>
      </c>
      <c r="B38" s="42" t="s">
        <v>488</v>
      </c>
      <c r="C38" s="42" t="s">
        <v>476</v>
      </c>
      <c r="D38" s="42" t="s">
        <v>1001</v>
      </c>
      <c r="E38" s="34" t="s">
        <v>459</v>
      </c>
      <c r="F38" s="43" t="s">
        <v>459</v>
      </c>
      <c r="G38" s="31" t="s">
        <v>110</v>
      </c>
      <c r="H38" s="44" t="s">
        <v>461</v>
      </c>
      <c r="I38" s="42" t="s">
        <v>1041</v>
      </c>
      <c r="J38" s="42"/>
      <c r="K38" s="45" t="n">
        <f aca="false">IF(AND(E38="yes",F38="yes",H38="covered"),1,IF(AND(E38="yes",H38="partial"),0.5,0))</f>
        <v>1</v>
      </c>
    </row>
    <row r="39" customFormat="false" ht="15" hidden="false" customHeight="true" outlineLevel="0" collapsed="false">
      <c r="A39" s="31" t="n">
        <v>31</v>
      </c>
      <c r="B39" s="42" t="s">
        <v>488</v>
      </c>
      <c r="C39" s="42" t="s">
        <v>476</v>
      </c>
      <c r="D39" s="42" t="s">
        <v>1054</v>
      </c>
      <c r="E39" s="34" t="s">
        <v>459</v>
      </c>
      <c r="F39" s="43" t="s">
        <v>459</v>
      </c>
      <c r="G39" s="31" t="s">
        <v>110</v>
      </c>
      <c r="H39" s="44" t="s">
        <v>461</v>
      </c>
      <c r="I39" s="42" t="s">
        <v>1041</v>
      </c>
      <c r="J39" s="42"/>
      <c r="K39" s="45" t="n">
        <f aca="false">IF(AND(E39="yes",F39="yes",H39="covered"),1,IF(AND(E39="yes",H39="partial"),0.5,0))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476</v>
      </c>
      <c r="D40" s="42" t="s">
        <v>1055</v>
      </c>
      <c r="E40" s="34" t="s">
        <v>459</v>
      </c>
      <c r="F40" s="43" t="s">
        <v>459</v>
      </c>
      <c r="G40" s="31" t="s">
        <v>110</v>
      </c>
      <c r="H40" s="44" t="s">
        <v>461</v>
      </c>
      <c r="I40" s="42" t="s">
        <v>1041</v>
      </c>
      <c r="J40" s="42"/>
      <c r="K40" s="45" t="n">
        <f aca="false">IF(AND(E40="yes",F40="yes",H40="covered"),1,IF(AND(E40="yes",H40="partial"),0.5,0))</f>
        <v>1</v>
      </c>
    </row>
    <row r="41" customFormat="false" ht="15" hidden="false" customHeight="true" outlineLevel="0" collapsed="false">
      <c r="A41" s="31" t="n">
        <v>33</v>
      </c>
      <c r="B41" s="42" t="s">
        <v>488</v>
      </c>
      <c r="C41" s="42" t="s">
        <v>476</v>
      </c>
      <c r="D41" s="42" t="s">
        <v>493</v>
      </c>
      <c r="E41" s="34" t="s">
        <v>459</v>
      </c>
      <c r="F41" s="43" t="s">
        <v>459</v>
      </c>
      <c r="G41" s="31" t="s">
        <v>110</v>
      </c>
      <c r="H41" s="44" t="s">
        <v>461</v>
      </c>
      <c r="I41" s="42" t="s">
        <v>1041</v>
      </c>
      <c r="J41" s="42"/>
      <c r="K41" s="45" t="n">
        <f aca="false">IF(AND(E41="yes",F41="yes",H41="covered"),1,IF(AND(E41="yes",H41="partial"),0.5,0))</f>
        <v>1</v>
      </c>
    </row>
    <row r="42" customFormat="false" ht="15" hidden="false" customHeight="true" outlineLevel="0" collapsed="false">
      <c r="A42" s="31" t="n">
        <v>34</v>
      </c>
      <c r="B42" s="42" t="s">
        <v>488</v>
      </c>
      <c r="C42" s="42" t="s">
        <v>476</v>
      </c>
      <c r="D42" s="42" t="s">
        <v>951</v>
      </c>
      <c r="E42" s="34" t="s">
        <v>459</v>
      </c>
      <c r="F42" s="43" t="s">
        <v>459</v>
      </c>
      <c r="G42" s="31" t="s">
        <v>110</v>
      </c>
      <c r="H42" s="44" t="s">
        <v>461</v>
      </c>
      <c r="I42" s="42" t="s">
        <v>1041</v>
      </c>
      <c r="J42" s="42"/>
      <c r="K42" s="45" t="n">
        <f aca="false">IF(AND(E42="yes",F42="yes",H42="covered"),1,IF(AND(E42="yes",H42="partial"),0.5,0))</f>
        <v>1</v>
      </c>
    </row>
    <row r="43" customFormat="false" ht="15" hidden="false" customHeight="true" outlineLevel="0" collapsed="false">
      <c r="A43" s="31" t="n">
        <v>35</v>
      </c>
      <c r="B43" s="42" t="s">
        <v>488</v>
      </c>
      <c r="C43" s="42" t="s">
        <v>476</v>
      </c>
      <c r="D43" s="42" t="s">
        <v>953</v>
      </c>
      <c r="E43" s="34" t="s">
        <v>459</v>
      </c>
      <c r="F43" s="43" t="s">
        <v>459</v>
      </c>
      <c r="G43" s="31" t="s">
        <v>110</v>
      </c>
      <c r="H43" s="44" t="s">
        <v>461</v>
      </c>
      <c r="I43" s="42" t="s">
        <v>1041</v>
      </c>
      <c r="J43" s="42"/>
      <c r="K43" s="45" t="n">
        <f aca="false">IF(AND(E43="yes",F43="yes",H43="covered"),1,IF(AND(E43="yes",H43="partial"),0.5,0))</f>
        <v>1</v>
      </c>
    </row>
    <row r="44" customFormat="false" ht="15" hidden="false" customHeight="true" outlineLevel="0" collapsed="false">
      <c r="A44" s="31" t="n">
        <v>36</v>
      </c>
      <c r="B44" s="42" t="s">
        <v>488</v>
      </c>
      <c r="C44" s="42" t="s">
        <v>476</v>
      </c>
      <c r="D44" s="42" t="s">
        <v>952</v>
      </c>
      <c r="E44" s="34" t="s">
        <v>459</v>
      </c>
      <c r="F44" s="43" t="s">
        <v>459</v>
      </c>
      <c r="G44" s="31" t="s">
        <v>110</v>
      </c>
      <c r="H44" s="44" t="s">
        <v>461</v>
      </c>
      <c r="I44" s="42" t="s">
        <v>1041</v>
      </c>
      <c r="J44" s="42"/>
      <c r="K44" s="45" t="n">
        <f aca="false">IF(AND(E44="yes",F44="yes",H44="covered"),1,IF(AND(E44="yes",H44="partial"),0.5,0))</f>
        <v>1</v>
      </c>
    </row>
    <row r="45" customFormat="false" ht="15" hidden="false" customHeight="true" outlineLevel="0" collapsed="false">
      <c r="A45" s="31" t="n">
        <v>37</v>
      </c>
      <c r="B45" s="42" t="s">
        <v>486</v>
      </c>
      <c r="C45" s="42" t="s">
        <v>476</v>
      </c>
      <c r="D45" s="42" t="s">
        <v>954</v>
      </c>
      <c r="E45" s="34" t="s">
        <v>459</v>
      </c>
      <c r="F45" s="43" t="s">
        <v>459</v>
      </c>
      <c r="G45" s="31" t="s">
        <v>110</v>
      </c>
      <c r="H45" s="44" t="s">
        <v>461</v>
      </c>
      <c r="I45" s="42" t="s">
        <v>1041</v>
      </c>
      <c r="J45" s="42"/>
      <c r="K45" s="45" t="n">
        <f aca="false">IF(AND(E45="yes",F45="yes",H45="covered"),1,IF(AND(E45="yes",H45="partial"),0.5,0))</f>
        <v>1</v>
      </c>
    </row>
    <row r="46" customFormat="false" ht="15" hidden="false" customHeight="true" outlineLevel="0" collapsed="false">
      <c r="A46" s="31" t="n">
        <v>38</v>
      </c>
      <c r="B46" s="42" t="s">
        <v>486</v>
      </c>
      <c r="C46" s="42" t="s">
        <v>476</v>
      </c>
      <c r="D46" s="42" t="s">
        <v>955</v>
      </c>
      <c r="E46" s="34" t="s">
        <v>459</v>
      </c>
      <c r="F46" s="43" t="s">
        <v>459</v>
      </c>
      <c r="G46" s="31" t="s">
        <v>110</v>
      </c>
      <c r="H46" s="44" t="s">
        <v>461</v>
      </c>
      <c r="I46" s="42" t="s">
        <v>1041</v>
      </c>
      <c r="J46" s="42"/>
      <c r="K46" s="45" t="n">
        <f aca="false">IF(AND(E46="yes",F46="yes",H46="covered"),1,IF(AND(E46="yes",H46="partial"),0.5,0))</f>
        <v>1</v>
      </c>
    </row>
    <row r="47" customFormat="false" ht="15" hidden="false" customHeight="true" outlineLevel="0" collapsed="false">
      <c r="A47" s="31" t="n">
        <v>39</v>
      </c>
      <c r="B47" s="42" t="s">
        <v>475</v>
      </c>
      <c r="C47" s="42" t="s">
        <v>55</v>
      </c>
      <c r="D47" s="42" t="s">
        <v>477</v>
      </c>
      <c r="E47" s="34" t="s">
        <v>459</v>
      </c>
      <c r="F47" s="43" t="s">
        <v>459</v>
      </c>
      <c r="G47" s="31" t="s">
        <v>110</v>
      </c>
      <c r="H47" s="44" t="s">
        <v>461</v>
      </c>
      <c r="I47" s="42" t="s">
        <v>1041</v>
      </c>
      <c r="J47" s="42"/>
      <c r="K47" s="45" t="n">
        <f aca="false">IF(AND(E47="yes",F47="yes",H47="covered"),1,IF(AND(E47="yes",H47="partial"),0.5,0))</f>
        <v>1</v>
      </c>
    </row>
    <row r="48" customFormat="false" ht="15" hidden="false" customHeight="true" outlineLevel="0" collapsed="false">
      <c r="A48" s="31" t="n">
        <v>40</v>
      </c>
      <c r="B48" s="42" t="s">
        <v>475</v>
      </c>
      <c r="C48" s="42" t="s">
        <v>55</v>
      </c>
      <c r="D48" s="42" t="s">
        <v>478</v>
      </c>
      <c r="E48" s="34" t="s">
        <v>459</v>
      </c>
      <c r="F48" s="43" t="s">
        <v>459</v>
      </c>
      <c r="G48" s="31" t="s">
        <v>110</v>
      </c>
      <c r="H48" s="44" t="s">
        <v>461</v>
      </c>
      <c r="I48" s="42" t="s">
        <v>1041</v>
      </c>
      <c r="J48" s="42"/>
      <c r="K48" s="45" t="n">
        <f aca="false">IF(AND(E48="yes",F48="yes",H48="covered"),1,IF(AND(E48="yes",H48="partial"),0.5,0))</f>
        <v>1</v>
      </c>
    </row>
    <row r="49" customFormat="false" ht="30" hidden="false" customHeight="true" outlineLevel="0" collapsed="false">
      <c r="A49" s="31" t="n">
        <v>41</v>
      </c>
      <c r="B49" s="42" t="s">
        <v>479</v>
      </c>
      <c r="C49" s="42" t="s">
        <v>55</v>
      </c>
      <c r="D49" s="42" t="s">
        <v>480</v>
      </c>
      <c r="E49" s="34" t="s">
        <v>459</v>
      </c>
      <c r="F49" s="43" t="s">
        <v>459</v>
      </c>
      <c r="G49" s="31" t="s">
        <v>110</v>
      </c>
      <c r="H49" s="44" t="s">
        <v>461</v>
      </c>
      <c r="I49" s="42" t="s">
        <v>1041</v>
      </c>
      <c r="J49" s="42"/>
      <c r="K49" s="45" t="n">
        <f aca="false">IF(AND(E49="yes",F49="yes",H49="covered"),1,IF(AND(E49="yes",H49="partial"),0.5,0))</f>
        <v>1</v>
      </c>
    </row>
    <row r="50" customFormat="false" ht="15" hidden="false" customHeight="true" outlineLevel="0" collapsed="false">
      <c r="A50" s="31" t="n">
        <v>42</v>
      </c>
      <c r="B50" s="42" t="s">
        <v>479</v>
      </c>
      <c r="C50" s="42" t="s">
        <v>55</v>
      </c>
      <c r="D50" s="42" t="s">
        <v>481</v>
      </c>
      <c r="E50" s="34" t="s">
        <v>459</v>
      </c>
      <c r="F50" s="43" t="s">
        <v>459</v>
      </c>
      <c r="G50" s="31" t="s">
        <v>110</v>
      </c>
      <c r="H50" s="44" t="s">
        <v>461</v>
      </c>
      <c r="I50" s="42" t="s">
        <v>1041</v>
      </c>
      <c r="J50" s="42"/>
      <c r="K50" s="45" t="n">
        <f aca="false">IF(AND(E50="yes",F50="yes",H50="covered"),1,IF(AND(E50="yes",H50="partial"),0.5,0))</f>
        <v>1</v>
      </c>
    </row>
    <row r="51" customFormat="false" ht="15" hidden="false" customHeight="true" outlineLevel="0" collapsed="false">
      <c r="A51" s="31" t="n">
        <v>43</v>
      </c>
      <c r="B51" s="42" t="s">
        <v>457</v>
      </c>
      <c r="C51" s="42" t="s">
        <v>55</v>
      </c>
      <c r="D51" s="42" t="s">
        <v>482</v>
      </c>
      <c r="E51" s="34" t="s">
        <v>459</v>
      </c>
      <c r="F51" s="43" t="s">
        <v>459</v>
      </c>
      <c r="G51" s="31" t="s">
        <v>110</v>
      </c>
      <c r="H51" s="44" t="s">
        <v>461</v>
      </c>
      <c r="I51" s="42" t="s">
        <v>1041</v>
      </c>
      <c r="J51" s="42"/>
      <c r="K51" s="45" t="n">
        <f aca="false">IF(AND(E51="yes",F51="yes",H51="covered"),1,IF(AND(E51="yes",H51="partial"),0.5,0))</f>
        <v>1</v>
      </c>
    </row>
    <row r="52" customFormat="false" ht="15" hidden="false" customHeight="true" outlineLevel="0" collapsed="false">
      <c r="A52" s="31" t="n">
        <v>44</v>
      </c>
      <c r="B52" s="42" t="s">
        <v>774</v>
      </c>
      <c r="C52" s="42" t="s">
        <v>55</v>
      </c>
      <c r="D52" s="42" t="s">
        <v>775</v>
      </c>
      <c r="E52" s="34" t="s">
        <v>459</v>
      </c>
      <c r="F52" s="43" t="s">
        <v>459</v>
      </c>
      <c r="G52" s="31" t="s">
        <v>110</v>
      </c>
      <c r="H52" s="44" t="s">
        <v>461</v>
      </c>
      <c r="I52" s="42" t="s">
        <v>1041</v>
      </c>
      <c r="J52" s="42"/>
      <c r="K52" s="45" t="n">
        <f aca="false">IF(AND(E52="yes",F52="yes",H52="covered"),1,IF(AND(E52="yes",H52="partial"),0.5,0))</f>
        <v>1</v>
      </c>
    </row>
    <row r="53" customFormat="false" ht="15" hidden="false" customHeight="true" outlineLevel="0" collapsed="false">
      <c r="A53" s="31" t="n">
        <v>45</v>
      </c>
      <c r="B53" s="42" t="s">
        <v>1056</v>
      </c>
      <c r="C53" s="42" t="s">
        <v>55</v>
      </c>
      <c r="D53" s="42" t="s">
        <v>1057</v>
      </c>
      <c r="E53" s="34" t="s">
        <v>459</v>
      </c>
      <c r="F53" s="43" t="s">
        <v>459</v>
      </c>
      <c r="G53" s="31" t="s">
        <v>110</v>
      </c>
      <c r="H53" s="44" t="s">
        <v>461</v>
      </c>
      <c r="I53" s="42" t="s">
        <v>1041</v>
      </c>
      <c r="J53" s="42"/>
      <c r="K53" s="45" t="n">
        <f aca="false">IF(AND(E53="yes",F53="yes",H53="covered"),1,IF(AND(E53="yes",H53="partial"),0.5,0))</f>
        <v>1</v>
      </c>
    </row>
    <row r="54" customFormat="false" ht="15" hidden="false" customHeight="true" outlineLevel="0" collapsed="false">
      <c r="A54" s="31" t="n">
        <v>46</v>
      </c>
      <c r="B54" s="42" t="s">
        <v>488</v>
      </c>
      <c r="C54" s="42" t="s">
        <v>55</v>
      </c>
      <c r="D54" s="42" t="s">
        <v>493</v>
      </c>
      <c r="E54" s="34" t="s">
        <v>459</v>
      </c>
      <c r="F54" s="43" t="s">
        <v>459</v>
      </c>
      <c r="G54" s="31" t="s">
        <v>110</v>
      </c>
      <c r="H54" s="44" t="s">
        <v>461</v>
      </c>
      <c r="I54" s="42" t="s">
        <v>1041</v>
      </c>
      <c r="J54" s="42"/>
      <c r="K54" s="45" t="n">
        <f aca="false">IF(AND(E54="yes",F54="yes",H54="covered"),1,IF(AND(E54="yes",H54="partial"),0.5,0))</f>
        <v>1</v>
      </c>
    </row>
    <row r="55" customFormat="false" ht="15" hidden="false" customHeight="true" outlineLevel="0" collapsed="false">
      <c r="A55" s="31" t="n">
        <v>47</v>
      </c>
      <c r="B55" s="42" t="s">
        <v>475</v>
      </c>
      <c r="C55" s="42" t="s">
        <v>500</v>
      </c>
      <c r="D55" s="42" t="s">
        <v>477</v>
      </c>
      <c r="E55" s="34" t="s">
        <v>459</v>
      </c>
      <c r="F55" s="43" t="s">
        <v>459</v>
      </c>
      <c r="G55" s="31" t="s">
        <v>110</v>
      </c>
      <c r="H55" s="44" t="s">
        <v>461</v>
      </c>
      <c r="I55" s="42" t="s">
        <v>1041</v>
      </c>
      <c r="J55" s="42"/>
      <c r="K55" s="45" t="n">
        <f aca="false">IF(AND(E55="yes",F55="yes",H55="covered"),1,IF(AND(E55="yes",H55="partial"),0.5,0))</f>
        <v>1</v>
      </c>
    </row>
    <row r="56" customFormat="false" ht="15" hidden="false" customHeight="true" outlineLevel="0" collapsed="false">
      <c r="A56" s="31" t="n">
        <v>48</v>
      </c>
      <c r="B56" s="42" t="s">
        <v>475</v>
      </c>
      <c r="C56" s="42" t="s">
        <v>500</v>
      </c>
      <c r="D56" s="42" t="s">
        <v>478</v>
      </c>
      <c r="E56" s="34" t="s">
        <v>459</v>
      </c>
      <c r="F56" s="43" t="s">
        <v>459</v>
      </c>
      <c r="G56" s="31" t="s">
        <v>110</v>
      </c>
      <c r="H56" s="44" t="s">
        <v>461</v>
      </c>
      <c r="I56" s="42" t="s">
        <v>1041</v>
      </c>
      <c r="J56" s="42"/>
      <c r="K56" s="45" t="n">
        <f aca="false">IF(AND(E56="yes",F56="yes",H56="covered"),1,IF(AND(E56="yes",H56="partial"),0.5,0))</f>
        <v>1</v>
      </c>
    </row>
    <row r="57" customFormat="false" ht="30" hidden="false" customHeight="true" outlineLevel="0" collapsed="false">
      <c r="A57" s="31" t="n">
        <v>49</v>
      </c>
      <c r="B57" s="42" t="s">
        <v>479</v>
      </c>
      <c r="C57" s="42" t="s">
        <v>500</v>
      </c>
      <c r="D57" s="42" t="s">
        <v>480</v>
      </c>
      <c r="E57" s="34" t="s">
        <v>459</v>
      </c>
      <c r="F57" s="43" t="s">
        <v>459</v>
      </c>
      <c r="G57" s="31" t="s">
        <v>110</v>
      </c>
      <c r="H57" s="44" t="s">
        <v>461</v>
      </c>
      <c r="I57" s="42" t="s">
        <v>1041</v>
      </c>
      <c r="J57" s="42"/>
      <c r="K57" s="45" t="n">
        <f aca="false">IF(AND(E57="yes",F57="yes",H57="covered"),1,IF(AND(E57="yes",H57="partial"),0.5,0))</f>
        <v>1</v>
      </c>
    </row>
    <row r="58" customFormat="false" ht="15" hidden="false" customHeight="true" outlineLevel="0" collapsed="false">
      <c r="A58" s="31" t="n">
        <v>50</v>
      </c>
      <c r="B58" s="42" t="s">
        <v>479</v>
      </c>
      <c r="C58" s="42" t="s">
        <v>500</v>
      </c>
      <c r="D58" s="42" t="s">
        <v>481</v>
      </c>
      <c r="E58" s="34" t="s">
        <v>459</v>
      </c>
      <c r="F58" s="43" t="s">
        <v>459</v>
      </c>
      <c r="G58" s="31" t="s">
        <v>110</v>
      </c>
      <c r="H58" s="44" t="s">
        <v>461</v>
      </c>
      <c r="I58" s="42" t="s">
        <v>1041</v>
      </c>
      <c r="J58" s="42"/>
      <c r="K58" s="45" t="n">
        <f aca="false">IF(AND(E58="yes",F58="yes",H58="covered"),1,IF(AND(E58="yes",H58="partial"),0.5,0))</f>
        <v>1</v>
      </c>
    </row>
    <row r="59" customFormat="false" ht="15" hidden="false" customHeight="true" outlineLevel="0" collapsed="false">
      <c r="A59" s="31" t="n">
        <v>51</v>
      </c>
      <c r="B59" s="42" t="s">
        <v>457</v>
      </c>
      <c r="C59" s="42" t="s">
        <v>500</v>
      </c>
      <c r="D59" s="42" t="s">
        <v>482</v>
      </c>
      <c r="E59" s="34" t="s">
        <v>459</v>
      </c>
      <c r="F59" s="43" t="s">
        <v>459</v>
      </c>
      <c r="G59" s="31" t="s">
        <v>110</v>
      </c>
      <c r="H59" s="44" t="s">
        <v>461</v>
      </c>
      <c r="I59" s="42" t="s">
        <v>1041</v>
      </c>
      <c r="J59" s="42"/>
      <c r="K59" s="45" t="n">
        <f aca="false">IF(AND(E59="yes",F59="yes",H59="covered"),1,IF(AND(E59="yes",H59="partial"),0.5,0))</f>
        <v>1</v>
      </c>
    </row>
    <row r="60" customFormat="false" ht="15" hidden="false" customHeight="true" outlineLevel="0" collapsed="false">
      <c r="A60" s="31" t="n">
        <v>52</v>
      </c>
      <c r="B60" s="42" t="s">
        <v>774</v>
      </c>
      <c r="C60" s="42" t="s">
        <v>500</v>
      </c>
      <c r="D60" s="42" t="s">
        <v>775</v>
      </c>
      <c r="E60" s="34" t="s">
        <v>459</v>
      </c>
      <c r="F60" s="43" t="s">
        <v>459</v>
      </c>
      <c r="G60" s="31" t="s">
        <v>110</v>
      </c>
      <c r="H60" s="44" t="s">
        <v>461</v>
      </c>
      <c r="I60" s="42" t="s">
        <v>1041</v>
      </c>
      <c r="J60" s="42"/>
      <c r="K60" s="45" t="n">
        <f aca="false">IF(AND(E60="yes",F60="yes",H60="covered"),1,IF(AND(E60="yes",H60="partial"),0.5,0))</f>
        <v>1</v>
      </c>
    </row>
    <row r="61" customFormat="false" ht="15" hidden="false" customHeight="true" outlineLevel="0" collapsed="false">
      <c r="A61" s="31" t="n">
        <v>53</v>
      </c>
      <c r="B61" s="42" t="s">
        <v>486</v>
      </c>
      <c r="C61" s="42" t="s">
        <v>500</v>
      </c>
      <c r="D61" s="42" t="s">
        <v>495</v>
      </c>
      <c r="E61" s="34" t="s">
        <v>459</v>
      </c>
      <c r="F61" s="43" t="s">
        <v>459</v>
      </c>
      <c r="G61" s="31" t="s">
        <v>110</v>
      </c>
      <c r="H61" s="44" t="s">
        <v>461</v>
      </c>
      <c r="I61" s="42" t="s">
        <v>1041</v>
      </c>
      <c r="J61" s="42"/>
      <c r="K61" s="45" t="n">
        <f aca="false">IF(AND(E61="yes",F61="yes",H61="covered"),1,IF(AND(E61="yes",H61="partial"),0.5,0))</f>
        <v>1</v>
      </c>
    </row>
    <row r="62" customFormat="false" ht="15" hidden="false" customHeight="true" outlineLevel="0" collapsed="false">
      <c r="A62" s="31" t="n">
        <v>54</v>
      </c>
      <c r="B62" s="42" t="s">
        <v>486</v>
      </c>
      <c r="C62" s="42" t="s">
        <v>500</v>
      </c>
      <c r="D62" s="42" t="s">
        <v>499</v>
      </c>
      <c r="E62" s="34" t="s">
        <v>459</v>
      </c>
      <c r="F62" s="43" t="s">
        <v>459</v>
      </c>
      <c r="G62" s="31" t="s">
        <v>110</v>
      </c>
      <c r="H62" s="44" t="s">
        <v>461</v>
      </c>
      <c r="I62" s="42" t="s">
        <v>1041</v>
      </c>
      <c r="J62" s="42"/>
      <c r="K62" s="45" t="n">
        <f aca="false">IF(AND(E62="yes",F62="yes",H62="covered"),1,IF(AND(E62="yes",H62="partial"),0.5,0))</f>
        <v>1</v>
      </c>
    </row>
    <row r="63" customFormat="false" ht="15" hidden="false" customHeight="true" outlineLevel="0" collapsed="false">
      <c r="A63" s="31" t="n">
        <v>55</v>
      </c>
      <c r="B63" s="42" t="s">
        <v>475</v>
      </c>
      <c r="C63" s="42" t="s">
        <v>44</v>
      </c>
      <c r="D63" s="42" t="s">
        <v>477</v>
      </c>
      <c r="E63" s="34" t="s">
        <v>459</v>
      </c>
      <c r="F63" s="43" t="s">
        <v>459</v>
      </c>
      <c r="G63" s="31" t="s">
        <v>110</v>
      </c>
      <c r="H63" s="44" t="s">
        <v>461</v>
      </c>
      <c r="I63" s="42" t="s">
        <v>1041</v>
      </c>
      <c r="J63" s="42"/>
      <c r="K63" s="45" t="n">
        <f aca="false">IF(AND(E63="yes",F63="yes",H63="covered"),1,IF(AND(E63="yes",H63="partial"),0.5,0))</f>
        <v>1</v>
      </c>
    </row>
    <row r="64" customFormat="false" ht="15" hidden="false" customHeight="true" outlineLevel="0" collapsed="false">
      <c r="A64" s="31" t="n">
        <v>56</v>
      </c>
      <c r="B64" s="42" t="s">
        <v>475</v>
      </c>
      <c r="C64" s="42" t="s">
        <v>44</v>
      </c>
      <c r="D64" s="42" t="s">
        <v>478</v>
      </c>
      <c r="E64" s="34" t="s">
        <v>459</v>
      </c>
      <c r="F64" s="43" t="s">
        <v>459</v>
      </c>
      <c r="G64" s="31" t="s">
        <v>110</v>
      </c>
      <c r="H64" s="44" t="s">
        <v>461</v>
      </c>
      <c r="I64" s="42" t="s">
        <v>1041</v>
      </c>
      <c r="J64" s="42"/>
      <c r="K64" s="45" t="n">
        <f aca="false">IF(AND(E64="yes",F64="yes",H64="covered"),1,IF(AND(E64="yes",H64="partial"),0.5,0))</f>
        <v>1</v>
      </c>
    </row>
    <row r="65" customFormat="false" ht="30" hidden="false" customHeight="true" outlineLevel="0" collapsed="false">
      <c r="A65" s="31" t="n">
        <v>57</v>
      </c>
      <c r="B65" s="42" t="s">
        <v>479</v>
      </c>
      <c r="C65" s="42" t="s">
        <v>44</v>
      </c>
      <c r="D65" s="42" t="s">
        <v>480</v>
      </c>
      <c r="E65" s="34" t="s">
        <v>459</v>
      </c>
      <c r="F65" s="43" t="s">
        <v>459</v>
      </c>
      <c r="G65" s="31" t="s">
        <v>110</v>
      </c>
      <c r="H65" s="44" t="s">
        <v>461</v>
      </c>
      <c r="I65" s="42" t="s">
        <v>1041</v>
      </c>
      <c r="J65" s="42"/>
      <c r="K65" s="45" t="n">
        <f aca="false">IF(AND(E65="yes",F65="yes",H65="covered"),1,IF(AND(E65="yes",H65="partial"),0.5,0))</f>
        <v>1</v>
      </c>
    </row>
    <row r="66" customFormat="false" ht="15" hidden="false" customHeight="true" outlineLevel="0" collapsed="false">
      <c r="A66" s="31" t="n">
        <v>58</v>
      </c>
      <c r="B66" s="42" t="s">
        <v>479</v>
      </c>
      <c r="C66" s="42" t="s">
        <v>44</v>
      </c>
      <c r="D66" s="42" t="s">
        <v>481</v>
      </c>
      <c r="E66" s="34" t="s">
        <v>459</v>
      </c>
      <c r="F66" s="43" t="s">
        <v>459</v>
      </c>
      <c r="G66" s="31" t="s">
        <v>110</v>
      </c>
      <c r="H66" s="44" t="s">
        <v>461</v>
      </c>
      <c r="I66" s="42" t="s">
        <v>1041</v>
      </c>
      <c r="J66" s="42"/>
      <c r="K66" s="45" t="n">
        <f aca="false">IF(AND(E66="yes",F66="yes",H66="covered"),1,IF(AND(E66="yes",H66="partial"),0.5,0))</f>
        <v>1</v>
      </c>
    </row>
    <row r="67" customFormat="false" ht="15" hidden="false" customHeight="true" outlineLevel="0" collapsed="false">
      <c r="A67" s="31" t="n">
        <v>59</v>
      </c>
      <c r="B67" s="42" t="s">
        <v>457</v>
      </c>
      <c r="C67" s="42" t="s">
        <v>44</v>
      </c>
      <c r="D67" s="42" t="s">
        <v>482</v>
      </c>
      <c r="E67" s="34" t="s">
        <v>459</v>
      </c>
      <c r="F67" s="43" t="s">
        <v>459</v>
      </c>
      <c r="G67" s="31" t="s">
        <v>110</v>
      </c>
      <c r="H67" s="44" t="s">
        <v>461</v>
      </c>
      <c r="I67" s="42" t="s">
        <v>1041</v>
      </c>
      <c r="J67" s="42"/>
      <c r="K67" s="45" t="n">
        <f aca="false">IF(AND(E67="yes",F67="yes",H67="covered"),1,IF(AND(E67="yes",H67="partial"),0.5,0))</f>
        <v>1</v>
      </c>
    </row>
    <row r="68" customFormat="false" ht="15" hidden="false" customHeight="true" outlineLevel="0" collapsed="false">
      <c r="A68" s="31" t="n">
        <v>60</v>
      </c>
      <c r="B68" s="42" t="s">
        <v>774</v>
      </c>
      <c r="C68" s="42" t="s">
        <v>44</v>
      </c>
      <c r="D68" s="42" t="s">
        <v>775</v>
      </c>
      <c r="E68" s="34" t="s">
        <v>459</v>
      </c>
      <c r="F68" s="43" t="s">
        <v>459</v>
      </c>
      <c r="G68" s="31" t="s">
        <v>110</v>
      </c>
      <c r="H68" s="44" t="s">
        <v>461</v>
      </c>
      <c r="I68" s="42" t="s">
        <v>1041</v>
      </c>
      <c r="J68" s="42"/>
      <c r="K68" s="45" t="n">
        <f aca="false">IF(AND(E68="yes",F68="yes",H68="covered"),1,IF(AND(E68="yes",H68="partial"),0.5,0))</f>
        <v>1</v>
      </c>
    </row>
    <row r="69" customFormat="false" ht="15" hidden="false" customHeight="true" outlineLevel="0" collapsed="false">
      <c r="A69" s="31" t="n">
        <v>61</v>
      </c>
      <c r="B69" s="42" t="s">
        <v>486</v>
      </c>
      <c r="C69" s="42" t="s">
        <v>44</v>
      </c>
      <c r="D69" s="42" t="s">
        <v>495</v>
      </c>
      <c r="E69" s="34" t="s">
        <v>459</v>
      </c>
      <c r="F69" s="43" t="s">
        <v>459</v>
      </c>
      <c r="G69" s="31" t="s">
        <v>110</v>
      </c>
      <c r="H69" s="44" t="s">
        <v>461</v>
      </c>
      <c r="I69" s="42" t="s">
        <v>1041</v>
      </c>
      <c r="J69" s="42"/>
      <c r="K69" s="45" t="n">
        <f aca="false">IF(AND(E69="yes",F69="yes",H69="covered"),1,IF(AND(E69="yes",H69="partial"),0.5,0))</f>
        <v>1</v>
      </c>
    </row>
    <row r="70" customFormat="false" ht="15" hidden="false" customHeight="true" outlineLevel="0" collapsed="false">
      <c r="A70" s="31" t="n">
        <v>62</v>
      </c>
      <c r="B70" s="42" t="s">
        <v>475</v>
      </c>
      <c r="C70" s="42" t="s">
        <v>825</v>
      </c>
      <c r="D70" s="42" t="s">
        <v>477</v>
      </c>
      <c r="E70" s="34" t="s">
        <v>459</v>
      </c>
      <c r="F70" s="43" t="s">
        <v>459</v>
      </c>
      <c r="G70" s="31" t="s">
        <v>110</v>
      </c>
      <c r="H70" s="44" t="s">
        <v>461</v>
      </c>
      <c r="I70" s="42" t="s">
        <v>1041</v>
      </c>
      <c r="J70" s="42"/>
      <c r="K70" s="45" t="n">
        <f aca="false">IF(AND(E70="yes",F70="yes",H70="covered"),1,IF(AND(E70="yes",H70="partial"),0.5,0))</f>
        <v>1</v>
      </c>
    </row>
    <row r="71" customFormat="false" ht="15" hidden="false" customHeight="true" outlineLevel="0" collapsed="false">
      <c r="A71" s="31" t="n">
        <v>63</v>
      </c>
      <c r="B71" s="42" t="s">
        <v>475</v>
      </c>
      <c r="C71" s="42" t="s">
        <v>825</v>
      </c>
      <c r="D71" s="42" t="s">
        <v>478</v>
      </c>
      <c r="E71" s="34" t="s">
        <v>459</v>
      </c>
      <c r="F71" s="43" t="s">
        <v>459</v>
      </c>
      <c r="G71" s="31" t="s">
        <v>110</v>
      </c>
      <c r="H71" s="44" t="s">
        <v>461</v>
      </c>
      <c r="I71" s="42" t="s">
        <v>1041</v>
      </c>
      <c r="J71" s="42"/>
      <c r="K71" s="45" t="n">
        <f aca="false">IF(AND(E71="yes",F71="yes",H71="covered"),1,IF(AND(E71="yes",H71="partial"),0.5,0))</f>
        <v>1</v>
      </c>
    </row>
    <row r="72" customFormat="false" ht="30" hidden="false" customHeight="true" outlineLevel="0" collapsed="false">
      <c r="A72" s="31" t="n">
        <v>64</v>
      </c>
      <c r="B72" s="42" t="s">
        <v>479</v>
      </c>
      <c r="C72" s="42" t="s">
        <v>825</v>
      </c>
      <c r="D72" s="42" t="s">
        <v>480</v>
      </c>
      <c r="E72" s="34" t="s">
        <v>459</v>
      </c>
      <c r="F72" s="43" t="s">
        <v>459</v>
      </c>
      <c r="G72" s="31" t="s">
        <v>110</v>
      </c>
      <c r="H72" s="44" t="s">
        <v>461</v>
      </c>
      <c r="I72" s="42" t="s">
        <v>1041</v>
      </c>
      <c r="J72" s="42"/>
      <c r="K72" s="45" t="n">
        <f aca="false">IF(AND(E72="yes",F72="yes",H72="covered"),1,IF(AND(E72="yes",H72="partial"),0.5,0))</f>
        <v>1</v>
      </c>
    </row>
    <row r="73" customFormat="false" ht="15" hidden="false" customHeight="true" outlineLevel="0" collapsed="false">
      <c r="A73" s="31" t="n">
        <v>65</v>
      </c>
      <c r="B73" s="42" t="s">
        <v>479</v>
      </c>
      <c r="C73" s="42" t="s">
        <v>825</v>
      </c>
      <c r="D73" s="42" t="s">
        <v>481</v>
      </c>
      <c r="E73" s="34" t="s">
        <v>459</v>
      </c>
      <c r="F73" s="43" t="s">
        <v>459</v>
      </c>
      <c r="G73" s="31" t="s">
        <v>110</v>
      </c>
      <c r="H73" s="44" t="s">
        <v>461</v>
      </c>
      <c r="I73" s="42" t="s">
        <v>1041</v>
      </c>
      <c r="J73" s="42"/>
      <c r="K73" s="45" t="n">
        <f aca="false">IF(AND(E73="yes",F73="yes",H73="covered"),1,IF(AND(E73="yes",H73="partial"),0.5,0))</f>
        <v>1</v>
      </c>
    </row>
    <row r="74" customFormat="false" ht="15" hidden="false" customHeight="true" outlineLevel="0" collapsed="false">
      <c r="A74" s="31" t="n">
        <v>66</v>
      </c>
      <c r="B74" s="42" t="s">
        <v>457</v>
      </c>
      <c r="C74" s="42" t="s">
        <v>825</v>
      </c>
      <c r="D74" s="42" t="s">
        <v>482</v>
      </c>
      <c r="E74" s="34" t="s">
        <v>459</v>
      </c>
      <c r="F74" s="43" t="s">
        <v>459</v>
      </c>
      <c r="G74" s="31" t="s">
        <v>110</v>
      </c>
      <c r="H74" s="44" t="s">
        <v>461</v>
      </c>
      <c r="I74" s="42" t="s">
        <v>1041</v>
      </c>
      <c r="J74" s="42"/>
      <c r="K74" s="45" t="n">
        <f aca="false">IF(AND(E74="yes",F74="yes",H74="covered"),1,IF(AND(E74="yes",H74="partial"),0.5,0))</f>
        <v>1</v>
      </c>
    </row>
    <row r="75" customFormat="false" ht="15" hidden="false" customHeight="true" outlineLevel="0" collapsed="false">
      <c r="A75" s="31" t="n">
        <v>67</v>
      </c>
      <c r="B75" s="42" t="s">
        <v>774</v>
      </c>
      <c r="C75" s="42" t="s">
        <v>825</v>
      </c>
      <c r="D75" s="42" t="s">
        <v>775</v>
      </c>
      <c r="E75" s="34" t="s">
        <v>459</v>
      </c>
      <c r="F75" s="43" t="s">
        <v>459</v>
      </c>
      <c r="G75" s="31" t="s">
        <v>110</v>
      </c>
      <c r="H75" s="44" t="s">
        <v>461</v>
      </c>
      <c r="I75" s="42" t="s">
        <v>1041</v>
      </c>
      <c r="J75" s="42"/>
      <c r="K75" s="45" t="n">
        <f aca="false">IF(AND(E75="yes",F75="yes",H75="covered"),1,IF(AND(E75="yes",H75="partial"),0.5,0))</f>
        <v>1</v>
      </c>
    </row>
    <row r="76" customFormat="false" ht="15" hidden="false" customHeight="true" outlineLevel="0" collapsed="false">
      <c r="A76" s="31" t="n">
        <v>68</v>
      </c>
      <c r="B76" s="42" t="s">
        <v>882</v>
      </c>
      <c r="C76" s="42" t="s">
        <v>825</v>
      </c>
      <c r="D76" s="42" t="s">
        <v>883</v>
      </c>
      <c r="E76" s="34" t="s">
        <v>459</v>
      </c>
      <c r="F76" s="43" t="s">
        <v>459</v>
      </c>
      <c r="G76" s="31" t="s">
        <v>110</v>
      </c>
      <c r="H76" s="44" t="s">
        <v>461</v>
      </c>
      <c r="I76" s="42" t="s">
        <v>1041</v>
      </c>
      <c r="J76" s="42"/>
      <c r="K76" s="45" t="n">
        <f aca="false">IF(AND(E76="yes",F76="yes",H76="covered"),1,IF(AND(E76="yes",H76="partial"),0.5,0))</f>
        <v>1</v>
      </c>
    </row>
    <row r="77" customFormat="false" ht="15" hidden="false" customHeight="true" outlineLevel="0" collapsed="false">
      <c r="A77" s="31" t="n">
        <v>69</v>
      </c>
      <c r="B77" s="42" t="s">
        <v>882</v>
      </c>
      <c r="C77" s="42" t="s">
        <v>825</v>
      </c>
      <c r="D77" s="42" t="s">
        <v>1058</v>
      </c>
      <c r="E77" s="34" t="s">
        <v>459</v>
      </c>
      <c r="F77" s="43" t="s">
        <v>459</v>
      </c>
      <c r="G77" s="31" t="s">
        <v>110</v>
      </c>
      <c r="H77" s="44" t="s">
        <v>461</v>
      </c>
      <c r="I77" s="42" t="s">
        <v>1041</v>
      </c>
      <c r="J77" s="42"/>
      <c r="K77" s="45" t="n">
        <f aca="false">IF(AND(E77="yes",F77="yes",H77="covered"),1,IF(AND(E77="yes",H77="partial"),0.5,0))</f>
        <v>1</v>
      </c>
    </row>
    <row r="78" customFormat="false" ht="15" hidden="false" customHeight="true" outlineLevel="0" collapsed="false">
      <c r="A78" s="31" t="n">
        <v>70</v>
      </c>
      <c r="B78" s="42" t="s">
        <v>486</v>
      </c>
      <c r="C78" s="42" t="s">
        <v>825</v>
      </c>
      <c r="D78" s="42" t="s">
        <v>495</v>
      </c>
      <c r="E78" s="34" t="s">
        <v>459</v>
      </c>
      <c r="F78" s="43" t="s">
        <v>459</v>
      </c>
      <c r="G78" s="31" t="s">
        <v>110</v>
      </c>
      <c r="H78" s="44" t="s">
        <v>461</v>
      </c>
      <c r="I78" s="42" t="s">
        <v>1041</v>
      </c>
      <c r="J78" s="42"/>
      <c r="K78" s="45" t="n">
        <f aca="false">IF(AND(E78="yes",F78="yes",H78="covered"),1,IF(AND(E78="yes",H78="partial"),0.5,0))</f>
        <v>1</v>
      </c>
    </row>
    <row r="79" customFormat="false" ht="15" hidden="false" customHeight="true" outlineLevel="0" collapsed="false">
      <c r="A79" s="31" t="n">
        <v>71</v>
      </c>
      <c r="B79" s="42" t="s">
        <v>475</v>
      </c>
      <c r="C79" s="42" t="s">
        <v>42</v>
      </c>
      <c r="D79" s="42" t="s">
        <v>477</v>
      </c>
      <c r="E79" s="34" t="s">
        <v>459</v>
      </c>
      <c r="F79" s="43" t="s">
        <v>459</v>
      </c>
      <c r="G79" s="31" t="s">
        <v>110</v>
      </c>
      <c r="H79" s="44" t="s">
        <v>461</v>
      </c>
      <c r="I79" s="42" t="s">
        <v>1041</v>
      </c>
      <c r="J79" s="42"/>
      <c r="K79" s="45" t="n">
        <f aca="false">IF(AND(E79="yes",F79="yes",H79="covered"),1,IF(AND(E79="yes",H79="partial"),0.5,0))</f>
        <v>1</v>
      </c>
    </row>
    <row r="80" customFormat="false" ht="15" hidden="false" customHeight="true" outlineLevel="0" collapsed="false">
      <c r="A80" s="31" t="n">
        <v>72</v>
      </c>
      <c r="B80" s="42" t="s">
        <v>475</v>
      </c>
      <c r="C80" s="42" t="s">
        <v>42</v>
      </c>
      <c r="D80" s="42" t="s">
        <v>478</v>
      </c>
      <c r="E80" s="34" t="s">
        <v>459</v>
      </c>
      <c r="F80" s="43" t="s">
        <v>459</v>
      </c>
      <c r="G80" s="31" t="s">
        <v>110</v>
      </c>
      <c r="H80" s="44" t="s">
        <v>461</v>
      </c>
      <c r="I80" s="42" t="s">
        <v>1041</v>
      </c>
      <c r="J80" s="42"/>
      <c r="K80" s="45" t="n">
        <f aca="false">IF(AND(E80="yes",F80="yes",H80="covered"),1,IF(AND(E80="yes",H80="partial"),0.5,0))</f>
        <v>1</v>
      </c>
    </row>
    <row r="81" customFormat="false" ht="30" hidden="false" customHeight="true" outlineLevel="0" collapsed="false">
      <c r="A81" s="31" t="n">
        <v>73</v>
      </c>
      <c r="B81" s="42" t="s">
        <v>479</v>
      </c>
      <c r="C81" s="42" t="s">
        <v>42</v>
      </c>
      <c r="D81" s="42" t="s">
        <v>480</v>
      </c>
      <c r="E81" s="34" t="s">
        <v>459</v>
      </c>
      <c r="F81" s="43" t="s">
        <v>459</v>
      </c>
      <c r="G81" s="31" t="s">
        <v>110</v>
      </c>
      <c r="H81" s="44" t="s">
        <v>461</v>
      </c>
      <c r="I81" s="42" t="s">
        <v>1041</v>
      </c>
      <c r="J81" s="42"/>
      <c r="K81" s="45" t="n">
        <f aca="false">IF(AND(E81="yes",F81="yes",H81="covered"),1,IF(AND(E81="yes",H81="partial"),0.5,0))</f>
        <v>1</v>
      </c>
    </row>
    <row r="82" customFormat="false" ht="15" hidden="false" customHeight="true" outlineLevel="0" collapsed="false">
      <c r="A82" s="31" t="n">
        <v>74</v>
      </c>
      <c r="B82" s="42" t="s">
        <v>479</v>
      </c>
      <c r="C82" s="42" t="s">
        <v>42</v>
      </c>
      <c r="D82" s="42" t="s">
        <v>481</v>
      </c>
      <c r="E82" s="34" t="s">
        <v>459</v>
      </c>
      <c r="F82" s="43" t="s">
        <v>459</v>
      </c>
      <c r="G82" s="31" t="s">
        <v>110</v>
      </c>
      <c r="H82" s="44" t="s">
        <v>461</v>
      </c>
      <c r="I82" s="42" t="s">
        <v>1041</v>
      </c>
      <c r="J82" s="42"/>
      <c r="K82" s="45" t="n">
        <f aca="false">IF(AND(E82="yes",F82="yes",H82="covered"),1,IF(AND(E82="yes",H82="partial"),0.5,0))</f>
        <v>1</v>
      </c>
    </row>
    <row r="83" customFormat="false" ht="15" hidden="false" customHeight="true" outlineLevel="0" collapsed="false">
      <c r="A83" s="31" t="n">
        <v>75</v>
      </c>
      <c r="B83" s="42" t="s">
        <v>457</v>
      </c>
      <c r="C83" s="42" t="s">
        <v>42</v>
      </c>
      <c r="D83" s="42" t="s">
        <v>482</v>
      </c>
      <c r="E83" s="34" t="s">
        <v>459</v>
      </c>
      <c r="F83" s="43" t="s">
        <v>459</v>
      </c>
      <c r="G83" s="31" t="s">
        <v>110</v>
      </c>
      <c r="H83" s="44" t="s">
        <v>461</v>
      </c>
      <c r="I83" s="42" t="s">
        <v>1041</v>
      </c>
      <c r="J83" s="42"/>
      <c r="K83" s="45" t="n">
        <f aca="false">IF(AND(E83="yes",F83="yes",H83="covered"),1,IF(AND(E83="yes",H83="partial"),0.5,0))</f>
        <v>1</v>
      </c>
    </row>
    <row r="84" customFormat="false" ht="15" hidden="false" customHeight="true" outlineLevel="0" collapsed="false">
      <c r="A84" s="31" t="n">
        <v>76</v>
      </c>
      <c r="B84" s="42" t="s">
        <v>774</v>
      </c>
      <c r="C84" s="42" t="s">
        <v>42</v>
      </c>
      <c r="D84" s="42" t="s">
        <v>775</v>
      </c>
      <c r="E84" s="34" t="s">
        <v>459</v>
      </c>
      <c r="F84" s="43" t="s">
        <v>459</v>
      </c>
      <c r="G84" s="31" t="s">
        <v>110</v>
      </c>
      <c r="H84" s="44" t="s">
        <v>461</v>
      </c>
      <c r="I84" s="42" t="s">
        <v>1041</v>
      </c>
      <c r="J84" s="42"/>
      <c r="K84" s="45" t="n">
        <f aca="false">IF(AND(E84="yes",F84="yes",H84="covered"),1,IF(AND(E84="yes",H84="partial"),0.5,0))</f>
        <v>1</v>
      </c>
    </row>
    <row r="85" customFormat="false" ht="15" hidden="false" customHeight="true" outlineLevel="0" collapsed="false">
      <c r="A85" s="31" t="n">
        <v>77</v>
      </c>
      <c r="B85" s="42" t="s">
        <v>486</v>
      </c>
      <c r="C85" s="42" t="s">
        <v>42</v>
      </c>
      <c r="D85" s="42" t="s">
        <v>495</v>
      </c>
      <c r="E85" s="34" t="s">
        <v>459</v>
      </c>
      <c r="F85" s="43" t="s">
        <v>459</v>
      </c>
      <c r="G85" s="31" t="s">
        <v>110</v>
      </c>
      <c r="H85" s="44" t="s">
        <v>461</v>
      </c>
      <c r="I85" s="42" t="s">
        <v>1041</v>
      </c>
      <c r="J85" s="42"/>
      <c r="K85" s="45" t="n">
        <f aca="false">IF(AND(E85="yes",F85="yes",H85="covered"),1,IF(AND(E85="yes",H85="partial"),0.5,0))</f>
        <v>1</v>
      </c>
    </row>
    <row r="86" customFormat="false" ht="15" hidden="false" customHeight="true" outlineLevel="0" collapsed="false">
      <c r="A86" s="31" t="n">
        <v>78</v>
      </c>
      <c r="B86" s="42" t="s">
        <v>475</v>
      </c>
      <c r="C86" s="42" t="s">
        <v>502</v>
      </c>
      <c r="D86" s="42" t="s">
        <v>477</v>
      </c>
      <c r="E86" s="34" t="s">
        <v>459</v>
      </c>
      <c r="F86" s="43" t="s">
        <v>459</v>
      </c>
      <c r="G86" s="31" t="s">
        <v>110</v>
      </c>
      <c r="H86" s="44" t="s">
        <v>461</v>
      </c>
      <c r="I86" s="42" t="s">
        <v>1041</v>
      </c>
      <c r="J86" s="42"/>
      <c r="K86" s="45" t="n">
        <f aca="false">IF(AND(E86="yes",F86="yes",H86="covered"),1,IF(AND(E86="yes",H86="partial"),0.5,0))</f>
        <v>1</v>
      </c>
    </row>
    <row r="87" customFormat="false" ht="15" hidden="false" customHeight="true" outlineLevel="0" collapsed="false">
      <c r="A87" s="31" t="n">
        <v>79</v>
      </c>
      <c r="B87" s="42" t="s">
        <v>475</v>
      </c>
      <c r="C87" s="42" t="s">
        <v>502</v>
      </c>
      <c r="D87" s="42" t="s">
        <v>478</v>
      </c>
      <c r="E87" s="34" t="s">
        <v>459</v>
      </c>
      <c r="F87" s="43" t="s">
        <v>459</v>
      </c>
      <c r="G87" s="31" t="s">
        <v>110</v>
      </c>
      <c r="H87" s="44" t="s">
        <v>461</v>
      </c>
      <c r="I87" s="42" t="s">
        <v>1041</v>
      </c>
      <c r="J87" s="42"/>
      <c r="K87" s="45" t="n">
        <f aca="false">IF(AND(E87="yes",F87="yes",H87="covered"),1,IF(AND(E87="yes",H87="partial"),0.5,0))</f>
        <v>1</v>
      </c>
    </row>
    <row r="88" customFormat="false" ht="30" hidden="false" customHeight="true" outlineLevel="0" collapsed="false">
      <c r="A88" s="31" t="n">
        <v>80</v>
      </c>
      <c r="B88" s="42" t="s">
        <v>479</v>
      </c>
      <c r="C88" s="42" t="s">
        <v>502</v>
      </c>
      <c r="D88" s="42" t="s">
        <v>480</v>
      </c>
      <c r="E88" s="34" t="s">
        <v>459</v>
      </c>
      <c r="F88" s="43" t="s">
        <v>459</v>
      </c>
      <c r="G88" s="31" t="s">
        <v>110</v>
      </c>
      <c r="H88" s="44" t="s">
        <v>461</v>
      </c>
      <c r="I88" s="42" t="s">
        <v>1041</v>
      </c>
      <c r="J88" s="42"/>
      <c r="K88" s="45" t="n">
        <f aca="false">IF(AND(E88="yes",F88="yes",H88="covered"),1,IF(AND(E88="yes",H88="partial"),0.5,0))</f>
        <v>1</v>
      </c>
    </row>
    <row r="89" customFormat="false" ht="15" hidden="false" customHeight="true" outlineLevel="0" collapsed="false">
      <c r="A89" s="31" t="n">
        <v>81</v>
      </c>
      <c r="B89" s="42" t="s">
        <v>479</v>
      </c>
      <c r="C89" s="42" t="s">
        <v>502</v>
      </c>
      <c r="D89" s="42" t="s">
        <v>481</v>
      </c>
      <c r="E89" s="34" t="s">
        <v>459</v>
      </c>
      <c r="F89" s="43" t="s">
        <v>459</v>
      </c>
      <c r="G89" s="31" t="s">
        <v>110</v>
      </c>
      <c r="H89" s="44" t="s">
        <v>461</v>
      </c>
      <c r="I89" s="42" t="s">
        <v>1041</v>
      </c>
      <c r="J89" s="42"/>
      <c r="K89" s="45" t="n">
        <f aca="false">IF(AND(E89="yes",F89="yes",H89="covered"),1,IF(AND(E89="yes",H89="partial"),0.5,0))</f>
        <v>1</v>
      </c>
    </row>
    <row r="90" customFormat="false" ht="15" hidden="false" customHeight="true" outlineLevel="0" collapsed="false">
      <c r="A90" s="31" t="n">
        <v>82</v>
      </c>
      <c r="B90" s="42" t="s">
        <v>457</v>
      </c>
      <c r="C90" s="42" t="s">
        <v>502</v>
      </c>
      <c r="D90" s="42" t="s">
        <v>482</v>
      </c>
      <c r="E90" s="34" t="s">
        <v>459</v>
      </c>
      <c r="F90" s="43" t="s">
        <v>459</v>
      </c>
      <c r="G90" s="31" t="s">
        <v>110</v>
      </c>
      <c r="H90" s="44" t="s">
        <v>461</v>
      </c>
      <c r="I90" s="42" t="s">
        <v>1041</v>
      </c>
      <c r="J90" s="42"/>
      <c r="K90" s="45" t="n">
        <f aca="false">IF(AND(E90="yes",F90="yes",H90="covered"),1,IF(AND(E90="yes",H90="partial"),0.5,0))</f>
        <v>1</v>
      </c>
    </row>
    <row r="91" customFormat="false" ht="15" hidden="false" customHeight="true" outlineLevel="0" collapsed="false">
      <c r="A91" s="31" t="n">
        <v>83</v>
      </c>
      <c r="B91" s="42" t="s">
        <v>774</v>
      </c>
      <c r="C91" s="42" t="s">
        <v>502</v>
      </c>
      <c r="D91" s="42" t="s">
        <v>775</v>
      </c>
      <c r="E91" s="34" t="s">
        <v>459</v>
      </c>
      <c r="F91" s="43" t="s">
        <v>459</v>
      </c>
      <c r="G91" s="31" t="s">
        <v>110</v>
      </c>
      <c r="H91" s="44" t="s">
        <v>461</v>
      </c>
      <c r="I91" s="42" t="s">
        <v>1041</v>
      </c>
      <c r="J91" s="42"/>
      <c r="K91" s="45" t="n">
        <f aca="false">IF(AND(E91="yes",F91="yes",H91="covered"),1,IF(AND(E91="yes",H91="partial"),0.5,0))</f>
        <v>1</v>
      </c>
    </row>
    <row r="92" customFormat="false" ht="15" hidden="false" customHeight="true" outlineLevel="0" collapsed="false">
      <c r="A92" s="31" t="n">
        <v>84</v>
      </c>
      <c r="B92" s="42" t="s">
        <v>488</v>
      </c>
      <c r="C92" s="42" t="s">
        <v>502</v>
      </c>
      <c r="D92" s="42" t="s">
        <v>489</v>
      </c>
      <c r="E92" s="34" t="s">
        <v>459</v>
      </c>
      <c r="F92" s="43" t="s">
        <v>459</v>
      </c>
      <c r="G92" s="31" t="s">
        <v>110</v>
      </c>
      <c r="H92" s="44" t="s">
        <v>461</v>
      </c>
      <c r="I92" s="42" t="s">
        <v>1041</v>
      </c>
      <c r="J92" s="42"/>
      <c r="K92" s="45" t="n">
        <f aca="false">IF(AND(E92="yes",F92="yes",H92="covered"),1,IF(AND(E92="yes",H92="partial"),0.5,0))</f>
        <v>1</v>
      </c>
    </row>
    <row r="93" customFormat="false" ht="15" hidden="false" customHeight="true" outlineLevel="0" collapsed="false">
      <c r="A93" s="31" t="n">
        <v>85</v>
      </c>
      <c r="B93" s="42" t="s">
        <v>486</v>
      </c>
      <c r="C93" s="42" t="s">
        <v>502</v>
      </c>
      <c r="D93" s="42" t="s">
        <v>1059</v>
      </c>
      <c r="E93" s="34" t="s">
        <v>459</v>
      </c>
      <c r="F93" s="43" t="s">
        <v>459</v>
      </c>
      <c r="G93" s="31" t="s">
        <v>110</v>
      </c>
      <c r="H93" s="44" t="s">
        <v>461</v>
      </c>
      <c r="I93" s="42" t="s">
        <v>1041</v>
      </c>
      <c r="J93" s="42"/>
      <c r="K93" s="45" t="n">
        <f aca="false">IF(AND(E93="yes",F93="yes",H93="covered"),1,IF(AND(E93="yes",H93="partial"),0.5,0))</f>
        <v>1</v>
      </c>
    </row>
    <row r="94" customFormat="false" ht="15" hidden="false" customHeight="true" outlineLevel="0" collapsed="false">
      <c r="A94" s="31" t="n">
        <v>86</v>
      </c>
      <c r="B94" s="42" t="s">
        <v>488</v>
      </c>
      <c r="C94" s="42" t="s">
        <v>502</v>
      </c>
      <c r="D94" s="42" t="s">
        <v>493</v>
      </c>
      <c r="E94" s="34" t="s">
        <v>459</v>
      </c>
      <c r="F94" s="43" t="s">
        <v>459</v>
      </c>
      <c r="G94" s="31" t="s">
        <v>110</v>
      </c>
      <c r="H94" s="44" t="s">
        <v>461</v>
      </c>
      <c r="I94" s="42" t="s">
        <v>1041</v>
      </c>
      <c r="J94" s="42"/>
      <c r="K94" s="45" t="n">
        <f aca="false">IF(AND(E94="yes",F94="yes",H94="covered"),1,IF(AND(E94="yes",H94="partial"),0.5,0))</f>
        <v>1</v>
      </c>
    </row>
    <row r="95" customFormat="false" ht="15" hidden="false" customHeight="true" outlineLevel="0" collapsed="false">
      <c r="A95" s="31" t="n">
        <v>87</v>
      </c>
      <c r="B95" s="42" t="s">
        <v>486</v>
      </c>
      <c r="C95" s="42" t="s">
        <v>502</v>
      </c>
      <c r="D95" s="42" t="s">
        <v>495</v>
      </c>
      <c r="E95" s="34" t="s">
        <v>459</v>
      </c>
      <c r="F95" s="43" t="s">
        <v>459</v>
      </c>
      <c r="G95" s="31" t="s">
        <v>110</v>
      </c>
      <c r="H95" s="44" t="s">
        <v>461</v>
      </c>
      <c r="I95" s="42" t="s">
        <v>1041</v>
      </c>
      <c r="J95" s="42"/>
      <c r="K95" s="45" t="n">
        <f aca="false">IF(AND(E95="yes",F95="yes",H95="covered"),1,IF(AND(E95="yes",H95="partial"),0.5,0))</f>
        <v>1</v>
      </c>
    </row>
    <row r="96" customFormat="false" ht="15" hidden="false" customHeight="true" outlineLevel="0" collapsed="false">
      <c r="A96" s="31" t="n">
        <v>88</v>
      </c>
      <c r="B96" s="42" t="s">
        <v>486</v>
      </c>
      <c r="C96" s="42" t="s">
        <v>502</v>
      </c>
      <c r="D96" s="42" t="s">
        <v>499</v>
      </c>
      <c r="E96" s="34" t="s">
        <v>459</v>
      </c>
      <c r="F96" s="43" t="s">
        <v>459</v>
      </c>
      <c r="G96" s="31" t="s">
        <v>110</v>
      </c>
      <c r="H96" s="44" t="s">
        <v>461</v>
      </c>
      <c r="I96" s="42" t="s">
        <v>1041</v>
      </c>
      <c r="J96" s="42"/>
      <c r="K96" s="45" t="n">
        <f aca="false">IF(AND(E96="yes",F96="yes",H96="covered"),1,IF(AND(E96="yes",H96="partial"),0.5,0))</f>
        <v>1</v>
      </c>
    </row>
    <row r="97" customFormat="false" ht="15" hidden="false" customHeight="true" outlineLevel="0" collapsed="false">
      <c r="A97" s="31" t="n">
        <v>89</v>
      </c>
      <c r="B97" s="42" t="s">
        <v>486</v>
      </c>
      <c r="C97" s="42" t="s">
        <v>502</v>
      </c>
      <c r="D97" s="42" t="s">
        <v>1060</v>
      </c>
      <c r="E97" s="34" t="s">
        <v>459</v>
      </c>
      <c r="F97" s="43" t="s">
        <v>459</v>
      </c>
      <c r="G97" s="31" t="s">
        <v>110</v>
      </c>
      <c r="H97" s="44" t="s">
        <v>461</v>
      </c>
      <c r="I97" s="42" t="s">
        <v>1041</v>
      </c>
      <c r="J97" s="42"/>
      <c r="K97" s="45" t="n">
        <f aca="false">IF(AND(E97="yes",F97="yes",H97="covered"),1,IF(AND(E97="yes",H97="partial"),0.5,0))</f>
        <v>1</v>
      </c>
    </row>
    <row r="98" customFormat="false" ht="15" hidden="false" customHeight="true" outlineLevel="0" collapsed="false">
      <c r="A98" s="31" t="n">
        <v>90</v>
      </c>
      <c r="B98" s="42" t="s">
        <v>488</v>
      </c>
      <c r="C98" s="42" t="s">
        <v>502</v>
      </c>
      <c r="D98" s="42" t="s">
        <v>497</v>
      </c>
      <c r="E98" s="34" t="s">
        <v>459</v>
      </c>
      <c r="F98" s="43" t="s">
        <v>459</v>
      </c>
      <c r="G98" s="31" t="s">
        <v>110</v>
      </c>
      <c r="H98" s="44" t="s">
        <v>461</v>
      </c>
      <c r="I98" s="42" t="s">
        <v>1041</v>
      </c>
      <c r="J98" s="42"/>
      <c r="K98" s="45" t="n">
        <f aca="false">IF(AND(E98="yes",F98="yes",H98="covered"),1,IF(AND(E98="yes",H98="partial"),0.5,0))</f>
        <v>1</v>
      </c>
    </row>
    <row r="99" customFormat="false" ht="15" hidden="false" customHeight="true" outlineLevel="0" collapsed="false">
      <c r="A99" s="31" t="n">
        <v>91</v>
      </c>
      <c r="B99" s="42" t="s">
        <v>488</v>
      </c>
      <c r="C99" s="42" t="s">
        <v>502</v>
      </c>
      <c r="D99" s="42" t="s">
        <v>887</v>
      </c>
      <c r="E99" s="34" t="s">
        <v>459</v>
      </c>
      <c r="F99" s="43" t="s">
        <v>459</v>
      </c>
      <c r="G99" s="31" t="s">
        <v>110</v>
      </c>
      <c r="H99" s="44" t="s">
        <v>461</v>
      </c>
      <c r="I99" s="42" t="s">
        <v>1041</v>
      </c>
      <c r="J99" s="42"/>
      <c r="K99" s="45" t="n">
        <f aca="false">IF(AND(E99="yes",F99="yes",H99="covered"),1,IF(AND(E99="yes",H99="partial"),0.5,0))</f>
        <v>1</v>
      </c>
    </row>
    <row r="100" customFormat="false" ht="15" hidden="false" customHeight="true" outlineLevel="0" collapsed="false">
      <c r="A100" s="31" t="n">
        <v>92</v>
      </c>
      <c r="B100" s="42" t="s">
        <v>475</v>
      </c>
      <c r="C100" s="42" t="s">
        <v>1061</v>
      </c>
      <c r="D100" s="42" t="s">
        <v>477</v>
      </c>
      <c r="E100" s="34" t="s">
        <v>459</v>
      </c>
      <c r="F100" s="43" t="s">
        <v>459</v>
      </c>
      <c r="G100" s="31" t="s">
        <v>110</v>
      </c>
      <c r="H100" s="44" t="s">
        <v>461</v>
      </c>
      <c r="I100" s="42" t="s">
        <v>1041</v>
      </c>
      <c r="J100" s="42"/>
      <c r="K100" s="45" t="n">
        <f aca="false">IF(AND(E100="yes",F100="yes",H100="covered"),1,IF(AND(E100="yes",H100="partial"),0.5,0))</f>
        <v>1</v>
      </c>
    </row>
    <row r="101" customFormat="false" ht="15" hidden="false" customHeight="true" outlineLevel="0" collapsed="false">
      <c r="A101" s="31" t="n">
        <v>93</v>
      </c>
      <c r="B101" s="42" t="s">
        <v>475</v>
      </c>
      <c r="C101" s="42" t="s">
        <v>1061</v>
      </c>
      <c r="D101" s="42" t="s">
        <v>478</v>
      </c>
      <c r="E101" s="34" t="s">
        <v>459</v>
      </c>
      <c r="F101" s="43" t="s">
        <v>459</v>
      </c>
      <c r="G101" s="31" t="s">
        <v>110</v>
      </c>
      <c r="H101" s="44" t="s">
        <v>461</v>
      </c>
      <c r="I101" s="42" t="s">
        <v>1041</v>
      </c>
      <c r="J101" s="42"/>
      <c r="K101" s="45" t="n">
        <f aca="false">IF(AND(E101="yes",F101="yes",H101="covered"),1,IF(AND(E101="yes",H101="partial"),0.5,0))</f>
        <v>1</v>
      </c>
    </row>
    <row r="102" customFormat="false" ht="30" hidden="false" customHeight="true" outlineLevel="0" collapsed="false">
      <c r="A102" s="31" t="n">
        <v>94</v>
      </c>
      <c r="B102" s="42" t="s">
        <v>479</v>
      </c>
      <c r="C102" s="42" t="s">
        <v>1061</v>
      </c>
      <c r="D102" s="42" t="s">
        <v>480</v>
      </c>
      <c r="E102" s="34" t="s">
        <v>459</v>
      </c>
      <c r="F102" s="43" t="s">
        <v>459</v>
      </c>
      <c r="G102" s="31" t="s">
        <v>110</v>
      </c>
      <c r="H102" s="44" t="s">
        <v>461</v>
      </c>
      <c r="I102" s="42" t="s">
        <v>1041</v>
      </c>
      <c r="J102" s="42"/>
      <c r="K102" s="45" t="n">
        <f aca="false">IF(AND(E102="yes",F102="yes",H102="covered"),1,IF(AND(E102="yes",H102="partial"),0.5,0))</f>
        <v>1</v>
      </c>
    </row>
    <row r="103" customFormat="false" ht="15" hidden="false" customHeight="true" outlineLevel="0" collapsed="false">
      <c r="A103" s="31" t="n">
        <v>95</v>
      </c>
      <c r="B103" s="42" t="s">
        <v>479</v>
      </c>
      <c r="C103" s="42" t="s">
        <v>1061</v>
      </c>
      <c r="D103" s="42" t="s">
        <v>481</v>
      </c>
      <c r="E103" s="34" t="s">
        <v>459</v>
      </c>
      <c r="F103" s="43" t="s">
        <v>459</v>
      </c>
      <c r="G103" s="31" t="s">
        <v>110</v>
      </c>
      <c r="H103" s="44" t="s">
        <v>461</v>
      </c>
      <c r="I103" s="42" t="s">
        <v>1041</v>
      </c>
      <c r="J103" s="42"/>
      <c r="K103" s="45" t="n">
        <f aca="false">IF(AND(E103="yes",F103="yes",H103="covered"),1,IF(AND(E103="yes",H103="partial"),0.5,0))</f>
        <v>1</v>
      </c>
    </row>
    <row r="104" customFormat="false" ht="15" hidden="false" customHeight="true" outlineLevel="0" collapsed="false">
      <c r="A104" s="31" t="n">
        <v>96</v>
      </c>
      <c r="B104" s="42" t="s">
        <v>457</v>
      </c>
      <c r="C104" s="42" t="s">
        <v>1061</v>
      </c>
      <c r="D104" s="42" t="s">
        <v>482</v>
      </c>
      <c r="E104" s="34" t="s">
        <v>459</v>
      </c>
      <c r="F104" s="43" t="s">
        <v>459</v>
      </c>
      <c r="G104" s="31" t="s">
        <v>110</v>
      </c>
      <c r="H104" s="44" t="s">
        <v>461</v>
      </c>
      <c r="I104" s="42" t="s">
        <v>1041</v>
      </c>
      <c r="J104" s="42"/>
      <c r="K104" s="45" t="n">
        <f aca="false">IF(AND(E104="yes",F104="yes",H104="covered"),1,IF(AND(E104="yes",H104="partial"),0.5,0))</f>
        <v>1</v>
      </c>
    </row>
    <row r="105" customFormat="false" ht="15" hidden="false" customHeight="true" outlineLevel="0" collapsed="false">
      <c r="A105" s="31" t="n">
        <v>97</v>
      </c>
      <c r="B105" s="42" t="s">
        <v>774</v>
      </c>
      <c r="C105" s="42" t="s">
        <v>1061</v>
      </c>
      <c r="D105" s="42" t="s">
        <v>775</v>
      </c>
      <c r="E105" s="34" t="s">
        <v>459</v>
      </c>
      <c r="F105" s="43" t="s">
        <v>459</v>
      </c>
      <c r="G105" s="31" t="s">
        <v>110</v>
      </c>
      <c r="H105" s="44" t="s">
        <v>461</v>
      </c>
      <c r="I105" s="42" t="s">
        <v>1041</v>
      </c>
      <c r="J105" s="42"/>
      <c r="K105" s="45" t="n">
        <f aca="false">IF(AND(E105="yes",F105="yes",H105="covered"),1,IF(AND(E105="yes",H105="partial"),0.5,0))</f>
        <v>1</v>
      </c>
    </row>
    <row r="106" customFormat="false" ht="15" hidden="false" customHeight="true" outlineLevel="0" collapsed="false">
      <c r="A106" s="31" t="n">
        <v>98</v>
      </c>
      <c r="B106" s="42" t="s">
        <v>483</v>
      </c>
      <c r="C106" s="42" t="s">
        <v>1061</v>
      </c>
      <c r="D106" s="42" t="s">
        <v>484</v>
      </c>
      <c r="E106" s="34" t="s">
        <v>459</v>
      </c>
      <c r="F106" s="43" t="s">
        <v>459</v>
      </c>
      <c r="G106" s="31" t="s">
        <v>110</v>
      </c>
      <c r="H106" s="44" t="s">
        <v>461</v>
      </c>
      <c r="I106" s="42" t="s">
        <v>1041</v>
      </c>
      <c r="J106" s="42"/>
      <c r="K106" s="45" t="n">
        <f aca="false">IF(AND(E106="yes",F106="yes",H106="covered"),1,IF(AND(E106="yes",H106="partial"),0.5,0))</f>
        <v>1</v>
      </c>
    </row>
    <row r="107" customFormat="false" ht="15" hidden="false" customHeight="true" outlineLevel="0" collapsed="false">
      <c r="A107" s="31" t="n">
        <v>99</v>
      </c>
      <c r="B107" s="42" t="s">
        <v>483</v>
      </c>
      <c r="C107" s="42" t="s">
        <v>1061</v>
      </c>
      <c r="D107" s="42" t="s">
        <v>485</v>
      </c>
      <c r="E107" s="34" t="s">
        <v>459</v>
      </c>
      <c r="F107" s="43" t="s">
        <v>459</v>
      </c>
      <c r="G107" s="31" t="s">
        <v>110</v>
      </c>
      <c r="H107" s="44" t="s">
        <v>461</v>
      </c>
      <c r="I107" s="42" t="s">
        <v>1041</v>
      </c>
      <c r="J107" s="42"/>
      <c r="K107" s="45" t="n">
        <f aca="false">IF(AND(E107="yes",F107="yes",H107="covered"),1,IF(AND(E107="yes",H107="partial"),0.5,0))</f>
        <v>1</v>
      </c>
    </row>
    <row r="108" customFormat="false" ht="15" hidden="false" customHeight="true" outlineLevel="0" collapsed="false">
      <c r="A108" s="31" t="n">
        <v>100</v>
      </c>
      <c r="B108" s="42" t="s">
        <v>486</v>
      </c>
      <c r="C108" s="42" t="s">
        <v>1061</v>
      </c>
      <c r="D108" s="42" t="s">
        <v>1062</v>
      </c>
      <c r="E108" s="34" t="s">
        <v>459</v>
      </c>
      <c r="F108" s="43" t="s">
        <v>459</v>
      </c>
      <c r="G108" s="31" t="s">
        <v>110</v>
      </c>
      <c r="H108" s="44" t="s">
        <v>461</v>
      </c>
      <c r="I108" s="42" t="s">
        <v>1041</v>
      </c>
      <c r="J108" s="42"/>
      <c r="K108" s="45" t="n">
        <f aca="false">IF(AND(E108="yes",F108="yes",H108="covered"),1,IF(AND(E108="yes",H108="partial"),0.5,0))</f>
        <v>1</v>
      </c>
    </row>
    <row r="109" customFormat="false" ht="15" hidden="false" customHeight="true" outlineLevel="0" collapsed="false">
      <c r="A109" s="31" t="n">
        <v>101</v>
      </c>
      <c r="B109" s="42" t="s">
        <v>486</v>
      </c>
      <c r="C109" s="42" t="s">
        <v>1061</v>
      </c>
      <c r="D109" s="42" t="s">
        <v>495</v>
      </c>
      <c r="E109" s="34" t="s">
        <v>459</v>
      </c>
      <c r="F109" s="43" t="s">
        <v>459</v>
      </c>
      <c r="G109" s="31" t="s">
        <v>110</v>
      </c>
      <c r="H109" s="44" t="s">
        <v>461</v>
      </c>
      <c r="I109" s="42" t="s">
        <v>1041</v>
      </c>
      <c r="J109" s="42"/>
      <c r="K109" s="45" t="n">
        <f aca="false">IF(AND(E109="yes",F109="yes",H109="covered"),1,IF(AND(E109="yes",H109="partial"),0.5,0))</f>
        <v>1</v>
      </c>
    </row>
    <row r="110" customFormat="false" ht="15" hidden="false" customHeight="true" outlineLevel="0" collapsed="false">
      <c r="A110" s="31" t="n">
        <v>102</v>
      </c>
      <c r="B110" s="42" t="s">
        <v>486</v>
      </c>
      <c r="C110" s="42" t="s">
        <v>1061</v>
      </c>
      <c r="D110" s="42" t="s">
        <v>1063</v>
      </c>
      <c r="E110" s="34" t="s">
        <v>459</v>
      </c>
      <c r="F110" s="43" t="s">
        <v>459</v>
      </c>
      <c r="G110" s="31" t="s">
        <v>110</v>
      </c>
      <c r="H110" s="44" t="s">
        <v>461</v>
      </c>
      <c r="I110" s="42" t="s">
        <v>1041</v>
      </c>
      <c r="J110" s="42"/>
      <c r="K110" s="45" t="n">
        <f aca="false">IF(AND(E110="yes",F110="yes",H110="covered"),1,IF(AND(E110="yes",H110="partial"),0.5,0))</f>
        <v>1</v>
      </c>
    </row>
    <row r="111" customFormat="false" ht="15" hidden="false" customHeight="true" outlineLevel="0" collapsed="false">
      <c r="A111" s="31" t="n">
        <v>103</v>
      </c>
      <c r="B111" s="42" t="s">
        <v>475</v>
      </c>
      <c r="C111" s="42" t="s">
        <v>1064</v>
      </c>
      <c r="D111" s="42" t="s">
        <v>477</v>
      </c>
      <c r="E111" s="34" t="s">
        <v>459</v>
      </c>
      <c r="F111" s="43" t="s">
        <v>459</v>
      </c>
      <c r="G111" s="31" t="s">
        <v>110</v>
      </c>
      <c r="H111" s="44" t="s">
        <v>461</v>
      </c>
      <c r="I111" s="42" t="s">
        <v>1041</v>
      </c>
      <c r="J111" s="42"/>
      <c r="K111" s="45" t="n">
        <f aca="false">IF(AND(E111="yes",F111="yes",H111="covered"),1,IF(AND(E111="yes",H111="partial"),0.5,0))</f>
        <v>1</v>
      </c>
    </row>
    <row r="112" customFormat="false" ht="15" hidden="false" customHeight="true" outlineLevel="0" collapsed="false">
      <c r="A112" s="31" t="n">
        <v>104</v>
      </c>
      <c r="B112" s="42" t="s">
        <v>475</v>
      </c>
      <c r="C112" s="42" t="s">
        <v>1064</v>
      </c>
      <c r="D112" s="42" t="s">
        <v>478</v>
      </c>
      <c r="E112" s="34" t="s">
        <v>459</v>
      </c>
      <c r="F112" s="43" t="s">
        <v>459</v>
      </c>
      <c r="G112" s="31" t="s">
        <v>110</v>
      </c>
      <c r="H112" s="44" t="s">
        <v>461</v>
      </c>
      <c r="I112" s="42" t="s">
        <v>1041</v>
      </c>
      <c r="J112" s="42"/>
      <c r="K112" s="45" t="n">
        <f aca="false">IF(AND(E112="yes",F112="yes",H112="covered"),1,IF(AND(E112="yes",H112="partial"),0.5,0))</f>
        <v>1</v>
      </c>
    </row>
    <row r="113" customFormat="false" ht="30" hidden="false" customHeight="true" outlineLevel="0" collapsed="false">
      <c r="A113" s="31" t="n">
        <v>105</v>
      </c>
      <c r="B113" s="42" t="s">
        <v>479</v>
      </c>
      <c r="C113" s="42" t="s">
        <v>1064</v>
      </c>
      <c r="D113" s="42" t="s">
        <v>480</v>
      </c>
      <c r="E113" s="34" t="s">
        <v>459</v>
      </c>
      <c r="F113" s="43" t="s">
        <v>459</v>
      </c>
      <c r="G113" s="31" t="s">
        <v>110</v>
      </c>
      <c r="H113" s="44" t="s">
        <v>461</v>
      </c>
      <c r="I113" s="42" t="s">
        <v>1041</v>
      </c>
      <c r="J113" s="42"/>
      <c r="K113" s="45" t="n">
        <f aca="false">IF(AND(E113="yes",F113="yes",H113="covered"),1,IF(AND(E113="yes",H113="partial"),0.5,0))</f>
        <v>1</v>
      </c>
    </row>
    <row r="114" customFormat="false" ht="15" hidden="false" customHeight="true" outlineLevel="0" collapsed="false">
      <c r="A114" s="31" t="n">
        <v>106</v>
      </c>
      <c r="B114" s="42" t="s">
        <v>479</v>
      </c>
      <c r="C114" s="42" t="s">
        <v>1064</v>
      </c>
      <c r="D114" s="42" t="s">
        <v>481</v>
      </c>
      <c r="E114" s="34" t="s">
        <v>459</v>
      </c>
      <c r="F114" s="43" t="s">
        <v>459</v>
      </c>
      <c r="G114" s="31" t="s">
        <v>110</v>
      </c>
      <c r="H114" s="44" t="s">
        <v>461</v>
      </c>
      <c r="I114" s="42" t="s">
        <v>1041</v>
      </c>
      <c r="J114" s="42"/>
      <c r="K114" s="45" t="n">
        <f aca="false">IF(AND(E114="yes",F114="yes",H114="covered"),1,IF(AND(E114="yes",H114="partial"),0.5,0))</f>
        <v>1</v>
      </c>
    </row>
    <row r="115" customFormat="false" ht="15" hidden="false" customHeight="true" outlineLevel="0" collapsed="false">
      <c r="A115" s="31" t="n">
        <v>107</v>
      </c>
      <c r="B115" s="42" t="s">
        <v>457</v>
      </c>
      <c r="C115" s="42" t="s">
        <v>1064</v>
      </c>
      <c r="D115" s="42" t="s">
        <v>482</v>
      </c>
      <c r="E115" s="34" t="s">
        <v>459</v>
      </c>
      <c r="F115" s="43" t="s">
        <v>459</v>
      </c>
      <c r="G115" s="31" t="s">
        <v>110</v>
      </c>
      <c r="H115" s="44" t="s">
        <v>461</v>
      </c>
      <c r="I115" s="42" t="s">
        <v>1041</v>
      </c>
      <c r="J115" s="42"/>
      <c r="K115" s="45" t="n">
        <f aca="false">IF(AND(E115="yes",F115="yes",H115="covered"),1,IF(AND(E115="yes",H115="partial"),0.5,0))</f>
        <v>1</v>
      </c>
    </row>
    <row r="116" customFormat="false" ht="15" hidden="false" customHeight="true" outlineLevel="0" collapsed="false">
      <c r="A116" s="31" t="n">
        <v>108</v>
      </c>
      <c r="B116" s="42" t="s">
        <v>774</v>
      </c>
      <c r="C116" s="42" t="s">
        <v>1064</v>
      </c>
      <c r="D116" s="42" t="s">
        <v>775</v>
      </c>
      <c r="E116" s="34" t="s">
        <v>459</v>
      </c>
      <c r="F116" s="43" t="s">
        <v>459</v>
      </c>
      <c r="G116" s="31" t="s">
        <v>110</v>
      </c>
      <c r="H116" s="44" t="s">
        <v>461</v>
      </c>
      <c r="I116" s="42" t="s">
        <v>1041</v>
      </c>
      <c r="J116" s="42"/>
      <c r="K116" s="45" t="n">
        <f aca="false">IF(AND(E116="yes",F116="yes",H116="covered"),1,IF(AND(E116="yes",H116="partial"),0.5,0))</f>
        <v>1</v>
      </c>
    </row>
    <row r="117" customFormat="false" ht="15" hidden="false" customHeight="true" outlineLevel="0" collapsed="false">
      <c r="A117" s="31" t="n">
        <v>109</v>
      </c>
      <c r="B117" s="42" t="s">
        <v>486</v>
      </c>
      <c r="C117" s="42" t="s">
        <v>1064</v>
      </c>
      <c r="D117" s="42" t="s">
        <v>495</v>
      </c>
      <c r="E117" s="34" t="s">
        <v>459</v>
      </c>
      <c r="F117" s="43" t="s">
        <v>459</v>
      </c>
      <c r="G117" s="31" t="s">
        <v>110</v>
      </c>
      <c r="H117" s="44" t="s">
        <v>461</v>
      </c>
      <c r="I117" s="42" t="s">
        <v>1041</v>
      </c>
      <c r="J117" s="42"/>
      <c r="K117" s="45" t="n">
        <f aca="false">IF(AND(E117="yes",F117="yes",H117="covered"),1,IF(AND(E117="yes",H117="partial"),0.5,0))</f>
        <v>1</v>
      </c>
    </row>
    <row r="118" customFormat="false" ht="15" hidden="false" customHeight="true" outlineLevel="0" collapsed="false">
      <c r="A118" s="31" t="n">
        <v>110</v>
      </c>
      <c r="B118" s="42" t="s">
        <v>475</v>
      </c>
      <c r="C118" s="42" t="s">
        <v>41</v>
      </c>
      <c r="D118" s="42" t="s">
        <v>477</v>
      </c>
      <c r="E118" s="34" t="s">
        <v>459</v>
      </c>
      <c r="F118" s="43" t="s">
        <v>459</v>
      </c>
      <c r="G118" s="31" t="s">
        <v>110</v>
      </c>
      <c r="H118" s="44" t="s">
        <v>461</v>
      </c>
      <c r="I118" s="42" t="s">
        <v>1041</v>
      </c>
      <c r="J118" s="42"/>
      <c r="K118" s="45" t="n">
        <f aca="false">IF(AND(E118="yes",F118="yes",H118="covered"),1,IF(AND(E118="yes",H118="partial"),0.5,0))</f>
        <v>1</v>
      </c>
    </row>
    <row r="119" customFormat="false" ht="15" hidden="false" customHeight="true" outlineLevel="0" collapsed="false">
      <c r="A119" s="31" t="n">
        <v>111</v>
      </c>
      <c r="B119" s="42" t="s">
        <v>475</v>
      </c>
      <c r="C119" s="42" t="s">
        <v>41</v>
      </c>
      <c r="D119" s="42" t="s">
        <v>478</v>
      </c>
      <c r="E119" s="34" t="s">
        <v>459</v>
      </c>
      <c r="F119" s="43" t="s">
        <v>459</v>
      </c>
      <c r="G119" s="31" t="s">
        <v>110</v>
      </c>
      <c r="H119" s="44" t="s">
        <v>461</v>
      </c>
      <c r="I119" s="42" t="s">
        <v>1041</v>
      </c>
      <c r="J119" s="42"/>
      <c r="K119" s="45" t="n">
        <f aca="false">IF(AND(E119="yes",F119="yes",H119="covered"),1,IF(AND(E119="yes",H119="partial"),0.5,0))</f>
        <v>1</v>
      </c>
    </row>
    <row r="120" customFormat="false" ht="30" hidden="false" customHeight="true" outlineLevel="0" collapsed="false">
      <c r="A120" s="31" t="n">
        <v>112</v>
      </c>
      <c r="B120" s="42" t="s">
        <v>479</v>
      </c>
      <c r="C120" s="42" t="s">
        <v>41</v>
      </c>
      <c r="D120" s="42" t="s">
        <v>480</v>
      </c>
      <c r="E120" s="34" t="s">
        <v>459</v>
      </c>
      <c r="F120" s="43" t="s">
        <v>459</v>
      </c>
      <c r="G120" s="31" t="s">
        <v>110</v>
      </c>
      <c r="H120" s="44" t="s">
        <v>461</v>
      </c>
      <c r="I120" s="42" t="s">
        <v>1041</v>
      </c>
      <c r="J120" s="42"/>
      <c r="K120" s="45" t="n">
        <f aca="false">IF(AND(E120="yes",F120="yes",H120="covered"),1,IF(AND(E120="yes",H120="partial"),0.5,0))</f>
        <v>1</v>
      </c>
    </row>
    <row r="121" customFormat="false" ht="15" hidden="false" customHeight="true" outlineLevel="0" collapsed="false">
      <c r="A121" s="31" t="n">
        <v>113</v>
      </c>
      <c r="B121" s="42" t="s">
        <v>479</v>
      </c>
      <c r="C121" s="42" t="s">
        <v>41</v>
      </c>
      <c r="D121" s="42" t="s">
        <v>481</v>
      </c>
      <c r="E121" s="34" t="s">
        <v>459</v>
      </c>
      <c r="F121" s="43" t="s">
        <v>459</v>
      </c>
      <c r="G121" s="31" t="s">
        <v>110</v>
      </c>
      <c r="H121" s="44" t="s">
        <v>461</v>
      </c>
      <c r="I121" s="42" t="s">
        <v>1041</v>
      </c>
      <c r="J121" s="42"/>
      <c r="K121" s="45" t="n">
        <f aca="false">IF(AND(E121="yes",F121="yes",H121="covered"),1,IF(AND(E121="yes",H121="partial"),0.5,0))</f>
        <v>1</v>
      </c>
    </row>
    <row r="122" customFormat="false" ht="15" hidden="false" customHeight="true" outlineLevel="0" collapsed="false">
      <c r="A122" s="31" t="n">
        <v>114</v>
      </c>
      <c r="B122" s="42" t="s">
        <v>457</v>
      </c>
      <c r="C122" s="42" t="s">
        <v>41</v>
      </c>
      <c r="D122" s="42" t="s">
        <v>482</v>
      </c>
      <c r="E122" s="34" t="s">
        <v>459</v>
      </c>
      <c r="F122" s="43" t="s">
        <v>459</v>
      </c>
      <c r="G122" s="31" t="s">
        <v>110</v>
      </c>
      <c r="H122" s="44" t="s">
        <v>461</v>
      </c>
      <c r="I122" s="42" t="s">
        <v>1041</v>
      </c>
      <c r="J122" s="42"/>
      <c r="K122" s="45" t="n">
        <f aca="false">IF(AND(E122="yes",F122="yes",H122="covered"),1,IF(AND(E122="yes",H122="partial"),0.5,0))</f>
        <v>1</v>
      </c>
    </row>
    <row r="123" customFormat="false" ht="15" hidden="false" customHeight="true" outlineLevel="0" collapsed="false">
      <c r="A123" s="31" t="n">
        <v>115</v>
      </c>
      <c r="B123" s="42" t="s">
        <v>774</v>
      </c>
      <c r="C123" s="42" t="s">
        <v>41</v>
      </c>
      <c r="D123" s="42" t="s">
        <v>775</v>
      </c>
      <c r="E123" s="34" t="s">
        <v>459</v>
      </c>
      <c r="F123" s="43" t="s">
        <v>459</v>
      </c>
      <c r="G123" s="31" t="s">
        <v>110</v>
      </c>
      <c r="H123" s="44" t="s">
        <v>461</v>
      </c>
      <c r="I123" s="42" t="s">
        <v>1041</v>
      </c>
      <c r="J123" s="42"/>
      <c r="K123" s="45" t="n">
        <f aca="false">IF(AND(E123="yes",F123="yes",H123="covered"),1,IF(AND(E123="yes",H123="partial"),0.5,0))</f>
        <v>1</v>
      </c>
    </row>
    <row r="124" customFormat="false" ht="15" hidden="false" customHeight="true" outlineLevel="0" collapsed="false">
      <c r="A124" s="31" t="n">
        <v>116</v>
      </c>
      <c r="B124" s="42" t="s">
        <v>486</v>
      </c>
      <c r="C124" s="42" t="s">
        <v>41</v>
      </c>
      <c r="D124" s="42" t="s">
        <v>1062</v>
      </c>
      <c r="E124" s="34" t="s">
        <v>459</v>
      </c>
      <c r="F124" s="43" t="s">
        <v>459</v>
      </c>
      <c r="G124" s="31" t="s">
        <v>110</v>
      </c>
      <c r="H124" s="44" t="s">
        <v>461</v>
      </c>
      <c r="I124" s="42" t="s">
        <v>1041</v>
      </c>
      <c r="J124" s="42"/>
      <c r="K124" s="45" t="n">
        <f aca="false">IF(AND(E124="yes",F124="yes",H124="covered"),1,IF(AND(E124="yes",H124="partial"),0.5,0))</f>
        <v>1</v>
      </c>
    </row>
    <row r="125" customFormat="false" ht="15" hidden="false" customHeight="true" outlineLevel="0" collapsed="false">
      <c r="A125" s="31" t="n">
        <v>117</v>
      </c>
      <c r="B125" s="42" t="s">
        <v>486</v>
      </c>
      <c r="C125" s="42" t="s">
        <v>41</v>
      </c>
      <c r="D125" s="42" t="s">
        <v>495</v>
      </c>
      <c r="E125" s="34" t="s">
        <v>459</v>
      </c>
      <c r="F125" s="43" t="s">
        <v>459</v>
      </c>
      <c r="G125" s="31" t="s">
        <v>110</v>
      </c>
      <c r="H125" s="44" t="s">
        <v>461</v>
      </c>
      <c r="I125" s="42" t="s">
        <v>1041</v>
      </c>
      <c r="J125" s="42"/>
      <c r="K125" s="45" t="n">
        <f aca="false">IF(AND(E125="yes",F125="yes",H125="covered"),1,IF(AND(E125="yes",H125="partial"),0.5,0))</f>
        <v>1</v>
      </c>
    </row>
    <row r="126" customFormat="false" ht="15" hidden="false" customHeight="true" outlineLevel="0" collapsed="false">
      <c r="A126" s="31" t="n">
        <v>118</v>
      </c>
      <c r="B126" s="42" t="s">
        <v>486</v>
      </c>
      <c r="C126" s="42" t="s">
        <v>41</v>
      </c>
      <c r="D126" s="42" t="s">
        <v>499</v>
      </c>
      <c r="E126" s="34" t="s">
        <v>459</v>
      </c>
      <c r="F126" s="43" t="s">
        <v>459</v>
      </c>
      <c r="G126" s="31" t="s">
        <v>110</v>
      </c>
      <c r="H126" s="44" t="s">
        <v>461</v>
      </c>
      <c r="I126" s="42" t="s">
        <v>1041</v>
      </c>
      <c r="J126" s="42"/>
      <c r="K126" s="45" t="n">
        <f aca="false">IF(AND(E126="yes",F126="yes",H126="covered"),1,IF(AND(E126="yes",H126="partial"),0.5,0))</f>
        <v>1</v>
      </c>
    </row>
    <row r="127" customFormat="false" ht="15" hidden="false" customHeight="true" outlineLevel="0" collapsed="false">
      <c r="A127" s="31" t="n">
        <v>119</v>
      </c>
      <c r="B127" s="42" t="s">
        <v>486</v>
      </c>
      <c r="C127" s="42" t="s">
        <v>41</v>
      </c>
      <c r="D127" s="42" t="s">
        <v>1065</v>
      </c>
      <c r="E127" s="34" t="s">
        <v>459</v>
      </c>
      <c r="F127" s="43" t="s">
        <v>459</v>
      </c>
      <c r="G127" s="31" t="s">
        <v>110</v>
      </c>
      <c r="H127" s="44" t="s">
        <v>461</v>
      </c>
      <c r="I127" s="42" t="s">
        <v>1041</v>
      </c>
      <c r="J127" s="42"/>
      <c r="K127" s="45" t="n">
        <f aca="false">IF(AND(E127="yes",F127="yes",H127="covered"),1,IF(AND(E127="yes",H127="partial"),0.5,0))</f>
        <v>1</v>
      </c>
    </row>
    <row r="128" customFormat="false" ht="15" hidden="false" customHeight="true" outlineLevel="0" collapsed="false">
      <c r="A128" s="31" t="n">
        <v>120</v>
      </c>
      <c r="B128" s="42" t="s">
        <v>488</v>
      </c>
      <c r="C128" s="42" t="s">
        <v>41</v>
      </c>
      <c r="D128" s="42" t="s">
        <v>497</v>
      </c>
      <c r="E128" s="34" t="s">
        <v>459</v>
      </c>
      <c r="F128" s="43" t="s">
        <v>459</v>
      </c>
      <c r="G128" s="31" t="s">
        <v>110</v>
      </c>
      <c r="H128" s="44" t="s">
        <v>461</v>
      </c>
      <c r="I128" s="42" t="s">
        <v>1041</v>
      </c>
      <c r="J128" s="42"/>
      <c r="K128" s="45" t="n">
        <f aca="false">IF(AND(E128="yes",F128="yes",H128="covered"),1,IF(AND(E128="yes",H128="partial"),0.5,0))</f>
        <v>1</v>
      </c>
    </row>
    <row r="129" customFormat="false" ht="15" hidden="false" customHeight="true" outlineLevel="0" collapsed="false">
      <c r="A129" s="31" t="n">
        <v>121</v>
      </c>
      <c r="B129" s="42" t="s">
        <v>488</v>
      </c>
      <c r="C129" s="42" t="s">
        <v>41</v>
      </c>
      <c r="D129" s="42" t="s">
        <v>957</v>
      </c>
      <c r="E129" s="34" t="s">
        <v>459</v>
      </c>
      <c r="F129" s="43" t="s">
        <v>459</v>
      </c>
      <c r="G129" s="31" t="s">
        <v>110</v>
      </c>
      <c r="H129" s="44" t="s">
        <v>461</v>
      </c>
      <c r="I129" s="42" t="s">
        <v>1041</v>
      </c>
      <c r="J129" s="42"/>
      <c r="K129" s="45" t="n">
        <f aca="false">IF(AND(E129="yes",F129="yes",H129="covered"),1,IF(AND(E129="yes",H129="partial"),0.5,0))</f>
        <v>1</v>
      </c>
    </row>
    <row r="130" customFormat="false" ht="15" hidden="false" customHeight="true" outlineLevel="0" collapsed="false">
      <c r="A130" s="31" t="n">
        <v>122</v>
      </c>
      <c r="B130" s="42" t="s">
        <v>488</v>
      </c>
      <c r="C130" s="42" t="s">
        <v>41</v>
      </c>
      <c r="D130" s="42" t="s">
        <v>958</v>
      </c>
      <c r="E130" s="34" t="s">
        <v>459</v>
      </c>
      <c r="F130" s="43" t="s">
        <v>459</v>
      </c>
      <c r="G130" s="31" t="s">
        <v>110</v>
      </c>
      <c r="H130" s="44" t="s">
        <v>461</v>
      </c>
      <c r="I130" s="42" t="s">
        <v>1041</v>
      </c>
      <c r="J130" s="42"/>
      <c r="K130" s="45" t="n">
        <f aca="false">IF(AND(E130="yes",F130="yes",H130="covered"),1,IF(AND(E130="yes",H130="partial"),0.5,0))</f>
        <v>1</v>
      </c>
    </row>
    <row r="131" customFormat="false" ht="15" hidden="false" customHeight="true" outlineLevel="0" collapsed="false">
      <c r="A131" s="31" t="n">
        <v>123</v>
      </c>
      <c r="B131" s="42" t="s">
        <v>475</v>
      </c>
      <c r="C131" s="42" t="s">
        <v>1066</v>
      </c>
      <c r="D131" s="42" t="s">
        <v>477</v>
      </c>
      <c r="E131" s="34" t="s">
        <v>459</v>
      </c>
      <c r="F131" s="43" t="s">
        <v>459</v>
      </c>
      <c r="G131" s="31" t="s">
        <v>110</v>
      </c>
      <c r="H131" s="44" t="s">
        <v>461</v>
      </c>
      <c r="I131" s="42" t="s">
        <v>1041</v>
      </c>
      <c r="J131" s="42"/>
      <c r="K131" s="45" t="n">
        <f aca="false">IF(AND(E131="yes",F131="yes",H131="covered"),1,IF(AND(E131="yes",H131="partial"),0.5,0))</f>
        <v>1</v>
      </c>
    </row>
    <row r="132" customFormat="false" ht="15" hidden="false" customHeight="true" outlineLevel="0" collapsed="false">
      <c r="A132" s="31" t="n">
        <v>124</v>
      </c>
      <c r="B132" s="42" t="s">
        <v>475</v>
      </c>
      <c r="C132" s="42" t="s">
        <v>1066</v>
      </c>
      <c r="D132" s="42" t="s">
        <v>478</v>
      </c>
      <c r="E132" s="34" t="s">
        <v>459</v>
      </c>
      <c r="F132" s="43" t="s">
        <v>459</v>
      </c>
      <c r="G132" s="31" t="s">
        <v>110</v>
      </c>
      <c r="H132" s="44" t="s">
        <v>461</v>
      </c>
      <c r="I132" s="42" t="s">
        <v>1041</v>
      </c>
      <c r="J132" s="42"/>
      <c r="K132" s="45" t="n">
        <f aca="false">IF(AND(E132="yes",F132="yes",H132="covered"),1,IF(AND(E132="yes",H132="partial"),0.5,0))</f>
        <v>1</v>
      </c>
    </row>
    <row r="133" customFormat="false" ht="30" hidden="false" customHeight="true" outlineLevel="0" collapsed="false">
      <c r="A133" s="31" t="n">
        <v>125</v>
      </c>
      <c r="B133" s="42" t="s">
        <v>479</v>
      </c>
      <c r="C133" s="42" t="s">
        <v>1066</v>
      </c>
      <c r="D133" s="42" t="s">
        <v>480</v>
      </c>
      <c r="E133" s="34" t="s">
        <v>459</v>
      </c>
      <c r="F133" s="43" t="s">
        <v>459</v>
      </c>
      <c r="G133" s="31" t="s">
        <v>110</v>
      </c>
      <c r="H133" s="44" t="s">
        <v>461</v>
      </c>
      <c r="I133" s="42" t="s">
        <v>1041</v>
      </c>
      <c r="J133" s="42"/>
      <c r="K133" s="45" t="n">
        <f aca="false">IF(AND(E133="yes",F133="yes",H133="covered"),1,IF(AND(E133="yes",H133="partial"),0.5,0))</f>
        <v>1</v>
      </c>
    </row>
    <row r="134" customFormat="false" ht="15" hidden="false" customHeight="true" outlineLevel="0" collapsed="false">
      <c r="A134" s="31" t="n">
        <v>126</v>
      </c>
      <c r="B134" s="42" t="s">
        <v>479</v>
      </c>
      <c r="C134" s="42" t="s">
        <v>1066</v>
      </c>
      <c r="D134" s="42" t="s">
        <v>481</v>
      </c>
      <c r="E134" s="34" t="s">
        <v>459</v>
      </c>
      <c r="F134" s="43" t="s">
        <v>459</v>
      </c>
      <c r="G134" s="31" t="s">
        <v>110</v>
      </c>
      <c r="H134" s="44" t="s">
        <v>461</v>
      </c>
      <c r="I134" s="42" t="s">
        <v>1041</v>
      </c>
      <c r="J134" s="42"/>
      <c r="K134" s="45" t="n">
        <f aca="false">IF(AND(E134="yes",F134="yes",H134="covered"),1,IF(AND(E134="yes",H134="partial"),0.5,0))</f>
        <v>1</v>
      </c>
    </row>
    <row r="135" customFormat="false" ht="15" hidden="false" customHeight="true" outlineLevel="0" collapsed="false">
      <c r="A135" s="31" t="n">
        <v>127</v>
      </c>
      <c r="B135" s="42" t="s">
        <v>457</v>
      </c>
      <c r="C135" s="42" t="s">
        <v>1066</v>
      </c>
      <c r="D135" s="42" t="s">
        <v>482</v>
      </c>
      <c r="E135" s="34" t="s">
        <v>459</v>
      </c>
      <c r="F135" s="43" t="s">
        <v>459</v>
      </c>
      <c r="G135" s="31" t="s">
        <v>110</v>
      </c>
      <c r="H135" s="44" t="s">
        <v>461</v>
      </c>
      <c r="I135" s="42" t="s">
        <v>1041</v>
      </c>
      <c r="J135" s="42"/>
      <c r="K135" s="45" t="n">
        <f aca="false">IF(AND(E135="yes",F135="yes",H135="covered"),1,IF(AND(E135="yes",H135="partial"),0.5,0))</f>
        <v>1</v>
      </c>
    </row>
    <row r="136" customFormat="false" ht="15" hidden="false" customHeight="true" outlineLevel="0" collapsed="false">
      <c r="A136" s="31" t="n">
        <v>128</v>
      </c>
      <c r="B136" s="42" t="s">
        <v>774</v>
      </c>
      <c r="C136" s="42" t="s">
        <v>1066</v>
      </c>
      <c r="D136" s="42" t="s">
        <v>775</v>
      </c>
      <c r="E136" s="34" t="s">
        <v>459</v>
      </c>
      <c r="F136" s="43" t="s">
        <v>459</v>
      </c>
      <c r="G136" s="31" t="s">
        <v>110</v>
      </c>
      <c r="H136" s="44" t="s">
        <v>461</v>
      </c>
      <c r="I136" s="42" t="s">
        <v>1041</v>
      </c>
      <c r="J136" s="42"/>
      <c r="K136" s="45" t="n">
        <f aca="false">IF(AND(E136="yes",F136="yes",H136="covered"),1,IF(AND(E136="yes",H136="partial"),0.5,0))</f>
        <v>1</v>
      </c>
    </row>
    <row r="137" customFormat="false" ht="15" hidden="false" customHeight="true" outlineLevel="0" collapsed="false">
      <c r="A137" s="31" t="n">
        <v>129</v>
      </c>
      <c r="B137" s="42" t="s">
        <v>486</v>
      </c>
      <c r="C137" s="42" t="s">
        <v>1066</v>
      </c>
      <c r="D137" s="42" t="s">
        <v>495</v>
      </c>
      <c r="E137" s="34" t="s">
        <v>459</v>
      </c>
      <c r="F137" s="43" t="s">
        <v>459</v>
      </c>
      <c r="G137" s="31" t="s">
        <v>110</v>
      </c>
      <c r="H137" s="44" t="s">
        <v>461</v>
      </c>
      <c r="I137" s="42" t="s">
        <v>1041</v>
      </c>
      <c r="J137" s="42"/>
      <c r="K137" s="45" t="n">
        <f aca="false">IF(AND(E137="yes",F137="yes",H137="covered"),1,IF(AND(E137="yes",H137="partial"),0.5,0))</f>
        <v>1</v>
      </c>
    </row>
    <row r="138" customFormat="false" ht="15" hidden="false" customHeight="true" outlineLevel="0" collapsed="false">
      <c r="A138" s="31" t="n">
        <v>130</v>
      </c>
      <c r="B138" s="42" t="s">
        <v>505</v>
      </c>
      <c r="C138" s="42" t="s">
        <v>506</v>
      </c>
      <c r="D138" s="42" t="s">
        <v>1067</v>
      </c>
      <c r="E138" s="34" t="s">
        <v>459</v>
      </c>
      <c r="F138" s="43" t="s">
        <v>459</v>
      </c>
      <c r="G138" s="31" t="s">
        <v>110</v>
      </c>
      <c r="H138" s="44" t="s">
        <v>461</v>
      </c>
      <c r="I138" s="42" t="s">
        <v>1041</v>
      </c>
      <c r="J138" s="42"/>
      <c r="K138" s="45" t="n">
        <f aca="false">IF(AND(E138="yes",F138="yes",H138="covered"),1,IF(AND(E138="yes",H138="partial"),0.5,0))</f>
        <v>1</v>
      </c>
    </row>
    <row r="139" customFormat="false" ht="15" hidden="false" customHeight="true" outlineLevel="0" collapsed="false">
      <c r="A139" s="31" t="n">
        <v>131</v>
      </c>
      <c r="B139" s="42" t="s">
        <v>505</v>
      </c>
      <c r="C139" s="42" t="s">
        <v>506</v>
      </c>
      <c r="D139" s="42" t="s">
        <v>1068</v>
      </c>
      <c r="E139" s="34" t="s">
        <v>459</v>
      </c>
      <c r="F139" s="43" t="s">
        <v>459</v>
      </c>
      <c r="G139" s="31" t="s">
        <v>110</v>
      </c>
      <c r="H139" s="44" t="s">
        <v>461</v>
      </c>
      <c r="I139" s="42" t="s">
        <v>1041</v>
      </c>
      <c r="J139" s="42"/>
      <c r="K139" s="45" t="n">
        <f aca="false">IF(AND(E139="yes",F139="yes",H139="covered"),1,IF(AND(E139="yes",H139="partial"),0.5,0))</f>
        <v>1</v>
      </c>
    </row>
    <row r="140" customFormat="false" ht="15" hidden="false" customHeight="true" outlineLevel="0" collapsed="false">
      <c r="A140" s="31" t="n">
        <v>132</v>
      </c>
      <c r="B140" s="42" t="s">
        <v>505</v>
      </c>
      <c r="C140" s="42" t="s">
        <v>506</v>
      </c>
      <c r="D140" s="42" t="s">
        <v>507</v>
      </c>
      <c r="E140" s="34" t="s">
        <v>459</v>
      </c>
      <c r="F140" s="43" t="s">
        <v>459</v>
      </c>
      <c r="G140" s="31" t="s">
        <v>110</v>
      </c>
      <c r="H140" s="44" t="s">
        <v>461</v>
      </c>
      <c r="I140" s="42" t="s">
        <v>1041</v>
      </c>
      <c r="J140" s="42"/>
      <c r="K140" s="45" t="n">
        <f aca="false">IF(AND(E140="yes",F140="yes",H140="covered"),1,IF(AND(E140="yes",H140="partial"),0.5,0))</f>
        <v>1</v>
      </c>
    </row>
    <row r="141" customFormat="false" ht="15" hidden="false" customHeight="true" outlineLevel="0" collapsed="false">
      <c r="A141" s="31" t="n">
        <v>133</v>
      </c>
      <c r="B141" s="42" t="s">
        <v>505</v>
      </c>
      <c r="C141" s="42" t="s">
        <v>506</v>
      </c>
      <c r="D141" s="42" t="s">
        <v>508</v>
      </c>
      <c r="E141" s="34" t="s">
        <v>459</v>
      </c>
      <c r="F141" s="43" t="s">
        <v>459</v>
      </c>
      <c r="G141" s="31" t="s">
        <v>110</v>
      </c>
      <c r="H141" s="44" t="s">
        <v>461</v>
      </c>
      <c r="I141" s="42" t="s">
        <v>1041</v>
      </c>
      <c r="J141" s="42"/>
      <c r="K141" s="45" t="n">
        <f aca="false">IF(AND(E141="yes",F141="yes",H141="covered"),1,IF(AND(E141="yes",H141="partial"),0.5,0))</f>
        <v>1</v>
      </c>
    </row>
    <row r="142" customFormat="false" ht="15" hidden="false" customHeight="true" outlineLevel="0" collapsed="false">
      <c r="A142" s="31" t="n">
        <v>134</v>
      </c>
      <c r="B142" s="42" t="s">
        <v>505</v>
      </c>
      <c r="C142" s="42" t="s">
        <v>506</v>
      </c>
      <c r="D142" s="42" t="s">
        <v>509</v>
      </c>
      <c r="E142" s="34" t="s">
        <v>459</v>
      </c>
      <c r="F142" s="43" t="s">
        <v>459</v>
      </c>
      <c r="G142" s="31" t="s">
        <v>110</v>
      </c>
      <c r="H142" s="44" t="s">
        <v>461</v>
      </c>
      <c r="I142" s="42" t="s">
        <v>1041</v>
      </c>
      <c r="J142" s="42"/>
      <c r="K142" s="45" t="n">
        <f aca="false">IF(AND(E142="yes",F142="yes",H142="covered"),1,IF(AND(E142="yes",H142="partial"),0.5,0))</f>
        <v>1</v>
      </c>
    </row>
    <row r="143" customFormat="false" ht="15" hidden="false" customHeight="true" outlineLevel="0" collapsed="false">
      <c r="A143" s="31" t="n">
        <v>135</v>
      </c>
      <c r="B143" s="42" t="s">
        <v>505</v>
      </c>
      <c r="C143" s="42" t="s">
        <v>506</v>
      </c>
      <c r="D143" s="42" t="s">
        <v>1069</v>
      </c>
      <c r="E143" s="34" t="s">
        <v>459</v>
      </c>
      <c r="F143" s="43" t="s">
        <v>459</v>
      </c>
      <c r="G143" s="31" t="s">
        <v>110</v>
      </c>
      <c r="H143" s="44" t="s">
        <v>461</v>
      </c>
      <c r="I143" s="42" t="s">
        <v>1041</v>
      </c>
      <c r="J143" s="42"/>
      <c r="K143" s="45" t="n">
        <f aca="false">IF(AND(E143="yes",F143="yes",H143="covered"),1,IF(AND(E143="yes",H143="partial"),0.5,0))</f>
        <v>1</v>
      </c>
    </row>
    <row r="144" customFormat="false" ht="15" hidden="false" customHeight="true" outlineLevel="0" collapsed="false">
      <c r="A144" s="31" t="n">
        <v>136</v>
      </c>
      <c r="B144" s="42" t="s">
        <v>505</v>
      </c>
      <c r="C144" s="42" t="s">
        <v>506</v>
      </c>
      <c r="D144" s="42" t="s">
        <v>905</v>
      </c>
      <c r="E144" s="34" t="s">
        <v>459</v>
      </c>
      <c r="F144" s="43" t="s">
        <v>459</v>
      </c>
      <c r="G144" s="31" t="s">
        <v>110</v>
      </c>
      <c r="H144" s="44" t="s">
        <v>461</v>
      </c>
      <c r="I144" s="42" t="s">
        <v>1041</v>
      </c>
      <c r="J144" s="42"/>
      <c r="K144" s="45" t="n">
        <f aca="false">IF(AND(E144="yes",F144="yes",H144="covered"),1,IF(AND(E144="yes",H144="partial"),0.5,0))</f>
        <v>1</v>
      </c>
    </row>
    <row r="145" customFormat="false" ht="15" hidden="false" customHeight="true" outlineLevel="0" collapsed="false">
      <c r="A145" s="31" t="n">
        <v>137</v>
      </c>
      <c r="B145" s="42" t="s">
        <v>505</v>
      </c>
      <c r="C145" s="42" t="s">
        <v>506</v>
      </c>
      <c r="D145" s="42" t="s">
        <v>962</v>
      </c>
      <c r="E145" s="34" t="s">
        <v>459</v>
      </c>
      <c r="F145" s="43" t="s">
        <v>459</v>
      </c>
      <c r="G145" s="31" t="s">
        <v>110</v>
      </c>
      <c r="H145" s="44" t="s">
        <v>461</v>
      </c>
      <c r="I145" s="42" t="s">
        <v>1041</v>
      </c>
      <c r="J145" s="42"/>
      <c r="K145" s="45" t="n">
        <f aca="false">IF(AND(E145="yes",F145="yes",H145="covered"),1,IF(AND(E145="yes",H145="partial"),0.5,0))</f>
        <v>1</v>
      </c>
    </row>
    <row r="146" customFormat="false" ht="15" hidden="false" customHeight="true" outlineLevel="0" collapsed="false">
      <c r="A146" s="31" t="n">
        <v>138</v>
      </c>
      <c r="B146" s="42" t="s">
        <v>505</v>
      </c>
      <c r="C146" s="42" t="s">
        <v>506</v>
      </c>
      <c r="D146" s="42" t="s">
        <v>783</v>
      </c>
      <c r="E146" s="34" t="s">
        <v>459</v>
      </c>
      <c r="F146" s="43" t="s">
        <v>459</v>
      </c>
      <c r="G146" s="31" t="s">
        <v>110</v>
      </c>
      <c r="H146" s="44" t="s">
        <v>461</v>
      </c>
      <c r="I146" s="42" t="s">
        <v>1041</v>
      </c>
      <c r="J146" s="42"/>
      <c r="K146" s="45" t="n">
        <f aca="false">IF(AND(E146="yes",F146="yes",H146="covered"),1,IF(AND(E146="yes",H146="partial"),0.5,0))</f>
        <v>1</v>
      </c>
    </row>
    <row r="147" customFormat="false" ht="15" hidden="false" customHeight="true" outlineLevel="0" collapsed="false">
      <c r="A147" s="31" t="n">
        <v>139</v>
      </c>
      <c r="B147" s="42" t="s">
        <v>505</v>
      </c>
      <c r="C147" s="42" t="s">
        <v>506</v>
      </c>
      <c r="D147" s="42" t="s">
        <v>510</v>
      </c>
      <c r="E147" s="34" t="s">
        <v>459</v>
      </c>
      <c r="F147" s="43" t="s">
        <v>459</v>
      </c>
      <c r="G147" s="31" t="s">
        <v>110</v>
      </c>
      <c r="H147" s="44" t="s">
        <v>461</v>
      </c>
      <c r="I147" s="42" t="s">
        <v>1041</v>
      </c>
      <c r="J147" s="42"/>
      <c r="K147" s="45" t="n">
        <f aca="false">IF(AND(E147="yes",F147="yes",H147="covered"),1,IF(AND(E147="yes",H147="partial"),0.5,0))</f>
        <v>1</v>
      </c>
    </row>
    <row r="148" customFormat="false" ht="15" hidden="false" customHeight="true" outlineLevel="0" collapsed="false">
      <c r="A148" s="31" t="n">
        <v>140</v>
      </c>
      <c r="B148" s="42" t="s">
        <v>505</v>
      </c>
      <c r="C148" s="42" t="s">
        <v>506</v>
      </c>
      <c r="D148" s="42" t="s">
        <v>964</v>
      </c>
      <c r="E148" s="34" t="s">
        <v>459</v>
      </c>
      <c r="F148" s="43" t="s">
        <v>459</v>
      </c>
      <c r="G148" s="31" t="s">
        <v>110</v>
      </c>
      <c r="H148" s="44" t="s">
        <v>461</v>
      </c>
      <c r="I148" s="42" t="s">
        <v>1041</v>
      </c>
      <c r="J148" s="42"/>
      <c r="K148" s="45" t="n">
        <f aca="false">IF(AND(E148="yes",F148="yes",H148="covered"),1,IF(AND(E148="yes",H148="partial"),0.5,0))</f>
        <v>1</v>
      </c>
    </row>
    <row r="149" customFormat="false" ht="15" hidden="false" customHeight="true" outlineLevel="0" collapsed="false">
      <c r="A149" s="31" t="n">
        <v>141</v>
      </c>
      <c r="B149" s="42" t="s">
        <v>505</v>
      </c>
      <c r="C149" s="42" t="s">
        <v>506</v>
      </c>
      <c r="D149" s="42" t="s">
        <v>1070</v>
      </c>
      <c r="E149" s="34" t="s">
        <v>459</v>
      </c>
      <c r="F149" s="43" t="s">
        <v>459</v>
      </c>
      <c r="G149" s="31" t="s">
        <v>110</v>
      </c>
      <c r="H149" s="44" t="s">
        <v>461</v>
      </c>
      <c r="I149" s="42" t="s">
        <v>1041</v>
      </c>
      <c r="J149" s="42"/>
      <c r="K149" s="45" t="n">
        <f aca="false">IF(AND(E149="yes",F149="yes",H149="covered"),1,IF(AND(E149="yes",H149="partial"),0.5,0))</f>
        <v>1</v>
      </c>
    </row>
    <row r="150" customFormat="false" ht="15" hidden="false" customHeight="true" outlineLevel="0" collapsed="false">
      <c r="A150" s="31" t="n">
        <v>142</v>
      </c>
      <c r="B150" s="42" t="s">
        <v>511</v>
      </c>
      <c r="C150" s="42" t="s">
        <v>506</v>
      </c>
      <c r="D150" s="42" t="s">
        <v>512</v>
      </c>
      <c r="E150" s="34" t="s">
        <v>459</v>
      </c>
      <c r="F150" s="43" t="s">
        <v>459</v>
      </c>
      <c r="G150" s="31" t="s">
        <v>110</v>
      </c>
      <c r="H150" s="44" t="s">
        <v>461</v>
      </c>
      <c r="I150" s="42" t="s">
        <v>1041</v>
      </c>
      <c r="J150" s="42"/>
      <c r="K150" s="45" t="n">
        <f aca="false">IF(AND(E150="yes",F150="yes",H150="covered"),1,IF(AND(E150="yes",H150="partial"),0.5,0))</f>
        <v>1</v>
      </c>
    </row>
    <row r="151" customFormat="false" ht="15" hidden="false" customHeight="true" outlineLevel="0" collapsed="false">
      <c r="A151" s="31" t="n">
        <v>143</v>
      </c>
      <c r="B151" s="42" t="s">
        <v>511</v>
      </c>
      <c r="C151" s="42" t="s">
        <v>506</v>
      </c>
      <c r="D151" s="42" t="s">
        <v>1071</v>
      </c>
      <c r="E151" s="34" t="s">
        <v>459</v>
      </c>
      <c r="F151" s="43" t="s">
        <v>459</v>
      </c>
      <c r="G151" s="31" t="s">
        <v>110</v>
      </c>
      <c r="H151" s="44" t="s">
        <v>461</v>
      </c>
      <c r="I151" s="42" t="s">
        <v>1041</v>
      </c>
      <c r="J151" s="42"/>
      <c r="K151" s="45" t="n">
        <f aca="false">IF(AND(E151="yes",F151="yes",H151="covered"),1,IF(AND(E151="yes",H151="partial"),0.5,0))</f>
        <v>1</v>
      </c>
    </row>
    <row r="152" customFormat="false" ht="15" hidden="false" customHeight="true" outlineLevel="0" collapsed="false">
      <c r="A152" s="31" t="n">
        <v>144</v>
      </c>
      <c r="B152" s="42" t="s">
        <v>511</v>
      </c>
      <c r="C152" s="42" t="s">
        <v>506</v>
      </c>
      <c r="D152" s="42" t="s">
        <v>1072</v>
      </c>
      <c r="E152" s="34" t="s">
        <v>459</v>
      </c>
      <c r="F152" s="43" t="s">
        <v>459</v>
      </c>
      <c r="G152" s="31" t="s">
        <v>110</v>
      </c>
      <c r="H152" s="44" t="s">
        <v>461</v>
      </c>
      <c r="I152" s="42" t="s">
        <v>1041</v>
      </c>
      <c r="J152" s="42"/>
      <c r="K152" s="45" t="n">
        <f aca="false">IF(AND(E152="yes",F152="yes",H152="covered"),1,IF(AND(E152="yes",H152="partial"),0.5,0))</f>
        <v>1</v>
      </c>
    </row>
    <row r="153" customFormat="false" ht="15" hidden="false" customHeight="true" outlineLevel="0" collapsed="false">
      <c r="A153" s="31" t="n">
        <v>145</v>
      </c>
      <c r="B153" s="42" t="s">
        <v>511</v>
      </c>
      <c r="C153" s="42" t="s">
        <v>506</v>
      </c>
      <c r="D153" s="42" t="s">
        <v>965</v>
      </c>
      <c r="E153" s="34" t="s">
        <v>459</v>
      </c>
      <c r="F153" s="43" t="s">
        <v>459</v>
      </c>
      <c r="G153" s="31" t="s">
        <v>110</v>
      </c>
      <c r="H153" s="44" t="s">
        <v>461</v>
      </c>
      <c r="I153" s="42" t="s">
        <v>1041</v>
      </c>
      <c r="J153" s="42"/>
      <c r="K153" s="45" t="n">
        <f aca="false">IF(AND(E153="yes",F153="yes",H153="covered"),1,IF(AND(E153="yes",H153="partial"),0.5,0))</f>
        <v>1</v>
      </c>
    </row>
    <row r="154" customFormat="false" ht="15" hidden="false" customHeight="true" outlineLevel="0" collapsed="false">
      <c r="A154" s="31" t="n">
        <v>146</v>
      </c>
      <c r="B154" s="42" t="s">
        <v>511</v>
      </c>
      <c r="C154" s="42" t="s">
        <v>506</v>
      </c>
      <c r="D154" s="42" t="s">
        <v>1073</v>
      </c>
      <c r="E154" s="34" t="s">
        <v>459</v>
      </c>
      <c r="F154" s="43" t="s">
        <v>459</v>
      </c>
      <c r="G154" s="31" t="s">
        <v>110</v>
      </c>
      <c r="H154" s="44" t="s">
        <v>461</v>
      </c>
      <c r="I154" s="42" t="s">
        <v>1041</v>
      </c>
      <c r="J154" s="42"/>
      <c r="K154" s="45" t="n">
        <f aca="false">IF(AND(E154="yes",F154="yes",H154="covered"),1,IF(AND(E154="yes",H154="partial"),0.5,0))</f>
        <v>1</v>
      </c>
    </row>
    <row r="155" customFormat="false" ht="15" hidden="false" customHeight="true" outlineLevel="0" collapsed="false">
      <c r="A155" s="31" t="n">
        <v>147</v>
      </c>
      <c r="B155" s="42" t="s">
        <v>511</v>
      </c>
      <c r="C155" s="42" t="s">
        <v>506</v>
      </c>
      <c r="D155" s="42" t="s">
        <v>966</v>
      </c>
      <c r="E155" s="34" t="s">
        <v>459</v>
      </c>
      <c r="F155" s="43" t="s">
        <v>459</v>
      </c>
      <c r="G155" s="31" t="s">
        <v>110</v>
      </c>
      <c r="H155" s="44" t="s">
        <v>461</v>
      </c>
      <c r="I155" s="42" t="s">
        <v>1041</v>
      </c>
      <c r="J155" s="42"/>
      <c r="K155" s="45" t="n">
        <f aca="false">IF(AND(E155="yes",F155="yes",H155="covered"),1,IF(AND(E155="yes",H155="partial"),0.5,0))</f>
        <v>1</v>
      </c>
    </row>
    <row r="156" customFormat="false" ht="15" hidden="false" customHeight="true" outlineLevel="0" collapsed="false">
      <c r="A156" s="31" t="n">
        <v>148</v>
      </c>
      <c r="B156" s="42" t="s">
        <v>511</v>
      </c>
      <c r="C156" s="42" t="s">
        <v>506</v>
      </c>
      <c r="D156" s="42" t="s">
        <v>514</v>
      </c>
      <c r="E156" s="34" t="s">
        <v>459</v>
      </c>
      <c r="F156" s="43" t="s">
        <v>459</v>
      </c>
      <c r="G156" s="31" t="s">
        <v>110</v>
      </c>
      <c r="H156" s="44" t="s">
        <v>461</v>
      </c>
      <c r="I156" s="42" t="s">
        <v>1041</v>
      </c>
      <c r="J156" s="42"/>
      <c r="K156" s="45" t="n">
        <f aca="false">IF(AND(E156="yes",F156="yes",H156="covered"),1,IF(AND(E156="yes",H156="partial"),0.5,0))</f>
        <v>1</v>
      </c>
    </row>
    <row r="157" customFormat="false" ht="15" hidden="false" customHeight="true" outlineLevel="0" collapsed="false">
      <c r="A157" s="31" t="n">
        <v>149</v>
      </c>
      <c r="B157" s="42" t="s">
        <v>511</v>
      </c>
      <c r="C157" s="42" t="s">
        <v>506</v>
      </c>
      <c r="D157" s="42" t="s">
        <v>515</v>
      </c>
      <c r="E157" s="34" t="s">
        <v>459</v>
      </c>
      <c r="F157" s="43" t="s">
        <v>459</v>
      </c>
      <c r="G157" s="31" t="s">
        <v>110</v>
      </c>
      <c r="H157" s="44" t="s">
        <v>461</v>
      </c>
      <c r="I157" s="42" t="s">
        <v>1041</v>
      </c>
      <c r="J157" s="42"/>
      <c r="K157" s="45" t="n">
        <f aca="false">IF(AND(E157="yes",F157="yes",H157="covered"),1,IF(AND(E157="yes",H157="partial"),0.5,0))</f>
        <v>1</v>
      </c>
    </row>
    <row r="158" customFormat="false" ht="15" hidden="false" customHeight="true" outlineLevel="0" collapsed="false">
      <c r="A158" s="31" t="n">
        <v>150</v>
      </c>
      <c r="B158" s="42" t="s">
        <v>511</v>
      </c>
      <c r="C158" s="42" t="s">
        <v>506</v>
      </c>
      <c r="D158" s="42" t="s">
        <v>893</v>
      </c>
      <c r="E158" s="34" t="s">
        <v>459</v>
      </c>
      <c r="F158" s="43" t="s">
        <v>459</v>
      </c>
      <c r="G158" s="31" t="s">
        <v>110</v>
      </c>
      <c r="H158" s="44" t="s">
        <v>461</v>
      </c>
      <c r="I158" s="42" t="s">
        <v>1041</v>
      </c>
      <c r="J158" s="42"/>
      <c r="K158" s="45" t="n">
        <f aca="false">IF(AND(E158="yes",F158="yes",H158="covered"),1,IF(AND(E158="yes",H158="partial"),0.5,0))</f>
        <v>1</v>
      </c>
    </row>
    <row r="159" customFormat="false" ht="30" hidden="false" customHeight="true" outlineLevel="0" collapsed="false">
      <c r="A159" s="31" t="n">
        <v>151</v>
      </c>
      <c r="B159" s="42" t="s">
        <v>483</v>
      </c>
      <c r="C159" s="42" t="s">
        <v>27</v>
      </c>
      <c r="D159" s="42" t="s">
        <v>516</v>
      </c>
      <c r="E159" s="34" t="s">
        <v>459</v>
      </c>
      <c r="F159" s="43" t="s">
        <v>459</v>
      </c>
      <c r="G159" s="31" t="s">
        <v>110</v>
      </c>
      <c r="H159" s="44" t="s">
        <v>461</v>
      </c>
      <c r="I159" s="42" t="s">
        <v>1041</v>
      </c>
      <c r="J159" s="42"/>
      <c r="K159" s="45" t="n">
        <f aca="false">IF(AND(E159="yes",F159="yes",H159="covered"),1,IF(AND(E159="yes",H159="partial"),0.5,0))</f>
        <v>1</v>
      </c>
    </row>
    <row r="160" customFormat="false" ht="15" hidden="false" customHeight="true" outlineLevel="0" collapsed="false">
      <c r="A160" s="31" t="n">
        <v>152</v>
      </c>
      <c r="B160" s="42" t="s">
        <v>483</v>
      </c>
      <c r="C160" s="42" t="s">
        <v>27</v>
      </c>
      <c r="D160" s="42" t="s">
        <v>517</v>
      </c>
      <c r="E160" s="34" t="s">
        <v>459</v>
      </c>
      <c r="F160" s="43" t="s">
        <v>459</v>
      </c>
      <c r="G160" s="31" t="s">
        <v>110</v>
      </c>
      <c r="H160" s="44" t="s">
        <v>461</v>
      </c>
      <c r="I160" s="42" t="s">
        <v>1041</v>
      </c>
      <c r="J160" s="42"/>
      <c r="K160" s="45" t="n">
        <f aca="false">IF(AND(E160="yes",F160="yes",H160="covered"),1,IF(AND(E160="yes",H160="partial"),0.5,0))</f>
        <v>1</v>
      </c>
    </row>
    <row r="161" customFormat="false" ht="15" hidden="false" customHeight="true" outlineLevel="0" collapsed="false">
      <c r="A161" s="31" t="n">
        <v>153</v>
      </c>
      <c r="B161" s="42" t="s">
        <v>483</v>
      </c>
      <c r="C161" s="42" t="s">
        <v>27</v>
      </c>
      <c r="D161" s="42" t="s">
        <v>518</v>
      </c>
      <c r="E161" s="34" t="s">
        <v>459</v>
      </c>
      <c r="F161" s="43" t="s">
        <v>459</v>
      </c>
      <c r="G161" s="31" t="s">
        <v>110</v>
      </c>
      <c r="H161" s="44" t="s">
        <v>461</v>
      </c>
      <c r="I161" s="42" t="s">
        <v>1041</v>
      </c>
      <c r="J161" s="42"/>
      <c r="K161" s="45" t="n">
        <f aca="false">IF(AND(E161="yes",F161="yes",H161="covered"),1,IF(AND(E161="yes",H161="partial"),0.5,0))</f>
        <v>1</v>
      </c>
    </row>
    <row r="162" customFormat="false" ht="15" hidden="false" customHeight="true" outlineLevel="0" collapsed="false">
      <c r="A162" s="31" t="n">
        <v>154</v>
      </c>
      <c r="B162" s="42" t="s">
        <v>483</v>
      </c>
      <c r="C162" s="42" t="s">
        <v>27</v>
      </c>
      <c r="D162" s="42" t="s">
        <v>519</v>
      </c>
      <c r="E162" s="34" t="s">
        <v>459</v>
      </c>
      <c r="F162" s="43" t="s">
        <v>459</v>
      </c>
      <c r="G162" s="31" t="s">
        <v>110</v>
      </c>
      <c r="H162" s="44" t="s">
        <v>461</v>
      </c>
      <c r="I162" s="42" t="s">
        <v>1041</v>
      </c>
      <c r="J162" s="42"/>
      <c r="K162" s="45" t="n">
        <f aca="false">IF(AND(E162="yes",F162="yes",H162="covered"),1,IF(AND(E162="yes",H162="partial"),0.5,0))</f>
        <v>1</v>
      </c>
    </row>
    <row r="163" customFormat="false" ht="15" hidden="false" customHeight="true" outlineLevel="0" collapsed="false">
      <c r="A163" s="31" t="n">
        <v>155</v>
      </c>
      <c r="B163" s="42" t="s">
        <v>483</v>
      </c>
      <c r="C163" s="42" t="s">
        <v>27</v>
      </c>
      <c r="D163" s="42" t="s">
        <v>520</v>
      </c>
      <c r="E163" s="34" t="s">
        <v>459</v>
      </c>
      <c r="F163" s="43" t="s">
        <v>459</v>
      </c>
      <c r="G163" s="31" t="s">
        <v>110</v>
      </c>
      <c r="H163" s="44" t="s">
        <v>461</v>
      </c>
      <c r="I163" s="42" t="s">
        <v>1041</v>
      </c>
      <c r="J163" s="42"/>
      <c r="K163" s="45" t="n">
        <f aca="false">IF(AND(E163="yes",F163="yes",H163="covered"),1,IF(AND(E163="yes",H163="partial"),0.5,0))</f>
        <v>1</v>
      </c>
    </row>
    <row r="164" customFormat="false" ht="15" hidden="false" customHeight="true" outlineLevel="0" collapsed="false">
      <c r="A164" s="31" t="n">
        <v>156</v>
      </c>
      <c r="B164" s="42" t="s">
        <v>488</v>
      </c>
      <c r="C164" s="42" t="s">
        <v>476</v>
      </c>
      <c r="D164" s="42" t="s">
        <v>521</v>
      </c>
      <c r="E164" s="34" t="s">
        <v>459</v>
      </c>
      <c r="F164" s="43" t="s">
        <v>459</v>
      </c>
      <c r="G164" s="31" t="s">
        <v>110</v>
      </c>
      <c r="H164" s="44" t="s">
        <v>461</v>
      </c>
      <c r="I164" s="42" t="s">
        <v>1041</v>
      </c>
      <c r="J164" s="42"/>
      <c r="K164" s="45" t="n">
        <f aca="false">IF(AND(E164="yes",F164="yes",H164="covered"),1,IF(AND(E164="yes",H164="partial"),0.5,0))</f>
        <v>1</v>
      </c>
    </row>
    <row r="165" customFormat="false" ht="30" hidden="false" customHeight="true" outlineLevel="0" collapsed="false">
      <c r="A165" s="31" t="n">
        <v>157</v>
      </c>
      <c r="B165" s="42" t="s">
        <v>488</v>
      </c>
      <c r="C165" s="42" t="s">
        <v>476</v>
      </c>
      <c r="D165" s="42" t="s">
        <v>522</v>
      </c>
      <c r="E165" s="34" t="s">
        <v>459</v>
      </c>
      <c r="F165" s="43" t="s">
        <v>459</v>
      </c>
      <c r="G165" s="31" t="s">
        <v>110</v>
      </c>
      <c r="H165" s="44" t="s">
        <v>461</v>
      </c>
      <c r="I165" s="42" t="s">
        <v>1041</v>
      </c>
      <c r="J165" s="42"/>
      <c r="K165" s="45" t="n">
        <f aca="false">IF(AND(E165="yes",F165="yes",H165="covered"),1,IF(AND(E165="yes",H165="partial"),0.5,0))</f>
        <v>1</v>
      </c>
    </row>
    <row r="166" customFormat="false" ht="30" hidden="false" customHeight="true" outlineLevel="0" collapsed="false">
      <c r="A166" s="31" t="n">
        <v>158</v>
      </c>
      <c r="B166" s="42" t="s">
        <v>488</v>
      </c>
      <c r="C166" s="42" t="s">
        <v>476</v>
      </c>
      <c r="D166" s="42" t="s">
        <v>523</v>
      </c>
      <c r="E166" s="34" t="s">
        <v>459</v>
      </c>
      <c r="F166" s="43" t="s">
        <v>459</v>
      </c>
      <c r="G166" s="31" t="s">
        <v>110</v>
      </c>
      <c r="H166" s="44" t="s">
        <v>461</v>
      </c>
      <c r="I166" s="42" t="s">
        <v>1041</v>
      </c>
      <c r="J166" s="42"/>
      <c r="K166" s="45" t="n">
        <f aca="false">IF(AND(E166="yes",F166="yes",H166="covered"),1,IF(AND(E166="yes",H166="partial"),0.5,0))</f>
        <v>1</v>
      </c>
    </row>
    <row r="167" customFormat="false" ht="30" hidden="false" customHeight="true" outlineLevel="0" collapsed="false">
      <c r="A167" s="31" t="n">
        <v>159</v>
      </c>
      <c r="B167" s="42" t="s">
        <v>488</v>
      </c>
      <c r="C167" s="42" t="s">
        <v>27</v>
      </c>
      <c r="D167" s="42" t="s">
        <v>968</v>
      </c>
      <c r="E167" s="34" t="s">
        <v>459</v>
      </c>
      <c r="F167" s="43" t="s">
        <v>459</v>
      </c>
      <c r="G167" s="31" t="s">
        <v>110</v>
      </c>
      <c r="H167" s="44" t="s">
        <v>461</v>
      </c>
      <c r="I167" s="42" t="s">
        <v>1041</v>
      </c>
      <c r="J167" s="42"/>
      <c r="K167" s="45" t="n">
        <f aca="false">IF(AND(E167="yes",F167="yes",H167="covered"),1,IF(AND(E167="yes",H167="partial"),0.5,0))</f>
        <v>1</v>
      </c>
    </row>
    <row r="168" customFormat="false" ht="30" hidden="false" customHeight="true" outlineLevel="0" collapsed="false">
      <c r="A168" s="31" t="n">
        <v>160</v>
      </c>
      <c r="B168" s="42" t="s">
        <v>488</v>
      </c>
      <c r="C168" s="42" t="s">
        <v>27</v>
      </c>
      <c r="D168" s="42" t="s">
        <v>969</v>
      </c>
      <c r="E168" s="34" t="s">
        <v>459</v>
      </c>
      <c r="F168" s="43" t="s">
        <v>459</v>
      </c>
      <c r="G168" s="31" t="s">
        <v>110</v>
      </c>
      <c r="H168" s="44" t="s">
        <v>461</v>
      </c>
      <c r="I168" s="42" t="s">
        <v>1041</v>
      </c>
      <c r="J168" s="42"/>
      <c r="K168" s="45" t="n">
        <f aca="false">IF(AND(E168="yes",F168="yes",H168="covered"),1,IF(AND(E168="yes",H168="partial"),0.5,0))</f>
        <v>1</v>
      </c>
    </row>
    <row r="169" customFormat="false" ht="15" hidden="false" customHeight="true" outlineLevel="0" collapsed="false">
      <c r="A169" s="31" t="n">
        <v>161</v>
      </c>
      <c r="B169" s="42" t="s">
        <v>488</v>
      </c>
      <c r="C169" s="42" t="s">
        <v>27</v>
      </c>
      <c r="D169" s="42" t="s">
        <v>970</v>
      </c>
      <c r="E169" s="34" t="s">
        <v>459</v>
      </c>
      <c r="F169" s="43" t="s">
        <v>459</v>
      </c>
      <c r="G169" s="31" t="s">
        <v>110</v>
      </c>
      <c r="H169" s="44" t="s">
        <v>461</v>
      </c>
      <c r="I169" s="42" t="s">
        <v>1041</v>
      </c>
      <c r="J169" s="42"/>
      <c r="K169" s="45" t="n">
        <f aca="false">IF(AND(E169="yes",F169="yes",H169="covered"),1,IF(AND(E169="yes",H169="partial"),0.5,0))</f>
        <v>1</v>
      </c>
    </row>
    <row r="170" customFormat="false" ht="30" hidden="false" customHeight="true" outlineLevel="0" collapsed="false">
      <c r="A170" s="31" t="n">
        <v>162</v>
      </c>
      <c r="B170" s="42" t="s">
        <v>488</v>
      </c>
      <c r="C170" s="42" t="s">
        <v>27</v>
      </c>
      <c r="D170" s="42" t="s">
        <v>971</v>
      </c>
      <c r="E170" s="34" t="s">
        <v>459</v>
      </c>
      <c r="F170" s="43" t="s">
        <v>459</v>
      </c>
      <c r="G170" s="31" t="s">
        <v>110</v>
      </c>
      <c r="H170" s="44" t="s">
        <v>461</v>
      </c>
      <c r="I170" s="42" t="s">
        <v>1041</v>
      </c>
      <c r="J170" s="42"/>
      <c r="K170" s="45" t="n">
        <f aca="false">IF(AND(E170="yes",F170="yes",H170="covered"),1,IF(AND(E170="yes",H170="partial"),0.5,0))</f>
        <v>1</v>
      </c>
    </row>
    <row r="171" customFormat="false" ht="15" hidden="false" customHeight="true" outlineLevel="0" collapsed="false">
      <c r="A171" s="31" t="n">
        <v>163</v>
      </c>
      <c r="B171" s="42" t="s">
        <v>933</v>
      </c>
      <c r="C171" s="42" t="s">
        <v>27</v>
      </c>
      <c r="D171" s="42" t="s">
        <v>972</v>
      </c>
      <c r="E171" s="34" t="s">
        <v>459</v>
      </c>
      <c r="F171" s="43" t="s">
        <v>459</v>
      </c>
      <c r="G171" s="31" t="s">
        <v>110</v>
      </c>
      <c r="H171" s="44" t="s">
        <v>461</v>
      </c>
      <c r="I171" s="42" t="s">
        <v>1041</v>
      </c>
      <c r="J171" s="42"/>
      <c r="K171" s="45" t="n">
        <f aca="false">IF(AND(E171="yes",F171="yes",H171="covered"),1,IF(AND(E171="yes",H171="partial"),0.5,0))</f>
        <v>1</v>
      </c>
    </row>
    <row r="172" customFormat="false" ht="15" hidden="false" customHeight="true" outlineLevel="0" collapsed="false">
      <c r="A172" s="31" t="n">
        <v>164</v>
      </c>
      <c r="B172" s="42" t="s">
        <v>933</v>
      </c>
      <c r="C172" s="42" t="s">
        <v>27</v>
      </c>
      <c r="D172" s="42" t="s">
        <v>973</v>
      </c>
      <c r="E172" s="34" t="s">
        <v>459</v>
      </c>
      <c r="F172" s="43" t="s">
        <v>459</v>
      </c>
      <c r="G172" s="31" t="s">
        <v>110</v>
      </c>
      <c r="H172" s="44" t="s">
        <v>461</v>
      </c>
      <c r="I172" s="42" t="s">
        <v>1041</v>
      </c>
      <c r="J172" s="42"/>
      <c r="K172" s="45" t="n">
        <f aca="false">IF(AND(E172="yes",F172="yes",H172="covered"),1,IF(AND(E172="yes",H172="partial"),0.5,0))</f>
        <v>1</v>
      </c>
    </row>
    <row r="173" customFormat="false" ht="15" hidden="false" customHeight="true" outlineLevel="0" collapsed="false">
      <c r="A173" s="31" t="n">
        <v>165</v>
      </c>
      <c r="B173" s="42" t="s">
        <v>531</v>
      </c>
      <c r="C173" s="42" t="s">
        <v>27</v>
      </c>
      <c r="D173" s="42" t="s">
        <v>534</v>
      </c>
      <c r="E173" s="34" t="s">
        <v>459</v>
      </c>
      <c r="F173" s="43" t="s">
        <v>459</v>
      </c>
      <c r="G173" s="31" t="s">
        <v>110</v>
      </c>
      <c r="H173" s="44" t="s">
        <v>461</v>
      </c>
      <c r="I173" s="42" t="s">
        <v>1041</v>
      </c>
      <c r="J173" s="42"/>
      <c r="K173" s="45" t="n">
        <f aca="false">IF(AND(E173="yes",F173="yes",H173="covered"),1,IF(AND(E173="yes",H173="partial"),0.5,0))</f>
        <v>1</v>
      </c>
    </row>
    <row r="174" customFormat="false" ht="15" hidden="false" customHeight="true" outlineLevel="0" collapsed="false">
      <c r="A174" s="31" t="n">
        <v>166</v>
      </c>
      <c r="B174" s="42" t="s">
        <v>531</v>
      </c>
      <c r="C174" s="42" t="s">
        <v>27</v>
      </c>
      <c r="D174" s="42" t="s">
        <v>535</v>
      </c>
      <c r="E174" s="34" t="s">
        <v>459</v>
      </c>
      <c r="F174" s="43" t="s">
        <v>459</v>
      </c>
      <c r="G174" s="31" t="s">
        <v>110</v>
      </c>
      <c r="H174" s="44" t="s">
        <v>461</v>
      </c>
      <c r="I174" s="42" t="s">
        <v>1041</v>
      </c>
      <c r="J174" s="42"/>
      <c r="K174" s="45" t="n">
        <f aca="false">IF(AND(E174="yes",F174="yes",H174="covered"),1,IF(AND(E174="yes",H174="partial"),0.5,0))</f>
        <v>1</v>
      </c>
    </row>
    <row r="175" customFormat="false" ht="15" hidden="false" customHeight="true" outlineLevel="0" collapsed="false">
      <c r="A175" s="31" t="n">
        <v>167</v>
      </c>
      <c r="B175" s="42" t="s">
        <v>531</v>
      </c>
      <c r="C175" s="42" t="s">
        <v>27</v>
      </c>
      <c r="D175" s="42" t="s">
        <v>536</v>
      </c>
      <c r="E175" s="34" t="s">
        <v>459</v>
      </c>
      <c r="F175" s="43" t="s">
        <v>459</v>
      </c>
      <c r="G175" s="31" t="s">
        <v>110</v>
      </c>
      <c r="H175" s="44" t="s">
        <v>461</v>
      </c>
      <c r="I175" s="42" t="s">
        <v>1041</v>
      </c>
      <c r="J175" s="42"/>
      <c r="K175" s="45" t="n">
        <f aca="false">IF(AND(E175="yes",F175="yes",H175="covered"),1,IF(AND(E175="yes",H175="partial"),0.5,0))</f>
        <v>1</v>
      </c>
    </row>
    <row r="176" customFormat="false" ht="15" hidden="false" customHeight="true" outlineLevel="0" collapsed="false">
      <c r="A176" s="31" t="n">
        <v>168</v>
      </c>
      <c r="B176" s="42" t="s">
        <v>531</v>
      </c>
      <c r="C176" s="42" t="s">
        <v>27</v>
      </c>
      <c r="D176" s="42" t="s">
        <v>983</v>
      </c>
      <c r="E176" s="34" t="s">
        <v>459</v>
      </c>
      <c r="F176" s="43" t="s">
        <v>459</v>
      </c>
      <c r="G176" s="31" t="s">
        <v>110</v>
      </c>
      <c r="H176" s="44" t="s">
        <v>461</v>
      </c>
      <c r="I176" s="42" t="s">
        <v>1041</v>
      </c>
      <c r="J176" s="42"/>
      <c r="K176" s="45" t="n">
        <f aca="false">IF(AND(E176="yes",F176="yes",H176="covered"),1,IF(AND(E176="yes",H176="partial"),0.5,0))</f>
        <v>1</v>
      </c>
    </row>
    <row r="177" customFormat="false" ht="15" hidden="false" customHeight="true" outlineLevel="0" collapsed="false">
      <c r="A177" s="31" t="n">
        <v>169</v>
      </c>
      <c r="B177" s="42" t="s">
        <v>529</v>
      </c>
      <c r="C177" s="42" t="s">
        <v>27</v>
      </c>
      <c r="D177" s="42" t="s">
        <v>537</v>
      </c>
      <c r="E177" s="34" t="s">
        <v>459</v>
      </c>
      <c r="F177" s="43" t="s">
        <v>459</v>
      </c>
      <c r="G177" s="31" t="s">
        <v>110</v>
      </c>
      <c r="H177" s="44" t="s">
        <v>461</v>
      </c>
      <c r="I177" s="42" t="s">
        <v>1041</v>
      </c>
      <c r="J177" s="42"/>
      <c r="K177" s="45" t="n">
        <f aca="false">IF(AND(E177="yes",F177="yes",H177="covered"),1,IF(AND(E177="yes",H177="partial"),0.5,0))</f>
        <v>1</v>
      </c>
    </row>
    <row r="178" customFormat="false" ht="15" hidden="false" customHeight="true" outlineLevel="0" collapsed="false">
      <c r="A178" s="31" t="n">
        <v>170</v>
      </c>
      <c r="B178" s="42" t="s">
        <v>55</v>
      </c>
      <c r="C178" s="42" t="s">
        <v>27</v>
      </c>
      <c r="D178" s="42" t="s">
        <v>1074</v>
      </c>
      <c r="E178" s="34" t="s">
        <v>459</v>
      </c>
      <c r="F178" s="43" t="s">
        <v>459</v>
      </c>
      <c r="G178" s="31" t="s">
        <v>110</v>
      </c>
      <c r="H178" s="44" t="s">
        <v>461</v>
      </c>
      <c r="I178" s="42" t="s">
        <v>1041</v>
      </c>
      <c r="J178" s="42"/>
      <c r="K178" s="45" t="n">
        <f aca="false">IF(AND(E178="yes",F178="yes",H178="covered"),1,IF(AND(E178="yes",H178="partial"),0.5,0))</f>
        <v>1</v>
      </c>
    </row>
    <row r="179" customFormat="false" ht="15" hidden="false" customHeight="true" outlineLevel="0" collapsed="false">
      <c r="A179" s="31" t="n">
        <v>171</v>
      </c>
      <c r="B179" s="42" t="s">
        <v>55</v>
      </c>
      <c r="C179" s="42" t="s">
        <v>27</v>
      </c>
      <c r="D179" s="42" t="s">
        <v>1075</v>
      </c>
      <c r="E179" s="34" t="s">
        <v>459</v>
      </c>
      <c r="F179" s="43" t="s">
        <v>459</v>
      </c>
      <c r="G179" s="31" t="s">
        <v>110</v>
      </c>
      <c r="H179" s="44" t="s">
        <v>461</v>
      </c>
      <c r="I179" s="42" t="s">
        <v>1041</v>
      </c>
      <c r="J179" s="42"/>
      <c r="K179" s="45" t="n">
        <f aca="false">IF(AND(E179="yes",F179="yes",H179="covered"),1,IF(AND(E179="yes",H179="partial"),0.5,0))</f>
        <v>1</v>
      </c>
    </row>
    <row r="180" customFormat="false" ht="15" hidden="false" customHeight="true" outlineLevel="0" collapsed="false">
      <c r="A180" s="31" t="n">
        <v>172</v>
      </c>
      <c r="B180" s="42" t="s">
        <v>1056</v>
      </c>
      <c r="C180" s="42" t="s">
        <v>27</v>
      </c>
      <c r="D180" s="42" t="s">
        <v>1076</v>
      </c>
      <c r="E180" s="34" t="s">
        <v>459</v>
      </c>
      <c r="F180" s="43" t="s">
        <v>459</v>
      </c>
      <c r="G180" s="31" t="s">
        <v>110</v>
      </c>
      <c r="H180" s="44" t="s">
        <v>461</v>
      </c>
      <c r="I180" s="42" t="s">
        <v>1041</v>
      </c>
      <c r="J180" s="42"/>
      <c r="K180" s="45" t="n">
        <f aca="false">IF(AND(E180="yes",F180="yes",H180="covered"),1,IF(AND(E180="yes",H180="partial"),0.5,0))</f>
        <v>1</v>
      </c>
    </row>
    <row r="181" customFormat="false" ht="30" hidden="false" customHeight="true" outlineLevel="0" collapsed="false">
      <c r="A181" s="31" t="n">
        <v>173</v>
      </c>
      <c r="B181" s="42" t="s">
        <v>1056</v>
      </c>
      <c r="C181" s="42" t="s">
        <v>27</v>
      </c>
      <c r="D181" s="42" t="s">
        <v>1077</v>
      </c>
      <c r="E181" s="34" t="s">
        <v>459</v>
      </c>
      <c r="F181" s="43" t="s">
        <v>459</v>
      </c>
      <c r="G181" s="31" t="s">
        <v>110</v>
      </c>
      <c r="H181" s="44" t="s">
        <v>461</v>
      </c>
      <c r="I181" s="42" t="s">
        <v>1041</v>
      </c>
      <c r="J181" s="42"/>
      <c r="K181" s="45" t="n">
        <f aca="false">IF(AND(E181="yes",F181="yes",H181="covered"),1,IF(AND(E181="yes",H181="partial"),0.5,0))</f>
        <v>1</v>
      </c>
    </row>
    <row r="182" customFormat="false" ht="15" hidden="false" customHeight="true" outlineLevel="0" collapsed="false">
      <c r="A182" s="31" t="n">
        <v>174</v>
      </c>
      <c r="B182" s="42" t="s">
        <v>1056</v>
      </c>
      <c r="C182" s="42" t="s">
        <v>27</v>
      </c>
      <c r="D182" s="42" t="s">
        <v>266</v>
      </c>
      <c r="E182" s="34" t="s">
        <v>459</v>
      </c>
      <c r="F182" s="43" t="s">
        <v>459</v>
      </c>
      <c r="G182" s="31" t="s">
        <v>1078</v>
      </c>
      <c r="H182" s="44" t="s">
        <v>461</v>
      </c>
      <c r="I182" s="42" t="s">
        <v>1079</v>
      </c>
      <c r="J182" s="42"/>
      <c r="K182" s="45" t="n">
        <f aca="false">IF(AND(E182="yes",F182="yes",H182="covered"),1,IF(AND(E182="yes",H182="partial"),0.5,0))</f>
        <v>1</v>
      </c>
    </row>
    <row r="183" customFormat="false" ht="15" hidden="false" customHeight="true" outlineLevel="0" collapsed="false">
      <c r="A183" s="31" t="n">
        <v>175</v>
      </c>
      <c r="B183" s="42" t="s">
        <v>1056</v>
      </c>
      <c r="C183" s="42" t="s">
        <v>27</v>
      </c>
      <c r="D183" s="42" t="s">
        <v>1080</v>
      </c>
      <c r="E183" s="34" t="s">
        <v>459</v>
      </c>
      <c r="F183" s="43" t="s">
        <v>459</v>
      </c>
      <c r="G183" s="31" t="s">
        <v>110</v>
      </c>
      <c r="H183" s="44" t="s">
        <v>461</v>
      </c>
      <c r="I183" s="42" t="s">
        <v>1041</v>
      </c>
      <c r="J183" s="42"/>
      <c r="K183" s="45" t="n">
        <f aca="false">IF(AND(E183="yes",F183="yes",H183="covered"),1,IF(AND(E183="yes",H183="partial"),0.5,0))</f>
        <v>1</v>
      </c>
    </row>
    <row r="184" customFormat="false" ht="13.5" hidden="false" customHeight="true" outlineLevel="0" collapsed="false">
      <c r="A184" s="1" t="n">
        <v>176</v>
      </c>
      <c r="B184" s="1" t="s">
        <v>524</v>
      </c>
      <c r="C184" s="1" t="s">
        <v>502</v>
      </c>
      <c r="D184" s="1" t="s">
        <v>1081</v>
      </c>
      <c r="E184" s="1" t="s">
        <v>459</v>
      </c>
      <c r="F184" s="1" t="s">
        <v>459</v>
      </c>
      <c r="G184" s="1" t="s">
        <v>110</v>
      </c>
      <c r="H184" s="1" t="s">
        <v>461</v>
      </c>
      <c r="I184" s="1" t="s">
        <v>1041</v>
      </c>
      <c r="K184" s="1" t="n">
        <f aca="false">IF(AND(E184="yes",F184="yes",H184="covered"),1,IF(AND(E184="yes",H184="partial"),0.5,0))</f>
        <v>1</v>
      </c>
    </row>
    <row r="185" customFormat="false" ht="13.5" hidden="false" customHeight="true" outlineLevel="0" collapsed="false">
      <c r="A185" s="1" t="n">
        <v>177</v>
      </c>
      <c r="B185" s="1" t="s">
        <v>524</v>
      </c>
      <c r="C185" s="1" t="s">
        <v>502</v>
      </c>
      <c r="D185" s="1" t="s">
        <v>1082</v>
      </c>
      <c r="E185" s="1" t="s">
        <v>459</v>
      </c>
      <c r="F185" s="1" t="s">
        <v>459</v>
      </c>
      <c r="G185" s="1" t="s">
        <v>110</v>
      </c>
      <c r="H185" s="1" t="s">
        <v>461</v>
      </c>
      <c r="I185" s="1" t="s">
        <v>1041</v>
      </c>
      <c r="K185" s="1" t="n">
        <f aca="false">IF(AND(E185="yes",F185="yes",H185="covered"),1,IF(AND(E185="yes",H185="partial"),0.5,0))</f>
        <v>1</v>
      </c>
    </row>
    <row r="186" customFormat="false" ht="13.5" hidden="false" customHeight="true" outlineLevel="0" collapsed="false">
      <c r="A186" s="1" t="n">
        <v>178</v>
      </c>
      <c r="B186" s="1" t="s">
        <v>524</v>
      </c>
      <c r="C186" s="1" t="s">
        <v>1064</v>
      </c>
      <c r="D186" s="1" t="s">
        <v>1083</v>
      </c>
      <c r="E186" s="1" t="s">
        <v>459</v>
      </c>
      <c r="F186" s="1" t="s">
        <v>459</v>
      </c>
      <c r="G186" s="1" t="s">
        <v>110</v>
      </c>
      <c r="H186" s="1" t="s">
        <v>461</v>
      </c>
      <c r="I186" s="1" t="s">
        <v>1041</v>
      </c>
      <c r="K186" s="1" t="n">
        <f aca="false">IF(AND(E186="yes",F186="yes",H186="covered"),1,IF(AND(E186="yes",H186="partial"),0.5,0))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1084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188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34" t="s">
        <v>459</v>
      </c>
      <c r="G9" s="31" t="s">
        <v>543</v>
      </c>
      <c r="H9" s="50" t="s">
        <v>461</v>
      </c>
      <c r="I9" s="42" t="s">
        <v>1085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34" t="s">
        <v>459</v>
      </c>
      <c r="G10" s="31" t="s">
        <v>543</v>
      </c>
      <c r="H10" s="50" t="s">
        <v>461</v>
      </c>
      <c r="I10" s="42" t="s">
        <v>1086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486</v>
      </c>
      <c r="C11" s="42" t="s">
        <v>476</v>
      </c>
      <c r="D11" s="42" t="s">
        <v>1087</v>
      </c>
      <c r="E11" s="34" t="s">
        <v>459</v>
      </c>
      <c r="F11" s="34" t="s">
        <v>459</v>
      </c>
      <c r="G11" s="31" t="s">
        <v>543</v>
      </c>
      <c r="H11" s="50" t="s">
        <v>461</v>
      </c>
      <c r="I11" s="42" t="s">
        <v>1088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486</v>
      </c>
      <c r="C12" s="42" t="s">
        <v>476</v>
      </c>
      <c r="D12" s="42" t="s">
        <v>1089</v>
      </c>
      <c r="E12" s="34" t="s">
        <v>459</v>
      </c>
      <c r="F12" s="34" t="s">
        <v>459</v>
      </c>
      <c r="G12" s="31" t="s">
        <v>543</v>
      </c>
      <c r="H12" s="50" t="s">
        <v>461</v>
      </c>
      <c r="I12" s="42" t="s">
        <v>1088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486</v>
      </c>
      <c r="C13" s="42" t="s">
        <v>476</v>
      </c>
      <c r="D13" s="42" t="s">
        <v>1090</v>
      </c>
      <c r="E13" s="34" t="s">
        <v>459</v>
      </c>
      <c r="F13" s="34" t="s">
        <v>459</v>
      </c>
      <c r="G13" s="31" t="s">
        <v>543</v>
      </c>
      <c r="H13" s="50" t="s">
        <v>461</v>
      </c>
      <c r="I13" s="42" t="s">
        <v>1088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486</v>
      </c>
      <c r="C14" s="42" t="s">
        <v>476</v>
      </c>
      <c r="D14" s="42" t="s">
        <v>1091</v>
      </c>
      <c r="E14" s="34" t="s">
        <v>459</v>
      </c>
      <c r="F14" s="34" t="s">
        <v>459</v>
      </c>
      <c r="G14" s="31" t="s">
        <v>543</v>
      </c>
      <c r="H14" s="50" t="s">
        <v>461</v>
      </c>
      <c r="I14" s="42" t="s">
        <v>1088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486</v>
      </c>
      <c r="C15" s="42" t="s">
        <v>476</v>
      </c>
      <c r="D15" s="42" t="s">
        <v>1092</v>
      </c>
      <c r="E15" s="34" t="s">
        <v>459</v>
      </c>
      <c r="F15" s="34" t="s">
        <v>459</v>
      </c>
      <c r="G15" s="31" t="s">
        <v>543</v>
      </c>
      <c r="H15" s="50" t="s">
        <v>461</v>
      </c>
      <c r="I15" s="42" t="s">
        <v>1088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486</v>
      </c>
      <c r="C16" s="42" t="s">
        <v>476</v>
      </c>
      <c r="D16" s="42" t="s">
        <v>1093</v>
      </c>
      <c r="E16" s="34" t="s">
        <v>459</v>
      </c>
      <c r="F16" s="34" t="s">
        <v>459</v>
      </c>
      <c r="G16" s="31" t="s">
        <v>543</v>
      </c>
      <c r="H16" s="50" t="s">
        <v>461</v>
      </c>
      <c r="I16" s="42" t="s">
        <v>1088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486</v>
      </c>
      <c r="C17" s="42" t="s">
        <v>476</v>
      </c>
      <c r="D17" s="42" t="s">
        <v>1094</v>
      </c>
      <c r="E17" s="34" t="s">
        <v>459</v>
      </c>
      <c r="F17" s="34" t="s">
        <v>459</v>
      </c>
      <c r="G17" s="31" t="s">
        <v>543</v>
      </c>
      <c r="H17" s="50" t="s">
        <v>461</v>
      </c>
      <c r="I17" s="42" t="s">
        <v>1088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486</v>
      </c>
      <c r="C18" s="42" t="s">
        <v>476</v>
      </c>
      <c r="D18" s="42" t="s">
        <v>1095</v>
      </c>
      <c r="E18" s="34" t="s">
        <v>459</v>
      </c>
      <c r="F18" s="34" t="s">
        <v>459</v>
      </c>
      <c r="G18" s="31" t="s">
        <v>543</v>
      </c>
      <c r="H18" s="50" t="s">
        <v>461</v>
      </c>
      <c r="I18" s="42" t="s">
        <v>1088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486</v>
      </c>
      <c r="C19" s="42" t="s">
        <v>476</v>
      </c>
      <c r="D19" s="42" t="s">
        <v>1096</v>
      </c>
      <c r="E19" s="34" t="s">
        <v>459</v>
      </c>
      <c r="F19" s="34" t="s">
        <v>459</v>
      </c>
      <c r="G19" s="31" t="s">
        <v>543</v>
      </c>
      <c r="H19" s="50" t="s">
        <v>461</v>
      </c>
      <c r="I19" s="42" t="s">
        <v>1088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486</v>
      </c>
      <c r="C20" s="42" t="s">
        <v>476</v>
      </c>
      <c r="D20" s="42" t="s">
        <v>1097</v>
      </c>
      <c r="E20" s="34" t="s">
        <v>459</v>
      </c>
      <c r="F20" s="34" t="s">
        <v>459</v>
      </c>
      <c r="G20" s="31" t="s">
        <v>543</v>
      </c>
      <c r="H20" s="50" t="s">
        <v>461</v>
      </c>
      <c r="I20" s="42" t="s">
        <v>1088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486</v>
      </c>
      <c r="C21" s="42" t="s">
        <v>476</v>
      </c>
      <c r="D21" s="42" t="s">
        <v>1098</v>
      </c>
      <c r="E21" s="34" t="s">
        <v>459</v>
      </c>
      <c r="F21" s="34" t="s">
        <v>459</v>
      </c>
      <c r="G21" s="31" t="s">
        <v>543</v>
      </c>
      <c r="H21" s="50" t="s">
        <v>461</v>
      </c>
      <c r="I21" s="42" t="s">
        <v>1088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486</v>
      </c>
      <c r="C22" s="42" t="s">
        <v>476</v>
      </c>
      <c r="D22" s="42" t="s">
        <v>1099</v>
      </c>
      <c r="E22" s="34" t="s">
        <v>459</v>
      </c>
      <c r="F22" s="34" t="s">
        <v>459</v>
      </c>
      <c r="G22" s="31" t="s">
        <v>543</v>
      </c>
      <c r="H22" s="50" t="s">
        <v>461</v>
      </c>
      <c r="I22" s="42" t="s">
        <v>1088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486</v>
      </c>
      <c r="C23" s="42" t="s">
        <v>476</v>
      </c>
      <c r="D23" s="42" t="s">
        <v>1100</v>
      </c>
      <c r="E23" s="34" t="s">
        <v>459</v>
      </c>
      <c r="F23" s="34" t="s">
        <v>459</v>
      </c>
      <c r="G23" s="31" t="s">
        <v>543</v>
      </c>
      <c r="H23" s="50" t="s">
        <v>461</v>
      </c>
      <c r="I23" s="42" t="s">
        <v>1088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486</v>
      </c>
      <c r="C24" s="42" t="s">
        <v>498</v>
      </c>
      <c r="D24" s="42" t="s">
        <v>1101</v>
      </c>
      <c r="E24" s="34" t="s">
        <v>459</v>
      </c>
      <c r="F24" s="34" t="s">
        <v>459</v>
      </c>
      <c r="G24" s="31" t="s">
        <v>543</v>
      </c>
      <c r="H24" s="50" t="s">
        <v>461</v>
      </c>
      <c r="I24" s="42" t="s">
        <v>1088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486</v>
      </c>
      <c r="C25" s="42" t="s">
        <v>498</v>
      </c>
      <c r="D25" s="42" t="s">
        <v>1102</v>
      </c>
      <c r="E25" s="34" t="s">
        <v>459</v>
      </c>
      <c r="F25" s="34" t="s">
        <v>459</v>
      </c>
      <c r="G25" s="31" t="s">
        <v>543</v>
      </c>
      <c r="H25" s="50" t="s">
        <v>461</v>
      </c>
      <c r="I25" s="42" t="s">
        <v>1088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486</v>
      </c>
      <c r="C26" s="42" t="s">
        <v>498</v>
      </c>
      <c r="D26" s="42" t="s">
        <v>1103</v>
      </c>
      <c r="E26" s="34" t="s">
        <v>459</v>
      </c>
      <c r="F26" s="34" t="s">
        <v>459</v>
      </c>
      <c r="G26" s="31" t="s">
        <v>543</v>
      </c>
      <c r="H26" s="50" t="s">
        <v>461</v>
      </c>
      <c r="I26" s="42" t="s">
        <v>1088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486</v>
      </c>
      <c r="C27" s="42" t="s">
        <v>498</v>
      </c>
      <c r="D27" s="42" t="s">
        <v>1104</v>
      </c>
      <c r="E27" s="34" t="s">
        <v>459</v>
      </c>
      <c r="F27" s="34" t="s">
        <v>459</v>
      </c>
      <c r="G27" s="31" t="s">
        <v>543</v>
      </c>
      <c r="H27" s="50" t="s">
        <v>461</v>
      </c>
      <c r="I27" s="42" t="s">
        <v>1088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486</v>
      </c>
      <c r="C28" s="42" t="s">
        <v>498</v>
      </c>
      <c r="D28" s="42" t="s">
        <v>1105</v>
      </c>
      <c r="E28" s="34" t="s">
        <v>459</v>
      </c>
      <c r="F28" s="34" t="s">
        <v>459</v>
      </c>
      <c r="G28" s="31" t="s">
        <v>543</v>
      </c>
      <c r="H28" s="50" t="s">
        <v>461</v>
      </c>
      <c r="I28" s="42" t="s">
        <v>1088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486</v>
      </c>
      <c r="C29" s="42" t="s">
        <v>498</v>
      </c>
      <c r="D29" s="42" t="s">
        <v>1106</v>
      </c>
      <c r="E29" s="34" t="s">
        <v>459</v>
      </c>
      <c r="F29" s="34" t="s">
        <v>459</v>
      </c>
      <c r="G29" s="31" t="s">
        <v>543</v>
      </c>
      <c r="H29" s="50" t="s">
        <v>461</v>
      </c>
      <c r="I29" s="42" t="s">
        <v>1088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498</v>
      </c>
      <c r="D30" s="42" t="s">
        <v>1107</v>
      </c>
      <c r="E30" s="34" t="s">
        <v>459</v>
      </c>
      <c r="F30" s="34" t="s">
        <v>459</v>
      </c>
      <c r="G30" s="31" t="s">
        <v>543</v>
      </c>
      <c r="H30" s="50" t="s">
        <v>461</v>
      </c>
      <c r="I30" s="42" t="s">
        <v>1088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498</v>
      </c>
      <c r="D31" s="42" t="s">
        <v>1108</v>
      </c>
      <c r="E31" s="34" t="s">
        <v>459</v>
      </c>
      <c r="F31" s="34" t="s">
        <v>459</v>
      </c>
      <c r="G31" s="31" t="s">
        <v>543</v>
      </c>
      <c r="H31" s="50" t="s">
        <v>461</v>
      </c>
      <c r="I31" s="42" t="s">
        <v>1088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498</v>
      </c>
      <c r="D32" s="42" t="s">
        <v>1109</v>
      </c>
      <c r="E32" s="34" t="s">
        <v>459</v>
      </c>
      <c r="F32" s="34" t="s">
        <v>459</v>
      </c>
      <c r="G32" s="31" t="s">
        <v>543</v>
      </c>
      <c r="H32" s="50" t="s">
        <v>461</v>
      </c>
      <c r="I32" s="42" t="s">
        <v>1088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498</v>
      </c>
      <c r="D33" s="42" t="s">
        <v>1110</v>
      </c>
      <c r="E33" s="34" t="s">
        <v>459</v>
      </c>
      <c r="F33" s="34" t="s">
        <v>459</v>
      </c>
      <c r="G33" s="31" t="s">
        <v>543</v>
      </c>
      <c r="H33" s="50" t="s">
        <v>461</v>
      </c>
      <c r="I33" s="42" t="s">
        <v>1088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498</v>
      </c>
      <c r="D34" s="42" t="s">
        <v>1111</v>
      </c>
      <c r="E34" s="34" t="s">
        <v>459</v>
      </c>
      <c r="F34" s="34" t="s">
        <v>459</v>
      </c>
      <c r="G34" s="31" t="s">
        <v>543</v>
      </c>
      <c r="H34" s="50" t="s">
        <v>461</v>
      </c>
      <c r="I34" s="42" t="s">
        <v>1088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498</v>
      </c>
      <c r="D35" s="42" t="s">
        <v>1112</v>
      </c>
      <c r="E35" s="34" t="s">
        <v>459</v>
      </c>
      <c r="F35" s="34" t="s">
        <v>459</v>
      </c>
      <c r="G35" s="31" t="s">
        <v>543</v>
      </c>
      <c r="H35" s="50" t="s">
        <v>461</v>
      </c>
      <c r="I35" s="42" t="s">
        <v>1088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498</v>
      </c>
      <c r="D36" s="42" t="s">
        <v>1113</v>
      </c>
      <c r="E36" s="34" t="s">
        <v>459</v>
      </c>
      <c r="F36" s="34" t="s">
        <v>459</v>
      </c>
      <c r="G36" s="31" t="s">
        <v>543</v>
      </c>
      <c r="H36" s="50" t="s">
        <v>461</v>
      </c>
      <c r="I36" s="42" t="s">
        <v>1088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486</v>
      </c>
      <c r="C37" s="42" t="s">
        <v>498</v>
      </c>
      <c r="D37" s="42" t="s">
        <v>1114</v>
      </c>
      <c r="E37" s="34" t="s">
        <v>459</v>
      </c>
      <c r="F37" s="34" t="s">
        <v>459</v>
      </c>
      <c r="G37" s="31" t="s">
        <v>543</v>
      </c>
      <c r="H37" s="50" t="s">
        <v>461</v>
      </c>
      <c r="I37" s="42" t="s">
        <v>1088</v>
      </c>
      <c r="J37" s="42"/>
      <c r="K37" s="45" t="n">
        <f aca="false">IF(AND(E37="yes",F37="yes",H37="covered"),1,IF(H37="partial",0.5,0))</f>
        <v>1</v>
      </c>
    </row>
    <row r="38" customFormat="false" ht="30" hidden="false" customHeight="true" outlineLevel="0" collapsed="false">
      <c r="A38" s="31" t="n">
        <v>30</v>
      </c>
      <c r="B38" s="42" t="s">
        <v>486</v>
      </c>
      <c r="C38" s="42" t="s">
        <v>498</v>
      </c>
      <c r="D38" s="42" t="s">
        <v>1115</v>
      </c>
      <c r="E38" s="34" t="s">
        <v>459</v>
      </c>
      <c r="F38" s="34" t="s">
        <v>459</v>
      </c>
      <c r="G38" s="31" t="s">
        <v>543</v>
      </c>
      <c r="H38" s="50" t="s">
        <v>461</v>
      </c>
      <c r="I38" s="42" t="s">
        <v>1088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498</v>
      </c>
      <c r="D39" s="42" t="s">
        <v>1116</v>
      </c>
      <c r="E39" s="34" t="s">
        <v>459</v>
      </c>
      <c r="F39" s="34" t="s">
        <v>459</v>
      </c>
      <c r="G39" s="31" t="s">
        <v>543</v>
      </c>
      <c r="H39" s="50" t="s">
        <v>461</v>
      </c>
      <c r="I39" s="42" t="s">
        <v>1088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498</v>
      </c>
      <c r="D40" s="42" t="s">
        <v>1117</v>
      </c>
      <c r="E40" s="34" t="s">
        <v>459</v>
      </c>
      <c r="F40" s="34" t="s">
        <v>459</v>
      </c>
      <c r="G40" s="31" t="s">
        <v>543</v>
      </c>
      <c r="H40" s="50" t="s">
        <v>461</v>
      </c>
      <c r="I40" s="42" t="s">
        <v>1088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486</v>
      </c>
      <c r="C41" s="42" t="s">
        <v>498</v>
      </c>
      <c r="D41" s="42" t="s">
        <v>1118</v>
      </c>
      <c r="E41" s="34" t="s">
        <v>459</v>
      </c>
      <c r="F41" s="34" t="s">
        <v>459</v>
      </c>
      <c r="G41" s="31" t="s">
        <v>543</v>
      </c>
      <c r="H41" s="50" t="s">
        <v>461</v>
      </c>
      <c r="I41" s="42" t="s">
        <v>1088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486</v>
      </c>
      <c r="C42" s="42" t="s">
        <v>498</v>
      </c>
      <c r="D42" s="42" t="s">
        <v>1119</v>
      </c>
      <c r="E42" s="34" t="s">
        <v>459</v>
      </c>
      <c r="F42" s="34" t="s">
        <v>459</v>
      </c>
      <c r="G42" s="31" t="s">
        <v>543</v>
      </c>
      <c r="H42" s="50" t="s">
        <v>461</v>
      </c>
      <c r="I42" s="42" t="s">
        <v>1088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486</v>
      </c>
      <c r="C43" s="42" t="s">
        <v>500</v>
      </c>
      <c r="D43" s="42" t="s">
        <v>1120</v>
      </c>
      <c r="E43" s="34" t="s">
        <v>459</v>
      </c>
      <c r="F43" s="34" t="s">
        <v>459</v>
      </c>
      <c r="G43" s="31" t="s">
        <v>543</v>
      </c>
      <c r="H43" s="50" t="s">
        <v>461</v>
      </c>
      <c r="I43" s="42" t="s">
        <v>1088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486</v>
      </c>
      <c r="C44" s="42" t="s">
        <v>500</v>
      </c>
      <c r="D44" s="42" t="s">
        <v>1121</v>
      </c>
      <c r="E44" s="34" t="s">
        <v>459</v>
      </c>
      <c r="F44" s="34" t="s">
        <v>459</v>
      </c>
      <c r="G44" s="31" t="s">
        <v>543</v>
      </c>
      <c r="H44" s="50" t="s">
        <v>461</v>
      </c>
      <c r="I44" s="42" t="s">
        <v>1088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486</v>
      </c>
      <c r="C45" s="42" t="s">
        <v>500</v>
      </c>
      <c r="D45" s="42" t="s">
        <v>1122</v>
      </c>
      <c r="E45" s="34" t="s">
        <v>459</v>
      </c>
      <c r="F45" s="34" t="s">
        <v>459</v>
      </c>
      <c r="G45" s="31" t="s">
        <v>543</v>
      </c>
      <c r="H45" s="50" t="s">
        <v>461</v>
      </c>
      <c r="I45" s="42" t="s">
        <v>1088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486</v>
      </c>
      <c r="C46" s="42" t="s">
        <v>500</v>
      </c>
      <c r="D46" s="42" t="s">
        <v>1123</v>
      </c>
      <c r="E46" s="34" t="s">
        <v>459</v>
      </c>
      <c r="F46" s="34" t="s">
        <v>459</v>
      </c>
      <c r="G46" s="31" t="s">
        <v>543</v>
      </c>
      <c r="H46" s="50" t="s">
        <v>461</v>
      </c>
      <c r="I46" s="42" t="s">
        <v>1088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486</v>
      </c>
      <c r="C47" s="42" t="s">
        <v>500</v>
      </c>
      <c r="D47" s="42" t="s">
        <v>1124</v>
      </c>
      <c r="E47" s="34" t="s">
        <v>459</v>
      </c>
      <c r="F47" s="34" t="s">
        <v>459</v>
      </c>
      <c r="G47" s="31" t="s">
        <v>543</v>
      </c>
      <c r="H47" s="50" t="s">
        <v>461</v>
      </c>
      <c r="I47" s="42" t="s">
        <v>1088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486</v>
      </c>
      <c r="C48" s="42" t="s">
        <v>500</v>
      </c>
      <c r="D48" s="42" t="s">
        <v>1125</v>
      </c>
      <c r="E48" s="34" t="s">
        <v>459</v>
      </c>
      <c r="F48" s="34" t="s">
        <v>459</v>
      </c>
      <c r="G48" s="31" t="s">
        <v>543</v>
      </c>
      <c r="H48" s="50" t="s">
        <v>461</v>
      </c>
      <c r="I48" s="42" t="s">
        <v>1088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486</v>
      </c>
      <c r="C49" s="42" t="s">
        <v>500</v>
      </c>
      <c r="D49" s="42" t="s">
        <v>1126</v>
      </c>
      <c r="E49" s="34" t="s">
        <v>459</v>
      </c>
      <c r="F49" s="34" t="s">
        <v>459</v>
      </c>
      <c r="G49" s="31" t="s">
        <v>543</v>
      </c>
      <c r="H49" s="50" t="s">
        <v>461</v>
      </c>
      <c r="I49" s="42" t="s">
        <v>1088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486</v>
      </c>
      <c r="C50" s="42" t="s">
        <v>500</v>
      </c>
      <c r="D50" s="42" t="s">
        <v>1127</v>
      </c>
      <c r="E50" s="34" t="s">
        <v>459</v>
      </c>
      <c r="F50" s="34" t="s">
        <v>459</v>
      </c>
      <c r="G50" s="31" t="s">
        <v>543</v>
      </c>
      <c r="H50" s="50" t="s">
        <v>461</v>
      </c>
      <c r="I50" s="42" t="s">
        <v>1088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486</v>
      </c>
      <c r="C51" s="42" t="s">
        <v>500</v>
      </c>
      <c r="D51" s="42" t="s">
        <v>1128</v>
      </c>
      <c r="E51" s="34" t="s">
        <v>459</v>
      </c>
      <c r="F51" s="34" t="s">
        <v>459</v>
      </c>
      <c r="G51" s="31" t="s">
        <v>543</v>
      </c>
      <c r="H51" s="50" t="s">
        <v>461</v>
      </c>
      <c r="I51" s="42" t="s">
        <v>1088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486</v>
      </c>
      <c r="C52" s="42" t="s">
        <v>500</v>
      </c>
      <c r="D52" s="42" t="s">
        <v>1129</v>
      </c>
      <c r="E52" s="34" t="s">
        <v>459</v>
      </c>
      <c r="F52" s="34" t="s">
        <v>459</v>
      </c>
      <c r="G52" s="31" t="s">
        <v>543</v>
      </c>
      <c r="H52" s="50" t="s">
        <v>461</v>
      </c>
      <c r="I52" s="42" t="s">
        <v>1088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486</v>
      </c>
      <c r="C53" s="42" t="s">
        <v>500</v>
      </c>
      <c r="D53" s="42" t="s">
        <v>1130</v>
      </c>
      <c r="E53" s="34" t="s">
        <v>459</v>
      </c>
      <c r="F53" s="34" t="s">
        <v>459</v>
      </c>
      <c r="G53" s="31" t="s">
        <v>543</v>
      </c>
      <c r="H53" s="50" t="s">
        <v>461</v>
      </c>
      <c r="I53" s="42" t="s">
        <v>1088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500</v>
      </c>
      <c r="D54" s="42" t="s">
        <v>631</v>
      </c>
      <c r="E54" s="34" t="s">
        <v>459</v>
      </c>
      <c r="F54" s="34" t="s">
        <v>459</v>
      </c>
      <c r="G54" s="31" t="s">
        <v>543</v>
      </c>
      <c r="H54" s="50" t="s">
        <v>461</v>
      </c>
      <c r="I54" s="42" t="s">
        <v>1088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486</v>
      </c>
      <c r="C55" s="42" t="s">
        <v>500</v>
      </c>
      <c r="D55" s="42" t="s">
        <v>1131</v>
      </c>
      <c r="E55" s="34" t="s">
        <v>459</v>
      </c>
      <c r="F55" s="34" t="s">
        <v>459</v>
      </c>
      <c r="G55" s="31" t="s">
        <v>543</v>
      </c>
      <c r="H55" s="50" t="s">
        <v>461</v>
      </c>
      <c r="I55" s="42" t="s">
        <v>1088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486</v>
      </c>
      <c r="C56" s="42" t="s">
        <v>500</v>
      </c>
      <c r="D56" s="42" t="s">
        <v>1132</v>
      </c>
      <c r="E56" s="34" t="s">
        <v>459</v>
      </c>
      <c r="F56" s="34" t="s">
        <v>459</v>
      </c>
      <c r="G56" s="31" t="s">
        <v>543</v>
      </c>
      <c r="H56" s="50" t="s">
        <v>461</v>
      </c>
      <c r="I56" s="42" t="s">
        <v>1088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486</v>
      </c>
      <c r="C57" s="42" t="s">
        <v>500</v>
      </c>
      <c r="D57" s="42" t="s">
        <v>1133</v>
      </c>
      <c r="E57" s="34" t="s">
        <v>459</v>
      </c>
      <c r="F57" s="34" t="s">
        <v>459</v>
      </c>
      <c r="G57" s="31" t="s">
        <v>543</v>
      </c>
      <c r="H57" s="50" t="s">
        <v>461</v>
      </c>
      <c r="I57" s="42" t="s">
        <v>1088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486</v>
      </c>
      <c r="C58" s="42" t="s">
        <v>500</v>
      </c>
      <c r="D58" s="42" t="s">
        <v>1134</v>
      </c>
      <c r="E58" s="34" t="s">
        <v>459</v>
      </c>
      <c r="F58" s="34" t="s">
        <v>459</v>
      </c>
      <c r="G58" s="31" t="s">
        <v>543</v>
      </c>
      <c r="H58" s="50" t="s">
        <v>461</v>
      </c>
      <c r="I58" s="42" t="s">
        <v>1088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486</v>
      </c>
      <c r="C59" s="42" t="s">
        <v>500</v>
      </c>
      <c r="D59" s="42" t="s">
        <v>1115</v>
      </c>
      <c r="E59" s="34" t="s">
        <v>459</v>
      </c>
      <c r="F59" s="34" t="s">
        <v>459</v>
      </c>
      <c r="G59" s="31" t="s">
        <v>543</v>
      </c>
      <c r="H59" s="50" t="s">
        <v>461</v>
      </c>
      <c r="I59" s="42" t="s">
        <v>1088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486</v>
      </c>
      <c r="C60" s="42" t="s">
        <v>500</v>
      </c>
      <c r="D60" s="42" t="s">
        <v>1135</v>
      </c>
      <c r="E60" s="34" t="s">
        <v>459</v>
      </c>
      <c r="F60" s="34" t="s">
        <v>459</v>
      </c>
      <c r="G60" s="31" t="s">
        <v>543</v>
      </c>
      <c r="H60" s="50" t="s">
        <v>461</v>
      </c>
      <c r="I60" s="42" t="s">
        <v>1088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486</v>
      </c>
      <c r="C61" s="42" t="s">
        <v>502</v>
      </c>
      <c r="D61" s="42" t="s">
        <v>1136</v>
      </c>
      <c r="E61" s="34" t="s">
        <v>459</v>
      </c>
      <c r="F61" s="34" t="s">
        <v>459</v>
      </c>
      <c r="G61" s="31" t="s">
        <v>543</v>
      </c>
      <c r="H61" s="50" t="s">
        <v>461</v>
      </c>
      <c r="I61" s="42" t="s">
        <v>1088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486</v>
      </c>
      <c r="C62" s="42" t="s">
        <v>502</v>
      </c>
      <c r="D62" s="42" t="s">
        <v>1137</v>
      </c>
      <c r="E62" s="34" t="s">
        <v>459</v>
      </c>
      <c r="F62" s="34" t="s">
        <v>459</v>
      </c>
      <c r="G62" s="31" t="s">
        <v>543</v>
      </c>
      <c r="H62" s="50" t="s">
        <v>461</v>
      </c>
      <c r="I62" s="42" t="s">
        <v>1088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486</v>
      </c>
      <c r="C63" s="42" t="s">
        <v>502</v>
      </c>
      <c r="D63" s="42" t="s">
        <v>1138</v>
      </c>
      <c r="E63" s="34" t="s">
        <v>459</v>
      </c>
      <c r="F63" s="34" t="s">
        <v>459</v>
      </c>
      <c r="G63" s="31" t="s">
        <v>543</v>
      </c>
      <c r="H63" s="50" t="s">
        <v>461</v>
      </c>
      <c r="I63" s="42" t="s">
        <v>1088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486</v>
      </c>
      <c r="C64" s="42" t="s">
        <v>502</v>
      </c>
      <c r="D64" s="42" t="s">
        <v>1139</v>
      </c>
      <c r="E64" s="34" t="s">
        <v>459</v>
      </c>
      <c r="F64" s="34" t="s">
        <v>459</v>
      </c>
      <c r="G64" s="31" t="s">
        <v>543</v>
      </c>
      <c r="H64" s="50" t="s">
        <v>461</v>
      </c>
      <c r="I64" s="42" t="s">
        <v>1088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486</v>
      </c>
      <c r="C65" s="42" t="s">
        <v>502</v>
      </c>
      <c r="D65" s="42" t="s">
        <v>1140</v>
      </c>
      <c r="E65" s="34" t="s">
        <v>459</v>
      </c>
      <c r="F65" s="34" t="s">
        <v>459</v>
      </c>
      <c r="G65" s="31" t="s">
        <v>543</v>
      </c>
      <c r="H65" s="50" t="s">
        <v>461</v>
      </c>
      <c r="I65" s="42" t="s">
        <v>1088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486</v>
      </c>
      <c r="C66" s="42" t="s">
        <v>502</v>
      </c>
      <c r="D66" s="42" t="s">
        <v>1141</v>
      </c>
      <c r="E66" s="34" t="s">
        <v>459</v>
      </c>
      <c r="F66" s="34" t="s">
        <v>459</v>
      </c>
      <c r="G66" s="31" t="s">
        <v>543</v>
      </c>
      <c r="H66" s="50" t="s">
        <v>461</v>
      </c>
      <c r="I66" s="42" t="s">
        <v>1088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486</v>
      </c>
      <c r="C67" s="42" t="s">
        <v>502</v>
      </c>
      <c r="D67" s="42" t="s">
        <v>1142</v>
      </c>
      <c r="E67" s="34" t="s">
        <v>459</v>
      </c>
      <c r="F67" s="34" t="s">
        <v>459</v>
      </c>
      <c r="G67" s="31" t="s">
        <v>543</v>
      </c>
      <c r="H67" s="50" t="s">
        <v>461</v>
      </c>
      <c r="I67" s="42" t="s">
        <v>1088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486</v>
      </c>
      <c r="C68" s="42" t="s">
        <v>502</v>
      </c>
      <c r="D68" s="42" t="s">
        <v>1143</v>
      </c>
      <c r="E68" s="34" t="s">
        <v>459</v>
      </c>
      <c r="F68" s="34" t="s">
        <v>459</v>
      </c>
      <c r="G68" s="31" t="s">
        <v>543</v>
      </c>
      <c r="H68" s="50" t="s">
        <v>461</v>
      </c>
      <c r="I68" s="42" t="s">
        <v>1088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486</v>
      </c>
      <c r="C69" s="42" t="s">
        <v>502</v>
      </c>
      <c r="D69" s="42" t="s">
        <v>1144</v>
      </c>
      <c r="E69" s="34" t="s">
        <v>459</v>
      </c>
      <c r="F69" s="34" t="s">
        <v>459</v>
      </c>
      <c r="G69" s="31" t="s">
        <v>543</v>
      </c>
      <c r="H69" s="50" t="s">
        <v>461</v>
      </c>
      <c r="I69" s="42" t="s">
        <v>1088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486</v>
      </c>
      <c r="C70" s="42" t="s">
        <v>502</v>
      </c>
      <c r="D70" s="42" t="s">
        <v>1145</v>
      </c>
      <c r="E70" s="34" t="s">
        <v>459</v>
      </c>
      <c r="F70" s="34" t="s">
        <v>459</v>
      </c>
      <c r="G70" s="31" t="s">
        <v>543</v>
      </c>
      <c r="H70" s="50" t="s">
        <v>461</v>
      </c>
      <c r="I70" s="42" t="s">
        <v>1088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486</v>
      </c>
      <c r="C71" s="42" t="s">
        <v>502</v>
      </c>
      <c r="D71" s="42" t="s">
        <v>1115</v>
      </c>
      <c r="E71" s="34" t="s">
        <v>459</v>
      </c>
      <c r="F71" s="34" t="s">
        <v>459</v>
      </c>
      <c r="G71" s="31" t="s">
        <v>543</v>
      </c>
      <c r="H71" s="50" t="s">
        <v>461</v>
      </c>
      <c r="I71" s="42" t="s">
        <v>1088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486</v>
      </c>
      <c r="C72" s="42" t="s">
        <v>1146</v>
      </c>
      <c r="D72" s="42" t="s">
        <v>1147</v>
      </c>
      <c r="E72" s="34" t="s">
        <v>459</v>
      </c>
      <c r="F72" s="34" t="s">
        <v>459</v>
      </c>
      <c r="G72" s="31" t="s">
        <v>543</v>
      </c>
      <c r="H72" s="50" t="s">
        <v>461</v>
      </c>
      <c r="I72" s="42" t="s">
        <v>1088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486</v>
      </c>
      <c r="C73" s="42" t="s">
        <v>1146</v>
      </c>
      <c r="D73" s="42" t="s">
        <v>1148</v>
      </c>
      <c r="E73" s="34" t="s">
        <v>459</v>
      </c>
      <c r="F73" s="34" t="s">
        <v>459</v>
      </c>
      <c r="G73" s="31" t="s">
        <v>543</v>
      </c>
      <c r="H73" s="50" t="s">
        <v>461</v>
      </c>
      <c r="I73" s="42" t="s">
        <v>1088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486</v>
      </c>
      <c r="C74" s="42" t="s">
        <v>1146</v>
      </c>
      <c r="D74" s="42" t="s">
        <v>1149</v>
      </c>
      <c r="E74" s="34" t="s">
        <v>459</v>
      </c>
      <c r="F74" s="34" t="s">
        <v>459</v>
      </c>
      <c r="G74" s="31" t="s">
        <v>543</v>
      </c>
      <c r="H74" s="50" t="s">
        <v>461</v>
      </c>
      <c r="I74" s="42" t="s">
        <v>1088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486</v>
      </c>
      <c r="C75" s="42" t="s">
        <v>1146</v>
      </c>
      <c r="D75" s="42" t="s">
        <v>1150</v>
      </c>
      <c r="E75" s="34" t="s">
        <v>459</v>
      </c>
      <c r="F75" s="34" t="s">
        <v>459</v>
      </c>
      <c r="G75" s="31" t="s">
        <v>543</v>
      </c>
      <c r="H75" s="50" t="s">
        <v>461</v>
      </c>
      <c r="I75" s="42" t="s">
        <v>1088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486</v>
      </c>
      <c r="C76" s="42" t="s">
        <v>1146</v>
      </c>
      <c r="D76" s="42" t="s">
        <v>1151</v>
      </c>
      <c r="E76" s="34" t="s">
        <v>459</v>
      </c>
      <c r="F76" s="34" t="s">
        <v>459</v>
      </c>
      <c r="G76" s="31" t="s">
        <v>543</v>
      </c>
      <c r="H76" s="50" t="s">
        <v>461</v>
      </c>
      <c r="I76" s="42" t="s">
        <v>1088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486</v>
      </c>
      <c r="C77" s="42" t="s">
        <v>1146</v>
      </c>
      <c r="D77" s="42" t="s">
        <v>1152</v>
      </c>
      <c r="E77" s="34" t="s">
        <v>459</v>
      </c>
      <c r="F77" s="34" t="s">
        <v>459</v>
      </c>
      <c r="G77" s="31" t="s">
        <v>543</v>
      </c>
      <c r="H77" s="50" t="s">
        <v>461</v>
      </c>
      <c r="I77" s="42" t="s">
        <v>1088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486</v>
      </c>
      <c r="C78" s="42" t="s">
        <v>1146</v>
      </c>
      <c r="D78" s="42" t="s">
        <v>1153</v>
      </c>
      <c r="E78" s="34" t="s">
        <v>459</v>
      </c>
      <c r="F78" s="34" t="s">
        <v>459</v>
      </c>
      <c r="G78" s="31" t="s">
        <v>543</v>
      </c>
      <c r="H78" s="50" t="s">
        <v>461</v>
      </c>
      <c r="I78" s="42" t="s">
        <v>1088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486</v>
      </c>
      <c r="C79" s="42" t="s">
        <v>1146</v>
      </c>
      <c r="D79" s="42" t="s">
        <v>1154</v>
      </c>
      <c r="E79" s="34" t="s">
        <v>459</v>
      </c>
      <c r="F79" s="34" t="s">
        <v>459</v>
      </c>
      <c r="G79" s="31" t="s">
        <v>543</v>
      </c>
      <c r="H79" s="50" t="s">
        <v>461</v>
      </c>
      <c r="I79" s="42" t="s">
        <v>1088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486</v>
      </c>
      <c r="C80" s="42" t="s">
        <v>1155</v>
      </c>
      <c r="D80" s="42" t="s">
        <v>1156</v>
      </c>
      <c r="E80" s="34" t="s">
        <v>459</v>
      </c>
      <c r="F80" s="34" t="s">
        <v>459</v>
      </c>
      <c r="G80" s="31" t="s">
        <v>543</v>
      </c>
      <c r="H80" s="50" t="s">
        <v>461</v>
      </c>
      <c r="I80" s="42" t="s">
        <v>1088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486</v>
      </c>
      <c r="C81" s="42" t="s">
        <v>1155</v>
      </c>
      <c r="D81" s="42" t="s">
        <v>1157</v>
      </c>
      <c r="E81" s="34" t="s">
        <v>459</v>
      </c>
      <c r="F81" s="34" t="s">
        <v>459</v>
      </c>
      <c r="G81" s="31" t="s">
        <v>543</v>
      </c>
      <c r="H81" s="50" t="s">
        <v>461</v>
      </c>
      <c r="I81" s="42" t="s">
        <v>1088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486</v>
      </c>
      <c r="C82" s="42" t="s">
        <v>1155</v>
      </c>
      <c r="D82" s="42" t="s">
        <v>1158</v>
      </c>
      <c r="E82" s="34" t="s">
        <v>459</v>
      </c>
      <c r="F82" s="34" t="s">
        <v>459</v>
      </c>
      <c r="G82" s="31" t="s">
        <v>543</v>
      </c>
      <c r="H82" s="50" t="s">
        <v>461</v>
      </c>
      <c r="I82" s="42" t="s">
        <v>1088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486</v>
      </c>
      <c r="C83" s="42" t="s">
        <v>1155</v>
      </c>
      <c r="D83" s="42" t="s">
        <v>1159</v>
      </c>
      <c r="E83" s="34" t="s">
        <v>459</v>
      </c>
      <c r="F83" s="34" t="s">
        <v>459</v>
      </c>
      <c r="G83" s="31" t="s">
        <v>543</v>
      </c>
      <c r="H83" s="50" t="s">
        <v>461</v>
      </c>
      <c r="I83" s="42" t="s">
        <v>1088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486</v>
      </c>
      <c r="C84" s="42" t="s">
        <v>1155</v>
      </c>
      <c r="D84" s="42" t="s">
        <v>1115</v>
      </c>
      <c r="E84" s="34" t="s">
        <v>459</v>
      </c>
      <c r="F84" s="34" t="s">
        <v>459</v>
      </c>
      <c r="G84" s="31" t="s">
        <v>543</v>
      </c>
      <c r="H84" s="50" t="s">
        <v>461</v>
      </c>
      <c r="I84" s="42" t="s">
        <v>1088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486</v>
      </c>
      <c r="C85" s="42" t="s">
        <v>1160</v>
      </c>
      <c r="D85" s="42" t="s">
        <v>1161</v>
      </c>
      <c r="E85" s="34" t="s">
        <v>459</v>
      </c>
      <c r="F85" s="34" t="s">
        <v>459</v>
      </c>
      <c r="G85" s="31" t="s">
        <v>543</v>
      </c>
      <c r="H85" s="50" t="s">
        <v>461</v>
      </c>
      <c r="I85" s="42" t="s">
        <v>1088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486</v>
      </c>
      <c r="C86" s="42" t="s">
        <v>1160</v>
      </c>
      <c r="D86" s="42" t="s">
        <v>1162</v>
      </c>
      <c r="E86" s="34" t="s">
        <v>459</v>
      </c>
      <c r="F86" s="34" t="s">
        <v>459</v>
      </c>
      <c r="G86" s="31" t="s">
        <v>543</v>
      </c>
      <c r="H86" s="50" t="s">
        <v>461</v>
      </c>
      <c r="I86" s="42" t="s">
        <v>1088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486</v>
      </c>
      <c r="C87" s="42" t="s">
        <v>1160</v>
      </c>
      <c r="D87" s="42" t="s">
        <v>1163</v>
      </c>
      <c r="E87" s="34" t="s">
        <v>459</v>
      </c>
      <c r="F87" s="34" t="s">
        <v>459</v>
      </c>
      <c r="G87" s="31" t="s">
        <v>543</v>
      </c>
      <c r="H87" s="50" t="s">
        <v>461</v>
      </c>
      <c r="I87" s="42" t="s">
        <v>1088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486</v>
      </c>
      <c r="C88" s="42" t="s">
        <v>1160</v>
      </c>
      <c r="D88" s="42" t="s">
        <v>1164</v>
      </c>
      <c r="E88" s="34" t="s">
        <v>459</v>
      </c>
      <c r="F88" s="34" t="s">
        <v>459</v>
      </c>
      <c r="G88" s="31" t="s">
        <v>543</v>
      </c>
      <c r="H88" s="50" t="s">
        <v>461</v>
      </c>
      <c r="I88" s="42" t="s">
        <v>1088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486</v>
      </c>
      <c r="C89" s="42" t="s">
        <v>1160</v>
      </c>
      <c r="D89" s="42" t="s">
        <v>1165</v>
      </c>
      <c r="E89" s="34" t="s">
        <v>459</v>
      </c>
      <c r="F89" s="34" t="s">
        <v>459</v>
      </c>
      <c r="G89" s="31" t="s">
        <v>543</v>
      </c>
      <c r="H89" s="50" t="s">
        <v>461</v>
      </c>
      <c r="I89" s="42" t="s">
        <v>1088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486</v>
      </c>
      <c r="C90" s="42" t="s">
        <v>1160</v>
      </c>
      <c r="D90" s="42" t="s">
        <v>1152</v>
      </c>
      <c r="E90" s="34" t="s">
        <v>459</v>
      </c>
      <c r="F90" s="34" t="s">
        <v>459</v>
      </c>
      <c r="G90" s="31" t="s">
        <v>543</v>
      </c>
      <c r="H90" s="50" t="s">
        <v>461</v>
      </c>
      <c r="I90" s="42" t="s">
        <v>1088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486</v>
      </c>
      <c r="C91" s="42" t="s">
        <v>1160</v>
      </c>
      <c r="D91" s="42" t="s">
        <v>1153</v>
      </c>
      <c r="E91" s="34" t="s">
        <v>459</v>
      </c>
      <c r="F91" s="34" t="s">
        <v>459</v>
      </c>
      <c r="G91" s="31" t="s">
        <v>543</v>
      </c>
      <c r="H91" s="50" t="s">
        <v>461</v>
      </c>
      <c r="I91" s="42" t="s">
        <v>1088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486</v>
      </c>
      <c r="C92" s="42" t="s">
        <v>825</v>
      </c>
      <c r="D92" s="42" t="s">
        <v>1156</v>
      </c>
      <c r="E92" s="34" t="s">
        <v>459</v>
      </c>
      <c r="F92" s="34" t="s">
        <v>459</v>
      </c>
      <c r="G92" s="31" t="s">
        <v>543</v>
      </c>
      <c r="H92" s="50" t="s">
        <v>461</v>
      </c>
      <c r="I92" s="42" t="s">
        <v>1088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486</v>
      </c>
      <c r="C93" s="42" t="s">
        <v>825</v>
      </c>
      <c r="D93" s="42" t="s">
        <v>1166</v>
      </c>
      <c r="E93" s="34" t="s">
        <v>459</v>
      </c>
      <c r="F93" s="34" t="s">
        <v>459</v>
      </c>
      <c r="G93" s="31" t="s">
        <v>543</v>
      </c>
      <c r="H93" s="50" t="s">
        <v>461</v>
      </c>
      <c r="I93" s="42" t="s">
        <v>1088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486</v>
      </c>
      <c r="C94" s="42" t="s">
        <v>825</v>
      </c>
      <c r="D94" s="42" t="s">
        <v>1115</v>
      </c>
      <c r="E94" s="34" t="s">
        <v>459</v>
      </c>
      <c r="F94" s="34" t="s">
        <v>459</v>
      </c>
      <c r="G94" s="31" t="s">
        <v>543</v>
      </c>
      <c r="H94" s="50" t="s">
        <v>461</v>
      </c>
      <c r="I94" s="42" t="s">
        <v>1088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486</v>
      </c>
      <c r="C95" s="42" t="s">
        <v>904</v>
      </c>
      <c r="D95" s="42" t="s">
        <v>1167</v>
      </c>
      <c r="E95" s="34" t="s">
        <v>459</v>
      </c>
      <c r="F95" s="34" t="s">
        <v>459</v>
      </c>
      <c r="G95" s="31" t="s">
        <v>543</v>
      </c>
      <c r="H95" s="50" t="s">
        <v>461</v>
      </c>
      <c r="I95" s="42" t="s">
        <v>1088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486</v>
      </c>
      <c r="C96" s="42" t="s">
        <v>904</v>
      </c>
      <c r="D96" s="42" t="s">
        <v>1168</v>
      </c>
      <c r="E96" s="34" t="s">
        <v>459</v>
      </c>
      <c r="F96" s="34" t="s">
        <v>459</v>
      </c>
      <c r="G96" s="31" t="s">
        <v>543</v>
      </c>
      <c r="H96" s="50" t="s">
        <v>461</v>
      </c>
      <c r="I96" s="42" t="s">
        <v>1088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486</v>
      </c>
      <c r="C97" s="42" t="s">
        <v>904</v>
      </c>
      <c r="D97" s="42" t="s">
        <v>1169</v>
      </c>
      <c r="E97" s="34" t="s">
        <v>459</v>
      </c>
      <c r="F97" s="34" t="s">
        <v>459</v>
      </c>
      <c r="G97" s="31" t="s">
        <v>543</v>
      </c>
      <c r="H97" s="50" t="s">
        <v>461</v>
      </c>
      <c r="I97" s="42" t="s">
        <v>1088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486</v>
      </c>
      <c r="C98" s="42" t="s">
        <v>1170</v>
      </c>
      <c r="D98" s="42" t="s">
        <v>1171</v>
      </c>
      <c r="E98" s="34" t="s">
        <v>459</v>
      </c>
      <c r="F98" s="34" t="s">
        <v>459</v>
      </c>
      <c r="G98" s="31" t="s">
        <v>543</v>
      </c>
      <c r="H98" s="50" t="s">
        <v>461</v>
      </c>
      <c r="I98" s="42" t="s">
        <v>1088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486</v>
      </c>
      <c r="C99" s="42" t="s">
        <v>1170</v>
      </c>
      <c r="D99" s="42" t="s">
        <v>1172</v>
      </c>
      <c r="E99" s="34" t="s">
        <v>459</v>
      </c>
      <c r="F99" s="34" t="s">
        <v>459</v>
      </c>
      <c r="G99" s="31" t="s">
        <v>543</v>
      </c>
      <c r="H99" s="50" t="s">
        <v>461</v>
      </c>
      <c r="I99" s="42" t="s">
        <v>1088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486</v>
      </c>
      <c r="C100" s="42" t="s">
        <v>1170</v>
      </c>
      <c r="D100" s="42" t="s">
        <v>1173</v>
      </c>
      <c r="E100" s="34" t="s">
        <v>459</v>
      </c>
      <c r="F100" s="34" t="s">
        <v>459</v>
      </c>
      <c r="G100" s="31" t="s">
        <v>543</v>
      </c>
      <c r="H100" s="50" t="s">
        <v>461</v>
      </c>
      <c r="I100" s="42" t="s">
        <v>1088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486</v>
      </c>
      <c r="C101" s="42" t="s">
        <v>1170</v>
      </c>
      <c r="D101" s="42" t="s">
        <v>1174</v>
      </c>
      <c r="E101" s="34" t="s">
        <v>459</v>
      </c>
      <c r="F101" s="34" t="s">
        <v>459</v>
      </c>
      <c r="G101" s="31" t="s">
        <v>543</v>
      </c>
      <c r="H101" s="50" t="s">
        <v>461</v>
      </c>
      <c r="I101" s="42" t="s">
        <v>1088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486</v>
      </c>
      <c r="C102" s="42" t="s">
        <v>1175</v>
      </c>
      <c r="D102" s="42" t="s">
        <v>1136</v>
      </c>
      <c r="E102" s="34" t="s">
        <v>459</v>
      </c>
      <c r="F102" s="34" t="s">
        <v>459</v>
      </c>
      <c r="G102" s="31" t="s">
        <v>543</v>
      </c>
      <c r="H102" s="50" t="s">
        <v>461</v>
      </c>
      <c r="I102" s="42" t="s">
        <v>1088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486</v>
      </c>
      <c r="C103" s="42" t="s">
        <v>1175</v>
      </c>
      <c r="D103" s="42" t="s">
        <v>1176</v>
      </c>
      <c r="E103" s="34" t="s">
        <v>459</v>
      </c>
      <c r="F103" s="34" t="s">
        <v>459</v>
      </c>
      <c r="G103" s="31" t="s">
        <v>543</v>
      </c>
      <c r="H103" s="50" t="s">
        <v>461</v>
      </c>
      <c r="I103" s="42" t="s">
        <v>1088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486</v>
      </c>
      <c r="C104" s="42" t="s">
        <v>1175</v>
      </c>
      <c r="D104" s="42" t="s">
        <v>1177</v>
      </c>
      <c r="E104" s="34" t="s">
        <v>459</v>
      </c>
      <c r="F104" s="34" t="s">
        <v>459</v>
      </c>
      <c r="G104" s="31" t="s">
        <v>543</v>
      </c>
      <c r="H104" s="50" t="s">
        <v>461</v>
      </c>
      <c r="I104" s="42" t="s">
        <v>1088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486</v>
      </c>
      <c r="C105" s="42" t="s">
        <v>1175</v>
      </c>
      <c r="D105" s="42" t="s">
        <v>1178</v>
      </c>
      <c r="E105" s="34" t="s">
        <v>459</v>
      </c>
      <c r="F105" s="34" t="s">
        <v>459</v>
      </c>
      <c r="G105" s="31" t="s">
        <v>543</v>
      </c>
      <c r="H105" s="50" t="s">
        <v>461</v>
      </c>
      <c r="I105" s="42" t="s">
        <v>1088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486</v>
      </c>
      <c r="C106" s="42" t="s">
        <v>1175</v>
      </c>
      <c r="D106" s="42" t="s">
        <v>1179</v>
      </c>
      <c r="E106" s="34" t="s">
        <v>459</v>
      </c>
      <c r="F106" s="34" t="s">
        <v>459</v>
      </c>
      <c r="G106" s="31" t="s">
        <v>543</v>
      </c>
      <c r="H106" s="50" t="s">
        <v>461</v>
      </c>
      <c r="I106" s="42" t="s">
        <v>1088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486</v>
      </c>
      <c r="C107" s="42" t="s">
        <v>1175</v>
      </c>
      <c r="D107" s="42" t="s">
        <v>1180</v>
      </c>
      <c r="E107" s="34" t="s">
        <v>459</v>
      </c>
      <c r="F107" s="34" t="s">
        <v>459</v>
      </c>
      <c r="G107" s="31" t="s">
        <v>543</v>
      </c>
      <c r="H107" s="50" t="s">
        <v>461</v>
      </c>
      <c r="I107" s="42" t="s">
        <v>1088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486</v>
      </c>
      <c r="C108" s="42" t="s">
        <v>1175</v>
      </c>
      <c r="D108" s="42" t="s">
        <v>1181</v>
      </c>
      <c r="E108" s="34" t="s">
        <v>459</v>
      </c>
      <c r="F108" s="34" t="s">
        <v>459</v>
      </c>
      <c r="G108" s="31" t="s">
        <v>543</v>
      </c>
      <c r="H108" s="50" t="s">
        <v>461</v>
      </c>
      <c r="I108" s="42" t="s">
        <v>1088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486</v>
      </c>
      <c r="C109" s="42" t="s">
        <v>1175</v>
      </c>
      <c r="D109" s="42" t="s">
        <v>1182</v>
      </c>
      <c r="E109" s="34" t="s">
        <v>459</v>
      </c>
      <c r="F109" s="34" t="s">
        <v>459</v>
      </c>
      <c r="G109" s="31" t="s">
        <v>543</v>
      </c>
      <c r="H109" s="50" t="s">
        <v>461</v>
      </c>
      <c r="I109" s="42" t="s">
        <v>1088</v>
      </c>
      <c r="J109" s="42"/>
      <c r="K109" s="45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2" t="s">
        <v>486</v>
      </c>
      <c r="C110" s="42" t="s">
        <v>1175</v>
      </c>
      <c r="D110" s="42" t="s">
        <v>1183</v>
      </c>
      <c r="E110" s="34" t="s">
        <v>459</v>
      </c>
      <c r="F110" s="34" t="s">
        <v>459</v>
      </c>
      <c r="G110" s="31" t="s">
        <v>543</v>
      </c>
      <c r="H110" s="50" t="s">
        <v>461</v>
      </c>
      <c r="I110" s="42" t="s">
        <v>1088</v>
      </c>
      <c r="J110" s="42"/>
      <c r="K110" s="45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2" t="s">
        <v>486</v>
      </c>
      <c r="C111" s="42" t="s">
        <v>1175</v>
      </c>
      <c r="D111" s="42" t="s">
        <v>1184</v>
      </c>
      <c r="E111" s="34" t="s">
        <v>459</v>
      </c>
      <c r="F111" s="34" t="s">
        <v>459</v>
      </c>
      <c r="G111" s="31" t="s">
        <v>543</v>
      </c>
      <c r="H111" s="50" t="s">
        <v>461</v>
      </c>
      <c r="I111" s="42" t="s">
        <v>1088</v>
      </c>
      <c r="J111" s="42"/>
      <c r="K111" s="45" t="n">
        <f aca="false">IF(AND(E111="yes",F111="yes",H111="covered"),1,IF(H111="partial",0.5,0))</f>
        <v>1</v>
      </c>
    </row>
    <row r="112" customFormat="false" ht="30" hidden="false" customHeight="true" outlineLevel="0" collapsed="false">
      <c r="A112" s="31" t="n">
        <v>104</v>
      </c>
      <c r="B112" s="42" t="s">
        <v>486</v>
      </c>
      <c r="C112" s="42" t="s">
        <v>1185</v>
      </c>
      <c r="D112" s="42" t="s">
        <v>1186</v>
      </c>
      <c r="E112" s="34" t="s">
        <v>459</v>
      </c>
      <c r="F112" s="34" t="s">
        <v>459</v>
      </c>
      <c r="G112" s="31" t="s">
        <v>543</v>
      </c>
      <c r="H112" s="50" t="s">
        <v>461</v>
      </c>
      <c r="I112" s="42" t="s">
        <v>1088</v>
      </c>
      <c r="J112" s="42"/>
      <c r="K112" s="45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2" t="s">
        <v>486</v>
      </c>
      <c r="C113" s="42" t="s">
        <v>1185</v>
      </c>
      <c r="D113" s="42" t="s">
        <v>1187</v>
      </c>
      <c r="E113" s="34" t="s">
        <v>459</v>
      </c>
      <c r="F113" s="34" t="s">
        <v>459</v>
      </c>
      <c r="G113" s="31" t="s">
        <v>543</v>
      </c>
      <c r="H113" s="50" t="s">
        <v>461</v>
      </c>
      <c r="I113" s="42" t="s">
        <v>1088</v>
      </c>
      <c r="J113" s="42"/>
      <c r="K113" s="45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31" t="n">
        <v>106</v>
      </c>
      <c r="B114" s="42" t="s">
        <v>486</v>
      </c>
      <c r="C114" s="42" t="s">
        <v>1185</v>
      </c>
      <c r="D114" s="42" t="s">
        <v>1188</v>
      </c>
      <c r="E114" s="34" t="s">
        <v>459</v>
      </c>
      <c r="F114" s="34" t="s">
        <v>459</v>
      </c>
      <c r="G114" s="31" t="s">
        <v>543</v>
      </c>
      <c r="H114" s="50" t="s">
        <v>461</v>
      </c>
      <c r="I114" s="42" t="s">
        <v>1088</v>
      </c>
      <c r="J114" s="42"/>
      <c r="K114" s="45" t="n">
        <f aca="false">IF(AND(E114="yes",F114="yes",H114="covered"),1,IF(H114="partial",0.5,0))</f>
        <v>1</v>
      </c>
    </row>
    <row r="115" customFormat="false" ht="15" hidden="false" customHeight="true" outlineLevel="0" collapsed="false">
      <c r="A115" s="31" t="n">
        <v>107</v>
      </c>
      <c r="B115" s="42" t="s">
        <v>486</v>
      </c>
      <c r="C115" s="42" t="s">
        <v>1185</v>
      </c>
      <c r="D115" s="42" t="s">
        <v>1189</v>
      </c>
      <c r="E115" s="34" t="s">
        <v>459</v>
      </c>
      <c r="F115" s="34" t="s">
        <v>459</v>
      </c>
      <c r="G115" s="31" t="s">
        <v>543</v>
      </c>
      <c r="H115" s="50" t="s">
        <v>461</v>
      </c>
      <c r="I115" s="42" t="s">
        <v>1088</v>
      </c>
      <c r="J115" s="42"/>
      <c r="K115" s="45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2" t="s">
        <v>486</v>
      </c>
      <c r="C116" s="42" t="s">
        <v>1185</v>
      </c>
      <c r="D116" s="42" t="s">
        <v>1128</v>
      </c>
      <c r="E116" s="34" t="s">
        <v>459</v>
      </c>
      <c r="F116" s="34" t="s">
        <v>459</v>
      </c>
      <c r="G116" s="31" t="s">
        <v>543</v>
      </c>
      <c r="H116" s="50" t="s">
        <v>461</v>
      </c>
      <c r="I116" s="42" t="s">
        <v>1088</v>
      </c>
      <c r="J116" s="42"/>
      <c r="K116" s="45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2" t="s">
        <v>486</v>
      </c>
      <c r="C117" s="42" t="s">
        <v>1185</v>
      </c>
      <c r="D117" s="42" t="s">
        <v>1129</v>
      </c>
      <c r="E117" s="34" t="s">
        <v>459</v>
      </c>
      <c r="F117" s="34" t="s">
        <v>459</v>
      </c>
      <c r="G117" s="31" t="s">
        <v>543</v>
      </c>
      <c r="H117" s="50" t="s">
        <v>461</v>
      </c>
      <c r="I117" s="42" t="s">
        <v>1088</v>
      </c>
      <c r="J117" s="42"/>
      <c r="K117" s="45" t="n">
        <f aca="false">IF(AND(E117="yes",F117="yes",H117="covered"),1,IF(H117="partial",0.5,0))</f>
        <v>1</v>
      </c>
    </row>
    <row r="118" customFormat="false" ht="15" hidden="false" customHeight="true" outlineLevel="0" collapsed="false">
      <c r="A118" s="31" t="n">
        <v>110</v>
      </c>
      <c r="B118" s="42" t="s">
        <v>486</v>
      </c>
      <c r="C118" s="42" t="s">
        <v>1185</v>
      </c>
      <c r="D118" s="42" t="s">
        <v>631</v>
      </c>
      <c r="E118" s="34" t="s">
        <v>459</v>
      </c>
      <c r="F118" s="34" t="s">
        <v>459</v>
      </c>
      <c r="G118" s="31" t="s">
        <v>543</v>
      </c>
      <c r="H118" s="50" t="s">
        <v>461</v>
      </c>
      <c r="I118" s="42" t="s">
        <v>1088</v>
      </c>
      <c r="J118" s="42"/>
      <c r="K118" s="45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31" t="n">
        <v>111</v>
      </c>
      <c r="B119" s="42" t="s">
        <v>486</v>
      </c>
      <c r="C119" s="42" t="s">
        <v>1185</v>
      </c>
      <c r="D119" s="42" t="s">
        <v>1190</v>
      </c>
      <c r="E119" s="34" t="s">
        <v>459</v>
      </c>
      <c r="F119" s="34" t="s">
        <v>459</v>
      </c>
      <c r="G119" s="31" t="s">
        <v>543</v>
      </c>
      <c r="H119" s="50" t="s">
        <v>461</v>
      </c>
      <c r="I119" s="42" t="s">
        <v>1088</v>
      </c>
      <c r="J119" s="42"/>
      <c r="K119" s="45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31" t="n">
        <v>112</v>
      </c>
      <c r="B120" s="42" t="s">
        <v>486</v>
      </c>
      <c r="C120" s="42" t="s">
        <v>1185</v>
      </c>
      <c r="D120" s="42" t="s">
        <v>1191</v>
      </c>
      <c r="E120" s="34" t="s">
        <v>459</v>
      </c>
      <c r="F120" s="34" t="s">
        <v>459</v>
      </c>
      <c r="G120" s="31" t="s">
        <v>543</v>
      </c>
      <c r="H120" s="50" t="s">
        <v>461</v>
      </c>
      <c r="I120" s="42" t="s">
        <v>1088</v>
      </c>
      <c r="J120" s="42"/>
      <c r="K120" s="45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31" t="n">
        <v>113</v>
      </c>
      <c r="B121" s="42" t="s">
        <v>524</v>
      </c>
      <c r="C121" s="42" t="s">
        <v>1192</v>
      </c>
      <c r="D121" s="42" t="s">
        <v>1193</v>
      </c>
      <c r="E121" s="34" t="s">
        <v>459</v>
      </c>
      <c r="F121" s="34" t="s">
        <v>459</v>
      </c>
      <c r="G121" s="31" t="s">
        <v>543</v>
      </c>
      <c r="H121" s="50" t="s">
        <v>461</v>
      </c>
      <c r="I121" s="42" t="s">
        <v>1088</v>
      </c>
      <c r="J121" s="42"/>
      <c r="K121" s="45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31" t="n">
        <v>114</v>
      </c>
      <c r="B122" s="42" t="s">
        <v>524</v>
      </c>
      <c r="C122" s="42" t="s">
        <v>1192</v>
      </c>
      <c r="D122" s="42" t="s">
        <v>1194</v>
      </c>
      <c r="E122" s="34" t="s">
        <v>459</v>
      </c>
      <c r="F122" s="34" t="s">
        <v>459</v>
      </c>
      <c r="G122" s="31" t="s">
        <v>543</v>
      </c>
      <c r="H122" s="50" t="s">
        <v>461</v>
      </c>
      <c r="I122" s="42" t="s">
        <v>1088</v>
      </c>
      <c r="J122" s="42"/>
      <c r="K122" s="45" t="n">
        <f aca="false">IF(AND(E122="yes",F122="yes",H122="covered"),1,IF(H122="partial",0.5,0))</f>
        <v>1</v>
      </c>
    </row>
    <row r="123" customFormat="false" ht="15" hidden="false" customHeight="true" outlineLevel="0" collapsed="false">
      <c r="A123" s="31" t="n">
        <v>115</v>
      </c>
      <c r="B123" s="42" t="s">
        <v>524</v>
      </c>
      <c r="C123" s="42" t="s">
        <v>1192</v>
      </c>
      <c r="D123" s="42" t="s">
        <v>1195</v>
      </c>
      <c r="E123" s="34" t="s">
        <v>459</v>
      </c>
      <c r="F123" s="34" t="s">
        <v>459</v>
      </c>
      <c r="G123" s="31" t="s">
        <v>543</v>
      </c>
      <c r="H123" s="50" t="s">
        <v>461</v>
      </c>
      <c r="I123" s="42" t="s">
        <v>1088</v>
      </c>
      <c r="J123" s="42"/>
      <c r="K123" s="45" t="n">
        <f aca="false">IF(AND(E123="yes",F123="yes",H123="covered"),1,IF(H123="partial",0.5,0))</f>
        <v>1</v>
      </c>
    </row>
    <row r="124" customFormat="false" ht="30" hidden="false" customHeight="true" outlineLevel="0" collapsed="false">
      <c r="A124" s="31" t="n">
        <v>116</v>
      </c>
      <c r="B124" s="42" t="s">
        <v>524</v>
      </c>
      <c r="C124" s="42" t="s">
        <v>1192</v>
      </c>
      <c r="D124" s="42" t="s">
        <v>1196</v>
      </c>
      <c r="E124" s="34" t="s">
        <v>459</v>
      </c>
      <c r="F124" s="34" t="s">
        <v>459</v>
      </c>
      <c r="G124" s="31" t="s">
        <v>543</v>
      </c>
      <c r="H124" s="50" t="s">
        <v>461</v>
      </c>
      <c r="I124" s="42" t="s">
        <v>1088</v>
      </c>
      <c r="J124" s="42"/>
      <c r="K124" s="45" t="n">
        <f aca="false">IF(AND(E124="yes",F124="yes",H124="covered"),1,IF(H124="partial",0.5,0))</f>
        <v>1</v>
      </c>
    </row>
    <row r="125" customFormat="false" ht="15" hidden="false" customHeight="true" outlineLevel="0" collapsed="false">
      <c r="A125" s="31" t="n">
        <v>117</v>
      </c>
      <c r="B125" s="42" t="s">
        <v>524</v>
      </c>
      <c r="C125" s="42" t="s">
        <v>1192</v>
      </c>
      <c r="D125" s="42" t="s">
        <v>1197</v>
      </c>
      <c r="E125" s="34" t="s">
        <v>459</v>
      </c>
      <c r="F125" s="34" t="s">
        <v>459</v>
      </c>
      <c r="G125" s="31" t="s">
        <v>543</v>
      </c>
      <c r="H125" s="50" t="s">
        <v>461</v>
      </c>
      <c r="I125" s="42" t="s">
        <v>1088</v>
      </c>
      <c r="J125" s="42"/>
      <c r="K125" s="45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31" t="n">
        <v>118</v>
      </c>
      <c r="B126" s="42" t="s">
        <v>524</v>
      </c>
      <c r="C126" s="42" t="s">
        <v>1192</v>
      </c>
      <c r="D126" s="42" t="s">
        <v>1198</v>
      </c>
      <c r="E126" s="34" t="s">
        <v>459</v>
      </c>
      <c r="F126" s="34" t="s">
        <v>459</v>
      </c>
      <c r="G126" s="31" t="s">
        <v>543</v>
      </c>
      <c r="H126" s="50" t="s">
        <v>461</v>
      </c>
      <c r="I126" s="42" t="s">
        <v>1088</v>
      </c>
      <c r="J126" s="42"/>
      <c r="K126" s="45" t="n">
        <f aca="false">IF(AND(E126="yes",F126="yes",H126="covered"),1,IF(H126="partial",0.5,0))</f>
        <v>1</v>
      </c>
    </row>
    <row r="127" customFormat="false" ht="15" hidden="false" customHeight="true" outlineLevel="0" collapsed="false">
      <c r="A127" s="31" t="n">
        <v>119</v>
      </c>
      <c r="B127" s="42" t="s">
        <v>524</v>
      </c>
      <c r="C127" s="42" t="s">
        <v>1192</v>
      </c>
      <c r="D127" s="42" t="s">
        <v>1199</v>
      </c>
      <c r="E127" s="34" t="s">
        <v>459</v>
      </c>
      <c r="F127" s="34" t="s">
        <v>459</v>
      </c>
      <c r="G127" s="31" t="s">
        <v>543</v>
      </c>
      <c r="H127" s="50" t="s">
        <v>461</v>
      </c>
      <c r="I127" s="42" t="s">
        <v>1088</v>
      </c>
      <c r="J127" s="42"/>
      <c r="K127" s="45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31" t="n">
        <v>120</v>
      </c>
      <c r="B128" s="42" t="s">
        <v>524</v>
      </c>
      <c r="C128" s="42" t="s">
        <v>1192</v>
      </c>
      <c r="D128" s="42" t="s">
        <v>1200</v>
      </c>
      <c r="E128" s="34" t="s">
        <v>459</v>
      </c>
      <c r="F128" s="34" t="s">
        <v>459</v>
      </c>
      <c r="G128" s="31" t="s">
        <v>543</v>
      </c>
      <c r="H128" s="50" t="s">
        <v>461</v>
      </c>
      <c r="I128" s="42" t="s">
        <v>1088</v>
      </c>
      <c r="J128" s="42"/>
      <c r="K128" s="45" t="n">
        <f aca="false">IF(AND(E128="yes",F128="yes",H128="covered"),1,IF(H128="partial",0.5,0))</f>
        <v>1</v>
      </c>
    </row>
    <row r="129" customFormat="false" ht="15" hidden="false" customHeight="true" outlineLevel="0" collapsed="false">
      <c r="A129" s="31" t="n">
        <v>121</v>
      </c>
      <c r="B129" s="42" t="s">
        <v>524</v>
      </c>
      <c r="C129" s="42" t="s">
        <v>1192</v>
      </c>
      <c r="D129" s="42" t="s">
        <v>1201</v>
      </c>
      <c r="E129" s="34" t="s">
        <v>459</v>
      </c>
      <c r="F129" s="34" t="s">
        <v>459</v>
      </c>
      <c r="G129" s="31" t="s">
        <v>543</v>
      </c>
      <c r="H129" s="50" t="s">
        <v>461</v>
      </c>
      <c r="I129" s="42" t="s">
        <v>1088</v>
      </c>
      <c r="J129" s="42"/>
      <c r="K129" s="45" t="n">
        <f aca="false">IF(AND(E129="yes",F129="yes",H129="covered"),1,IF(H129="partial",0.5,0))</f>
        <v>1</v>
      </c>
    </row>
    <row r="130" customFormat="false" ht="15" hidden="false" customHeight="true" outlineLevel="0" collapsed="false">
      <c r="A130" s="31" t="n">
        <v>122</v>
      </c>
      <c r="B130" s="42" t="s">
        <v>531</v>
      </c>
      <c r="C130" s="42" t="s">
        <v>1202</v>
      </c>
      <c r="D130" s="42" t="s">
        <v>1203</v>
      </c>
      <c r="E130" s="34" t="s">
        <v>459</v>
      </c>
      <c r="F130" s="34" t="s">
        <v>459</v>
      </c>
      <c r="G130" s="31" t="s">
        <v>543</v>
      </c>
      <c r="H130" s="50" t="s">
        <v>461</v>
      </c>
      <c r="I130" s="42" t="s">
        <v>1088</v>
      </c>
      <c r="J130" s="42"/>
      <c r="K130" s="45" t="n">
        <f aca="false">IF(AND(E130="yes",F130="yes",H130="covered"),1,IF(H130="partial",0.5,0))</f>
        <v>1</v>
      </c>
    </row>
    <row r="131" customFormat="false" ht="15" hidden="false" customHeight="true" outlineLevel="0" collapsed="false">
      <c r="A131" s="31" t="n">
        <v>123</v>
      </c>
      <c r="B131" s="42" t="s">
        <v>531</v>
      </c>
      <c r="C131" s="42" t="s">
        <v>1202</v>
      </c>
      <c r="D131" s="42" t="s">
        <v>1204</v>
      </c>
      <c r="E131" s="34" t="s">
        <v>459</v>
      </c>
      <c r="F131" s="34" t="s">
        <v>459</v>
      </c>
      <c r="G131" s="31" t="s">
        <v>543</v>
      </c>
      <c r="H131" s="50" t="s">
        <v>461</v>
      </c>
      <c r="I131" s="42" t="s">
        <v>1088</v>
      </c>
      <c r="J131" s="42"/>
      <c r="K131" s="45" t="n">
        <f aca="false">IF(AND(E131="yes",F131="yes",H131="covered"),1,IF(H131="partial",0.5,0))</f>
        <v>1</v>
      </c>
    </row>
    <row r="132" customFormat="false" ht="15" hidden="false" customHeight="true" outlineLevel="0" collapsed="false">
      <c r="A132" s="31" t="n">
        <v>124</v>
      </c>
      <c r="B132" s="42" t="s">
        <v>531</v>
      </c>
      <c r="C132" s="42" t="s">
        <v>1202</v>
      </c>
      <c r="D132" s="42" t="s">
        <v>1205</v>
      </c>
      <c r="E132" s="34" t="s">
        <v>459</v>
      </c>
      <c r="F132" s="34" t="s">
        <v>459</v>
      </c>
      <c r="G132" s="31" t="s">
        <v>543</v>
      </c>
      <c r="H132" s="50" t="s">
        <v>461</v>
      </c>
      <c r="I132" s="42" t="s">
        <v>1088</v>
      </c>
      <c r="J132" s="42"/>
      <c r="K132" s="45" t="n">
        <f aca="false">IF(AND(E132="yes",F132="yes",H132="covered"),1,IF(H132="partial",0.5,0))</f>
        <v>1</v>
      </c>
    </row>
    <row r="133" customFormat="false" ht="15" hidden="false" customHeight="true" outlineLevel="0" collapsed="false">
      <c r="A133" s="31" t="n">
        <v>125</v>
      </c>
      <c r="B133" s="42" t="s">
        <v>531</v>
      </c>
      <c r="C133" s="42" t="s">
        <v>1202</v>
      </c>
      <c r="D133" s="42" t="s">
        <v>1206</v>
      </c>
      <c r="E133" s="34" t="s">
        <v>459</v>
      </c>
      <c r="F133" s="34" t="s">
        <v>459</v>
      </c>
      <c r="G133" s="31" t="s">
        <v>543</v>
      </c>
      <c r="H133" s="50" t="s">
        <v>461</v>
      </c>
      <c r="I133" s="42" t="s">
        <v>1088</v>
      </c>
      <c r="J133" s="42"/>
      <c r="K133" s="45" t="n">
        <f aca="false">IF(AND(E133="yes",F133="yes",H133="covered"),1,IF(H133="partial",0.5,0))</f>
        <v>1</v>
      </c>
    </row>
    <row r="134" customFormat="false" ht="15" hidden="false" customHeight="true" outlineLevel="0" collapsed="false">
      <c r="A134" s="31" t="n">
        <v>126</v>
      </c>
      <c r="B134" s="42" t="s">
        <v>531</v>
      </c>
      <c r="C134" s="42" t="s">
        <v>1202</v>
      </c>
      <c r="D134" s="42" t="s">
        <v>1207</v>
      </c>
      <c r="E134" s="34" t="s">
        <v>459</v>
      </c>
      <c r="F134" s="34" t="s">
        <v>459</v>
      </c>
      <c r="G134" s="31" t="s">
        <v>543</v>
      </c>
      <c r="H134" s="50" t="s">
        <v>461</v>
      </c>
      <c r="I134" s="42" t="s">
        <v>1088</v>
      </c>
      <c r="J134" s="42"/>
      <c r="K134" s="45" t="n">
        <f aca="false">IF(AND(E134="yes",F134="yes",H134="covered"),1,IF(H134="partial",0.5,0))</f>
        <v>1</v>
      </c>
    </row>
    <row r="135" customFormat="false" ht="15" hidden="false" customHeight="true" outlineLevel="0" collapsed="false">
      <c r="A135" s="31" t="n">
        <v>127</v>
      </c>
      <c r="B135" s="42" t="s">
        <v>531</v>
      </c>
      <c r="C135" s="42" t="s">
        <v>1202</v>
      </c>
      <c r="D135" s="42" t="s">
        <v>1208</v>
      </c>
      <c r="E135" s="34" t="s">
        <v>459</v>
      </c>
      <c r="F135" s="34" t="s">
        <v>459</v>
      </c>
      <c r="G135" s="31" t="s">
        <v>543</v>
      </c>
      <c r="H135" s="50" t="s">
        <v>461</v>
      </c>
      <c r="I135" s="42" t="s">
        <v>1088</v>
      </c>
      <c r="J135" s="42"/>
      <c r="K135" s="45" t="n">
        <f aca="false">IF(AND(E135="yes",F135="yes",H135="covered"),1,IF(H135="partial",0.5,0))</f>
        <v>1</v>
      </c>
    </row>
    <row r="136" customFormat="false" ht="15" hidden="false" customHeight="true" outlineLevel="0" collapsed="false">
      <c r="A136" s="31" t="n">
        <v>128</v>
      </c>
      <c r="B136" s="42" t="s">
        <v>531</v>
      </c>
      <c r="C136" s="42" t="s">
        <v>1202</v>
      </c>
      <c r="D136" s="42" t="s">
        <v>1209</v>
      </c>
      <c r="E136" s="34" t="s">
        <v>459</v>
      </c>
      <c r="F136" s="34" t="s">
        <v>459</v>
      </c>
      <c r="G136" s="31" t="s">
        <v>543</v>
      </c>
      <c r="H136" s="50" t="s">
        <v>461</v>
      </c>
      <c r="I136" s="42" t="s">
        <v>1088</v>
      </c>
      <c r="J136" s="42"/>
      <c r="K136" s="45" t="n">
        <f aca="false">IF(AND(E136="yes",F136="yes",H136="covered"),1,IF(H136="partial",0.5,0))</f>
        <v>1</v>
      </c>
    </row>
    <row r="137" customFormat="false" ht="15" hidden="false" customHeight="true" outlineLevel="0" collapsed="false">
      <c r="A137" s="31" t="n">
        <v>129</v>
      </c>
      <c r="B137" s="42" t="s">
        <v>531</v>
      </c>
      <c r="C137" s="42" t="s">
        <v>1202</v>
      </c>
      <c r="D137" s="42" t="s">
        <v>1210</v>
      </c>
      <c r="E137" s="34" t="s">
        <v>459</v>
      </c>
      <c r="F137" s="34" t="s">
        <v>459</v>
      </c>
      <c r="G137" s="31" t="s">
        <v>543</v>
      </c>
      <c r="H137" s="50" t="s">
        <v>461</v>
      </c>
      <c r="I137" s="42" t="s">
        <v>1088</v>
      </c>
      <c r="J137" s="42"/>
      <c r="K137" s="45" t="n">
        <f aca="false">IF(AND(E137="yes",F137="yes",H137="covered"),1,IF(H137="partial",0.5,0))</f>
        <v>1</v>
      </c>
    </row>
    <row r="138" customFormat="false" ht="15" hidden="false" customHeight="true" outlineLevel="0" collapsed="false">
      <c r="A138" s="31" t="n">
        <v>130</v>
      </c>
      <c r="B138" s="42" t="s">
        <v>531</v>
      </c>
      <c r="C138" s="42" t="s">
        <v>1202</v>
      </c>
      <c r="D138" s="42" t="s">
        <v>1211</v>
      </c>
      <c r="E138" s="34" t="s">
        <v>459</v>
      </c>
      <c r="F138" s="34" t="s">
        <v>459</v>
      </c>
      <c r="G138" s="31" t="s">
        <v>543</v>
      </c>
      <c r="H138" s="50" t="s">
        <v>461</v>
      </c>
      <c r="I138" s="42" t="s">
        <v>1088</v>
      </c>
      <c r="J138" s="42"/>
      <c r="K138" s="45" t="n">
        <f aca="false">IF(AND(E138="yes",F138="yes",H138="covered"),1,IF(H138="partial",0.5,0))</f>
        <v>1</v>
      </c>
    </row>
    <row r="139" customFormat="false" ht="15" hidden="false" customHeight="true" outlineLevel="0" collapsed="false">
      <c r="A139" s="31" t="n">
        <v>131</v>
      </c>
      <c r="B139" s="42" t="s">
        <v>531</v>
      </c>
      <c r="C139" s="42" t="s">
        <v>1202</v>
      </c>
      <c r="D139" s="42" t="s">
        <v>1212</v>
      </c>
      <c r="E139" s="34" t="s">
        <v>459</v>
      </c>
      <c r="F139" s="34" t="s">
        <v>459</v>
      </c>
      <c r="G139" s="31" t="s">
        <v>543</v>
      </c>
      <c r="H139" s="50" t="s">
        <v>461</v>
      </c>
      <c r="I139" s="42" t="s">
        <v>1088</v>
      </c>
      <c r="J139" s="42"/>
      <c r="K139" s="45" t="n">
        <f aca="false">IF(AND(E139="yes",F139="yes",H139="covered"),1,IF(H139="partial",0.5,0))</f>
        <v>1</v>
      </c>
    </row>
    <row r="140" customFormat="false" ht="15" hidden="false" customHeight="true" outlineLevel="0" collapsed="false">
      <c r="A140" s="31" t="n">
        <v>132</v>
      </c>
      <c r="B140" s="42" t="s">
        <v>531</v>
      </c>
      <c r="C140" s="42" t="s">
        <v>1202</v>
      </c>
      <c r="D140" s="42" t="s">
        <v>1213</v>
      </c>
      <c r="E140" s="34" t="s">
        <v>459</v>
      </c>
      <c r="F140" s="34" t="s">
        <v>459</v>
      </c>
      <c r="G140" s="31" t="s">
        <v>543</v>
      </c>
      <c r="H140" s="50" t="s">
        <v>461</v>
      </c>
      <c r="I140" s="42" t="s">
        <v>1088</v>
      </c>
      <c r="J140" s="42"/>
      <c r="K140" s="45" t="n">
        <f aca="false">IF(AND(E140="yes",F140="yes",H140="covered"),1,IF(H140="partial",0.5,0))</f>
        <v>1</v>
      </c>
    </row>
    <row r="141" customFormat="false" ht="15" hidden="false" customHeight="true" outlineLevel="0" collapsed="false">
      <c r="A141" s="31" t="n">
        <v>133</v>
      </c>
      <c r="B141" s="42" t="s">
        <v>531</v>
      </c>
      <c r="C141" s="42" t="s">
        <v>1202</v>
      </c>
      <c r="D141" s="42" t="s">
        <v>1214</v>
      </c>
      <c r="E141" s="34" t="s">
        <v>459</v>
      </c>
      <c r="F141" s="34" t="s">
        <v>459</v>
      </c>
      <c r="G141" s="31" t="s">
        <v>543</v>
      </c>
      <c r="H141" s="50" t="s">
        <v>461</v>
      </c>
      <c r="I141" s="42" t="s">
        <v>1088</v>
      </c>
      <c r="J141" s="42"/>
      <c r="K141" s="45" t="n">
        <f aca="false">IF(AND(E141="yes",F141="yes",H141="covered"),1,IF(H141="partial",0.5,0))</f>
        <v>1</v>
      </c>
    </row>
    <row r="142" customFormat="false" ht="15" hidden="false" customHeight="true" outlineLevel="0" collapsed="false">
      <c r="A142" s="31" t="n">
        <v>134</v>
      </c>
      <c r="B142" s="42" t="s">
        <v>531</v>
      </c>
      <c r="C142" s="42" t="s">
        <v>1202</v>
      </c>
      <c r="D142" s="42" t="s">
        <v>1215</v>
      </c>
      <c r="E142" s="34" t="s">
        <v>459</v>
      </c>
      <c r="F142" s="34" t="s">
        <v>459</v>
      </c>
      <c r="G142" s="31" t="s">
        <v>543</v>
      </c>
      <c r="H142" s="50" t="s">
        <v>461</v>
      </c>
      <c r="I142" s="42" t="s">
        <v>1088</v>
      </c>
      <c r="J142" s="42"/>
      <c r="K142" s="45" t="n">
        <f aca="false">IF(AND(E142="yes",F142="yes",H142="covered"),1,IF(H142="partial",0.5,0))</f>
        <v>1</v>
      </c>
    </row>
    <row r="143" customFormat="false" ht="15" hidden="false" customHeight="true" outlineLevel="0" collapsed="false">
      <c r="A143" s="31" t="n">
        <v>135</v>
      </c>
      <c r="B143" s="42" t="s">
        <v>531</v>
      </c>
      <c r="C143" s="42" t="s">
        <v>1202</v>
      </c>
      <c r="D143" s="42" t="s">
        <v>1216</v>
      </c>
      <c r="E143" s="34" t="s">
        <v>459</v>
      </c>
      <c r="F143" s="34" t="s">
        <v>459</v>
      </c>
      <c r="G143" s="31" t="s">
        <v>543</v>
      </c>
      <c r="H143" s="50" t="s">
        <v>461</v>
      </c>
      <c r="I143" s="42" t="s">
        <v>1088</v>
      </c>
      <c r="J143" s="42"/>
      <c r="K143" s="45" t="n">
        <f aca="false">IF(AND(E143="yes",F143="yes",H143="covered"),1,IF(H143="partial",0.5,0))</f>
        <v>1</v>
      </c>
    </row>
    <row r="144" customFormat="false" ht="15" hidden="false" customHeight="true" outlineLevel="0" collapsed="false">
      <c r="A144" s="31" t="n">
        <v>136</v>
      </c>
      <c r="B144" s="42" t="s">
        <v>531</v>
      </c>
      <c r="C144" s="42" t="s">
        <v>1202</v>
      </c>
      <c r="D144" s="42" t="s">
        <v>1217</v>
      </c>
      <c r="E144" s="34" t="s">
        <v>459</v>
      </c>
      <c r="F144" s="34" t="s">
        <v>459</v>
      </c>
      <c r="G144" s="31" t="s">
        <v>543</v>
      </c>
      <c r="H144" s="50" t="s">
        <v>461</v>
      </c>
      <c r="I144" s="42" t="s">
        <v>1088</v>
      </c>
      <c r="J144" s="42"/>
      <c r="K144" s="45" t="n">
        <f aca="false">IF(AND(E144="yes",F144="yes",H144="covered"),1,IF(H144="partial",0.5,0))</f>
        <v>1</v>
      </c>
    </row>
    <row r="145" customFormat="false" ht="15" hidden="false" customHeight="true" outlineLevel="0" collapsed="false">
      <c r="A145" s="31" t="n">
        <v>137</v>
      </c>
      <c r="B145" s="42" t="s">
        <v>531</v>
      </c>
      <c r="C145" s="42" t="s">
        <v>1202</v>
      </c>
      <c r="D145" s="42" t="s">
        <v>1218</v>
      </c>
      <c r="E145" s="34" t="s">
        <v>459</v>
      </c>
      <c r="F145" s="34" t="s">
        <v>459</v>
      </c>
      <c r="G145" s="31" t="s">
        <v>543</v>
      </c>
      <c r="H145" s="50" t="s">
        <v>461</v>
      </c>
      <c r="I145" s="42" t="s">
        <v>1088</v>
      </c>
      <c r="J145" s="42"/>
      <c r="K145" s="45" t="n">
        <f aca="false">IF(AND(E145="yes",F145="yes",H145="covered"),1,IF(H145="partial",0.5,0))</f>
        <v>1</v>
      </c>
    </row>
    <row r="146" customFormat="false" ht="15" hidden="false" customHeight="true" outlineLevel="0" collapsed="false">
      <c r="A146" s="31" t="n">
        <v>138</v>
      </c>
      <c r="B146" s="42" t="s">
        <v>531</v>
      </c>
      <c r="C146" s="42" t="s">
        <v>1202</v>
      </c>
      <c r="D146" s="42" t="s">
        <v>1219</v>
      </c>
      <c r="E146" s="34" t="s">
        <v>459</v>
      </c>
      <c r="F146" s="34" t="s">
        <v>459</v>
      </c>
      <c r="G146" s="31" t="s">
        <v>543</v>
      </c>
      <c r="H146" s="50" t="s">
        <v>461</v>
      </c>
      <c r="I146" s="42" t="s">
        <v>1088</v>
      </c>
      <c r="J146" s="42"/>
      <c r="K146" s="45" t="n">
        <f aca="false">IF(AND(E146="yes",F146="yes",H146="covered"),1,IF(H146="partial",0.5,0))</f>
        <v>1</v>
      </c>
    </row>
    <row r="147" customFormat="false" ht="15" hidden="false" customHeight="true" outlineLevel="0" collapsed="false">
      <c r="A147" s="31" t="n">
        <v>139</v>
      </c>
      <c r="B147" s="42" t="s">
        <v>1220</v>
      </c>
      <c r="C147" s="42" t="s">
        <v>1221</v>
      </c>
      <c r="D147" s="42" t="s">
        <v>1222</v>
      </c>
      <c r="E147" s="34" t="s">
        <v>459</v>
      </c>
      <c r="F147" s="34" t="s">
        <v>459</v>
      </c>
      <c r="G147" s="31" t="s">
        <v>543</v>
      </c>
      <c r="H147" s="50" t="s">
        <v>461</v>
      </c>
      <c r="I147" s="42" t="s">
        <v>1088</v>
      </c>
      <c r="J147" s="42"/>
      <c r="K147" s="45" t="n">
        <f aca="false">IF(AND(E147="yes",F147="yes",H147="covered"),1,IF(H147="partial",0.5,0))</f>
        <v>1</v>
      </c>
    </row>
    <row r="148" customFormat="false" ht="15" hidden="false" customHeight="true" outlineLevel="0" collapsed="false">
      <c r="A148" s="31" t="n">
        <v>140</v>
      </c>
      <c r="B148" s="42" t="s">
        <v>1220</v>
      </c>
      <c r="C148" s="42" t="s">
        <v>1221</v>
      </c>
      <c r="D148" s="42" t="s">
        <v>1223</v>
      </c>
      <c r="E148" s="34" t="s">
        <v>459</v>
      </c>
      <c r="F148" s="34" t="s">
        <v>459</v>
      </c>
      <c r="G148" s="31" t="s">
        <v>543</v>
      </c>
      <c r="H148" s="50" t="s">
        <v>461</v>
      </c>
      <c r="I148" s="42" t="s">
        <v>1088</v>
      </c>
      <c r="J148" s="42"/>
      <c r="K148" s="45" t="n">
        <f aca="false">IF(AND(E148="yes",F148="yes",H148="covered"),1,IF(H148="partial",0.5,0))</f>
        <v>1</v>
      </c>
    </row>
    <row r="149" customFormat="false" ht="30" hidden="false" customHeight="true" outlineLevel="0" collapsed="false">
      <c r="A149" s="31" t="n">
        <v>141</v>
      </c>
      <c r="B149" s="42" t="s">
        <v>1220</v>
      </c>
      <c r="C149" s="42" t="s">
        <v>1221</v>
      </c>
      <c r="D149" s="42" t="s">
        <v>1224</v>
      </c>
      <c r="E149" s="34" t="s">
        <v>459</v>
      </c>
      <c r="F149" s="34" t="s">
        <v>459</v>
      </c>
      <c r="G149" s="31" t="s">
        <v>543</v>
      </c>
      <c r="H149" s="50" t="s">
        <v>461</v>
      </c>
      <c r="I149" s="42" t="s">
        <v>1088</v>
      </c>
      <c r="J149" s="42"/>
      <c r="K149" s="45" t="n">
        <f aca="false">IF(AND(E149="yes",F149="yes",H149="covered"),1,IF(H149="partial",0.5,0))</f>
        <v>1</v>
      </c>
    </row>
    <row r="150" customFormat="false" ht="15" hidden="false" customHeight="true" outlineLevel="0" collapsed="false">
      <c r="A150" s="31" t="n">
        <v>142</v>
      </c>
      <c r="B150" s="42" t="s">
        <v>1220</v>
      </c>
      <c r="C150" s="42" t="s">
        <v>1221</v>
      </c>
      <c r="D150" s="42" t="s">
        <v>1225</v>
      </c>
      <c r="E150" s="34" t="s">
        <v>459</v>
      </c>
      <c r="F150" s="34" t="s">
        <v>459</v>
      </c>
      <c r="G150" s="31" t="s">
        <v>543</v>
      </c>
      <c r="H150" s="50" t="s">
        <v>461</v>
      </c>
      <c r="I150" s="42" t="s">
        <v>1088</v>
      </c>
      <c r="J150" s="42"/>
      <c r="K150" s="45" t="n">
        <f aca="false">IF(AND(E150="yes",F150="yes",H150="covered"),1,IF(H150="partial",0.5,0))</f>
        <v>1</v>
      </c>
    </row>
    <row r="151" customFormat="false" ht="15" hidden="false" customHeight="true" outlineLevel="0" collapsed="false">
      <c r="A151" s="31" t="n">
        <v>143</v>
      </c>
      <c r="B151" s="42" t="s">
        <v>1220</v>
      </c>
      <c r="C151" s="42" t="s">
        <v>1221</v>
      </c>
      <c r="D151" s="42" t="s">
        <v>1226</v>
      </c>
      <c r="E151" s="34" t="s">
        <v>459</v>
      </c>
      <c r="F151" s="34" t="s">
        <v>459</v>
      </c>
      <c r="G151" s="31" t="s">
        <v>543</v>
      </c>
      <c r="H151" s="50" t="s">
        <v>461</v>
      </c>
      <c r="I151" s="42" t="s">
        <v>1088</v>
      </c>
      <c r="J151" s="42"/>
      <c r="K151" s="45" t="n">
        <f aca="false">IF(AND(E151="yes",F151="yes",H151="covered"),1,IF(H151="partial",0.5,0))</f>
        <v>1</v>
      </c>
    </row>
    <row r="152" customFormat="false" ht="15" hidden="false" customHeight="true" outlineLevel="0" collapsed="false">
      <c r="A152" s="31" t="n">
        <v>144</v>
      </c>
      <c r="B152" s="42" t="s">
        <v>882</v>
      </c>
      <c r="C152" s="42" t="s">
        <v>1227</v>
      </c>
      <c r="D152" s="42" t="s">
        <v>1228</v>
      </c>
      <c r="E152" s="34" t="s">
        <v>459</v>
      </c>
      <c r="F152" s="34" t="s">
        <v>459</v>
      </c>
      <c r="G152" s="31" t="s">
        <v>543</v>
      </c>
      <c r="H152" s="50" t="s">
        <v>461</v>
      </c>
      <c r="I152" s="42" t="s">
        <v>1088</v>
      </c>
      <c r="J152" s="42"/>
      <c r="K152" s="45" t="n">
        <f aca="false">IF(AND(E152="yes",F152="yes",H152="covered"),1,IF(H152="partial",0.5,0))</f>
        <v>1</v>
      </c>
    </row>
    <row r="153" customFormat="false" ht="15" hidden="false" customHeight="true" outlineLevel="0" collapsed="false">
      <c r="A153" s="31" t="n">
        <v>145</v>
      </c>
      <c r="B153" s="42" t="s">
        <v>882</v>
      </c>
      <c r="C153" s="42" t="s">
        <v>1227</v>
      </c>
      <c r="D153" s="42" t="s">
        <v>1229</v>
      </c>
      <c r="E153" s="34" t="s">
        <v>459</v>
      </c>
      <c r="F153" s="34" t="s">
        <v>459</v>
      </c>
      <c r="G153" s="31" t="s">
        <v>543</v>
      </c>
      <c r="H153" s="50" t="s">
        <v>461</v>
      </c>
      <c r="I153" s="42" t="s">
        <v>1088</v>
      </c>
      <c r="J153" s="42"/>
      <c r="K153" s="45" t="n">
        <f aca="false">IF(AND(E153="yes",F153="yes",H153="covered"),1,IF(H153="partial",0.5,0))</f>
        <v>1</v>
      </c>
    </row>
    <row r="154" customFormat="false" ht="15" hidden="false" customHeight="true" outlineLevel="0" collapsed="false">
      <c r="A154" s="31" t="n">
        <v>146</v>
      </c>
      <c r="B154" s="42" t="s">
        <v>882</v>
      </c>
      <c r="C154" s="42" t="s">
        <v>1227</v>
      </c>
      <c r="D154" s="42" t="s">
        <v>1230</v>
      </c>
      <c r="E154" s="34" t="s">
        <v>459</v>
      </c>
      <c r="F154" s="34" t="s">
        <v>459</v>
      </c>
      <c r="G154" s="31" t="s">
        <v>543</v>
      </c>
      <c r="H154" s="50" t="s">
        <v>461</v>
      </c>
      <c r="I154" s="42" t="s">
        <v>1088</v>
      </c>
      <c r="J154" s="42"/>
      <c r="K154" s="45" t="n">
        <f aca="false">IF(AND(E154="yes",F154="yes",H154="covered"),1,IF(H154="partial",0.5,0))</f>
        <v>1</v>
      </c>
    </row>
    <row r="155" customFormat="false" ht="15" hidden="false" customHeight="true" outlineLevel="0" collapsed="false">
      <c r="A155" s="31" t="n">
        <v>147</v>
      </c>
      <c r="B155" s="42" t="s">
        <v>882</v>
      </c>
      <c r="C155" s="42" t="s">
        <v>1227</v>
      </c>
      <c r="D155" s="42" t="s">
        <v>1231</v>
      </c>
      <c r="E155" s="34" t="s">
        <v>459</v>
      </c>
      <c r="F155" s="34" t="s">
        <v>459</v>
      </c>
      <c r="G155" s="31" t="s">
        <v>543</v>
      </c>
      <c r="H155" s="50" t="s">
        <v>461</v>
      </c>
      <c r="I155" s="42" t="s">
        <v>1088</v>
      </c>
      <c r="J155" s="42"/>
      <c r="K155" s="45" t="n">
        <f aca="false">IF(AND(E155="yes",F155="yes",H155="covered"),1,IF(H155="partial",0.5,0))</f>
        <v>1</v>
      </c>
    </row>
    <row r="156" customFormat="false" ht="15" hidden="false" customHeight="true" outlineLevel="0" collapsed="false">
      <c r="A156" s="31" t="n">
        <v>148</v>
      </c>
      <c r="B156" s="42" t="s">
        <v>882</v>
      </c>
      <c r="C156" s="42" t="s">
        <v>1227</v>
      </c>
      <c r="D156" s="42" t="s">
        <v>1232</v>
      </c>
      <c r="E156" s="34" t="s">
        <v>459</v>
      </c>
      <c r="F156" s="34" t="s">
        <v>459</v>
      </c>
      <c r="G156" s="31" t="s">
        <v>543</v>
      </c>
      <c r="H156" s="50" t="s">
        <v>461</v>
      </c>
      <c r="I156" s="42" t="s">
        <v>1088</v>
      </c>
      <c r="J156" s="42"/>
      <c r="K156" s="45" t="n">
        <f aca="false">IF(AND(E156="yes",F156="yes",H156="covered"),1,IF(H156="partial",0.5,0))</f>
        <v>1</v>
      </c>
    </row>
    <row r="157" customFormat="false" ht="15" hidden="false" customHeight="true" outlineLevel="0" collapsed="false">
      <c r="A157" s="31" t="n">
        <v>149</v>
      </c>
      <c r="B157" s="42" t="s">
        <v>882</v>
      </c>
      <c r="C157" s="42" t="s">
        <v>1227</v>
      </c>
      <c r="D157" s="42" t="s">
        <v>1233</v>
      </c>
      <c r="E157" s="34" t="s">
        <v>459</v>
      </c>
      <c r="F157" s="34" t="s">
        <v>459</v>
      </c>
      <c r="G157" s="31" t="s">
        <v>543</v>
      </c>
      <c r="H157" s="50" t="s">
        <v>461</v>
      </c>
      <c r="I157" s="42" t="s">
        <v>1088</v>
      </c>
      <c r="J157" s="42"/>
      <c r="K157" s="45" t="n">
        <f aca="false">IF(AND(E157="yes",F157="yes",H157="covered"),1,IF(H157="partial",0.5,0))</f>
        <v>1</v>
      </c>
    </row>
    <row r="158" customFormat="false" ht="15" hidden="false" customHeight="true" outlineLevel="0" collapsed="false">
      <c r="A158" s="31" t="n">
        <v>150</v>
      </c>
      <c r="B158" s="42" t="s">
        <v>882</v>
      </c>
      <c r="C158" s="42" t="s">
        <v>1227</v>
      </c>
      <c r="D158" s="42" t="s">
        <v>1234</v>
      </c>
      <c r="E158" s="34" t="s">
        <v>459</v>
      </c>
      <c r="F158" s="34" t="s">
        <v>459</v>
      </c>
      <c r="G158" s="31" t="s">
        <v>543</v>
      </c>
      <c r="H158" s="50" t="s">
        <v>461</v>
      </c>
      <c r="I158" s="42" t="s">
        <v>1088</v>
      </c>
      <c r="J158" s="42"/>
      <c r="K158" s="45" t="n">
        <f aca="false">IF(AND(E158="yes",F158="yes",H158="covered"),1,IF(H158="partial",0.5,0))</f>
        <v>1</v>
      </c>
    </row>
    <row r="159" customFormat="false" ht="15" hidden="false" customHeight="true" outlineLevel="0" collapsed="false">
      <c r="A159" s="31" t="n">
        <v>151</v>
      </c>
      <c r="B159" s="42" t="s">
        <v>483</v>
      </c>
      <c r="C159" s="42" t="s">
        <v>1235</v>
      </c>
      <c r="D159" s="42" t="s">
        <v>1236</v>
      </c>
      <c r="E159" s="34" t="s">
        <v>459</v>
      </c>
      <c r="F159" s="34" t="s">
        <v>459</v>
      </c>
      <c r="G159" s="31" t="s">
        <v>543</v>
      </c>
      <c r="H159" s="50" t="s">
        <v>461</v>
      </c>
      <c r="I159" s="42" t="s">
        <v>1088</v>
      </c>
      <c r="J159" s="42"/>
      <c r="K159" s="45" t="n">
        <f aca="false">IF(AND(E159="yes",F159="yes",H159="covered"),1,IF(H159="partial",0.5,0))</f>
        <v>1</v>
      </c>
    </row>
    <row r="160" customFormat="false" ht="15" hidden="false" customHeight="true" outlineLevel="0" collapsed="false">
      <c r="A160" s="31" t="n">
        <v>152</v>
      </c>
      <c r="B160" s="42" t="s">
        <v>483</v>
      </c>
      <c r="C160" s="42" t="s">
        <v>1235</v>
      </c>
      <c r="D160" s="42" t="s">
        <v>1237</v>
      </c>
      <c r="E160" s="34" t="s">
        <v>459</v>
      </c>
      <c r="F160" s="34" t="s">
        <v>459</v>
      </c>
      <c r="G160" s="31" t="s">
        <v>543</v>
      </c>
      <c r="H160" s="50" t="s">
        <v>461</v>
      </c>
      <c r="I160" s="42" t="s">
        <v>1088</v>
      </c>
      <c r="J160" s="42"/>
      <c r="K160" s="45" t="n">
        <f aca="false">IF(AND(E160="yes",F160="yes",H160="covered"),1,IF(H160="partial",0.5,0))</f>
        <v>1</v>
      </c>
    </row>
    <row r="161" customFormat="false" ht="15" hidden="false" customHeight="true" outlineLevel="0" collapsed="false">
      <c r="A161" s="31" t="n">
        <v>153</v>
      </c>
      <c r="B161" s="42" t="s">
        <v>483</v>
      </c>
      <c r="C161" s="42" t="s">
        <v>1238</v>
      </c>
      <c r="D161" s="42" t="s">
        <v>1239</v>
      </c>
      <c r="E161" s="34" t="s">
        <v>459</v>
      </c>
      <c r="F161" s="34" t="s">
        <v>459</v>
      </c>
      <c r="G161" s="31" t="s">
        <v>543</v>
      </c>
      <c r="H161" s="50" t="s">
        <v>461</v>
      </c>
      <c r="I161" s="42" t="s">
        <v>1088</v>
      </c>
      <c r="J161" s="42"/>
      <c r="K161" s="45" t="n">
        <f aca="false">IF(AND(E161="yes",F161="yes",H161="covered"),1,IF(H161="partial",0.5,0))</f>
        <v>1</v>
      </c>
    </row>
    <row r="162" customFormat="false" ht="15" hidden="false" customHeight="true" outlineLevel="0" collapsed="false">
      <c r="A162" s="31" t="n">
        <v>154</v>
      </c>
      <c r="B162" s="42" t="s">
        <v>483</v>
      </c>
      <c r="C162" s="42" t="s">
        <v>1238</v>
      </c>
      <c r="D162" s="42" t="s">
        <v>1240</v>
      </c>
      <c r="E162" s="34" t="s">
        <v>459</v>
      </c>
      <c r="F162" s="34" t="s">
        <v>459</v>
      </c>
      <c r="G162" s="31" t="s">
        <v>543</v>
      </c>
      <c r="H162" s="50" t="s">
        <v>461</v>
      </c>
      <c r="I162" s="42" t="s">
        <v>1088</v>
      </c>
      <c r="J162" s="42"/>
      <c r="K162" s="45" t="n">
        <f aca="false">IF(AND(E162="yes",F162="yes",H162="covered"),1,IF(H162="partial",0.5,0))</f>
        <v>1</v>
      </c>
    </row>
    <row r="163" customFormat="false" ht="15" hidden="false" customHeight="true" outlineLevel="0" collapsed="false">
      <c r="A163" s="31" t="n">
        <v>155</v>
      </c>
      <c r="B163" s="42" t="s">
        <v>483</v>
      </c>
      <c r="C163" s="42" t="s">
        <v>1241</v>
      </c>
      <c r="D163" s="42" t="s">
        <v>1242</v>
      </c>
      <c r="E163" s="34" t="s">
        <v>459</v>
      </c>
      <c r="F163" s="34" t="s">
        <v>459</v>
      </c>
      <c r="G163" s="31" t="s">
        <v>543</v>
      </c>
      <c r="H163" s="50" t="s">
        <v>461</v>
      </c>
      <c r="I163" s="42" t="s">
        <v>1088</v>
      </c>
      <c r="J163" s="42"/>
      <c r="K163" s="45" t="n">
        <f aca="false">IF(AND(E163="yes",F163="yes",H163="covered"),1,IF(H163="partial",0.5,0))</f>
        <v>1</v>
      </c>
    </row>
    <row r="164" customFormat="false" ht="15" hidden="false" customHeight="true" outlineLevel="0" collapsed="false">
      <c r="A164" s="31" t="n">
        <v>156</v>
      </c>
      <c r="B164" s="42" t="s">
        <v>483</v>
      </c>
      <c r="C164" s="42" t="s">
        <v>1241</v>
      </c>
      <c r="D164" s="42" t="s">
        <v>1243</v>
      </c>
      <c r="E164" s="34" t="s">
        <v>459</v>
      </c>
      <c r="F164" s="34" t="s">
        <v>459</v>
      </c>
      <c r="G164" s="31" t="s">
        <v>543</v>
      </c>
      <c r="H164" s="50" t="s">
        <v>461</v>
      </c>
      <c r="I164" s="42" t="s">
        <v>1088</v>
      </c>
      <c r="J164" s="42"/>
      <c r="K164" s="45" t="n">
        <f aca="false">IF(AND(E164="yes",F164="yes",H164="covered"),1,IF(H164="partial",0.5,0))</f>
        <v>1</v>
      </c>
    </row>
    <row r="165" customFormat="false" ht="15" hidden="false" customHeight="true" outlineLevel="0" collapsed="false">
      <c r="A165" s="31" t="n">
        <v>157</v>
      </c>
      <c r="B165" s="42" t="s">
        <v>483</v>
      </c>
      <c r="C165" s="42" t="s">
        <v>1241</v>
      </c>
      <c r="D165" s="42" t="s">
        <v>1244</v>
      </c>
      <c r="E165" s="34" t="s">
        <v>459</v>
      </c>
      <c r="F165" s="34" t="s">
        <v>459</v>
      </c>
      <c r="G165" s="31" t="s">
        <v>543</v>
      </c>
      <c r="H165" s="50" t="s">
        <v>461</v>
      </c>
      <c r="I165" s="42" t="s">
        <v>1088</v>
      </c>
      <c r="J165" s="42"/>
      <c r="K165" s="45" t="n">
        <f aca="false">IF(AND(E165="yes",F165="yes",H165="covered"),1,IF(H165="partial",0.5,0))</f>
        <v>1</v>
      </c>
    </row>
    <row r="166" customFormat="false" ht="15" hidden="false" customHeight="true" outlineLevel="0" collapsed="false">
      <c r="A166" s="31" t="n">
        <v>158</v>
      </c>
      <c r="B166" s="42" t="s">
        <v>483</v>
      </c>
      <c r="C166" s="42" t="s">
        <v>1241</v>
      </c>
      <c r="D166" s="42" t="s">
        <v>1245</v>
      </c>
      <c r="E166" s="34" t="s">
        <v>459</v>
      </c>
      <c r="F166" s="34" t="s">
        <v>459</v>
      </c>
      <c r="G166" s="31" t="s">
        <v>543</v>
      </c>
      <c r="H166" s="50" t="s">
        <v>461</v>
      </c>
      <c r="I166" s="42" t="s">
        <v>1088</v>
      </c>
      <c r="J166" s="42"/>
      <c r="K166" s="45" t="n">
        <f aca="false">IF(AND(E166="yes",F166="yes",H166="covered"),1,IF(H166="partial",0.5,0))</f>
        <v>1</v>
      </c>
    </row>
    <row r="167" customFormat="false" ht="15" hidden="false" customHeight="true" outlineLevel="0" collapsed="false">
      <c r="A167" s="31" t="n">
        <v>159</v>
      </c>
      <c r="B167" s="42" t="s">
        <v>483</v>
      </c>
      <c r="C167" s="42" t="s">
        <v>1241</v>
      </c>
      <c r="D167" s="42" t="s">
        <v>1246</v>
      </c>
      <c r="E167" s="34" t="s">
        <v>459</v>
      </c>
      <c r="F167" s="34" t="s">
        <v>459</v>
      </c>
      <c r="G167" s="31" t="s">
        <v>543</v>
      </c>
      <c r="H167" s="50" t="s">
        <v>461</v>
      </c>
      <c r="I167" s="42" t="s">
        <v>1088</v>
      </c>
      <c r="J167" s="42"/>
      <c r="K167" s="45" t="n">
        <f aca="false">IF(AND(E167="yes",F167="yes",H167="covered"),1,IF(H167="partial",0.5,0))</f>
        <v>1</v>
      </c>
    </row>
    <row r="168" customFormat="false" ht="15" hidden="false" customHeight="true" outlineLevel="0" collapsed="false">
      <c r="A168" s="31" t="n">
        <v>160</v>
      </c>
      <c r="B168" s="42" t="s">
        <v>483</v>
      </c>
      <c r="C168" s="42" t="s">
        <v>1241</v>
      </c>
      <c r="D168" s="42" t="s">
        <v>1247</v>
      </c>
      <c r="E168" s="34" t="s">
        <v>459</v>
      </c>
      <c r="F168" s="34" t="s">
        <v>459</v>
      </c>
      <c r="G168" s="31" t="s">
        <v>543</v>
      </c>
      <c r="H168" s="50" t="s">
        <v>461</v>
      </c>
      <c r="I168" s="42" t="s">
        <v>1088</v>
      </c>
      <c r="J168" s="42"/>
      <c r="K168" s="45" t="n">
        <f aca="false">IF(AND(E168="yes",F168="yes",H168="covered"),1,IF(H168="partial",0.5,0))</f>
        <v>1</v>
      </c>
    </row>
    <row r="169" customFormat="false" ht="15" hidden="false" customHeight="true" outlineLevel="0" collapsed="false">
      <c r="A169" s="31" t="n">
        <v>161</v>
      </c>
      <c r="B169" s="42" t="s">
        <v>483</v>
      </c>
      <c r="C169" s="42" t="s">
        <v>1241</v>
      </c>
      <c r="D169" s="42" t="s">
        <v>1248</v>
      </c>
      <c r="E169" s="34" t="s">
        <v>459</v>
      </c>
      <c r="F169" s="34" t="s">
        <v>459</v>
      </c>
      <c r="G169" s="31" t="s">
        <v>543</v>
      </c>
      <c r="H169" s="50" t="s">
        <v>461</v>
      </c>
      <c r="I169" s="42" t="s">
        <v>1088</v>
      </c>
      <c r="J169" s="42"/>
      <c r="K169" s="45" t="n">
        <f aca="false">IF(AND(E169="yes",F169="yes",H169="covered"),1,IF(H169="partial",0.5,0))</f>
        <v>1</v>
      </c>
    </row>
    <row r="170" customFormat="false" ht="15" hidden="false" customHeight="true" outlineLevel="0" collapsed="false">
      <c r="A170" s="31" t="n">
        <v>162</v>
      </c>
      <c r="B170" s="42" t="s">
        <v>483</v>
      </c>
      <c r="C170" s="42" t="s">
        <v>1241</v>
      </c>
      <c r="D170" s="42" t="s">
        <v>1249</v>
      </c>
      <c r="E170" s="34" t="s">
        <v>459</v>
      </c>
      <c r="F170" s="34" t="s">
        <v>459</v>
      </c>
      <c r="G170" s="31" t="s">
        <v>543</v>
      </c>
      <c r="H170" s="50" t="s">
        <v>461</v>
      </c>
      <c r="I170" s="42" t="s">
        <v>1088</v>
      </c>
      <c r="J170" s="42"/>
      <c r="K170" s="45" t="n">
        <f aca="false">IF(AND(E170="yes",F170="yes",H170="covered"),1,IF(H170="partial",0.5,0))</f>
        <v>1</v>
      </c>
    </row>
    <row r="171" customFormat="false" ht="15" hidden="false" customHeight="true" outlineLevel="0" collapsed="false">
      <c r="A171" s="31" t="n">
        <v>163</v>
      </c>
      <c r="B171" s="42" t="s">
        <v>1250</v>
      </c>
      <c r="C171" s="42" t="s">
        <v>1251</v>
      </c>
      <c r="D171" s="42" t="s">
        <v>1252</v>
      </c>
      <c r="E171" s="34" t="s">
        <v>459</v>
      </c>
      <c r="F171" s="34" t="s">
        <v>459</v>
      </c>
      <c r="G171" s="31" t="s">
        <v>543</v>
      </c>
      <c r="H171" s="50" t="s">
        <v>461</v>
      </c>
      <c r="I171" s="42" t="s">
        <v>1088</v>
      </c>
      <c r="J171" s="42"/>
      <c r="K171" s="45" t="n">
        <f aca="false">IF(AND(E171="yes",F171="yes",H171="covered"),1,IF(H171="partial",0.5,0))</f>
        <v>1</v>
      </c>
    </row>
    <row r="172" customFormat="false" ht="15" hidden="false" customHeight="true" outlineLevel="0" collapsed="false">
      <c r="A172" s="31" t="n">
        <v>164</v>
      </c>
      <c r="B172" s="42" t="s">
        <v>1250</v>
      </c>
      <c r="C172" s="42" t="s">
        <v>1251</v>
      </c>
      <c r="D172" s="42" t="s">
        <v>1253</v>
      </c>
      <c r="E172" s="34" t="s">
        <v>459</v>
      </c>
      <c r="F172" s="34" t="s">
        <v>459</v>
      </c>
      <c r="G172" s="31" t="s">
        <v>543</v>
      </c>
      <c r="H172" s="50" t="s">
        <v>461</v>
      </c>
      <c r="I172" s="42" t="s">
        <v>1088</v>
      </c>
      <c r="J172" s="42"/>
      <c r="K172" s="45" t="n">
        <f aca="false">IF(AND(E172="yes",F172="yes",H172="covered"),1,IF(H172="partial",0.5,0))</f>
        <v>1</v>
      </c>
    </row>
    <row r="173" customFormat="false" ht="15" hidden="false" customHeight="true" outlineLevel="0" collapsed="false">
      <c r="A173" s="31" t="n">
        <v>165</v>
      </c>
      <c r="B173" s="42" t="s">
        <v>1250</v>
      </c>
      <c r="C173" s="42" t="s">
        <v>1251</v>
      </c>
      <c r="D173" s="42" t="s">
        <v>1254</v>
      </c>
      <c r="E173" s="34" t="s">
        <v>459</v>
      </c>
      <c r="F173" s="34" t="s">
        <v>459</v>
      </c>
      <c r="G173" s="31" t="s">
        <v>543</v>
      </c>
      <c r="H173" s="50" t="s">
        <v>461</v>
      </c>
      <c r="I173" s="42" t="s">
        <v>1088</v>
      </c>
      <c r="J173" s="42"/>
      <c r="K173" s="45" t="n">
        <f aca="false">IF(AND(E173="yes",F173="yes",H173="covered"),1,IF(H173="partial",0.5,0))</f>
        <v>1</v>
      </c>
    </row>
    <row r="174" customFormat="false" ht="15" hidden="false" customHeight="true" outlineLevel="0" collapsed="false">
      <c r="A174" s="31" t="n">
        <v>166</v>
      </c>
      <c r="B174" s="42" t="s">
        <v>1250</v>
      </c>
      <c r="C174" s="42" t="s">
        <v>1251</v>
      </c>
      <c r="D174" s="42" t="s">
        <v>1255</v>
      </c>
      <c r="E174" s="34" t="s">
        <v>459</v>
      </c>
      <c r="F174" s="34" t="s">
        <v>459</v>
      </c>
      <c r="G174" s="31" t="s">
        <v>543</v>
      </c>
      <c r="H174" s="50" t="s">
        <v>461</v>
      </c>
      <c r="I174" s="42" t="s">
        <v>1088</v>
      </c>
      <c r="J174" s="42"/>
      <c r="K174" s="45" t="n">
        <f aca="false">IF(AND(E174="yes",F174="yes",H174="covered"),1,IF(H174="partial",0.5,0))</f>
        <v>1</v>
      </c>
    </row>
    <row r="175" customFormat="false" ht="30" hidden="false" customHeight="true" outlineLevel="0" collapsed="false">
      <c r="A175" s="31" t="n">
        <v>167</v>
      </c>
      <c r="B175" s="42" t="s">
        <v>1250</v>
      </c>
      <c r="C175" s="42" t="s">
        <v>1251</v>
      </c>
      <c r="D175" s="42" t="s">
        <v>1256</v>
      </c>
      <c r="E175" s="34" t="s">
        <v>459</v>
      </c>
      <c r="F175" s="34" t="s">
        <v>459</v>
      </c>
      <c r="G175" s="31" t="s">
        <v>543</v>
      </c>
      <c r="H175" s="50" t="s">
        <v>461</v>
      </c>
      <c r="I175" s="42" t="s">
        <v>1088</v>
      </c>
      <c r="J175" s="42"/>
      <c r="K175" s="45" t="n">
        <f aca="false">IF(AND(E175="yes",F175="yes",H175="covered"),1,IF(H175="partial",0.5,0))</f>
        <v>1</v>
      </c>
    </row>
    <row r="176" customFormat="false" ht="30" hidden="false" customHeight="true" outlineLevel="0" collapsed="false">
      <c r="A176" s="31" t="n">
        <v>168</v>
      </c>
      <c r="B176" s="42" t="s">
        <v>1250</v>
      </c>
      <c r="C176" s="42" t="s">
        <v>1251</v>
      </c>
      <c r="D176" s="42" t="s">
        <v>1257</v>
      </c>
      <c r="E176" s="34" t="s">
        <v>459</v>
      </c>
      <c r="F176" s="34" t="s">
        <v>459</v>
      </c>
      <c r="G176" s="31" t="s">
        <v>543</v>
      </c>
      <c r="H176" s="50" t="s">
        <v>461</v>
      </c>
      <c r="I176" s="42" t="s">
        <v>1088</v>
      </c>
      <c r="J176" s="42"/>
      <c r="K176" s="45" t="n">
        <f aca="false">IF(AND(E176="yes",F176="yes",H176="covered"),1,IF(H176="partial",0.5,0))</f>
        <v>1</v>
      </c>
    </row>
    <row r="177" customFormat="false" ht="30" hidden="false" customHeight="true" outlineLevel="0" collapsed="false">
      <c r="A177" s="31" t="n">
        <v>169</v>
      </c>
      <c r="B177" s="42" t="s">
        <v>1258</v>
      </c>
      <c r="C177" s="42" t="s">
        <v>55</v>
      </c>
      <c r="D177" s="42" t="s">
        <v>1259</v>
      </c>
      <c r="E177" s="34" t="s">
        <v>459</v>
      </c>
      <c r="F177" s="34" t="s">
        <v>459</v>
      </c>
      <c r="G177" s="31" t="s">
        <v>543</v>
      </c>
      <c r="H177" s="50" t="s">
        <v>461</v>
      </c>
      <c r="I177" s="42" t="s">
        <v>1088</v>
      </c>
      <c r="J177" s="42"/>
      <c r="K177" s="45" t="n">
        <f aca="false">IF(AND(E177="yes",F177="yes",H177="covered"),1,IF(H177="partial",0.5,0))</f>
        <v>1</v>
      </c>
    </row>
    <row r="178" customFormat="false" ht="30" hidden="false" customHeight="true" outlineLevel="0" collapsed="false">
      <c r="A178" s="31" t="n">
        <v>170</v>
      </c>
      <c r="B178" s="42" t="s">
        <v>1258</v>
      </c>
      <c r="C178" s="42" t="s">
        <v>55</v>
      </c>
      <c r="D178" s="42" t="s">
        <v>1260</v>
      </c>
      <c r="E178" s="34" t="s">
        <v>459</v>
      </c>
      <c r="F178" s="34" t="s">
        <v>459</v>
      </c>
      <c r="G178" s="31" t="s">
        <v>543</v>
      </c>
      <c r="H178" s="50" t="s">
        <v>461</v>
      </c>
      <c r="I178" s="42" t="s">
        <v>1088</v>
      </c>
      <c r="J178" s="42"/>
      <c r="K178" s="45" t="n">
        <f aca="false">IF(AND(E178="yes",F178="yes",H178="covered"),1,IF(H178="partial",0.5,0))</f>
        <v>1</v>
      </c>
    </row>
    <row r="179" customFormat="false" ht="30" hidden="false" customHeight="true" outlineLevel="0" collapsed="false">
      <c r="A179" s="31" t="n">
        <v>171</v>
      </c>
      <c r="B179" s="42" t="s">
        <v>1258</v>
      </c>
      <c r="C179" s="42" t="s">
        <v>55</v>
      </c>
      <c r="D179" s="42" t="s">
        <v>1261</v>
      </c>
      <c r="E179" s="34" t="s">
        <v>459</v>
      </c>
      <c r="F179" s="34" t="s">
        <v>459</v>
      </c>
      <c r="G179" s="31" t="s">
        <v>543</v>
      </c>
      <c r="H179" s="50" t="s">
        <v>461</v>
      </c>
      <c r="I179" s="42" t="s">
        <v>1088</v>
      </c>
      <c r="J179" s="42"/>
      <c r="K179" s="45" t="n">
        <f aca="false">IF(AND(E179="yes",F179="yes",H179="covered"),1,IF(H179="partial",0.5,0))</f>
        <v>1</v>
      </c>
    </row>
    <row r="180" customFormat="false" ht="15" hidden="false" customHeight="true" outlineLevel="0" collapsed="false">
      <c r="A180" s="31" t="n">
        <v>172</v>
      </c>
      <c r="B180" s="42" t="s">
        <v>1258</v>
      </c>
      <c r="C180" s="42" t="s">
        <v>55</v>
      </c>
      <c r="D180" s="42" t="s">
        <v>1262</v>
      </c>
      <c r="E180" s="34" t="s">
        <v>459</v>
      </c>
      <c r="F180" s="34" t="s">
        <v>459</v>
      </c>
      <c r="G180" s="31" t="s">
        <v>543</v>
      </c>
      <c r="H180" s="50" t="s">
        <v>461</v>
      </c>
      <c r="I180" s="42" t="s">
        <v>1088</v>
      </c>
      <c r="J180" s="42"/>
      <c r="K180" s="45" t="n">
        <f aca="false">IF(AND(E180="yes",F180="yes",H180="covered"),1,IF(H180="partial",0.5,0))</f>
        <v>1</v>
      </c>
    </row>
    <row r="181" customFormat="false" ht="15" hidden="false" customHeight="true" outlineLevel="0" collapsed="false">
      <c r="A181" s="31" t="n">
        <v>173</v>
      </c>
      <c r="B181" s="42" t="s">
        <v>1258</v>
      </c>
      <c r="C181" s="42" t="s">
        <v>55</v>
      </c>
      <c r="D181" s="42" t="s">
        <v>324</v>
      </c>
      <c r="E181" s="34" t="s">
        <v>459</v>
      </c>
      <c r="F181" s="34" t="s">
        <v>459</v>
      </c>
      <c r="G181" s="31" t="s">
        <v>1078</v>
      </c>
      <c r="H181" s="50" t="s">
        <v>461</v>
      </c>
      <c r="I181" s="42" t="s">
        <v>1079</v>
      </c>
      <c r="J181" s="42"/>
      <c r="K181" s="45" t="n">
        <f aca="false">IF(AND(E181="yes",F181="yes",H181="covered"),1,IF(H181="partial",0.5,0))</f>
        <v>1</v>
      </c>
    </row>
    <row r="182" customFormat="false" ht="15" hidden="false" customHeight="true" outlineLevel="0" collapsed="false">
      <c r="A182" s="31" t="n">
        <v>174</v>
      </c>
      <c r="B182" s="42" t="s">
        <v>1263</v>
      </c>
      <c r="C182" s="42" t="s">
        <v>1264</v>
      </c>
      <c r="D182" s="42" t="s">
        <v>1265</v>
      </c>
      <c r="E182" s="34" t="s">
        <v>459</v>
      </c>
      <c r="F182" s="34" t="s">
        <v>459</v>
      </c>
      <c r="G182" s="31" t="s">
        <v>543</v>
      </c>
      <c r="H182" s="50" t="s">
        <v>461</v>
      </c>
      <c r="I182" s="42" t="s">
        <v>1088</v>
      </c>
      <c r="J182" s="42"/>
      <c r="K182" s="45" t="n">
        <f aca="false">IF(AND(E182="yes",F182="yes",H182="covered"),1,IF(H182="partial",0.5,0))</f>
        <v>1</v>
      </c>
    </row>
    <row r="183" customFormat="false" ht="15" hidden="false" customHeight="true" outlineLevel="0" collapsed="false">
      <c r="A183" s="31" t="n">
        <v>175</v>
      </c>
      <c r="B183" s="42" t="s">
        <v>1263</v>
      </c>
      <c r="C183" s="42" t="s">
        <v>1264</v>
      </c>
      <c r="D183" s="42" t="s">
        <v>1266</v>
      </c>
      <c r="E183" s="34" t="s">
        <v>459</v>
      </c>
      <c r="F183" s="34" t="s">
        <v>459</v>
      </c>
      <c r="G183" s="31" t="s">
        <v>543</v>
      </c>
      <c r="H183" s="50" t="s">
        <v>461</v>
      </c>
      <c r="I183" s="42" t="s">
        <v>1088</v>
      </c>
      <c r="J183" s="42"/>
      <c r="K183" s="45" t="n">
        <f aca="false">IF(AND(E183="yes",F183="yes",H183="covered"),1,IF(H183="partial",0.5,0))</f>
        <v>1</v>
      </c>
    </row>
    <row r="184" customFormat="false" ht="15" hidden="false" customHeight="true" outlineLevel="0" collapsed="false">
      <c r="A184" s="31" t="n">
        <v>176</v>
      </c>
      <c r="B184" s="42" t="s">
        <v>1263</v>
      </c>
      <c r="C184" s="42" t="s">
        <v>1264</v>
      </c>
      <c r="D184" s="42" t="s">
        <v>1267</v>
      </c>
      <c r="E184" s="34" t="s">
        <v>459</v>
      </c>
      <c r="F184" s="34" t="s">
        <v>459</v>
      </c>
      <c r="G184" s="31" t="s">
        <v>543</v>
      </c>
      <c r="H184" s="50" t="s">
        <v>461</v>
      </c>
      <c r="I184" s="42" t="s">
        <v>1088</v>
      </c>
      <c r="J184" s="42"/>
      <c r="K184" s="45" t="n">
        <f aca="false">IF(AND(E184="yes",F184="yes",H184="covered"),1,IF(H184="partial",0.5,0))</f>
        <v>1</v>
      </c>
    </row>
    <row r="185" customFormat="false" ht="15" hidden="false" customHeight="true" outlineLevel="0" collapsed="false">
      <c r="A185" s="31" t="n">
        <v>177</v>
      </c>
      <c r="B185" s="42" t="s">
        <v>1263</v>
      </c>
      <c r="C185" s="42" t="s">
        <v>1264</v>
      </c>
      <c r="D185" s="42" t="s">
        <v>1268</v>
      </c>
      <c r="E185" s="34" t="s">
        <v>459</v>
      </c>
      <c r="F185" s="34" t="s">
        <v>459</v>
      </c>
      <c r="G185" s="31" t="s">
        <v>543</v>
      </c>
      <c r="H185" s="50" t="s">
        <v>461</v>
      </c>
      <c r="I185" s="42" t="s">
        <v>1088</v>
      </c>
      <c r="J185" s="42"/>
      <c r="K185" s="45" t="n">
        <f aca="false">IF(AND(E185="yes",F185="yes",H185="covered"),1,IF(H185="partial",0.5,0))</f>
        <v>1</v>
      </c>
    </row>
    <row r="186" customFormat="false" ht="30" hidden="false" customHeight="true" outlineLevel="0" collapsed="false">
      <c r="A186" s="31" t="n">
        <v>178</v>
      </c>
      <c r="B186" s="42" t="s">
        <v>1263</v>
      </c>
      <c r="C186" s="42" t="s">
        <v>1264</v>
      </c>
      <c r="D186" s="42" t="s">
        <v>1269</v>
      </c>
      <c r="E186" s="34" t="s">
        <v>459</v>
      </c>
      <c r="F186" s="34" t="s">
        <v>459</v>
      </c>
      <c r="G186" s="31" t="s">
        <v>543</v>
      </c>
      <c r="H186" s="50" t="s">
        <v>461</v>
      </c>
      <c r="I186" s="42" t="s">
        <v>1088</v>
      </c>
      <c r="J186" s="42"/>
      <c r="K186" s="45" t="n">
        <f aca="false">IF(AND(E186="yes",F186="yes",H186="covered"),1,IF(H186="partial",0.5,0))</f>
        <v>1</v>
      </c>
    </row>
    <row r="187" customFormat="false" ht="45" hidden="false" customHeight="true" outlineLevel="0" collapsed="false">
      <c r="A187" s="31" t="n">
        <v>179</v>
      </c>
      <c r="B187" s="42" t="s">
        <v>1263</v>
      </c>
      <c r="C187" s="42" t="s">
        <v>1264</v>
      </c>
      <c r="D187" s="42" t="s">
        <v>1270</v>
      </c>
      <c r="E187" s="34" t="s">
        <v>459</v>
      </c>
      <c r="F187" s="34" t="s">
        <v>459</v>
      </c>
      <c r="G187" s="31" t="s">
        <v>543</v>
      </c>
      <c r="H187" s="50" t="s">
        <v>461</v>
      </c>
      <c r="I187" s="42" t="s">
        <v>1088</v>
      </c>
      <c r="J187" s="42"/>
      <c r="K187" s="45" t="n">
        <f aca="false">IF(AND(E187="yes",F187="yes",H187="covered"),1,IF(H187="partial",0.5,0))</f>
        <v>1</v>
      </c>
    </row>
    <row r="188" customFormat="false" ht="15" hidden="false" customHeight="true" outlineLevel="0" collapsed="false">
      <c r="A188" s="31" t="n">
        <v>180</v>
      </c>
      <c r="B188" s="42" t="s">
        <v>1263</v>
      </c>
      <c r="C188" s="42" t="s">
        <v>1264</v>
      </c>
      <c r="D188" s="42" t="s">
        <v>1271</v>
      </c>
      <c r="E188" s="34" t="s">
        <v>459</v>
      </c>
      <c r="F188" s="34" t="s">
        <v>459</v>
      </c>
      <c r="G188" s="31" t="s">
        <v>543</v>
      </c>
      <c r="H188" s="50" t="s">
        <v>461</v>
      </c>
      <c r="I188" s="42" t="s">
        <v>1088</v>
      </c>
      <c r="J188" s="42"/>
      <c r="K188" s="45" t="n">
        <f aca="false">IF(AND(E188="yes",F188="yes",H188="covered"),1,IF(H188="partial",0.5,0))</f>
        <v>1</v>
      </c>
    </row>
    <row r="189" customFormat="false" ht="15" hidden="false" customHeight="true" outlineLevel="0" collapsed="false">
      <c r="A189" s="31" t="n">
        <v>181</v>
      </c>
      <c r="B189" s="42" t="s">
        <v>524</v>
      </c>
      <c r="C189" s="42" t="s">
        <v>1272</v>
      </c>
      <c r="D189" s="42" t="s">
        <v>412</v>
      </c>
      <c r="E189" s="34" t="s">
        <v>459</v>
      </c>
      <c r="F189" s="34" t="s">
        <v>459</v>
      </c>
      <c r="G189" s="31" t="s">
        <v>1078</v>
      </c>
      <c r="H189" s="50" t="s">
        <v>461</v>
      </c>
      <c r="I189" s="42" t="s">
        <v>1079</v>
      </c>
      <c r="J189" s="42"/>
      <c r="K189" s="45" t="n">
        <f aca="false">IF(AND(E189="yes",F189="yes",H189="covered"),1,IF(H189="partial",0.5,0))</f>
        <v>1</v>
      </c>
    </row>
    <row r="190" customFormat="false" ht="15" hidden="false" customHeight="true" outlineLevel="0" collapsed="false">
      <c r="A190" s="31" t="n">
        <v>182</v>
      </c>
      <c r="B190" s="42" t="s">
        <v>524</v>
      </c>
      <c r="C190" s="42" t="s">
        <v>502</v>
      </c>
      <c r="D190" s="42" t="s">
        <v>338</v>
      </c>
      <c r="E190" s="34" t="s">
        <v>459</v>
      </c>
      <c r="F190" s="34" t="s">
        <v>459</v>
      </c>
      <c r="G190" s="31" t="s">
        <v>1078</v>
      </c>
      <c r="H190" s="50" t="s">
        <v>461</v>
      </c>
      <c r="I190" s="42" t="s">
        <v>1079</v>
      </c>
      <c r="J190" s="42"/>
      <c r="K190" s="45" t="n">
        <f aca="false">IF(AND(E190="yes",F190="yes",H190="covered"),1,IF(H190="partial",0.5,0))</f>
        <v>1</v>
      </c>
    </row>
    <row r="191" customFormat="false" ht="15" hidden="false" customHeight="true" outlineLevel="0" collapsed="false">
      <c r="A191" s="31" t="n">
        <v>183</v>
      </c>
      <c r="B191" s="42" t="s">
        <v>524</v>
      </c>
      <c r="C191" s="42" t="s">
        <v>1273</v>
      </c>
      <c r="D191" s="42" t="s">
        <v>345</v>
      </c>
      <c r="E191" s="34" t="s">
        <v>459</v>
      </c>
      <c r="F191" s="34" t="s">
        <v>459</v>
      </c>
      <c r="G191" s="31" t="s">
        <v>1078</v>
      </c>
      <c r="H191" s="50" t="s">
        <v>461</v>
      </c>
      <c r="I191" s="42" t="s">
        <v>1079</v>
      </c>
      <c r="J191" s="42"/>
      <c r="K191" s="45" t="n">
        <f aca="false">IF(AND(E191="yes",F191="yes",H191="covered"),1,IF(H191="partial",0.5,0))</f>
        <v>1</v>
      </c>
    </row>
    <row r="192" customFormat="false" ht="15" hidden="false" customHeight="true" outlineLevel="0" collapsed="false">
      <c r="A192" s="31" t="n">
        <v>184</v>
      </c>
      <c r="B192" s="42" t="s">
        <v>524</v>
      </c>
      <c r="C192" s="42" t="s">
        <v>1274</v>
      </c>
      <c r="D192" s="42" t="s">
        <v>352</v>
      </c>
      <c r="E192" s="34" t="s">
        <v>459</v>
      </c>
      <c r="F192" s="34" t="s">
        <v>459</v>
      </c>
      <c r="G192" s="31" t="s">
        <v>1078</v>
      </c>
      <c r="H192" s="50" t="s">
        <v>461</v>
      </c>
      <c r="I192" s="42" t="s">
        <v>1079</v>
      </c>
      <c r="J192" s="42"/>
      <c r="K192" s="45" t="n">
        <f aca="false">IF(AND(E192="yes",F192="yes",H192="covered"),1,IF(H192="partial",0.5,0))</f>
        <v>1</v>
      </c>
    </row>
    <row r="193" customFormat="false" ht="30" hidden="false" customHeight="true" outlineLevel="0" collapsed="false">
      <c r="A193" s="31" t="n">
        <v>185</v>
      </c>
      <c r="B193" s="42" t="s">
        <v>524</v>
      </c>
      <c r="C193" s="42" t="s">
        <v>1275</v>
      </c>
      <c r="D193" s="42" t="s">
        <v>359</v>
      </c>
      <c r="E193" s="34" t="s">
        <v>459</v>
      </c>
      <c r="F193" s="34" t="s">
        <v>459</v>
      </c>
      <c r="G193" s="31" t="s">
        <v>1078</v>
      </c>
      <c r="H193" s="50" t="s">
        <v>461</v>
      </c>
      <c r="I193" s="42" t="s">
        <v>1079</v>
      </c>
      <c r="J193" s="42"/>
      <c r="K193" s="45" t="n">
        <f aca="false">IF(AND(E193="yes",F193="yes",H193="covered"),1,IF(H193="partial",0.5,0))</f>
        <v>1</v>
      </c>
    </row>
    <row r="194" customFormat="false" ht="30" hidden="false" customHeight="true" outlineLevel="0" collapsed="false">
      <c r="A194" s="31" t="n">
        <v>186</v>
      </c>
      <c r="B194" s="42" t="s">
        <v>31</v>
      </c>
      <c r="C194" s="42" t="s">
        <v>1275</v>
      </c>
      <c r="D194" s="42" t="s">
        <v>1276</v>
      </c>
      <c r="E194" s="46" t="s">
        <v>459</v>
      </c>
      <c r="F194" s="43" t="s">
        <v>459</v>
      </c>
      <c r="G194" s="31" t="s">
        <v>907</v>
      </c>
      <c r="H194" s="46" t="s">
        <v>461</v>
      </c>
      <c r="I194" s="42" t="s">
        <v>1277</v>
      </c>
      <c r="J194" s="42"/>
      <c r="K194" s="45" t="n">
        <f aca="false">IF(AND(E194="yes",F194="yes",H194="covered"),1,IF(H194="partial",0.5,0))</f>
        <v>1</v>
      </c>
    </row>
    <row r="195" customFormat="false" ht="30" hidden="false" customHeight="true" outlineLevel="0" collapsed="false">
      <c r="A195" s="31" t="n">
        <v>187</v>
      </c>
      <c r="B195" s="42" t="s">
        <v>31</v>
      </c>
      <c r="C195" s="42" t="s">
        <v>1275</v>
      </c>
      <c r="D195" s="42" t="s">
        <v>1278</v>
      </c>
      <c r="E195" s="46" t="s">
        <v>459</v>
      </c>
      <c r="F195" s="43" t="s">
        <v>459</v>
      </c>
      <c r="G195" s="31" t="s">
        <v>907</v>
      </c>
      <c r="H195" s="46" t="s">
        <v>461</v>
      </c>
      <c r="I195" s="42" t="s">
        <v>1277</v>
      </c>
      <c r="J195" s="42"/>
      <c r="K195" s="45" t="n">
        <f aca="false">IF(AND(E195="yes",F195="yes",H195="covered"),1,IF(H195="partial",0.5,0))</f>
        <v>1</v>
      </c>
    </row>
    <row r="196" customFormat="false" ht="30" hidden="false" customHeight="true" outlineLevel="0" collapsed="false">
      <c r="A196" s="31" t="n">
        <v>188</v>
      </c>
      <c r="B196" s="42" t="s">
        <v>456</v>
      </c>
      <c r="C196" s="42" t="s">
        <v>540</v>
      </c>
      <c r="D196" s="42" t="s">
        <v>541</v>
      </c>
      <c r="E196" s="46" t="s">
        <v>459</v>
      </c>
      <c r="F196" s="43" t="s">
        <v>459</v>
      </c>
      <c r="G196" s="31" t="s">
        <v>907</v>
      </c>
      <c r="H196" s="46" t="s">
        <v>461</v>
      </c>
      <c r="I196" s="42" t="s">
        <v>1277</v>
      </c>
      <c r="J196" s="42"/>
      <c r="K196" s="45" t="n">
        <f aca="false">IF(AND(E196="yes",F196="yes",H196="covered"),1,IF(H196="partial",0.5,0))</f>
        <v>1</v>
      </c>
    </row>
    <row r="197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1279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134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1280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1280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29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1280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29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1280</v>
      </c>
      <c r="J12" s="42"/>
      <c r="K12" s="45" t="n">
        <f aca="false">IF(AND(E12="yes",F12="yes",H12="covered"),1,IF(H12="partial",0.5,0))</f>
        <v>1</v>
      </c>
    </row>
    <row r="13" customFormat="false" ht="30" hidden="false" customHeight="true" outlineLevel="0" collapsed="false">
      <c r="A13" s="31" t="n">
        <v>5</v>
      </c>
      <c r="B13" s="42" t="s">
        <v>456</v>
      </c>
      <c r="C13" s="42" t="s">
        <v>29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1280</v>
      </c>
      <c r="J13" s="42"/>
      <c r="K13" s="45" t="n">
        <f aca="false">IF(AND(E13="yes",F13="yes",H13="covered"),1,IF(H13="partial",0.5,0))</f>
        <v>1</v>
      </c>
    </row>
    <row r="14" customFormat="false" ht="30" hidden="false" customHeight="true" outlineLevel="0" collapsed="false">
      <c r="A14" s="31" t="n">
        <v>6</v>
      </c>
      <c r="B14" s="42" t="s">
        <v>456</v>
      </c>
      <c r="C14" s="42" t="s">
        <v>29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1280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29</v>
      </c>
      <c r="D15" s="42" t="s">
        <v>1281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1280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29</v>
      </c>
      <c r="D16" s="42" t="s">
        <v>1282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1280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29</v>
      </c>
      <c r="D17" s="42" t="s">
        <v>1283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1280</v>
      </c>
      <c r="J17" s="42"/>
      <c r="K17" s="45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29</v>
      </c>
      <c r="D18" s="42" t="s">
        <v>1284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1280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29</v>
      </c>
      <c r="D19" s="42" t="s">
        <v>1285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1280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29</v>
      </c>
      <c r="D20" s="42" t="s">
        <v>1286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1280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1280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1280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1280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1280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1280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1280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489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1280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490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1280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491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1280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1287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1280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1288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1280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1289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1280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488</v>
      </c>
      <c r="C33" s="42" t="s">
        <v>476</v>
      </c>
      <c r="D33" s="42" t="s">
        <v>1290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1280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488</v>
      </c>
      <c r="C34" s="42" t="s">
        <v>476</v>
      </c>
      <c r="D34" s="42" t="s">
        <v>493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1280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488</v>
      </c>
      <c r="C35" s="42" t="s">
        <v>476</v>
      </c>
      <c r="D35" s="42" t="s">
        <v>951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1280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1291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1280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486</v>
      </c>
      <c r="C37" s="42" t="s">
        <v>476</v>
      </c>
      <c r="D37" s="42" t="s">
        <v>1292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1280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476</v>
      </c>
      <c r="D38" s="42" t="s">
        <v>1293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1280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476</v>
      </c>
      <c r="D39" s="42" t="s">
        <v>1294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1280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476</v>
      </c>
      <c r="D40" s="42" t="s">
        <v>1295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1280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486</v>
      </c>
      <c r="C41" s="42" t="s">
        <v>476</v>
      </c>
      <c r="D41" s="42" t="s">
        <v>495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1280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486</v>
      </c>
      <c r="C42" s="42" t="s">
        <v>476</v>
      </c>
      <c r="D42" s="42" t="s">
        <v>1296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1280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488</v>
      </c>
      <c r="C43" s="42" t="s">
        <v>476</v>
      </c>
      <c r="D43" s="42" t="s">
        <v>497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1280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488</v>
      </c>
      <c r="C44" s="42" t="s">
        <v>476</v>
      </c>
      <c r="D44" s="42" t="s">
        <v>957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1280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486</v>
      </c>
      <c r="C45" s="42" t="s">
        <v>476</v>
      </c>
      <c r="D45" s="42" t="s">
        <v>1297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1280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475</v>
      </c>
      <c r="C46" s="42" t="s">
        <v>1298</v>
      </c>
      <c r="D46" s="42" t="s">
        <v>477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1280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475</v>
      </c>
      <c r="C47" s="42" t="s">
        <v>1298</v>
      </c>
      <c r="D47" s="42" t="s">
        <v>478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1280</v>
      </c>
      <c r="J47" s="42"/>
      <c r="K47" s="45" t="n">
        <f aca="false">IF(AND(E47="yes",F47="yes",H47="covered"),1,IF(H47="partial",0.5,0))</f>
        <v>1</v>
      </c>
    </row>
    <row r="48" customFormat="false" ht="30" hidden="false" customHeight="true" outlineLevel="0" collapsed="false">
      <c r="A48" s="31" t="n">
        <v>40</v>
      </c>
      <c r="B48" s="42" t="s">
        <v>479</v>
      </c>
      <c r="C48" s="42" t="s">
        <v>1298</v>
      </c>
      <c r="D48" s="42" t="s">
        <v>480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1280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479</v>
      </c>
      <c r="C49" s="42" t="s">
        <v>1298</v>
      </c>
      <c r="D49" s="42" t="s">
        <v>481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1280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457</v>
      </c>
      <c r="C50" s="42" t="s">
        <v>1298</v>
      </c>
      <c r="D50" s="42" t="s">
        <v>482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1280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774</v>
      </c>
      <c r="C51" s="42" t="s">
        <v>1298</v>
      </c>
      <c r="D51" s="42" t="s">
        <v>775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1280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475</v>
      </c>
      <c r="C52" s="42" t="s">
        <v>1299</v>
      </c>
      <c r="D52" s="42" t="s">
        <v>477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1280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475</v>
      </c>
      <c r="C53" s="42" t="s">
        <v>1299</v>
      </c>
      <c r="D53" s="42" t="s">
        <v>478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1280</v>
      </c>
      <c r="J53" s="42"/>
      <c r="K53" s="45" t="n">
        <f aca="false">IF(AND(E53="yes",F53="yes",H53="covered"),1,IF(H53="partial",0.5,0))</f>
        <v>1</v>
      </c>
    </row>
    <row r="54" customFormat="false" ht="30" hidden="false" customHeight="true" outlineLevel="0" collapsed="false">
      <c r="A54" s="31" t="n">
        <v>46</v>
      </c>
      <c r="B54" s="42" t="s">
        <v>479</v>
      </c>
      <c r="C54" s="42" t="s">
        <v>1299</v>
      </c>
      <c r="D54" s="42" t="s">
        <v>480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1280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479</v>
      </c>
      <c r="C55" s="42" t="s">
        <v>1299</v>
      </c>
      <c r="D55" s="42" t="s">
        <v>481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1280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457</v>
      </c>
      <c r="C56" s="42" t="s">
        <v>1299</v>
      </c>
      <c r="D56" s="42" t="s">
        <v>482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1280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774</v>
      </c>
      <c r="C57" s="42" t="s">
        <v>1299</v>
      </c>
      <c r="D57" s="42" t="s">
        <v>775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1280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475</v>
      </c>
      <c r="C58" s="42" t="s">
        <v>1300</v>
      </c>
      <c r="D58" s="42" t="s">
        <v>477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1280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475</v>
      </c>
      <c r="C59" s="42" t="s">
        <v>1300</v>
      </c>
      <c r="D59" s="42" t="s">
        <v>478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1280</v>
      </c>
      <c r="J59" s="42"/>
      <c r="K59" s="45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31" t="n">
        <v>52</v>
      </c>
      <c r="B60" s="42" t="s">
        <v>479</v>
      </c>
      <c r="C60" s="42" t="s">
        <v>1300</v>
      </c>
      <c r="D60" s="42" t="s">
        <v>480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1280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479</v>
      </c>
      <c r="C61" s="42" t="s">
        <v>1300</v>
      </c>
      <c r="D61" s="42" t="s">
        <v>481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1280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457</v>
      </c>
      <c r="C62" s="42" t="s">
        <v>1300</v>
      </c>
      <c r="D62" s="42" t="s">
        <v>482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1280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774</v>
      </c>
      <c r="C63" s="42" t="s">
        <v>1300</v>
      </c>
      <c r="D63" s="42" t="s">
        <v>775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1280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486</v>
      </c>
      <c r="C64" s="42" t="s">
        <v>1300</v>
      </c>
      <c r="D64" s="42" t="s">
        <v>1301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1280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486</v>
      </c>
      <c r="C65" s="42" t="s">
        <v>1300</v>
      </c>
      <c r="D65" s="42" t="s">
        <v>1302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1280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488</v>
      </c>
      <c r="C66" s="42" t="s">
        <v>1300</v>
      </c>
      <c r="D66" s="42" t="s">
        <v>493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1280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486</v>
      </c>
      <c r="C67" s="42" t="s">
        <v>1300</v>
      </c>
      <c r="D67" s="42" t="s">
        <v>888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1280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488</v>
      </c>
      <c r="C68" s="42" t="s">
        <v>1300</v>
      </c>
      <c r="D68" s="42" t="s">
        <v>1303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1280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488</v>
      </c>
      <c r="C69" s="42" t="s">
        <v>1300</v>
      </c>
      <c r="D69" s="42" t="s">
        <v>497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1280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475</v>
      </c>
      <c r="C70" s="42" t="s">
        <v>1304</v>
      </c>
      <c r="D70" s="42" t="s">
        <v>477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1280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475</v>
      </c>
      <c r="C71" s="42" t="s">
        <v>1304</v>
      </c>
      <c r="D71" s="42" t="s">
        <v>478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1280</v>
      </c>
      <c r="J71" s="42"/>
      <c r="K71" s="45" t="n">
        <f aca="false">IF(AND(E71="yes",F71="yes",H71="covered"),1,IF(H71="partial",0.5,0))</f>
        <v>1</v>
      </c>
    </row>
    <row r="72" customFormat="false" ht="30" hidden="false" customHeight="true" outlineLevel="0" collapsed="false">
      <c r="A72" s="31" t="n">
        <v>64</v>
      </c>
      <c r="B72" s="42" t="s">
        <v>479</v>
      </c>
      <c r="C72" s="42" t="s">
        <v>1304</v>
      </c>
      <c r="D72" s="42" t="s">
        <v>480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1280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479</v>
      </c>
      <c r="C73" s="42" t="s">
        <v>1304</v>
      </c>
      <c r="D73" s="42" t="s">
        <v>481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1280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457</v>
      </c>
      <c r="C74" s="42" t="s">
        <v>1304</v>
      </c>
      <c r="D74" s="42" t="s">
        <v>482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1280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774</v>
      </c>
      <c r="C75" s="42" t="s">
        <v>1304</v>
      </c>
      <c r="D75" s="42" t="s">
        <v>775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1280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486</v>
      </c>
      <c r="C76" s="42" t="s">
        <v>1304</v>
      </c>
      <c r="D76" s="42" t="s">
        <v>1301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1280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486</v>
      </c>
      <c r="C77" s="42" t="s">
        <v>1304</v>
      </c>
      <c r="D77" s="42" t="s">
        <v>1302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1280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486</v>
      </c>
      <c r="C78" s="42" t="s">
        <v>1304</v>
      </c>
      <c r="D78" s="42" t="s">
        <v>1305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1280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488</v>
      </c>
      <c r="C79" s="42" t="s">
        <v>1304</v>
      </c>
      <c r="D79" s="42" t="s">
        <v>493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1280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475</v>
      </c>
      <c r="C80" s="42" t="s">
        <v>1306</v>
      </c>
      <c r="D80" s="42" t="s">
        <v>477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1280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475</v>
      </c>
      <c r="C81" s="42" t="s">
        <v>1306</v>
      </c>
      <c r="D81" s="42" t="s">
        <v>478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1280</v>
      </c>
      <c r="J81" s="42"/>
      <c r="K81" s="45" t="n">
        <f aca="false">IF(AND(E81="yes",F81="yes",H81="covered"),1,IF(H81="partial",0.5,0))</f>
        <v>1</v>
      </c>
    </row>
    <row r="82" customFormat="false" ht="30" hidden="false" customHeight="true" outlineLevel="0" collapsed="false">
      <c r="A82" s="31" t="n">
        <v>74</v>
      </c>
      <c r="B82" s="42" t="s">
        <v>479</v>
      </c>
      <c r="C82" s="42" t="s">
        <v>1306</v>
      </c>
      <c r="D82" s="42" t="s">
        <v>480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1280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479</v>
      </c>
      <c r="C83" s="42" t="s">
        <v>1306</v>
      </c>
      <c r="D83" s="42" t="s">
        <v>481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1280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457</v>
      </c>
      <c r="C84" s="42" t="s">
        <v>1306</v>
      </c>
      <c r="D84" s="42" t="s">
        <v>482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1280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774</v>
      </c>
      <c r="C85" s="42" t="s">
        <v>1306</v>
      </c>
      <c r="D85" s="42" t="s">
        <v>775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1280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475</v>
      </c>
      <c r="C86" s="42" t="s">
        <v>503</v>
      </c>
      <c r="D86" s="42" t="s">
        <v>477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1280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475</v>
      </c>
      <c r="C87" s="42" t="s">
        <v>503</v>
      </c>
      <c r="D87" s="42" t="s">
        <v>478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1280</v>
      </c>
      <c r="J87" s="42"/>
      <c r="K87" s="45" t="n">
        <f aca="false">IF(AND(E87="yes",F87="yes",H87="covered"),1,IF(H87="partial",0.5,0))</f>
        <v>1</v>
      </c>
    </row>
    <row r="88" customFormat="false" ht="30" hidden="false" customHeight="true" outlineLevel="0" collapsed="false">
      <c r="A88" s="31" t="n">
        <v>80</v>
      </c>
      <c r="B88" s="42" t="s">
        <v>479</v>
      </c>
      <c r="C88" s="42" t="s">
        <v>503</v>
      </c>
      <c r="D88" s="42" t="s">
        <v>480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1280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479</v>
      </c>
      <c r="C89" s="42" t="s">
        <v>503</v>
      </c>
      <c r="D89" s="42" t="s">
        <v>481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1280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457</v>
      </c>
      <c r="C90" s="42" t="s">
        <v>503</v>
      </c>
      <c r="D90" s="42" t="s">
        <v>482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1280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774</v>
      </c>
      <c r="C91" s="42" t="s">
        <v>503</v>
      </c>
      <c r="D91" s="42" t="s">
        <v>775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1280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475</v>
      </c>
      <c r="C92" s="42" t="s">
        <v>1307</v>
      </c>
      <c r="D92" s="42" t="s">
        <v>477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1280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475</v>
      </c>
      <c r="C93" s="42" t="s">
        <v>1307</v>
      </c>
      <c r="D93" s="42" t="s">
        <v>478</v>
      </c>
      <c r="E93" s="34" t="s">
        <v>459</v>
      </c>
      <c r="F93" s="43" t="s">
        <v>459</v>
      </c>
      <c r="G93" s="31" t="s">
        <v>543</v>
      </c>
      <c r="H93" s="44" t="s">
        <v>461</v>
      </c>
      <c r="I93" s="42" t="s">
        <v>1280</v>
      </c>
      <c r="J93" s="42"/>
      <c r="K93" s="45" t="n">
        <f aca="false">IF(AND(E93="yes",F93="yes",H93="covered"),1,IF(H93="partial",0.5,0))</f>
        <v>1</v>
      </c>
    </row>
    <row r="94" customFormat="false" ht="30" hidden="false" customHeight="true" outlineLevel="0" collapsed="false">
      <c r="A94" s="31" t="n">
        <v>86</v>
      </c>
      <c r="B94" s="42" t="s">
        <v>479</v>
      </c>
      <c r="C94" s="42" t="s">
        <v>1307</v>
      </c>
      <c r="D94" s="42" t="s">
        <v>480</v>
      </c>
      <c r="E94" s="34" t="s">
        <v>459</v>
      </c>
      <c r="F94" s="43" t="s">
        <v>459</v>
      </c>
      <c r="G94" s="31" t="s">
        <v>543</v>
      </c>
      <c r="H94" s="44" t="s">
        <v>461</v>
      </c>
      <c r="I94" s="42" t="s">
        <v>1280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479</v>
      </c>
      <c r="C95" s="42" t="s">
        <v>1307</v>
      </c>
      <c r="D95" s="42" t="s">
        <v>481</v>
      </c>
      <c r="E95" s="34" t="s">
        <v>459</v>
      </c>
      <c r="F95" s="43" t="s">
        <v>459</v>
      </c>
      <c r="G95" s="31" t="s">
        <v>543</v>
      </c>
      <c r="H95" s="44" t="s">
        <v>461</v>
      </c>
      <c r="I95" s="42" t="s">
        <v>1280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457</v>
      </c>
      <c r="C96" s="42" t="s">
        <v>1307</v>
      </c>
      <c r="D96" s="42" t="s">
        <v>482</v>
      </c>
      <c r="E96" s="34" t="s">
        <v>459</v>
      </c>
      <c r="F96" s="43" t="s">
        <v>459</v>
      </c>
      <c r="G96" s="31" t="s">
        <v>543</v>
      </c>
      <c r="H96" s="44" t="s">
        <v>461</v>
      </c>
      <c r="I96" s="42" t="s">
        <v>1280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774</v>
      </c>
      <c r="C97" s="42" t="s">
        <v>1307</v>
      </c>
      <c r="D97" s="42" t="s">
        <v>775</v>
      </c>
      <c r="E97" s="34" t="s">
        <v>459</v>
      </c>
      <c r="F97" s="43" t="s">
        <v>459</v>
      </c>
      <c r="G97" s="31" t="s">
        <v>543</v>
      </c>
      <c r="H97" s="44" t="s">
        <v>461</v>
      </c>
      <c r="I97" s="42" t="s">
        <v>1280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486</v>
      </c>
      <c r="C98" s="42" t="s">
        <v>1307</v>
      </c>
      <c r="D98" s="42" t="s">
        <v>1308</v>
      </c>
      <c r="E98" s="34" t="s">
        <v>459</v>
      </c>
      <c r="F98" s="43" t="s">
        <v>459</v>
      </c>
      <c r="G98" s="31" t="s">
        <v>543</v>
      </c>
      <c r="H98" s="44" t="s">
        <v>461</v>
      </c>
      <c r="I98" s="42" t="s">
        <v>1280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486</v>
      </c>
      <c r="C99" s="42" t="s">
        <v>1307</v>
      </c>
      <c r="D99" s="42" t="s">
        <v>1302</v>
      </c>
      <c r="E99" s="34" t="s">
        <v>459</v>
      </c>
      <c r="F99" s="43" t="s">
        <v>459</v>
      </c>
      <c r="G99" s="31" t="s">
        <v>543</v>
      </c>
      <c r="H99" s="44" t="s">
        <v>461</v>
      </c>
      <c r="I99" s="42" t="s">
        <v>1280</v>
      </c>
      <c r="J99" s="42"/>
      <c r="K99" s="45" t="n">
        <f aca="false">IF(AND(E99="yes",F99="yes",H99="covered"),1,IF(H99="partial",0.5,0))</f>
        <v>1</v>
      </c>
    </row>
    <row r="100" customFormat="false" ht="30" hidden="false" customHeight="true" outlineLevel="0" collapsed="false">
      <c r="A100" s="31" t="n">
        <v>92</v>
      </c>
      <c r="B100" s="42" t="s">
        <v>488</v>
      </c>
      <c r="C100" s="42" t="s">
        <v>1307</v>
      </c>
      <c r="D100" s="42" t="s">
        <v>489</v>
      </c>
      <c r="E100" s="34" t="s">
        <v>459</v>
      </c>
      <c r="F100" s="43" t="s">
        <v>459</v>
      </c>
      <c r="G100" s="31" t="s">
        <v>543</v>
      </c>
      <c r="H100" s="44" t="s">
        <v>461</v>
      </c>
      <c r="I100" s="42" t="s">
        <v>1280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488</v>
      </c>
      <c r="C101" s="42" t="s">
        <v>1307</v>
      </c>
      <c r="D101" s="42" t="s">
        <v>493</v>
      </c>
      <c r="E101" s="34" t="s">
        <v>459</v>
      </c>
      <c r="F101" s="43" t="s">
        <v>459</v>
      </c>
      <c r="G101" s="31" t="s">
        <v>543</v>
      </c>
      <c r="H101" s="44" t="s">
        <v>461</v>
      </c>
      <c r="I101" s="42" t="s">
        <v>1280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486</v>
      </c>
      <c r="C102" s="42" t="s">
        <v>1307</v>
      </c>
      <c r="D102" s="42" t="s">
        <v>1309</v>
      </c>
      <c r="E102" s="34" t="s">
        <v>459</v>
      </c>
      <c r="F102" s="43" t="s">
        <v>459</v>
      </c>
      <c r="G102" s="31" t="s">
        <v>543</v>
      </c>
      <c r="H102" s="44" t="s">
        <v>461</v>
      </c>
      <c r="I102" s="42" t="s">
        <v>1280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505</v>
      </c>
      <c r="C103" s="42" t="s">
        <v>506</v>
      </c>
      <c r="D103" s="42" t="s">
        <v>1067</v>
      </c>
      <c r="E103" s="34" t="s">
        <v>459</v>
      </c>
      <c r="F103" s="43" t="s">
        <v>459</v>
      </c>
      <c r="G103" s="31" t="s">
        <v>543</v>
      </c>
      <c r="H103" s="44" t="s">
        <v>461</v>
      </c>
      <c r="I103" s="42" t="s">
        <v>1280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505</v>
      </c>
      <c r="C104" s="42" t="s">
        <v>506</v>
      </c>
      <c r="D104" s="42" t="s">
        <v>1310</v>
      </c>
      <c r="E104" s="34" t="s">
        <v>459</v>
      </c>
      <c r="F104" s="43" t="s">
        <v>459</v>
      </c>
      <c r="G104" s="31" t="s">
        <v>543</v>
      </c>
      <c r="H104" s="44" t="s">
        <v>461</v>
      </c>
      <c r="I104" s="42" t="s">
        <v>1280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505</v>
      </c>
      <c r="C105" s="42" t="s">
        <v>506</v>
      </c>
      <c r="D105" s="42" t="s">
        <v>1311</v>
      </c>
      <c r="E105" s="34" t="s">
        <v>459</v>
      </c>
      <c r="F105" s="43" t="s">
        <v>459</v>
      </c>
      <c r="G105" s="31" t="s">
        <v>543</v>
      </c>
      <c r="H105" s="44" t="s">
        <v>461</v>
      </c>
      <c r="I105" s="42" t="s">
        <v>1280</v>
      </c>
      <c r="J105" s="42"/>
      <c r="K105" s="45" t="n">
        <f aca="false">IF(AND(E105="yes",F105="yes",H105="covered"),1,IF(H105="partial",0.5,0))</f>
        <v>1</v>
      </c>
    </row>
    <row r="106" customFormat="false" ht="30" hidden="false" customHeight="true" outlineLevel="0" collapsed="false">
      <c r="A106" s="31" t="n">
        <v>98</v>
      </c>
      <c r="B106" s="42" t="s">
        <v>505</v>
      </c>
      <c r="C106" s="42" t="s">
        <v>506</v>
      </c>
      <c r="D106" s="42" t="s">
        <v>508</v>
      </c>
      <c r="E106" s="34" t="s">
        <v>459</v>
      </c>
      <c r="F106" s="43" t="s">
        <v>459</v>
      </c>
      <c r="G106" s="31" t="s">
        <v>543</v>
      </c>
      <c r="H106" s="44" t="s">
        <v>461</v>
      </c>
      <c r="I106" s="42" t="s">
        <v>1280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505</v>
      </c>
      <c r="C107" s="42" t="s">
        <v>506</v>
      </c>
      <c r="D107" s="42" t="s">
        <v>1312</v>
      </c>
      <c r="E107" s="34" t="s">
        <v>459</v>
      </c>
      <c r="F107" s="43" t="s">
        <v>459</v>
      </c>
      <c r="G107" s="31" t="s">
        <v>543</v>
      </c>
      <c r="H107" s="44" t="s">
        <v>461</v>
      </c>
      <c r="I107" s="42" t="s">
        <v>1280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505</v>
      </c>
      <c r="C108" s="42" t="s">
        <v>506</v>
      </c>
      <c r="D108" s="42" t="s">
        <v>963</v>
      </c>
      <c r="E108" s="34" t="s">
        <v>459</v>
      </c>
      <c r="F108" s="43" t="s">
        <v>459</v>
      </c>
      <c r="G108" s="31" t="s">
        <v>543</v>
      </c>
      <c r="H108" s="44" t="s">
        <v>461</v>
      </c>
      <c r="I108" s="42" t="s">
        <v>1280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505</v>
      </c>
      <c r="C109" s="42" t="s">
        <v>506</v>
      </c>
      <c r="D109" s="42" t="s">
        <v>1313</v>
      </c>
      <c r="E109" s="34" t="s">
        <v>459</v>
      </c>
      <c r="F109" s="43" t="s">
        <v>459</v>
      </c>
      <c r="G109" s="31" t="s">
        <v>543</v>
      </c>
      <c r="H109" s="44" t="s">
        <v>461</v>
      </c>
      <c r="I109" s="42" t="s">
        <v>1280</v>
      </c>
      <c r="J109" s="42"/>
      <c r="K109" s="45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2" t="s">
        <v>505</v>
      </c>
      <c r="C110" s="42" t="s">
        <v>506</v>
      </c>
      <c r="D110" s="42" t="s">
        <v>1314</v>
      </c>
      <c r="E110" s="34" t="s">
        <v>459</v>
      </c>
      <c r="F110" s="43" t="s">
        <v>459</v>
      </c>
      <c r="G110" s="31" t="s">
        <v>543</v>
      </c>
      <c r="H110" s="44" t="s">
        <v>461</v>
      </c>
      <c r="I110" s="42" t="s">
        <v>1280</v>
      </c>
      <c r="J110" s="42"/>
      <c r="K110" s="45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2" t="s">
        <v>505</v>
      </c>
      <c r="C111" s="42" t="s">
        <v>506</v>
      </c>
      <c r="D111" s="42" t="s">
        <v>1070</v>
      </c>
      <c r="E111" s="34" t="s">
        <v>459</v>
      </c>
      <c r="F111" s="43" t="s">
        <v>459</v>
      </c>
      <c r="G111" s="31" t="s">
        <v>543</v>
      </c>
      <c r="H111" s="44" t="s">
        <v>461</v>
      </c>
      <c r="I111" s="42" t="s">
        <v>1280</v>
      </c>
      <c r="J111" s="42"/>
      <c r="K111" s="45" t="n">
        <f aca="false">IF(AND(E111="yes",F111="yes",H111="covered"),1,IF(H111="partial",0.5,0))</f>
        <v>1</v>
      </c>
    </row>
    <row r="112" customFormat="false" ht="30" hidden="false" customHeight="true" outlineLevel="0" collapsed="false">
      <c r="A112" s="31" t="n">
        <v>104</v>
      </c>
      <c r="B112" s="42" t="s">
        <v>505</v>
      </c>
      <c r="C112" s="42" t="s">
        <v>506</v>
      </c>
      <c r="D112" s="42" t="s">
        <v>1315</v>
      </c>
      <c r="E112" s="34" t="s">
        <v>459</v>
      </c>
      <c r="F112" s="43" t="s">
        <v>459</v>
      </c>
      <c r="G112" s="31" t="s">
        <v>543</v>
      </c>
      <c r="H112" s="44" t="s">
        <v>461</v>
      </c>
      <c r="I112" s="42" t="s">
        <v>1280</v>
      </c>
      <c r="J112" s="42"/>
      <c r="K112" s="45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2" t="s">
        <v>511</v>
      </c>
      <c r="C113" s="42" t="s">
        <v>506</v>
      </c>
      <c r="D113" s="42" t="s">
        <v>891</v>
      </c>
      <c r="E113" s="34" t="s">
        <v>459</v>
      </c>
      <c r="F113" s="43" t="s">
        <v>459</v>
      </c>
      <c r="G113" s="31" t="s">
        <v>543</v>
      </c>
      <c r="H113" s="44" t="s">
        <v>461</v>
      </c>
      <c r="I113" s="42" t="s">
        <v>1280</v>
      </c>
      <c r="J113" s="42"/>
      <c r="K113" s="45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31" t="n">
        <v>106</v>
      </c>
      <c r="B114" s="42" t="s">
        <v>511</v>
      </c>
      <c r="C114" s="42" t="s">
        <v>506</v>
      </c>
      <c r="D114" s="42" t="s">
        <v>1316</v>
      </c>
      <c r="E114" s="34" t="s">
        <v>459</v>
      </c>
      <c r="F114" s="43" t="s">
        <v>459</v>
      </c>
      <c r="G114" s="31" t="s">
        <v>543</v>
      </c>
      <c r="H114" s="44" t="s">
        <v>461</v>
      </c>
      <c r="I114" s="42" t="s">
        <v>1280</v>
      </c>
      <c r="J114" s="42"/>
      <c r="K114" s="45" t="n">
        <f aca="false">IF(AND(E114="yes",F114="yes",H114="covered"),1,IF(H114="partial",0.5,0))</f>
        <v>1</v>
      </c>
    </row>
    <row r="115" customFormat="false" ht="15" hidden="false" customHeight="true" outlineLevel="0" collapsed="false">
      <c r="A115" s="31" t="n">
        <v>107</v>
      </c>
      <c r="B115" s="42" t="s">
        <v>511</v>
      </c>
      <c r="C115" s="42" t="s">
        <v>506</v>
      </c>
      <c r="D115" s="42" t="s">
        <v>1317</v>
      </c>
      <c r="E115" s="34" t="s">
        <v>459</v>
      </c>
      <c r="F115" s="43" t="s">
        <v>459</v>
      </c>
      <c r="G115" s="31" t="s">
        <v>543</v>
      </c>
      <c r="H115" s="44" t="s">
        <v>461</v>
      </c>
      <c r="I115" s="42" t="s">
        <v>1280</v>
      </c>
      <c r="J115" s="42"/>
      <c r="K115" s="45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2" t="s">
        <v>511</v>
      </c>
      <c r="C116" s="42" t="s">
        <v>506</v>
      </c>
      <c r="D116" s="42" t="s">
        <v>512</v>
      </c>
      <c r="E116" s="34" t="s">
        <v>459</v>
      </c>
      <c r="F116" s="43" t="s">
        <v>459</v>
      </c>
      <c r="G116" s="31" t="s">
        <v>543</v>
      </c>
      <c r="H116" s="44" t="s">
        <v>461</v>
      </c>
      <c r="I116" s="42" t="s">
        <v>1280</v>
      </c>
      <c r="J116" s="42"/>
      <c r="K116" s="45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2" t="s">
        <v>511</v>
      </c>
      <c r="C117" s="42" t="s">
        <v>506</v>
      </c>
      <c r="D117" s="42" t="s">
        <v>1318</v>
      </c>
      <c r="E117" s="34" t="s">
        <v>459</v>
      </c>
      <c r="F117" s="43" t="s">
        <v>459</v>
      </c>
      <c r="G117" s="31" t="s">
        <v>543</v>
      </c>
      <c r="H117" s="44" t="s">
        <v>461</v>
      </c>
      <c r="I117" s="42" t="s">
        <v>1280</v>
      </c>
      <c r="J117" s="42"/>
      <c r="K117" s="45" t="n">
        <f aca="false">IF(AND(E117="yes",F117="yes",H117="covered"),1,IF(H117="partial",0.5,0))</f>
        <v>1</v>
      </c>
    </row>
    <row r="118" customFormat="false" ht="30" hidden="false" customHeight="true" outlineLevel="0" collapsed="false">
      <c r="A118" s="31" t="n">
        <v>110</v>
      </c>
      <c r="B118" s="42" t="s">
        <v>511</v>
      </c>
      <c r="C118" s="42" t="s">
        <v>506</v>
      </c>
      <c r="D118" s="42" t="s">
        <v>966</v>
      </c>
      <c r="E118" s="34" t="s">
        <v>459</v>
      </c>
      <c r="F118" s="43" t="s">
        <v>459</v>
      </c>
      <c r="G118" s="31" t="s">
        <v>543</v>
      </c>
      <c r="H118" s="44" t="s">
        <v>461</v>
      </c>
      <c r="I118" s="42" t="s">
        <v>1280</v>
      </c>
      <c r="J118" s="42"/>
      <c r="K118" s="45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31" t="n">
        <v>111</v>
      </c>
      <c r="B119" s="42" t="s">
        <v>511</v>
      </c>
      <c r="C119" s="42" t="s">
        <v>506</v>
      </c>
      <c r="D119" s="42" t="s">
        <v>1319</v>
      </c>
      <c r="E119" s="34" t="s">
        <v>459</v>
      </c>
      <c r="F119" s="43" t="s">
        <v>459</v>
      </c>
      <c r="G119" s="31" t="s">
        <v>543</v>
      </c>
      <c r="H119" s="44" t="s">
        <v>461</v>
      </c>
      <c r="I119" s="42" t="s">
        <v>1280</v>
      </c>
      <c r="J119" s="42"/>
      <c r="K119" s="45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31" t="n">
        <v>112</v>
      </c>
      <c r="B120" s="42" t="s">
        <v>511</v>
      </c>
      <c r="C120" s="42" t="s">
        <v>506</v>
      </c>
      <c r="D120" s="42" t="s">
        <v>1320</v>
      </c>
      <c r="E120" s="34" t="s">
        <v>459</v>
      </c>
      <c r="F120" s="43" t="s">
        <v>459</v>
      </c>
      <c r="G120" s="31" t="s">
        <v>543</v>
      </c>
      <c r="H120" s="44" t="s">
        <v>461</v>
      </c>
      <c r="I120" s="42" t="s">
        <v>1280</v>
      </c>
      <c r="J120" s="42"/>
      <c r="K120" s="45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31" t="n">
        <v>113</v>
      </c>
      <c r="B121" s="42" t="s">
        <v>511</v>
      </c>
      <c r="C121" s="42" t="s">
        <v>506</v>
      </c>
      <c r="D121" s="42" t="s">
        <v>1321</v>
      </c>
      <c r="E121" s="34" t="s">
        <v>459</v>
      </c>
      <c r="F121" s="43" t="s">
        <v>459</v>
      </c>
      <c r="G121" s="31" t="s">
        <v>543</v>
      </c>
      <c r="H121" s="44" t="s">
        <v>461</v>
      </c>
      <c r="I121" s="42" t="s">
        <v>1280</v>
      </c>
      <c r="J121" s="42"/>
      <c r="K121" s="45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31" t="n">
        <v>114</v>
      </c>
      <c r="B122" s="42" t="s">
        <v>511</v>
      </c>
      <c r="C122" s="42" t="s">
        <v>506</v>
      </c>
      <c r="D122" s="42" t="s">
        <v>1322</v>
      </c>
      <c r="E122" s="34" t="s">
        <v>459</v>
      </c>
      <c r="F122" s="43" t="s">
        <v>459</v>
      </c>
      <c r="G122" s="31" t="s">
        <v>543</v>
      </c>
      <c r="H122" s="44" t="s">
        <v>461</v>
      </c>
      <c r="I122" s="42" t="s">
        <v>1280</v>
      </c>
      <c r="J122" s="42"/>
      <c r="K122" s="45" t="n">
        <f aca="false">IF(AND(E122="yes",F122="yes",H122="covered"),1,IF(H122="partial",0.5,0))</f>
        <v>1</v>
      </c>
    </row>
    <row r="123" customFormat="false" ht="15" hidden="false" customHeight="true" outlineLevel="0" collapsed="false">
      <c r="A123" s="31" t="n">
        <v>115</v>
      </c>
      <c r="B123" s="42" t="s">
        <v>511</v>
      </c>
      <c r="C123" s="42" t="s">
        <v>506</v>
      </c>
      <c r="D123" s="42" t="s">
        <v>1323</v>
      </c>
      <c r="E123" s="34" t="s">
        <v>459</v>
      </c>
      <c r="F123" s="43" t="s">
        <v>459</v>
      </c>
      <c r="G123" s="31" t="s">
        <v>543</v>
      </c>
      <c r="H123" s="44" t="s">
        <v>461</v>
      </c>
      <c r="I123" s="42" t="s">
        <v>1280</v>
      </c>
      <c r="J123" s="42"/>
      <c r="K123" s="45" t="n">
        <f aca="false">IF(AND(E123="yes",F123="yes",H123="covered"),1,IF(H123="partial",0.5,0))</f>
        <v>1</v>
      </c>
    </row>
    <row r="124" customFormat="false" ht="30" hidden="false" customHeight="true" outlineLevel="0" collapsed="false">
      <c r="A124" s="31" t="n">
        <v>116</v>
      </c>
      <c r="B124" s="42" t="s">
        <v>511</v>
      </c>
      <c r="C124" s="42" t="s">
        <v>506</v>
      </c>
      <c r="D124" s="42" t="s">
        <v>1324</v>
      </c>
      <c r="E124" s="34" t="s">
        <v>459</v>
      </c>
      <c r="F124" s="43" t="s">
        <v>459</v>
      </c>
      <c r="G124" s="31" t="s">
        <v>543</v>
      </c>
      <c r="H124" s="44" t="s">
        <v>461</v>
      </c>
      <c r="I124" s="42" t="s">
        <v>1280</v>
      </c>
      <c r="J124" s="42"/>
      <c r="K124" s="45" t="n">
        <f aca="false">IF(AND(E124="yes",F124="yes",H124="covered"),1,IF(H124="partial",0.5,0))</f>
        <v>1</v>
      </c>
    </row>
    <row r="125" customFormat="false" ht="15" hidden="false" customHeight="true" outlineLevel="0" collapsed="false">
      <c r="A125" s="31" t="n">
        <v>117</v>
      </c>
      <c r="B125" s="42" t="s">
        <v>511</v>
      </c>
      <c r="C125" s="42" t="s">
        <v>506</v>
      </c>
      <c r="D125" s="42" t="s">
        <v>514</v>
      </c>
      <c r="E125" s="34" t="s">
        <v>459</v>
      </c>
      <c r="F125" s="43" t="s">
        <v>459</v>
      </c>
      <c r="G125" s="31" t="s">
        <v>543</v>
      </c>
      <c r="H125" s="44" t="s">
        <v>461</v>
      </c>
      <c r="I125" s="42" t="s">
        <v>1280</v>
      </c>
      <c r="J125" s="42"/>
      <c r="K125" s="45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31" t="n">
        <v>118</v>
      </c>
      <c r="B126" s="42" t="s">
        <v>511</v>
      </c>
      <c r="C126" s="42" t="s">
        <v>506</v>
      </c>
      <c r="D126" s="42" t="s">
        <v>1325</v>
      </c>
      <c r="E126" s="34" t="s">
        <v>459</v>
      </c>
      <c r="F126" s="43" t="s">
        <v>459</v>
      </c>
      <c r="G126" s="31" t="s">
        <v>543</v>
      </c>
      <c r="H126" s="44" t="s">
        <v>461</v>
      </c>
      <c r="I126" s="42" t="s">
        <v>1280</v>
      </c>
      <c r="J126" s="42"/>
      <c r="K126" s="45" t="n">
        <f aca="false">IF(AND(E126="yes",F126="yes",H126="covered"),1,IF(H126="partial",0.5,0))</f>
        <v>1</v>
      </c>
    </row>
    <row r="127" customFormat="false" ht="15" hidden="false" customHeight="true" outlineLevel="0" collapsed="false">
      <c r="A127" s="31" t="n">
        <v>119</v>
      </c>
      <c r="B127" s="42" t="s">
        <v>511</v>
      </c>
      <c r="C127" s="42" t="s">
        <v>506</v>
      </c>
      <c r="D127" s="42" t="s">
        <v>893</v>
      </c>
      <c r="E127" s="34" t="s">
        <v>459</v>
      </c>
      <c r="F127" s="43" t="s">
        <v>459</v>
      </c>
      <c r="G127" s="31" t="s">
        <v>543</v>
      </c>
      <c r="H127" s="44" t="s">
        <v>461</v>
      </c>
      <c r="I127" s="42" t="s">
        <v>1280</v>
      </c>
      <c r="J127" s="42"/>
      <c r="K127" s="45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31" t="n">
        <v>120</v>
      </c>
      <c r="B128" s="42" t="s">
        <v>483</v>
      </c>
      <c r="C128" s="42" t="s">
        <v>1326</v>
      </c>
      <c r="D128" s="42" t="s">
        <v>516</v>
      </c>
      <c r="E128" s="34" t="s">
        <v>459</v>
      </c>
      <c r="F128" s="43" t="s">
        <v>459</v>
      </c>
      <c r="G128" s="31" t="s">
        <v>543</v>
      </c>
      <c r="H128" s="44" t="s">
        <v>461</v>
      </c>
      <c r="I128" s="42" t="s">
        <v>1280</v>
      </c>
      <c r="J128" s="42"/>
      <c r="K128" s="45" t="n">
        <f aca="false">IF(AND(E128="yes",F128="yes",H128="covered"),1,IF(H128="partial",0.5,0))</f>
        <v>1</v>
      </c>
    </row>
    <row r="129" customFormat="false" ht="15" hidden="false" customHeight="true" outlineLevel="0" collapsed="false">
      <c r="A129" s="31" t="n">
        <v>121</v>
      </c>
      <c r="B129" s="42" t="s">
        <v>483</v>
      </c>
      <c r="C129" s="42" t="s">
        <v>1326</v>
      </c>
      <c r="D129" s="42" t="s">
        <v>517</v>
      </c>
      <c r="E129" s="34" t="s">
        <v>459</v>
      </c>
      <c r="F129" s="43" t="s">
        <v>459</v>
      </c>
      <c r="G129" s="31" t="s">
        <v>543</v>
      </c>
      <c r="H129" s="44" t="s">
        <v>461</v>
      </c>
      <c r="I129" s="42" t="s">
        <v>1280</v>
      </c>
      <c r="J129" s="42"/>
      <c r="K129" s="45" t="n">
        <f aca="false">IF(AND(E129="yes",F129="yes",H129="covered"),1,IF(H129="partial",0.5,0))</f>
        <v>1</v>
      </c>
    </row>
    <row r="130" customFormat="false" ht="30" hidden="false" customHeight="true" outlineLevel="0" collapsed="false">
      <c r="A130" s="31" t="n">
        <v>122</v>
      </c>
      <c r="B130" s="42" t="s">
        <v>483</v>
      </c>
      <c r="C130" s="42" t="s">
        <v>1326</v>
      </c>
      <c r="D130" s="42" t="s">
        <v>519</v>
      </c>
      <c r="E130" s="34" t="s">
        <v>459</v>
      </c>
      <c r="F130" s="43" t="s">
        <v>459</v>
      </c>
      <c r="G130" s="31" t="s">
        <v>543</v>
      </c>
      <c r="H130" s="44" t="s">
        <v>461</v>
      </c>
      <c r="I130" s="42" t="s">
        <v>1280</v>
      </c>
      <c r="J130" s="42"/>
      <c r="K130" s="45" t="n">
        <f aca="false">IF(AND(E130="yes",F130="yes",H130="covered"),1,IF(H130="partial",0.5,0))</f>
        <v>1</v>
      </c>
    </row>
    <row r="131" customFormat="false" ht="15" hidden="false" customHeight="true" outlineLevel="0" collapsed="false">
      <c r="A131" s="31" t="n">
        <v>123</v>
      </c>
      <c r="B131" s="42" t="s">
        <v>483</v>
      </c>
      <c r="C131" s="42" t="s">
        <v>1326</v>
      </c>
      <c r="D131" s="42" t="s">
        <v>520</v>
      </c>
      <c r="E131" s="34" t="s">
        <v>459</v>
      </c>
      <c r="F131" s="43" t="s">
        <v>459</v>
      </c>
      <c r="G131" s="31" t="s">
        <v>543</v>
      </c>
      <c r="H131" s="44" t="s">
        <v>461</v>
      </c>
      <c r="I131" s="42" t="s">
        <v>1280</v>
      </c>
      <c r="J131" s="42"/>
      <c r="K131" s="45" t="n">
        <f aca="false">IF(AND(E131="yes",F131="yes",H131="covered"),1,IF(H131="partial",0.5,0))</f>
        <v>1</v>
      </c>
    </row>
    <row r="132" customFormat="false" ht="15" hidden="false" customHeight="true" outlineLevel="0" collapsed="false">
      <c r="A132" s="31" t="n">
        <v>124</v>
      </c>
      <c r="B132" s="42" t="s">
        <v>488</v>
      </c>
      <c r="C132" s="42" t="s">
        <v>476</v>
      </c>
      <c r="D132" s="42" t="s">
        <v>521</v>
      </c>
      <c r="E132" s="34" t="s">
        <v>459</v>
      </c>
      <c r="F132" s="43" t="s">
        <v>459</v>
      </c>
      <c r="G132" s="31" t="s">
        <v>543</v>
      </c>
      <c r="H132" s="44" t="s">
        <v>461</v>
      </c>
      <c r="I132" s="42" t="s">
        <v>1280</v>
      </c>
      <c r="J132" s="42"/>
      <c r="K132" s="45" t="n">
        <f aca="false">IF(AND(E132="yes",F132="yes",H132="covered"),1,IF(H132="partial",0.5,0))</f>
        <v>1</v>
      </c>
    </row>
    <row r="133" customFormat="false" ht="15" hidden="false" customHeight="true" outlineLevel="0" collapsed="false">
      <c r="A133" s="31" t="n">
        <v>125</v>
      </c>
      <c r="B133" s="42" t="s">
        <v>488</v>
      </c>
      <c r="C133" s="42" t="s">
        <v>476</v>
      </c>
      <c r="D133" s="42" t="s">
        <v>522</v>
      </c>
      <c r="E133" s="34" t="s">
        <v>459</v>
      </c>
      <c r="F133" s="43" t="s">
        <v>459</v>
      </c>
      <c r="G133" s="31" t="s">
        <v>543</v>
      </c>
      <c r="H133" s="44" t="s">
        <v>461</v>
      </c>
      <c r="I133" s="42" t="s">
        <v>1280</v>
      </c>
      <c r="J133" s="42"/>
      <c r="K133" s="45" t="n">
        <f aca="false">IF(AND(E133="yes",F133="yes",H133="covered"),1,IF(H133="partial",0.5,0))</f>
        <v>1</v>
      </c>
    </row>
    <row r="134" customFormat="false" ht="15" hidden="false" customHeight="true" outlineLevel="0" collapsed="false">
      <c r="A134" s="31" t="n">
        <v>126</v>
      </c>
      <c r="B134" s="42" t="s">
        <v>488</v>
      </c>
      <c r="C134" s="42" t="s">
        <v>476</v>
      </c>
      <c r="D134" s="42" t="s">
        <v>523</v>
      </c>
      <c r="E134" s="34" t="s">
        <v>459</v>
      </c>
      <c r="F134" s="43" t="s">
        <v>459</v>
      </c>
      <c r="G134" s="31" t="s">
        <v>543</v>
      </c>
      <c r="H134" s="44" t="s">
        <v>461</v>
      </c>
      <c r="I134" s="42" t="s">
        <v>1280</v>
      </c>
      <c r="J134" s="42"/>
      <c r="K134" s="45" t="n">
        <f aca="false">IF(AND(E134="yes",F134="yes",H134="covered"),1,IF(H134="partial",0.5,0))</f>
        <v>1</v>
      </c>
    </row>
    <row r="135" customFormat="false" ht="15" hidden="false" customHeight="true" outlineLevel="0" collapsed="false">
      <c r="A135" s="31" t="n">
        <v>127</v>
      </c>
      <c r="B135" s="42" t="s">
        <v>531</v>
      </c>
      <c r="C135" s="42" t="s">
        <v>29</v>
      </c>
      <c r="D135" s="42" t="s">
        <v>534</v>
      </c>
      <c r="E135" s="34" t="s">
        <v>459</v>
      </c>
      <c r="F135" s="43" t="s">
        <v>459</v>
      </c>
      <c r="G135" s="31" t="s">
        <v>543</v>
      </c>
      <c r="H135" s="44" t="s">
        <v>461</v>
      </c>
      <c r="I135" s="42" t="s">
        <v>1280</v>
      </c>
      <c r="J135" s="42"/>
      <c r="K135" s="45" t="n">
        <f aca="false">IF(AND(E135="yes",F135="yes",H135="covered"),1,IF(H135="partial",0.5,0))</f>
        <v>1</v>
      </c>
    </row>
    <row r="136" customFormat="false" ht="30" hidden="false" customHeight="true" outlineLevel="0" collapsed="false">
      <c r="A136" s="31" t="n">
        <v>128</v>
      </c>
      <c r="B136" s="42" t="s">
        <v>531</v>
      </c>
      <c r="C136" s="42" t="s">
        <v>29</v>
      </c>
      <c r="D136" s="42" t="s">
        <v>535</v>
      </c>
      <c r="E136" s="34" t="s">
        <v>459</v>
      </c>
      <c r="F136" s="43" t="s">
        <v>459</v>
      </c>
      <c r="G136" s="31" t="s">
        <v>543</v>
      </c>
      <c r="H136" s="44" t="s">
        <v>461</v>
      </c>
      <c r="I136" s="42" t="s">
        <v>1280</v>
      </c>
      <c r="J136" s="42"/>
      <c r="K136" s="45" t="n">
        <f aca="false">IF(AND(E136="yes",F136="yes",H136="covered"),1,IF(H136="partial",0.5,0))</f>
        <v>1</v>
      </c>
    </row>
    <row r="137" customFormat="false" ht="15" hidden="false" customHeight="true" outlineLevel="0" collapsed="false">
      <c r="A137" s="31" t="n">
        <v>129</v>
      </c>
      <c r="B137" s="42" t="s">
        <v>531</v>
      </c>
      <c r="C137" s="42" t="s">
        <v>29</v>
      </c>
      <c r="D137" s="42" t="s">
        <v>536</v>
      </c>
      <c r="E137" s="34" t="s">
        <v>459</v>
      </c>
      <c r="F137" s="43" t="s">
        <v>459</v>
      </c>
      <c r="G137" s="31" t="s">
        <v>543</v>
      </c>
      <c r="H137" s="44" t="s">
        <v>461</v>
      </c>
      <c r="I137" s="42" t="s">
        <v>1280</v>
      </c>
      <c r="J137" s="42"/>
      <c r="K137" s="45" t="n">
        <f aca="false">IF(AND(E137="yes",F137="yes",H137="covered"),1,IF(H137="partial",0.5,0))</f>
        <v>1</v>
      </c>
    </row>
    <row r="138" customFormat="false" ht="15" hidden="false" customHeight="true" outlineLevel="0" collapsed="false">
      <c r="A138" s="31" t="n">
        <v>130</v>
      </c>
      <c r="B138" s="42" t="s">
        <v>529</v>
      </c>
      <c r="C138" s="42" t="s">
        <v>29</v>
      </c>
      <c r="D138" s="42" t="s">
        <v>537</v>
      </c>
      <c r="E138" s="34" t="s">
        <v>459</v>
      </c>
      <c r="F138" s="43" t="s">
        <v>459</v>
      </c>
      <c r="G138" s="31" t="s">
        <v>543</v>
      </c>
      <c r="H138" s="44" t="s">
        <v>461</v>
      </c>
      <c r="I138" s="42" t="s">
        <v>1280</v>
      </c>
      <c r="J138" s="42"/>
      <c r="K138" s="45" t="n">
        <f aca="false">IF(AND(E138="yes",F138="yes",H138="covered"),1,IF(H138="partial",0.5,0))</f>
        <v>1</v>
      </c>
    </row>
    <row r="139" customFormat="false" ht="15" hidden="false" customHeight="true" outlineLevel="0" collapsed="false">
      <c r="A139" s="31" t="n">
        <v>131</v>
      </c>
      <c r="B139" s="42" t="s">
        <v>31</v>
      </c>
      <c r="C139" s="42" t="s">
        <v>1327</v>
      </c>
      <c r="D139" s="42" t="s">
        <v>1328</v>
      </c>
      <c r="E139" s="46" t="s">
        <v>459</v>
      </c>
      <c r="F139" s="43" t="s">
        <v>459</v>
      </c>
      <c r="G139" s="31" t="s">
        <v>543</v>
      </c>
      <c r="H139" s="46" t="s">
        <v>461</v>
      </c>
      <c r="I139" s="42" t="s">
        <v>1280</v>
      </c>
      <c r="J139" s="42"/>
      <c r="K139" s="45" t="n">
        <f aca="false">IF(AND(E139="yes",F139="yes",H139="covered"),1,IF(H139="partial",0.5,0))</f>
        <v>1</v>
      </c>
    </row>
    <row r="140" customFormat="false" ht="15" hidden="false" customHeight="true" outlineLevel="0" collapsed="false">
      <c r="A140" s="31" t="n">
        <v>132</v>
      </c>
      <c r="B140" s="42" t="s">
        <v>31</v>
      </c>
      <c r="C140" s="42" t="s">
        <v>1327</v>
      </c>
      <c r="D140" s="42" t="s">
        <v>1329</v>
      </c>
      <c r="E140" s="46" t="s">
        <v>459</v>
      </c>
      <c r="F140" s="43" t="s">
        <v>459</v>
      </c>
      <c r="G140" s="31" t="s">
        <v>543</v>
      </c>
      <c r="H140" s="46" t="s">
        <v>461</v>
      </c>
      <c r="I140" s="42" t="s">
        <v>1280</v>
      </c>
      <c r="J140" s="42"/>
      <c r="K140" s="45" t="n">
        <f aca="false">IF(AND(E140="yes",F140="yes",H140="covered"),1,IF(H140="partial",0.5,0))</f>
        <v>1</v>
      </c>
    </row>
    <row r="141" customFormat="false" ht="15" hidden="false" customHeight="true" outlineLevel="0" collapsed="false">
      <c r="A141" s="31" t="n">
        <v>133</v>
      </c>
      <c r="B141" s="42" t="s">
        <v>31</v>
      </c>
      <c r="C141" s="42" t="s">
        <v>476</v>
      </c>
      <c r="D141" s="42" t="s">
        <v>1330</v>
      </c>
      <c r="E141" s="46" t="s">
        <v>459</v>
      </c>
      <c r="F141" s="43" t="s">
        <v>459</v>
      </c>
      <c r="G141" s="31" t="s">
        <v>543</v>
      </c>
      <c r="H141" s="46" t="s">
        <v>461</v>
      </c>
      <c r="I141" s="42" t="s">
        <v>1280</v>
      </c>
      <c r="J141" s="42"/>
      <c r="K141" s="45" t="n">
        <f aca="false">IF(AND(E141="yes",F141="yes",H141="covered"),1,IF(H141="partial",0.5,0))</f>
        <v>1</v>
      </c>
    </row>
    <row r="142" customFormat="false" ht="15" hidden="false" customHeight="true" outlineLevel="0" collapsed="false">
      <c r="A142" s="31" t="n">
        <v>134</v>
      </c>
      <c r="B142" s="42" t="s">
        <v>456</v>
      </c>
      <c r="C142" s="42" t="s">
        <v>540</v>
      </c>
      <c r="D142" s="42" t="s">
        <v>1331</v>
      </c>
      <c r="E142" s="46" t="s">
        <v>459</v>
      </c>
      <c r="F142" s="43" t="s">
        <v>459</v>
      </c>
      <c r="G142" s="31" t="s">
        <v>543</v>
      </c>
      <c r="H142" s="46" t="s">
        <v>461</v>
      </c>
      <c r="I142" s="42" t="s">
        <v>1280</v>
      </c>
      <c r="J142" s="42"/>
      <c r="K142" s="45" t="n">
        <f aca="false">IF(AND(E142="yes",F142="yes",H142="covered"),1,IF(H142="partial",0.5,0))</f>
        <v>1</v>
      </c>
    </row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30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30" hidden="false" customHeight="true" outlineLevel="0" collapsed="false"/>
    <row r="189" customFormat="false" ht="15" hidden="false" customHeight="true" outlineLevel="0" collapsed="false"/>
    <row r="190" customFormat="false" ht="30" hidden="false" customHeight="true" outlineLevel="0" collapsed="false"/>
    <row r="191" customFormat="false" ht="30" hidden="false" customHeight="true" outlineLevel="0" collapsed="false"/>
    <row r="192" customFormat="false" ht="30" hidden="false" customHeight="true" outlineLevel="0" collapsed="false"/>
    <row r="193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1332</v>
      </c>
      <c r="B1" s="26"/>
      <c r="C1" s="26"/>
      <c r="D1" s="26"/>
      <c r="E1" s="26"/>
      <c r="F1" s="26"/>
      <c r="G1" s="26"/>
      <c r="H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104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34" t="s">
        <v>459</v>
      </c>
      <c r="G9" s="31" t="s">
        <v>939</v>
      </c>
      <c r="H9" s="50" t="s">
        <v>461</v>
      </c>
      <c r="I9" s="42" t="s">
        <v>1333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34" t="s">
        <v>459</v>
      </c>
      <c r="G10" s="31" t="s">
        <v>939</v>
      </c>
      <c r="H10" s="50" t="s">
        <v>461</v>
      </c>
      <c r="I10" s="42" t="s">
        <v>1333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486</v>
      </c>
      <c r="C11" s="42" t="s">
        <v>476</v>
      </c>
      <c r="D11" s="42" t="s">
        <v>1334</v>
      </c>
      <c r="E11" s="34" t="s">
        <v>459</v>
      </c>
      <c r="F11" s="34" t="s">
        <v>459</v>
      </c>
      <c r="G11" s="31" t="s">
        <v>939</v>
      </c>
      <c r="H11" s="50" t="s">
        <v>461</v>
      </c>
      <c r="I11" s="42" t="s">
        <v>1335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486</v>
      </c>
      <c r="C12" s="42" t="s">
        <v>476</v>
      </c>
      <c r="D12" s="42" t="s">
        <v>1336</v>
      </c>
      <c r="E12" s="34" t="s">
        <v>459</v>
      </c>
      <c r="F12" s="34" t="s">
        <v>459</v>
      </c>
      <c r="G12" s="31" t="s">
        <v>939</v>
      </c>
      <c r="H12" s="50" t="s">
        <v>461</v>
      </c>
      <c r="I12" s="42" t="s">
        <v>1335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486</v>
      </c>
      <c r="C13" s="42" t="s">
        <v>476</v>
      </c>
      <c r="D13" s="42" t="s">
        <v>1337</v>
      </c>
      <c r="E13" s="34" t="s">
        <v>459</v>
      </c>
      <c r="F13" s="34" t="s">
        <v>459</v>
      </c>
      <c r="G13" s="31" t="s">
        <v>939</v>
      </c>
      <c r="H13" s="50" t="s">
        <v>461</v>
      </c>
      <c r="I13" s="42" t="s">
        <v>1335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486</v>
      </c>
      <c r="C14" s="42" t="s">
        <v>476</v>
      </c>
      <c r="D14" s="42" t="s">
        <v>1338</v>
      </c>
      <c r="E14" s="34" t="s">
        <v>459</v>
      </c>
      <c r="F14" s="34" t="s">
        <v>459</v>
      </c>
      <c r="G14" s="31" t="s">
        <v>939</v>
      </c>
      <c r="H14" s="50" t="s">
        <v>461</v>
      </c>
      <c r="I14" s="42" t="s">
        <v>1335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486</v>
      </c>
      <c r="C15" s="42" t="s">
        <v>476</v>
      </c>
      <c r="D15" s="42" t="s">
        <v>1339</v>
      </c>
      <c r="E15" s="34" t="s">
        <v>459</v>
      </c>
      <c r="F15" s="34" t="s">
        <v>459</v>
      </c>
      <c r="G15" s="31" t="s">
        <v>939</v>
      </c>
      <c r="H15" s="50" t="s">
        <v>461</v>
      </c>
      <c r="I15" s="42" t="s">
        <v>1335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486</v>
      </c>
      <c r="C16" s="42" t="s">
        <v>476</v>
      </c>
      <c r="D16" s="42" t="s">
        <v>1340</v>
      </c>
      <c r="E16" s="34" t="s">
        <v>459</v>
      </c>
      <c r="F16" s="34" t="s">
        <v>459</v>
      </c>
      <c r="G16" s="31" t="s">
        <v>939</v>
      </c>
      <c r="H16" s="50" t="s">
        <v>461</v>
      </c>
      <c r="I16" s="42" t="s">
        <v>1335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486</v>
      </c>
      <c r="C17" s="42" t="s">
        <v>476</v>
      </c>
      <c r="D17" s="42" t="s">
        <v>1341</v>
      </c>
      <c r="E17" s="34" t="s">
        <v>459</v>
      </c>
      <c r="F17" s="34" t="s">
        <v>459</v>
      </c>
      <c r="G17" s="31" t="s">
        <v>939</v>
      </c>
      <c r="H17" s="50" t="s">
        <v>461</v>
      </c>
      <c r="I17" s="42" t="s">
        <v>1335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486</v>
      </c>
      <c r="C18" s="42" t="s">
        <v>476</v>
      </c>
      <c r="D18" s="42" t="s">
        <v>1342</v>
      </c>
      <c r="E18" s="34" t="s">
        <v>459</v>
      </c>
      <c r="F18" s="34" t="s">
        <v>459</v>
      </c>
      <c r="G18" s="31" t="s">
        <v>939</v>
      </c>
      <c r="H18" s="50" t="s">
        <v>461</v>
      </c>
      <c r="I18" s="42" t="s">
        <v>1335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486</v>
      </c>
      <c r="C19" s="42" t="s">
        <v>498</v>
      </c>
      <c r="D19" s="42" t="s">
        <v>1343</v>
      </c>
      <c r="E19" s="34" t="s">
        <v>459</v>
      </c>
      <c r="F19" s="34" t="s">
        <v>459</v>
      </c>
      <c r="G19" s="31" t="s">
        <v>939</v>
      </c>
      <c r="H19" s="50" t="s">
        <v>461</v>
      </c>
      <c r="I19" s="42" t="s">
        <v>1335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486</v>
      </c>
      <c r="C20" s="42" t="s">
        <v>498</v>
      </c>
      <c r="D20" s="42" t="s">
        <v>1344</v>
      </c>
      <c r="E20" s="34" t="s">
        <v>459</v>
      </c>
      <c r="F20" s="34" t="s">
        <v>459</v>
      </c>
      <c r="G20" s="31" t="s">
        <v>939</v>
      </c>
      <c r="H20" s="50" t="s">
        <v>461</v>
      </c>
      <c r="I20" s="42" t="s">
        <v>1335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486</v>
      </c>
      <c r="C21" s="42" t="s">
        <v>498</v>
      </c>
      <c r="D21" s="42" t="s">
        <v>1345</v>
      </c>
      <c r="E21" s="34" t="s">
        <v>459</v>
      </c>
      <c r="F21" s="34" t="s">
        <v>459</v>
      </c>
      <c r="G21" s="31" t="s">
        <v>939</v>
      </c>
      <c r="H21" s="50" t="s">
        <v>461</v>
      </c>
      <c r="I21" s="42" t="s">
        <v>1335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486</v>
      </c>
      <c r="C22" s="42" t="s">
        <v>498</v>
      </c>
      <c r="D22" s="42" t="s">
        <v>1346</v>
      </c>
      <c r="E22" s="34" t="s">
        <v>459</v>
      </c>
      <c r="F22" s="34" t="s">
        <v>459</v>
      </c>
      <c r="G22" s="31" t="s">
        <v>939</v>
      </c>
      <c r="H22" s="50" t="s">
        <v>461</v>
      </c>
      <c r="I22" s="42" t="s">
        <v>1335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486</v>
      </c>
      <c r="C23" s="42" t="s">
        <v>498</v>
      </c>
      <c r="D23" s="42" t="s">
        <v>1347</v>
      </c>
      <c r="E23" s="34" t="s">
        <v>459</v>
      </c>
      <c r="F23" s="34" t="s">
        <v>459</v>
      </c>
      <c r="G23" s="31" t="s">
        <v>939</v>
      </c>
      <c r="H23" s="50" t="s">
        <v>461</v>
      </c>
      <c r="I23" s="42" t="s">
        <v>1335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486</v>
      </c>
      <c r="C24" s="42" t="s">
        <v>498</v>
      </c>
      <c r="D24" s="42" t="s">
        <v>1348</v>
      </c>
      <c r="E24" s="34" t="s">
        <v>459</v>
      </c>
      <c r="F24" s="34" t="s">
        <v>459</v>
      </c>
      <c r="G24" s="31" t="s">
        <v>939</v>
      </c>
      <c r="H24" s="50" t="s">
        <v>461</v>
      </c>
      <c r="I24" s="42" t="s">
        <v>1335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486</v>
      </c>
      <c r="C25" s="42" t="s">
        <v>498</v>
      </c>
      <c r="D25" s="42" t="s">
        <v>1349</v>
      </c>
      <c r="E25" s="34" t="s">
        <v>459</v>
      </c>
      <c r="F25" s="34" t="s">
        <v>459</v>
      </c>
      <c r="G25" s="31" t="s">
        <v>939</v>
      </c>
      <c r="H25" s="50" t="s">
        <v>461</v>
      </c>
      <c r="I25" s="42" t="s">
        <v>1335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486</v>
      </c>
      <c r="C26" s="42" t="s">
        <v>498</v>
      </c>
      <c r="D26" s="42" t="s">
        <v>1350</v>
      </c>
      <c r="E26" s="34" t="s">
        <v>459</v>
      </c>
      <c r="F26" s="34" t="s">
        <v>459</v>
      </c>
      <c r="G26" s="31" t="s">
        <v>939</v>
      </c>
      <c r="H26" s="50" t="s">
        <v>461</v>
      </c>
      <c r="I26" s="42" t="s">
        <v>1335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483</v>
      </c>
      <c r="C27" s="42" t="s">
        <v>498</v>
      </c>
      <c r="D27" s="42" t="s">
        <v>1351</v>
      </c>
      <c r="E27" s="34" t="s">
        <v>459</v>
      </c>
      <c r="F27" s="34" t="s">
        <v>459</v>
      </c>
      <c r="G27" s="31" t="s">
        <v>939</v>
      </c>
      <c r="H27" s="50" t="s">
        <v>461</v>
      </c>
      <c r="I27" s="42" t="s">
        <v>1335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483</v>
      </c>
      <c r="C28" s="42" t="s">
        <v>498</v>
      </c>
      <c r="D28" s="42" t="s">
        <v>1352</v>
      </c>
      <c r="E28" s="34" t="s">
        <v>459</v>
      </c>
      <c r="F28" s="34" t="s">
        <v>459</v>
      </c>
      <c r="G28" s="31" t="s">
        <v>939</v>
      </c>
      <c r="H28" s="50" t="s">
        <v>461</v>
      </c>
      <c r="I28" s="42" t="s">
        <v>1335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483</v>
      </c>
      <c r="C29" s="42" t="s">
        <v>498</v>
      </c>
      <c r="D29" s="42" t="s">
        <v>1353</v>
      </c>
      <c r="E29" s="34" t="s">
        <v>459</v>
      </c>
      <c r="F29" s="34" t="s">
        <v>459</v>
      </c>
      <c r="G29" s="31" t="s">
        <v>939</v>
      </c>
      <c r="H29" s="50" t="s">
        <v>461</v>
      </c>
      <c r="I29" s="42" t="s">
        <v>1335</v>
      </c>
      <c r="J29" s="42"/>
      <c r="K29" s="45" t="n">
        <f aca="false">IF(AND(E29="yes",F29="yes",H29="covered"),1,IF(H29="partial",0.5,0))</f>
        <v>1</v>
      </c>
    </row>
    <row r="30" customFormat="false" ht="45" hidden="false" customHeight="true" outlineLevel="0" collapsed="false">
      <c r="A30" s="31" t="n">
        <v>22</v>
      </c>
      <c r="B30" s="42" t="s">
        <v>483</v>
      </c>
      <c r="C30" s="42" t="s">
        <v>498</v>
      </c>
      <c r="D30" s="42" t="s">
        <v>1354</v>
      </c>
      <c r="E30" s="34" t="s">
        <v>459</v>
      </c>
      <c r="F30" s="34" t="s">
        <v>459</v>
      </c>
      <c r="G30" s="31" t="s">
        <v>939</v>
      </c>
      <c r="H30" s="50" t="s">
        <v>461</v>
      </c>
      <c r="I30" s="42" t="s">
        <v>1335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774</v>
      </c>
      <c r="C31" s="42" t="s">
        <v>498</v>
      </c>
      <c r="D31" s="42" t="s">
        <v>1355</v>
      </c>
      <c r="E31" s="34" t="s">
        <v>459</v>
      </c>
      <c r="F31" s="34" t="s">
        <v>459</v>
      </c>
      <c r="G31" s="31" t="s">
        <v>939</v>
      </c>
      <c r="H31" s="50" t="s">
        <v>461</v>
      </c>
      <c r="I31" s="42" t="s">
        <v>1335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457</v>
      </c>
      <c r="C32" s="42" t="s">
        <v>498</v>
      </c>
      <c r="D32" s="42" t="s">
        <v>1356</v>
      </c>
      <c r="E32" s="34" t="s">
        <v>459</v>
      </c>
      <c r="F32" s="34" t="s">
        <v>459</v>
      </c>
      <c r="G32" s="31" t="s">
        <v>939</v>
      </c>
      <c r="H32" s="50" t="s">
        <v>461</v>
      </c>
      <c r="I32" s="42" t="s">
        <v>1357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1358</v>
      </c>
      <c r="C33" s="42" t="s">
        <v>498</v>
      </c>
      <c r="D33" s="42" t="s">
        <v>1359</v>
      </c>
      <c r="E33" s="34" t="s">
        <v>459</v>
      </c>
      <c r="F33" s="34" t="s">
        <v>459</v>
      </c>
      <c r="G33" s="31" t="s">
        <v>939</v>
      </c>
      <c r="H33" s="50" t="s">
        <v>461</v>
      </c>
      <c r="I33" s="42" t="s">
        <v>1335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1358</v>
      </c>
      <c r="C34" s="42" t="s">
        <v>498</v>
      </c>
      <c r="D34" s="42" t="s">
        <v>1360</v>
      </c>
      <c r="E34" s="34" t="s">
        <v>459</v>
      </c>
      <c r="F34" s="34" t="s">
        <v>459</v>
      </c>
      <c r="G34" s="31" t="s">
        <v>939</v>
      </c>
      <c r="H34" s="50" t="s">
        <v>461</v>
      </c>
      <c r="I34" s="42" t="s">
        <v>1335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55</v>
      </c>
      <c r="D35" s="42" t="s">
        <v>1361</v>
      </c>
      <c r="E35" s="34" t="s">
        <v>459</v>
      </c>
      <c r="F35" s="34" t="s">
        <v>459</v>
      </c>
      <c r="G35" s="31" t="s">
        <v>939</v>
      </c>
      <c r="H35" s="50" t="s">
        <v>461</v>
      </c>
      <c r="I35" s="42" t="s">
        <v>1335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55</v>
      </c>
      <c r="D36" s="42" t="s">
        <v>1362</v>
      </c>
      <c r="E36" s="34" t="s">
        <v>459</v>
      </c>
      <c r="F36" s="34" t="s">
        <v>459</v>
      </c>
      <c r="G36" s="31" t="s">
        <v>939</v>
      </c>
      <c r="H36" s="50" t="s">
        <v>461</v>
      </c>
      <c r="I36" s="42" t="s">
        <v>1335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486</v>
      </c>
      <c r="C37" s="42" t="s">
        <v>55</v>
      </c>
      <c r="D37" s="42" t="s">
        <v>1363</v>
      </c>
      <c r="E37" s="34" t="s">
        <v>459</v>
      </c>
      <c r="F37" s="34" t="s">
        <v>459</v>
      </c>
      <c r="G37" s="31" t="s">
        <v>939</v>
      </c>
      <c r="H37" s="50" t="s">
        <v>461</v>
      </c>
      <c r="I37" s="42" t="s">
        <v>1335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55</v>
      </c>
      <c r="D38" s="42" t="s">
        <v>1364</v>
      </c>
      <c r="E38" s="34" t="s">
        <v>459</v>
      </c>
      <c r="F38" s="34" t="s">
        <v>459</v>
      </c>
      <c r="G38" s="31" t="s">
        <v>939</v>
      </c>
      <c r="H38" s="50" t="s">
        <v>461</v>
      </c>
      <c r="I38" s="42" t="s">
        <v>1335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619</v>
      </c>
      <c r="D39" s="42" t="s">
        <v>1365</v>
      </c>
      <c r="E39" s="34" t="s">
        <v>459</v>
      </c>
      <c r="F39" s="34" t="s">
        <v>459</v>
      </c>
      <c r="G39" s="31" t="s">
        <v>939</v>
      </c>
      <c r="H39" s="50" t="s">
        <v>461</v>
      </c>
      <c r="I39" s="42" t="s">
        <v>1335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619</v>
      </c>
      <c r="D40" s="42" t="s">
        <v>1348</v>
      </c>
      <c r="E40" s="34" t="s">
        <v>459</v>
      </c>
      <c r="F40" s="34" t="s">
        <v>459</v>
      </c>
      <c r="G40" s="31" t="s">
        <v>939</v>
      </c>
      <c r="H40" s="50" t="s">
        <v>461</v>
      </c>
      <c r="I40" s="42" t="s">
        <v>1335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524</v>
      </c>
      <c r="C41" s="42" t="s">
        <v>619</v>
      </c>
      <c r="D41" s="42" t="s">
        <v>1366</v>
      </c>
      <c r="E41" s="34" t="s">
        <v>459</v>
      </c>
      <c r="F41" s="34" t="s">
        <v>459</v>
      </c>
      <c r="G41" s="31" t="s">
        <v>939</v>
      </c>
      <c r="H41" s="50" t="s">
        <v>461</v>
      </c>
      <c r="I41" s="42" t="s">
        <v>1335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524</v>
      </c>
      <c r="C42" s="42" t="s">
        <v>619</v>
      </c>
      <c r="D42" s="42" t="s">
        <v>1367</v>
      </c>
      <c r="E42" s="34" t="s">
        <v>459</v>
      </c>
      <c r="F42" s="34" t="s">
        <v>459</v>
      </c>
      <c r="G42" s="31" t="s">
        <v>939</v>
      </c>
      <c r="H42" s="50" t="s">
        <v>461</v>
      </c>
      <c r="I42" s="42" t="s">
        <v>1335</v>
      </c>
      <c r="J42" s="42"/>
      <c r="K42" s="45" t="n">
        <f aca="false">IF(AND(E42="yes",F42="yes",H42="covered"),1,IF(H42="partial",0.5,0))</f>
        <v>1</v>
      </c>
    </row>
    <row r="43" customFormat="false" ht="45" hidden="false" customHeight="true" outlineLevel="0" collapsed="false">
      <c r="A43" s="31" t="n">
        <v>35</v>
      </c>
      <c r="B43" s="42" t="s">
        <v>483</v>
      </c>
      <c r="C43" s="42" t="s">
        <v>619</v>
      </c>
      <c r="D43" s="42" t="s">
        <v>1368</v>
      </c>
      <c r="E43" s="34" t="s">
        <v>459</v>
      </c>
      <c r="F43" s="34" t="s">
        <v>459</v>
      </c>
      <c r="G43" s="31" t="s">
        <v>939</v>
      </c>
      <c r="H43" s="50" t="s">
        <v>461</v>
      </c>
      <c r="I43" s="42" t="s">
        <v>1335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774</v>
      </c>
      <c r="C44" s="42" t="s">
        <v>619</v>
      </c>
      <c r="D44" s="42" t="s">
        <v>1355</v>
      </c>
      <c r="E44" s="34" t="s">
        <v>459</v>
      </c>
      <c r="F44" s="34" t="s">
        <v>459</v>
      </c>
      <c r="G44" s="31" t="s">
        <v>939</v>
      </c>
      <c r="H44" s="50" t="s">
        <v>461</v>
      </c>
      <c r="I44" s="42" t="s">
        <v>1335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457</v>
      </c>
      <c r="C45" s="42" t="s">
        <v>619</v>
      </c>
      <c r="D45" s="42" t="s">
        <v>1369</v>
      </c>
      <c r="E45" s="34" t="s">
        <v>459</v>
      </c>
      <c r="F45" s="34" t="s">
        <v>459</v>
      </c>
      <c r="G45" s="31" t="s">
        <v>939</v>
      </c>
      <c r="H45" s="50" t="s">
        <v>461</v>
      </c>
      <c r="I45" s="42" t="s">
        <v>1357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1358</v>
      </c>
      <c r="C46" s="42" t="s">
        <v>619</v>
      </c>
      <c r="D46" s="42" t="s">
        <v>1359</v>
      </c>
      <c r="E46" s="34" t="s">
        <v>459</v>
      </c>
      <c r="F46" s="34" t="s">
        <v>459</v>
      </c>
      <c r="G46" s="31" t="s">
        <v>939</v>
      </c>
      <c r="H46" s="50" t="s">
        <v>461</v>
      </c>
      <c r="I46" s="42" t="s">
        <v>1335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1358</v>
      </c>
      <c r="C47" s="42" t="s">
        <v>619</v>
      </c>
      <c r="D47" s="42" t="s">
        <v>1360</v>
      </c>
      <c r="E47" s="34" t="s">
        <v>459</v>
      </c>
      <c r="F47" s="34" t="s">
        <v>459</v>
      </c>
      <c r="G47" s="31" t="s">
        <v>939</v>
      </c>
      <c r="H47" s="50" t="s">
        <v>461</v>
      </c>
      <c r="I47" s="42" t="s">
        <v>1335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486</v>
      </c>
      <c r="C48" s="42" t="s">
        <v>500</v>
      </c>
      <c r="D48" s="42" t="s">
        <v>1365</v>
      </c>
      <c r="E48" s="34" t="s">
        <v>459</v>
      </c>
      <c r="F48" s="34" t="s">
        <v>459</v>
      </c>
      <c r="G48" s="31" t="s">
        <v>939</v>
      </c>
      <c r="H48" s="50" t="s">
        <v>461</v>
      </c>
      <c r="I48" s="42" t="s">
        <v>1335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486</v>
      </c>
      <c r="C49" s="42" t="s">
        <v>500</v>
      </c>
      <c r="D49" s="42" t="s">
        <v>1370</v>
      </c>
      <c r="E49" s="34" t="s">
        <v>459</v>
      </c>
      <c r="F49" s="34" t="s">
        <v>459</v>
      </c>
      <c r="G49" s="31" t="s">
        <v>939</v>
      </c>
      <c r="H49" s="50" t="s">
        <v>461</v>
      </c>
      <c r="I49" s="42" t="s">
        <v>1335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486</v>
      </c>
      <c r="C50" s="42" t="s">
        <v>500</v>
      </c>
      <c r="D50" s="42" t="s">
        <v>1371</v>
      </c>
      <c r="E50" s="34" t="s">
        <v>459</v>
      </c>
      <c r="F50" s="34" t="s">
        <v>459</v>
      </c>
      <c r="G50" s="31" t="s">
        <v>939</v>
      </c>
      <c r="H50" s="50" t="s">
        <v>461</v>
      </c>
      <c r="I50" s="42" t="s">
        <v>1335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486</v>
      </c>
      <c r="C51" s="42" t="s">
        <v>500</v>
      </c>
      <c r="D51" s="42" t="s">
        <v>1372</v>
      </c>
      <c r="E51" s="34" t="s">
        <v>459</v>
      </c>
      <c r="F51" s="34" t="s">
        <v>459</v>
      </c>
      <c r="G51" s="31" t="s">
        <v>939</v>
      </c>
      <c r="H51" s="50" t="s">
        <v>461</v>
      </c>
      <c r="I51" s="42" t="s">
        <v>1335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486</v>
      </c>
      <c r="C52" s="42" t="s">
        <v>500</v>
      </c>
      <c r="D52" s="42" t="s">
        <v>1373</v>
      </c>
      <c r="E52" s="34" t="s">
        <v>459</v>
      </c>
      <c r="F52" s="34" t="s">
        <v>459</v>
      </c>
      <c r="G52" s="31" t="s">
        <v>939</v>
      </c>
      <c r="H52" s="50" t="s">
        <v>461</v>
      </c>
      <c r="I52" s="42" t="s">
        <v>1335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486</v>
      </c>
      <c r="C53" s="42" t="s">
        <v>500</v>
      </c>
      <c r="D53" s="42" t="s">
        <v>1374</v>
      </c>
      <c r="E53" s="34" t="s">
        <v>459</v>
      </c>
      <c r="F53" s="34" t="s">
        <v>459</v>
      </c>
      <c r="G53" s="31" t="s">
        <v>939</v>
      </c>
      <c r="H53" s="50" t="s">
        <v>461</v>
      </c>
      <c r="I53" s="42" t="s">
        <v>1335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500</v>
      </c>
      <c r="D54" s="42" t="s">
        <v>1348</v>
      </c>
      <c r="E54" s="34" t="s">
        <v>459</v>
      </c>
      <c r="F54" s="34" t="s">
        <v>459</v>
      </c>
      <c r="G54" s="31" t="s">
        <v>939</v>
      </c>
      <c r="H54" s="50" t="s">
        <v>461</v>
      </c>
      <c r="I54" s="42" t="s">
        <v>1335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486</v>
      </c>
      <c r="C55" s="42" t="s">
        <v>500</v>
      </c>
      <c r="D55" s="42" t="s">
        <v>1375</v>
      </c>
      <c r="E55" s="34" t="s">
        <v>459</v>
      </c>
      <c r="F55" s="34" t="s">
        <v>459</v>
      </c>
      <c r="G55" s="31" t="s">
        <v>939</v>
      </c>
      <c r="H55" s="50" t="s">
        <v>461</v>
      </c>
      <c r="I55" s="42" t="s">
        <v>1335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882</v>
      </c>
      <c r="C56" s="42" t="s">
        <v>500</v>
      </c>
      <c r="D56" s="42" t="s">
        <v>1376</v>
      </c>
      <c r="E56" s="34" t="s">
        <v>459</v>
      </c>
      <c r="F56" s="34" t="s">
        <v>459</v>
      </c>
      <c r="G56" s="31" t="s">
        <v>939</v>
      </c>
      <c r="H56" s="50" t="s">
        <v>461</v>
      </c>
      <c r="I56" s="42" t="s">
        <v>1335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882</v>
      </c>
      <c r="C57" s="42" t="s">
        <v>500</v>
      </c>
      <c r="D57" s="42" t="s">
        <v>1377</v>
      </c>
      <c r="E57" s="34" t="s">
        <v>459</v>
      </c>
      <c r="F57" s="34" t="s">
        <v>459</v>
      </c>
      <c r="G57" s="31" t="s">
        <v>939</v>
      </c>
      <c r="H57" s="50" t="s">
        <v>461</v>
      </c>
      <c r="I57" s="42" t="s">
        <v>1335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882</v>
      </c>
      <c r="C58" s="42" t="s">
        <v>500</v>
      </c>
      <c r="D58" s="42" t="s">
        <v>1378</v>
      </c>
      <c r="E58" s="34" t="s">
        <v>459</v>
      </c>
      <c r="F58" s="34" t="s">
        <v>459</v>
      </c>
      <c r="G58" s="31" t="s">
        <v>939</v>
      </c>
      <c r="H58" s="50" t="s">
        <v>461</v>
      </c>
      <c r="I58" s="42" t="s">
        <v>1335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882</v>
      </c>
      <c r="C59" s="42" t="s">
        <v>500</v>
      </c>
      <c r="D59" s="42" t="s">
        <v>1379</v>
      </c>
      <c r="E59" s="34" t="s">
        <v>459</v>
      </c>
      <c r="F59" s="34" t="s">
        <v>459</v>
      </c>
      <c r="G59" s="31" t="s">
        <v>1380</v>
      </c>
      <c r="H59" s="50" t="s">
        <v>461</v>
      </c>
      <c r="I59" s="42" t="s">
        <v>1381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524</v>
      </c>
      <c r="C60" s="42" t="s">
        <v>500</v>
      </c>
      <c r="D60" s="42" t="s">
        <v>1382</v>
      </c>
      <c r="E60" s="34" t="s">
        <v>459</v>
      </c>
      <c r="F60" s="34" t="s">
        <v>459</v>
      </c>
      <c r="G60" s="31" t="s">
        <v>939</v>
      </c>
      <c r="H60" s="50" t="s">
        <v>461</v>
      </c>
      <c r="I60" s="42" t="s">
        <v>1335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524</v>
      </c>
      <c r="C61" s="42" t="s">
        <v>500</v>
      </c>
      <c r="D61" s="42" t="s">
        <v>1383</v>
      </c>
      <c r="E61" s="34" t="s">
        <v>459</v>
      </c>
      <c r="F61" s="34" t="s">
        <v>459</v>
      </c>
      <c r="G61" s="31" t="s">
        <v>939</v>
      </c>
      <c r="H61" s="50" t="s">
        <v>461</v>
      </c>
      <c r="I61" s="42" t="s">
        <v>1335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524</v>
      </c>
      <c r="C62" s="42" t="s">
        <v>500</v>
      </c>
      <c r="D62" s="42" t="s">
        <v>1384</v>
      </c>
      <c r="E62" s="34" t="s">
        <v>459</v>
      </c>
      <c r="F62" s="34" t="s">
        <v>459</v>
      </c>
      <c r="G62" s="31" t="s">
        <v>939</v>
      </c>
      <c r="H62" s="50" t="s">
        <v>461</v>
      </c>
      <c r="I62" s="42" t="s">
        <v>1335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524</v>
      </c>
      <c r="C63" s="42" t="s">
        <v>500</v>
      </c>
      <c r="D63" s="42" t="s">
        <v>1385</v>
      </c>
      <c r="E63" s="34" t="s">
        <v>459</v>
      </c>
      <c r="F63" s="34" t="s">
        <v>459</v>
      </c>
      <c r="G63" s="31" t="s">
        <v>939</v>
      </c>
      <c r="H63" s="50" t="s">
        <v>461</v>
      </c>
      <c r="I63" s="42" t="s">
        <v>1335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524</v>
      </c>
      <c r="C64" s="42" t="s">
        <v>500</v>
      </c>
      <c r="D64" s="42" t="s">
        <v>1386</v>
      </c>
      <c r="E64" s="34" t="s">
        <v>459</v>
      </c>
      <c r="F64" s="34" t="s">
        <v>459</v>
      </c>
      <c r="G64" s="31" t="s">
        <v>939</v>
      </c>
      <c r="H64" s="50" t="s">
        <v>461</v>
      </c>
      <c r="I64" s="42" t="s">
        <v>1335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524</v>
      </c>
      <c r="C65" s="42" t="s">
        <v>500</v>
      </c>
      <c r="D65" s="42" t="s">
        <v>1387</v>
      </c>
      <c r="E65" s="34" t="s">
        <v>459</v>
      </c>
      <c r="F65" s="34" t="s">
        <v>459</v>
      </c>
      <c r="G65" s="31" t="s">
        <v>939</v>
      </c>
      <c r="H65" s="50" t="s">
        <v>461</v>
      </c>
      <c r="I65" s="42" t="s">
        <v>1335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524</v>
      </c>
      <c r="C66" s="42" t="s">
        <v>500</v>
      </c>
      <c r="D66" s="42" t="s">
        <v>1388</v>
      </c>
      <c r="E66" s="34" t="s">
        <v>459</v>
      </c>
      <c r="F66" s="34" t="s">
        <v>459</v>
      </c>
      <c r="G66" s="31" t="s">
        <v>939</v>
      </c>
      <c r="H66" s="50" t="s">
        <v>461</v>
      </c>
      <c r="I66" s="42" t="s">
        <v>1335</v>
      </c>
      <c r="J66" s="42"/>
      <c r="K66" s="45" t="n">
        <f aca="false">IF(AND(E66="yes",F66="yes",H66="covered"),1,IF(H66="partial",0.5,0))</f>
        <v>1</v>
      </c>
    </row>
    <row r="67" customFormat="false" ht="45" hidden="false" customHeight="true" outlineLevel="0" collapsed="false">
      <c r="A67" s="31" t="n">
        <v>59</v>
      </c>
      <c r="B67" s="42" t="s">
        <v>524</v>
      </c>
      <c r="C67" s="42" t="s">
        <v>500</v>
      </c>
      <c r="D67" s="42" t="s">
        <v>1389</v>
      </c>
      <c r="E67" s="34" t="s">
        <v>459</v>
      </c>
      <c r="F67" s="34" t="s">
        <v>459</v>
      </c>
      <c r="G67" s="31" t="s">
        <v>939</v>
      </c>
      <c r="H67" s="50" t="s">
        <v>461</v>
      </c>
      <c r="I67" s="42" t="s">
        <v>1335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774</v>
      </c>
      <c r="C68" s="42" t="s">
        <v>500</v>
      </c>
      <c r="D68" s="42" t="s">
        <v>1355</v>
      </c>
      <c r="E68" s="34" t="s">
        <v>459</v>
      </c>
      <c r="F68" s="34" t="s">
        <v>459</v>
      </c>
      <c r="G68" s="31" t="s">
        <v>939</v>
      </c>
      <c r="H68" s="50" t="s">
        <v>461</v>
      </c>
      <c r="I68" s="42" t="s">
        <v>1335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457</v>
      </c>
      <c r="C69" s="42" t="s">
        <v>500</v>
      </c>
      <c r="D69" s="42" t="s">
        <v>1369</v>
      </c>
      <c r="E69" s="34" t="s">
        <v>459</v>
      </c>
      <c r="F69" s="34" t="s">
        <v>459</v>
      </c>
      <c r="G69" s="31" t="s">
        <v>939</v>
      </c>
      <c r="H69" s="50" t="s">
        <v>461</v>
      </c>
      <c r="I69" s="42" t="s">
        <v>1357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1358</v>
      </c>
      <c r="C70" s="42" t="s">
        <v>500</v>
      </c>
      <c r="D70" s="42" t="s">
        <v>1359</v>
      </c>
      <c r="E70" s="34" t="s">
        <v>459</v>
      </c>
      <c r="F70" s="34" t="s">
        <v>459</v>
      </c>
      <c r="G70" s="31" t="s">
        <v>939</v>
      </c>
      <c r="H70" s="50" t="s">
        <v>461</v>
      </c>
      <c r="I70" s="42" t="s">
        <v>1335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1358</v>
      </c>
      <c r="C71" s="42" t="s">
        <v>500</v>
      </c>
      <c r="D71" s="42" t="s">
        <v>1360</v>
      </c>
      <c r="E71" s="34" t="s">
        <v>459</v>
      </c>
      <c r="F71" s="34" t="s">
        <v>459</v>
      </c>
      <c r="G71" s="31" t="s">
        <v>939</v>
      </c>
      <c r="H71" s="50" t="s">
        <v>461</v>
      </c>
      <c r="I71" s="42" t="s">
        <v>1335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486</v>
      </c>
      <c r="C72" s="42" t="s">
        <v>668</v>
      </c>
      <c r="D72" s="42" t="s">
        <v>1390</v>
      </c>
      <c r="E72" s="34" t="s">
        <v>459</v>
      </c>
      <c r="F72" s="34" t="s">
        <v>459</v>
      </c>
      <c r="G72" s="31" t="s">
        <v>939</v>
      </c>
      <c r="H72" s="50" t="s">
        <v>461</v>
      </c>
      <c r="I72" s="42" t="s">
        <v>1335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486</v>
      </c>
      <c r="C73" s="42" t="s">
        <v>668</v>
      </c>
      <c r="D73" s="42" t="s">
        <v>1391</v>
      </c>
      <c r="E73" s="34" t="s">
        <v>459</v>
      </c>
      <c r="F73" s="34" t="s">
        <v>459</v>
      </c>
      <c r="G73" s="31" t="s">
        <v>939</v>
      </c>
      <c r="H73" s="50" t="s">
        <v>461</v>
      </c>
      <c r="I73" s="42" t="s">
        <v>1335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486</v>
      </c>
      <c r="C74" s="42" t="s">
        <v>668</v>
      </c>
      <c r="D74" s="42" t="s">
        <v>1392</v>
      </c>
      <c r="E74" s="34" t="s">
        <v>459</v>
      </c>
      <c r="F74" s="34" t="s">
        <v>459</v>
      </c>
      <c r="G74" s="31" t="s">
        <v>939</v>
      </c>
      <c r="H74" s="50" t="s">
        <v>461</v>
      </c>
      <c r="I74" s="42" t="s">
        <v>1335</v>
      </c>
      <c r="J74" s="42"/>
      <c r="K74" s="45" t="n">
        <f aca="false">IF(AND(E74="yes",F74="yes",H74="covered"),1,IF(H74="partial",0.5,0))</f>
        <v>1</v>
      </c>
    </row>
    <row r="75" customFormat="false" ht="45" hidden="false" customHeight="true" outlineLevel="0" collapsed="false">
      <c r="A75" s="31" t="n">
        <v>67</v>
      </c>
      <c r="B75" s="42" t="s">
        <v>486</v>
      </c>
      <c r="C75" s="42" t="s">
        <v>668</v>
      </c>
      <c r="D75" s="42" t="s">
        <v>1393</v>
      </c>
      <c r="E75" s="34" t="s">
        <v>459</v>
      </c>
      <c r="F75" s="34" t="s">
        <v>459</v>
      </c>
      <c r="G75" s="31" t="s">
        <v>939</v>
      </c>
      <c r="H75" s="50" t="s">
        <v>461</v>
      </c>
      <c r="I75" s="42" t="s">
        <v>1335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774</v>
      </c>
      <c r="C76" s="42" t="s">
        <v>668</v>
      </c>
      <c r="D76" s="42" t="s">
        <v>1394</v>
      </c>
      <c r="E76" s="34" t="s">
        <v>459</v>
      </c>
      <c r="F76" s="34" t="s">
        <v>459</v>
      </c>
      <c r="G76" s="31" t="s">
        <v>939</v>
      </c>
      <c r="H76" s="50" t="s">
        <v>461</v>
      </c>
      <c r="I76" s="42" t="s">
        <v>1335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457</v>
      </c>
      <c r="C77" s="42" t="s">
        <v>668</v>
      </c>
      <c r="D77" s="42" t="s">
        <v>1395</v>
      </c>
      <c r="E77" s="34" t="s">
        <v>459</v>
      </c>
      <c r="F77" s="34" t="s">
        <v>459</v>
      </c>
      <c r="G77" s="31" t="s">
        <v>939</v>
      </c>
      <c r="H77" s="50" t="s">
        <v>461</v>
      </c>
      <c r="I77" s="42" t="s">
        <v>1357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1358</v>
      </c>
      <c r="C78" s="42" t="s">
        <v>668</v>
      </c>
      <c r="D78" s="42" t="s">
        <v>1359</v>
      </c>
      <c r="E78" s="34" t="s">
        <v>459</v>
      </c>
      <c r="F78" s="34" t="s">
        <v>459</v>
      </c>
      <c r="G78" s="31" t="s">
        <v>939</v>
      </c>
      <c r="H78" s="50" t="s">
        <v>461</v>
      </c>
      <c r="I78" s="42" t="s">
        <v>1335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1358</v>
      </c>
      <c r="C79" s="42" t="s">
        <v>668</v>
      </c>
      <c r="D79" s="42" t="s">
        <v>1360</v>
      </c>
      <c r="E79" s="34" t="s">
        <v>459</v>
      </c>
      <c r="F79" s="34" t="s">
        <v>459</v>
      </c>
      <c r="G79" s="31" t="s">
        <v>939</v>
      </c>
      <c r="H79" s="50" t="s">
        <v>461</v>
      </c>
      <c r="I79" s="42" t="s">
        <v>1335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486</v>
      </c>
      <c r="C80" s="42" t="s">
        <v>686</v>
      </c>
      <c r="D80" s="42" t="s">
        <v>1396</v>
      </c>
      <c r="E80" s="34" t="s">
        <v>459</v>
      </c>
      <c r="F80" s="34" t="s">
        <v>459</v>
      </c>
      <c r="G80" s="31" t="s">
        <v>939</v>
      </c>
      <c r="H80" s="50" t="s">
        <v>461</v>
      </c>
      <c r="I80" s="42" t="s">
        <v>1335</v>
      </c>
      <c r="J80" s="42"/>
      <c r="K80" s="45" t="n">
        <f aca="false">IF(AND(E80="yes",F80="yes",H80="covered"),1,IF(H80="partial",0.5,0))</f>
        <v>1</v>
      </c>
    </row>
    <row r="81" customFormat="false" ht="45" hidden="false" customHeight="true" outlineLevel="0" collapsed="false">
      <c r="A81" s="31" t="n">
        <v>73</v>
      </c>
      <c r="B81" s="42" t="s">
        <v>486</v>
      </c>
      <c r="C81" s="42" t="s">
        <v>686</v>
      </c>
      <c r="D81" s="42" t="s">
        <v>1397</v>
      </c>
      <c r="E81" s="34" t="s">
        <v>459</v>
      </c>
      <c r="F81" s="34" t="s">
        <v>459</v>
      </c>
      <c r="G81" s="31" t="s">
        <v>939</v>
      </c>
      <c r="H81" s="50" t="s">
        <v>461</v>
      </c>
      <c r="I81" s="42" t="s">
        <v>1335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774</v>
      </c>
      <c r="C82" s="42" t="s">
        <v>686</v>
      </c>
      <c r="D82" s="42" t="s">
        <v>1398</v>
      </c>
      <c r="E82" s="34" t="s">
        <v>459</v>
      </c>
      <c r="F82" s="34" t="s">
        <v>459</v>
      </c>
      <c r="G82" s="31" t="s">
        <v>939</v>
      </c>
      <c r="H82" s="50" t="s">
        <v>461</v>
      </c>
      <c r="I82" s="42" t="s">
        <v>1335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457</v>
      </c>
      <c r="C83" s="42" t="s">
        <v>686</v>
      </c>
      <c r="D83" s="42" t="s">
        <v>1399</v>
      </c>
      <c r="E83" s="34" t="s">
        <v>459</v>
      </c>
      <c r="F83" s="34" t="s">
        <v>459</v>
      </c>
      <c r="G83" s="31" t="s">
        <v>939</v>
      </c>
      <c r="H83" s="50" t="s">
        <v>461</v>
      </c>
      <c r="I83" s="42" t="s">
        <v>1357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1358</v>
      </c>
      <c r="C84" s="42" t="s">
        <v>686</v>
      </c>
      <c r="D84" s="42" t="s">
        <v>1359</v>
      </c>
      <c r="E84" s="34" t="s">
        <v>459</v>
      </c>
      <c r="F84" s="34" t="s">
        <v>459</v>
      </c>
      <c r="G84" s="31" t="s">
        <v>939</v>
      </c>
      <c r="H84" s="50" t="s">
        <v>461</v>
      </c>
      <c r="I84" s="42" t="s">
        <v>1335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1358</v>
      </c>
      <c r="C85" s="42" t="s">
        <v>686</v>
      </c>
      <c r="D85" s="42" t="s">
        <v>1360</v>
      </c>
      <c r="E85" s="34" t="s">
        <v>459</v>
      </c>
      <c r="F85" s="34" t="s">
        <v>459</v>
      </c>
      <c r="G85" s="31" t="s">
        <v>939</v>
      </c>
      <c r="H85" s="50" t="s">
        <v>461</v>
      </c>
      <c r="I85" s="42" t="s">
        <v>1335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486</v>
      </c>
      <c r="C86" s="42" t="s">
        <v>1400</v>
      </c>
      <c r="D86" s="42" t="s">
        <v>1401</v>
      </c>
      <c r="E86" s="34" t="s">
        <v>459</v>
      </c>
      <c r="F86" s="34" t="s">
        <v>459</v>
      </c>
      <c r="G86" s="31" t="s">
        <v>939</v>
      </c>
      <c r="H86" s="50" t="s">
        <v>461</v>
      </c>
      <c r="I86" s="42" t="s">
        <v>1335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486</v>
      </c>
      <c r="C87" s="42" t="s">
        <v>1400</v>
      </c>
      <c r="D87" s="42" t="s">
        <v>1402</v>
      </c>
      <c r="E87" s="34" t="s">
        <v>459</v>
      </c>
      <c r="F87" s="34" t="s">
        <v>459</v>
      </c>
      <c r="G87" s="31" t="s">
        <v>939</v>
      </c>
      <c r="H87" s="50" t="s">
        <v>461</v>
      </c>
      <c r="I87" s="42" t="s">
        <v>1335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486</v>
      </c>
      <c r="C88" s="42" t="s">
        <v>1400</v>
      </c>
      <c r="D88" s="42" t="s">
        <v>1403</v>
      </c>
      <c r="E88" s="34" t="s">
        <v>459</v>
      </c>
      <c r="F88" s="34" t="s">
        <v>459</v>
      </c>
      <c r="G88" s="31" t="s">
        <v>939</v>
      </c>
      <c r="H88" s="50" t="s">
        <v>461</v>
      </c>
      <c r="I88" s="42" t="s">
        <v>1335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483</v>
      </c>
      <c r="C89" s="42" t="s">
        <v>1400</v>
      </c>
      <c r="D89" s="42" t="s">
        <v>1351</v>
      </c>
      <c r="E89" s="34" t="s">
        <v>459</v>
      </c>
      <c r="F89" s="34" t="s">
        <v>459</v>
      </c>
      <c r="G89" s="31" t="s">
        <v>939</v>
      </c>
      <c r="H89" s="50" t="s">
        <v>461</v>
      </c>
      <c r="I89" s="42" t="s">
        <v>1335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483</v>
      </c>
      <c r="C90" s="42" t="s">
        <v>1400</v>
      </c>
      <c r="D90" s="42" t="s">
        <v>1352</v>
      </c>
      <c r="E90" s="34" t="s">
        <v>459</v>
      </c>
      <c r="F90" s="34" t="s">
        <v>459</v>
      </c>
      <c r="G90" s="31" t="s">
        <v>939</v>
      </c>
      <c r="H90" s="50" t="s">
        <v>461</v>
      </c>
      <c r="I90" s="42" t="s">
        <v>1335</v>
      </c>
      <c r="J90" s="42"/>
      <c r="K90" s="45" t="n">
        <f aca="false">IF(AND(E90="yes",F90="yes",H90="covered"),1,IF(H90="partial",0.5,0))</f>
        <v>1</v>
      </c>
    </row>
    <row r="91" customFormat="false" ht="45" hidden="false" customHeight="true" outlineLevel="0" collapsed="false">
      <c r="A91" s="31" t="n">
        <v>83</v>
      </c>
      <c r="B91" s="42" t="s">
        <v>483</v>
      </c>
      <c r="C91" s="42" t="s">
        <v>1400</v>
      </c>
      <c r="D91" s="42" t="s">
        <v>1353</v>
      </c>
      <c r="E91" s="34" t="s">
        <v>459</v>
      </c>
      <c r="F91" s="34" t="s">
        <v>459</v>
      </c>
      <c r="G91" s="31" t="s">
        <v>939</v>
      </c>
      <c r="H91" s="50" t="s">
        <v>461</v>
      </c>
      <c r="I91" s="42" t="s">
        <v>1335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774</v>
      </c>
      <c r="C92" s="42" t="s">
        <v>1400</v>
      </c>
      <c r="D92" s="42" t="s">
        <v>1355</v>
      </c>
      <c r="E92" s="34" t="s">
        <v>459</v>
      </c>
      <c r="F92" s="34" t="s">
        <v>459</v>
      </c>
      <c r="G92" s="31" t="s">
        <v>939</v>
      </c>
      <c r="H92" s="50" t="s">
        <v>461</v>
      </c>
      <c r="I92" s="42" t="s">
        <v>1335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457</v>
      </c>
      <c r="C93" s="42" t="s">
        <v>1400</v>
      </c>
      <c r="D93" s="42" t="s">
        <v>1356</v>
      </c>
      <c r="E93" s="34" t="s">
        <v>459</v>
      </c>
      <c r="F93" s="34" t="s">
        <v>459</v>
      </c>
      <c r="G93" s="31" t="s">
        <v>939</v>
      </c>
      <c r="H93" s="50" t="s">
        <v>461</v>
      </c>
      <c r="I93" s="42" t="s">
        <v>1357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1358</v>
      </c>
      <c r="C94" s="42" t="s">
        <v>1400</v>
      </c>
      <c r="D94" s="42" t="s">
        <v>1359</v>
      </c>
      <c r="E94" s="34" t="s">
        <v>459</v>
      </c>
      <c r="F94" s="34" t="s">
        <v>459</v>
      </c>
      <c r="G94" s="31" t="s">
        <v>939</v>
      </c>
      <c r="H94" s="50" t="s">
        <v>461</v>
      </c>
      <c r="I94" s="42" t="s">
        <v>1335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1358</v>
      </c>
      <c r="C95" s="42" t="s">
        <v>1400</v>
      </c>
      <c r="D95" s="42" t="s">
        <v>1360</v>
      </c>
      <c r="E95" s="34" t="s">
        <v>459</v>
      </c>
      <c r="F95" s="34" t="s">
        <v>459</v>
      </c>
      <c r="G95" s="31" t="s">
        <v>939</v>
      </c>
      <c r="H95" s="50" t="s">
        <v>461</v>
      </c>
      <c r="I95" s="42" t="s">
        <v>1335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524</v>
      </c>
      <c r="C96" s="42" t="s">
        <v>531</v>
      </c>
      <c r="D96" s="42" t="s">
        <v>1404</v>
      </c>
      <c r="E96" s="34" t="s">
        <v>459</v>
      </c>
      <c r="F96" s="34" t="s">
        <v>459</v>
      </c>
      <c r="G96" s="31" t="s">
        <v>939</v>
      </c>
      <c r="H96" s="50" t="s">
        <v>461</v>
      </c>
      <c r="I96" s="42" t="s">
        <v>1335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524</v>
      </c>
      <c r="C97" s="42" t="s">
        <v>531</v>
      </c>
      <c r="D97" s="42" t="s">
        <v>1405</v>
      </c>
      <c r="E97" s="34" t="s">
        <v>459</v>
      </c>
      <c r="F97" s="34" t="s">
        <v>459</v>
      </c>
      <c r="G97" s="31" t="s">
        <v>939</v>
      </c>
      <c r="H97" s="50" t="s">
        <v>461</v>
      </c>
      <c r="I97" s="42" t="s">
        <v>1335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524</v>
      </c>
      <c r="C98" s="42" t="s">
        <v>531</v>
      </c>
      <c r="D98" s="42" t="s">
        <v>1406</v>
      </c>
      <c r="E98" s="34" t="s">
        <v>459</v>
      </c>
      <c r="F98" s="34" t="s">
        <v>459</v>
      </c>
      <c r="G98" s="31" t="s">
        <v>939</v>
      </c>
      <c r="H98" s="50" t="s">
        <v>461</v>
      </c>
      <c r="I98" s="42" t="s">
        <v>1335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524</v>
      </c>
      <c r="C99" s="42" t="s">
        <v>1407</v>
      </c>
      <c r="D99" s="42" t="s">
        <v>1408</v>
      </c>
      <c r="E99" s="34" t="s">
        <v>459</v>
      </c>
      <c r="F99" s="34" t="s">
        <v>459</v>
      </c>
      <c r="G99" s="31" t="s">
        <v>939</v>
      </c>
      <c r="H99" s="50" t="s">
        <v>461</v>
      </c>
      <c r="I99" s="42" t="s">
        <v>1335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524</v>
      </c>
      <c r="C100" s="42" t="s">
        <v>498</v>
      </c>
      <c r="D100" s="42" t="s">
        <v>180</v>
      </c>
      <c r="E100" s="34" t="s">
        <v>459</v>
      </c>
      <c r="F100" s="34" t="s">
        <v>459</v>
      </c>
      <c r="G100" s="31" t="s">
        <v>1409</v>
      </c>
      <c r="H100" s="50" t="s">
        <v>461</v>
      </c>
      <c r="I100" s="42" t="s">
        <v>1381</v>
      </c>
      <c r="J100" s="42" t="s">
        <v>1410</v>
      </c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524</v>
      </c>
      <c r="C101" s="42" t="s">
        <v>1411</v>
      </c>
      <c r="D101" s="42" t="s">
        <v>200</v>
      </c>
      <c r="E101" s="34" t="s">
        <v>459</v>
      </c>
      <c r="F101" s="34" t="s">
        <v>459</v>
      </c>
      <c r="G101" s="31" t="s">
        <v>1409</v>
      </c>
      <c r="H101" s="50" t="s">
        <v>461</v>
      </c>
      <c r="I101" s="42" t="s">
        <v>1381</v>
      </c>
      <c r="J101" s="42" t="s">
        <v>1410</v>
      </c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1056</v>
      </c>
      <c r="C102" s="42" t="s">
        <v>30</v>
      </c>
      <c r="D102" s="42" t="s">
        <v>211</v>
      </c>
      <c r="E102" s="34" t="s">
        <v>459</v>
      </c>
      <c r="F102" s="34" t="s">
        <v>459</v>
      </c>
      <c r="G102" s="31" t="s">
        <v>1409</v>
      </c>
      <c r="H102" s="50" t="s">
        <v>461</v>
      </c>
      <c r="I102" s="42" t="s">
        <v>1381</v>
      </c>
      <c r="J102" s="42" t="s">
        <v>1410</v>
      </c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529</v>
      </c>
      <c r="C103" s="42" t="s">
        <v>30</v>
      </c>
      <c r="D103" s="42" t="s">
        <v>220</v>
      </c>
      <c r="E103" s="34" t="s">
        <v>459</v>
      </c>
      <c r="F103" s="34" t="s">
        <v>459</v>
      </c>
      <c r="G103" s="31" t="s">
        <v>1409</v>
      </c>
      <c r="H103" s="50" t="s">
        <v>461</v>
      </c>
      <c r="I103" s="42" t="s">
        <v>1381</v>
      </c>
      <c r="J103" s="42" t="s">
        <v>1410</v>
      </c>
      <c r="K103" s="45" t="n">
        <f aca="false">IF(AND(E103="yes",F103="yes",H103="covered"),1,IF(H103="partial",0.5,0))</f>
        <v>1</v>
      </c>
    </row>
    <row r="104" customFormat="false" ht="54" hidden="false" customHeight="true" outlineLevel="0" collapsed="false">
      <c r="A104" s="31" t="n">
        <v>96</v>
      </c>
      <c r="B104" s="42" t="s">
        <v>882</v>
      </c>
      <c r="C104" s="42" t="s">
        <v>500</v>
      </c>
      <c r="D104" s="42" t="s">
        <v>1412</v>
      </c>
      <c r="E104" s="34" t="s">
        <v>459</v>
      </c>
      <c r="F104" s="34" t="s">
        <v>459</v>
      </c>
      <c r="G104" s="31" t="s">
        <v>1380</v>
      </c>
      <c r="H104" s="50" t="s">
        <v>461</v>
      </c>
      <c r="I104" s="42" t="s">
        <v>1381</v>
      </c>
      <c r="J104" s="42"/>
      <c r="K104" s="45" t="n">
        <f aca="false">IF(AND(E104="yes",F104="yes",H104="covered"),1,IF(H104="partial",0.5,0))</f>
        <v>1</v>
      </c>
    </row>
    <row r="105" customFormat="false" ht="54" hidden="false" customHeight="true" outlineLevel="0" collapsed="false">
      <c r="A105" s="31" t="n">
        <v>97</v>
      </c>
      <c r="B105" s="42" t="s">
        <v>882</v>
      </c>
      <c r="C105" s="42" t="s">
        <v>686</v>
      </c>
      <c r="D105" s="42" t="s">
        <v>1413</v>
      </c>
      <c r="E105" s="34" t="s">
        <v>459</v>
      </c>
      <c r="F105" s="34" t="s">
        <v>459</v>
      </c>
      <c r="G105" s="31" t="s">
        <v>1380</v>
      </c>
      <c r="H105" s="50" t="s">
        <v>461</v>
      </c>
      <c r="I105" s="42" t="s">
        <v>1381</v>
      </c>
      <c r="J105" s="42"/>
      <c r="K105" s="45" t="n">
        <f aca="false">IF(AND(E105="yes",F105="yes",H105="covered"),1,IF(H105="partial",0.5,0))</f>
        <v>1</v>
      </c>
    </row>
    <row r="106" customFormat="false" ht="54" hidden="false" customHeight="true" outlineLevel="0" collapsed="false">
      <c r="A106" s="31" t="n">
        <v>98</v>
      </c>
      <c r="B106" s="42" t="s">
        <v>529</v>
      </c>
      <c r="C106" s="42" t="s">
        <v>500</v>
      </c>
      <c r="D106" s="42" t="s">
        <v>1414</v>
      </c>
      <c r="E106" s="34" t="s">
        <v>459</v>
      </c>
      <c r="F106" s="34" t="s">
        <v>459</v>
      </c>
      <c r="G106" s="31" t="s">
        <v>1380</v>
      </c>
      <c r="H106" s="50" t="s">
        <v>461</v>
      </c>
      <c r="I106" s="42" t="s">
        <v>1381</v>
      </c>
      <c r="J106" s="42"/>
      <c r="K106" s="45" t="n">
        <f aca="false">IF(AND(E106="yes",F106="yes",H106="covered"),1,IF(H106="partial",0.5,0))</f>
        <v>1</v>
      </c>
    </row>
    <row r="107" customFormat="false" ht="54" hidden="false" customHeight="true" outlineLevel="0" collapsed="false">
      <c r="A107" s="31" t="n">
        <v>99</v>
      </c>
      <c r="B107" s="42" t="s">
        <v>529</v>
      </c>
      <c r="C107" s="42" t="s">
        <v>500</v>
      </c>
      <c r="D107" s="42" t="s">
        <v>1415</v>
      </c>
      <c r="E107" s="34" t="s">
        <v>459</v>
      </c>
      <c r="F107" s="34" t="s">
        <v>459</v>
      </c>
      <c r="G107" s="31" t="s">
        <v>1380</v>
      </c>
      <c r="H107" s="50" t="s">
        <v>461</v>
      </c>
      <c r="I107" s="42" t="s">
        <v>1381</v>
      </c>
      <c r="J107" s="42"/>
      <c r="K107" s="45" t="n">
        <f aca="false">IF(AND(E107="yes",F107="yes",H107="covered"),1,IF(H107="partial",0.5,0))</f>
        <v>1</v>
      </c>
    </row>
    <row r="108" customFormat="false" ht="54" hidden="false" customHeight="true" outlineLevel="0" collapsed="false">
      <c r="A108" s="31" t="n">
        <v>100</v>
      </c>
      <c r="B108" s="42" t="s">
        <v>1416</v>
      </c>
      <c r="C108" s="42" t="s">
        <v>30</v>
      </c>
      <c r="D108" s="42" t="s">
        <v>1417</v>
      </c>
      <c r="E108" s="34" t="s">
        <v>459</v>
      </c>
      <c r="F108" s="34" t="s">
        <v>459</v>
      </c>
      <c r="G108" s="31" t="s">
        <v>1380</v>
      </c>
      <c r="H108" s="50" t="s">
        <v>461</v>
      </c>
      <c r="I108" s="42" t="s">
        <v>1381</v>
      </c>
      <c r="J108" s="42"/>
      <c r="K108" s="45" t="n">
        <f aca="false">IF(AND(E108="yes",F108="yes",H108="covered"),1,IF(H108="partial",0.5,0))</f>
        <v>1</v>
      </c>
    </row>
    <row r="109" customFormat="false" ht="54" hidden="false" customHeight="true" outlineLevel="0" collapsed="false">
      <c r="A109" s="31" t="n">
        <v>101</v>
      </c>
      <c r="B109" s="42" t="s">
        <v>55</v>
      </c>
      <c r="C109" s="42" t="s">
        <v>61</v>
      </c>
      <c r="D109" s="42" t="s">
        <v>1418</v>
      </c>
      <c r="E109" s="34" t="s">
        <v>459</v>
      </c>
      <c r="F109" s="34" t="s">
        <v>459</v>
      </c>
      <c r="G109" s="31" t="s">
        <v>1380</v>
      </c>
      <c r="H109" s="50" t="s">
        <v>461</v>
      </c>
      <c r="I109" s="42" t="s">
        <v>1381</v>
      </c>
      <c r="J109" s="42"/>
      <c r="K109" s="45" t="n">
        <f aca="false">IF(AND(E109="yes",F109="yes",H109="covered"),1,IF(H109="partial",0.5,0))</f>
        <v>1</v>
      </c>
    </row>
    <row r="110" customFormat="false" ht="54" hidden="false" customHeight="true" outlineLevel="0" collapsed="false">
      <c r="A110" s="31" t="n">
        <v>102</v>
      </c>
      <c r="B110" s="42" t="s">
        <v>55</v>
      </c>
      <c r="C110" s="42" t="s">
        <v>1419</v>
      </c>
      <c r="D110" s="42" t="s">
        <v>1420</v>
      </c>
      <c r="E110" s="34" t="s">
        <v>459</v>
      </c>
      <c r="F110" s="34" t="s">
        <v>459</v>
      </c>
      <c r="G110" s="31" t="s">
        <v>1380</v>
      </c>
      <c r="H110" s="50" t="s">
        <v>461</v>
      </c>
      <c r="I110" s="42" t="s">
        <v>1381</v>
      </c>
      <c r="J110" s="42"/>
      <c r="K110" s="45" t="n">
        <f aca="false">IF(AND(E110="yes",F110="yes",H110="covered"),1,IF(H110="partial",0.5,0))</f>
        <v>1</v>
      </c>
    </row>
    <row r="111" customFormat="false" ht="54" hidden="false" customHeight="true" outlineLevel="0" collapsed="false">
      <c r="A111" s="31" t="n">
        <v>103</v>
      </c>
      <c r="B111" s="42" t="s">
        <v>1421</v>
      </c>
      <c r="C111" s="42" t="s">
        <v>1422</v>
      </c>
      <c r="D111" s="42" t="s">
        <v>1423</v>
      </c>
      <c r="E111" s="34" t="s">
        <v>459</v>
      </c>
      <c r="F111" s="34" t="s">
        <v>459</v>
      </c>
      <c r="G111" s="31" t="s">
        <v>1380</v>
      </c>
      <c r="H111" s="50" t="s">
        <v>461</v>
      </c>
      <c r="I111" s="42" t="s">
        <v>1381</v>
      </c>
      <c r="J111" s="42"/>
      <c r="K111" s="45" t="n">
        <f aca="false">IF(AND(E111="yes",F111="yes",H111="covered"),1,IF(H111="partial",0.5,0))</f>
        <v>1</v>
      </c>
    </row>
    <row r="112" customFormat="false" ht="54" hidden="false" customHeight="true" outlineLevel="0" collapsed="false">
      <c r="A112" s="31" t="n">
        <v>104</v>
      </c>
      <c r="B112" s="42" t="s">
        <v>524</v>
      </c>
      <c r="C112" s="42" t="s">
        <v>619</v>
      </c>
      <c r="D112" s="42" t="s">
        <v>1424</v>
      </c>
      <c r="E112" s="34" t="s">
        <v>459</v>
      </c>
      <c r="F112" s="34" t="s">
        <v>459</v>
      </c>
      <c r="G112" s="31" t="s">
        <v>1380</v>
      </c>
      <c r="H112" s="50" t="s">
        <v>461</v>
      </c>
      <c r="I112" s="42" t="s">
        <v>1381</v>
      </c>
      <c r="J112" s="42"/>
      <c r="K112" s="45" t="n">
        <f aca="false">IF(AND(E112="yes",F112="yes",H112="covered"),1,IF(H112="partial",0.5,0))</f>
        <v>1</v>
      </c>
    </row>
  </sheetData>
  <mergeCells count="3">
    <mergeCell ref="A1:H1"/>
    <mergeCell ref="A2:H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1425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IFERROR(SUM(K9:K34)/COUNTA(A9:A34),0)</f>
        <v>1</v>
      </c>
      <c r="C4" s="28" t="s">
        <v>8</v>
      </c>
      <c r="D4" s="40" t="n">
        <f aca="false">COUNTIF(H9:H34,"covered")</f>
        <v>26</v>
      </c>
      <c r="E4" s="28" t="s">
        <v>9</v>
      </c>
      <c r="F4" s="40" t="n">
        <f aca="false">COUNTIF(H9:H34,"partial")</f>
        <v>0</v>
      </c>
      <c r="G4" s="28" t="s">
        <v>10</v>
      </c>
      <c r="H4" s="40" t="n">
        <f aca="false">COUNTIF(H9:H34,"missing")</f>
        <v>0</v>
      </c>
      <c r="I4" s="28" t="s">
        <v>11</v>
      </c>
      <c r="J4" s="40" t="n">
        <f aca="false">COUNTIF(F9:F34,"no")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47" t="n">
        <v>1</v>
      </c>
      <c r="B9" s="48" t="s">
        <v>456</v>
      </c>
      <c r="C9" s="48" t="s">
        <v>457</v>
      </c>
      <c r="D9" s="48" t="s">
        <v>458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1333</v>
      </c>
      <c r="J9" s="48"/>
      <c r="K9" s="49" t="n">
        <f aca="false">IF(H9="covered",1,IF(H9="partial",0.5,0))</f>
        <v>1</v>
      </c>
    </row>
    <row r="10" customFormat="false" ht="15" hidden="false" customHeight="true" outlineLevel="0" collapsed="false">
      <c r="A10" s="47" t="n">
        <v>2</v>
      </c>
      <c r="B10" s="48" t="s">
        <v>456</v>
      </c>
      <c r="C10" s="48" t="s">
        <v>457</v>
      </c>
      <c r="D10" s="48" t="s">
        <v>463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1333</v>
      </c>
      <c r="J10" s="48"/>
      <c r="K10" s="49" t="n">
        <f aca="false">IF(H10="covered",1,IF(H10="partial",0.5,0))</f>
        <v>1</v>
      </c>
    </row>
    <row r="11" customFormat="false" ht="15" hidden="false" customHeight="true" outlineLevel="0" collapsed="false">
      <c r="A11" s="47" t="n">
        <v>3</v>
      </c>
      <c r="B11" s="48" t="s">
        <v>456</v>
      </c>
      <c r="C11" s="48" t="s">
        <v>31</v>
      </c>
      <c r="D11" s="48" t="s">
        <v>464</v>
      </c>
      <c r="E11" s="47" t="s">
        <v>459</v>
      </c>
      <c r="F11" s="47" t="s">
        <v>459</v>
      </c>
      <c r="G11" s="47" t="s">
        <v>110</v>
      </c>
      <c r="H11" s="47" t="s">
        <v>461</v>
      </c>
      <c r="I11" s="48" t="s">
        <v>1426</v>
      </c>
      <c r="J11" s="48"/>
      <c r="K11" s="49" t="n">
        <f aca="false">IF(H11="covered",1,IF(H11="partial",0.5,0))</f>
        <v>1</v>
      </c>
    </row>
    <row r="12" customFormat="false" ht="15" hidden="false" customHeight="true" outlineLevel="0" collapsed="false">
      <c r="A12" s="47" t="n">
        <v>4</v>
      </c>
      <c r="B12" s="48" t="s">
        <v>456</v>
      </c>
      <c r="C12" s="48" t="s">
        <v>31</v>
      </c>
      <c r="D12" s="48" t="s">
        <v>465</v>
      </c>
      <c r="E12" s="47" t="s">
        <v>459</v>
      </c>
      <c r="F12" s="47" t="s">
        <v>459</v>
      </c>
      <c r="G12" s="47" t="s">
        <v>110</v>
      </c>
      <c r="H12" s="47" t="s">
        <v>461</v>
      </c>
      <c r="I12" s="48" t="s">
        <v>1426</v>
      </c>
      <c r="J12" s="48"/>
      <c r="K12" s="49" t="n">
        <f aca="false">IF(H12="covered",1,IF(H12="partial",0.5,0))</f>
        <v>1</v>
      </c>
    </row>
    <row r="13" customFormat="false" ht="15" hidden="false" customHeight="true" outlineLevel="0" collapsed="false">
      <c r="A13" s="47" t="n">
        <v>5</v>
      </c>
      <c r="B13" s="48" t="s">
        <v>456</v>
      </c>
      <c r="C13" s="48" t="s">
        <v>31</v>
      </c>
      <c r="D13" s="48" t="s">
        <v>466</v>
      </c>
      <c r="E13" s="47" t="s">
        <v>459</v>
      </c>
      <c r="F13" s="47" t="s">
        <v>459</v>
      </c>
      <c r="G13" s="47" t="s">
        <v>110</v>
      </c>
      <c r="H13" s="47" t="s">
        <v>461</v>
      </c>
      <c r="I13" s="48" t="s">
        <v>1426</v>
      </c>
      <c r="J13" s="48"/>
      <c r="K13" s="49" t="n">
        <f aca="false">IF(H13="covered",1,IF(H13="partial",0.5,0))</f>
        <v>1</v>
      </c>
    </row>
    <row r="14" customFormat="false" ht="15" hidden="false" customHeight="true" outlineLevel="0" collapsed="false">
      <c r="A14" s="47" t="n">
        <v>6</v>
      </c>
      <c r="B14" s="48" t="s">
        <v>456</v>
      </c>
      <c r="C14" s="48" t="s">
        <v>31</v>
      </c>
      <c r="D14" s="48" t="s">
        <v>467</v>
      </c>
      <c r="E14" s="47" t="s">
        <v>459</v>
      </c>
      <c r="F14" s="47" t="s">
        <v>459</v>
      </c>
      <c r="G14" s="47" t="s">
        <v>110</v>
      </c>
      <c r="H14" s="47" t="s">
        <v>461</v>
      </c>
      <c r="I14" s="48" t="s">
        <v>1426</v>
      </c>
      <c r="J14" s="48"/>
      <c r="K14" s="49" t="n">
        <f aca="false">IF(H14="covered",1,IF(H14="partial",0.5,0))</f>
        <v>1</v>
      </c>
    </row>
    <row r="15" customFormat="false" ht="15" hidden="false" customHeight="true" outlineLevel="0" collapsed="false">
      <c r="A15" s="47" t="n">
        <v>7</v>
      </c>
      <c r="B15" s="48" t="s">
        <v>468</v>
      </c>
      <c r="C15" s="48" t="s">
        <v>31</v>
      </c>
      <c r="D15" s="48" t="s">
        <v>1427</v>
      </c>
      <c r="E15" s="47" t="s">
        <v>459</v>
      </c>
      <c r="F15" s="47" t="s">
        <v>459</v>
      </c>
      <c r="G15" s="47" t="s">
        <v>110</v>
      </c>
      <c r="H15" s="47" t="s">
        <v>461</v>
      </c>
      <c r="I15" s="48" t="s">
        <v>1426</v>
      </c>
      <c r="J15" s="48"/>
      <c r="K15" s="49" t="n">
        <f aca="false">IF(H15="covered",1,IF(H15="partial",0.5,0))</f>
        <v>1</v>
      </c>
    </row>
    <row r="16" customFormat="false" ht="15" hidden="false" customHeight="true" outlineLevel="0" collapsed="false">
      <c r="A16" s="47" t="n">
        <v>8</v>
      </c>
      <c r="B16" s="48" t="s">
        <v>468</v>
      </c>
      <c r="C16" s="48" t="s">
        <v>31</v>
      </c>
      <c r="D16" s="48" t="s">
        <v>1428</v>
      </c>
      <c r="E16" s="47" t="s">
        <v>459</v>
      </c>
      <c r="F16" s="47" t="s">
        <v>459</v>
      </c>
      <c r="G16" s="47" t="s">
        <v>110</v>
      </c>
      <c r="H16" s="47" t="s">
        <v>461</v>
      </c>
      <c r="I16" s="48" t="s">
        <v>1426</v>
      </c>
      <c r="J16" s="48"/>
      <c r="K16" s="49" t="n">
        <f aca="false">IF(H16="covered",1,IF(H16="partial",0.5,0))</f>
        <v>1</v>
      </c>
    </row>
    <row r="17" customFormat="false" ht="15" hidden="false" customHeight="true" outlineLevel="0" collapsed="false">
      <c r="A17" s="47" t="n">
        <v>9</v>
      </c>
      <c r="B17" s="48" t="s">
        <v>468</v>
      </c>
      <c r="C17" s="48" t="s">
        <v>31</v>
      </c>
      <c r="D17" s="48" t="s">
        <v>1429</v>
      </c>
      <c r="E17" s="47" t="s">
        <v>459</v>
      </c>
      <c r="F17" s="47" t="s">
        <v>459</v>
      </c>
      <c r="G17" s="47" t="s">
        <v>110</v>
      </c>
      <c r="H17" s="47" t="s">
        <v>461</v>
      </c>
      <c r="I17" s="48" t="s">
        <v>1426</v>
      </c>
      <c r="J17" s="48"/>
      <c r="K17" s="49" t="n">
        <f aca="false">IF(H17="covered",1,IF(H17="partial",0.5,0))</f>
        <v>1</v>
      </c>
    </row>
    <row r="18" customFormat="false" ht="15" hidden="false" customHeight="true" outlineLevel="0" collapsed="false">
      <c r="A18" s="47" t="n">
        <v>10</v>
      </c>
      <c r="B18" s="48" t="s">
        <v>468</v>
      </c>
      <c r="C18" s="48" t="s">
        <v>31</v>
      </c>
      <c r="D18" s="48" t="s">
        <v>1430</v>
      </c>
      <c r="E18" s="47" t="s">
        <v>459</v>
      </c>
      <c r="F18" s="47" t="s">
        <v>459</v>
      </c>
      <c r="G18" s="47" t="s">
        <v>110</v>
      </c>
      <c r="H18" s="47" t="s">
        <v>461</v>
      </c>
      <c r="I18" s="48" t="s">
        <v>1426</v>
      </c>
      <c r="J18" s="48"/>
      <c r="K18" s="49" t="n">
        <f aca="false">IF(H18="covered",1,IF(H18="partial",0.5,0))</f>
        <v>1</v>
      </c>
    </row>
    <row r="19" customFormat="false" ht="15" hidden="false" customHeight="true" outlineLevel="0" collapsed="false">
      <c r="A19" s="47" t="n">
        <v>11</v>
      </c>
      <c r="B19" s="48" t="s">
        <v>475</v>
      </c>
      <c r="C19" s="48" t="s">
        <v>476</v>
      </c>
      <c r="D19" s="48" t="s">
        <v>477</v>
      </c>
      <c r="E19" s="47" t="s">
        <v>459</v>
      </c>
      <c r="F19" s="47" t="s">
        <v>459</v>
      </c>
      <c r="G19" s="47" t="s">
        <v>110</v>
      </c>
      <c r="H19" s="47" t="s">
        <v>461</v>
      </c>
      <c r="I19" s="48" t="s">
        <v>1426</v>
      </c>
      <c r="J19" s="48"/>
      <c r="K19" s="49" t="n">
        <f aca="false">IF(H19="covered",1,IF(H19="partial",0.5,0))</f>
        <v>1</v>
      </c>
    </row>
    <row r="20" customFormat="false" ht="15" hidden="false" customHeight="true" outlineLevel="0" collapsed="false">
      <c r="A20" s="47" t="n">
        <v>12</v>
      </c>
      <c r="B20" s="48" t="s">
        <v>475</v>
      </c>
      <c r="C20" s="48" t="s">
        <v>476</v>
      </c>
      <c r="D20" s="48" t="s">
        <v>478</v>
      </c>
      <c r="E20" s="47" t="s">
        <v>459</v>
      </c>
      <c r="F20" s="47" t="s">
        <v>459</v>
      </c>
      <c r="G20" s="47" t="s">
        <v>110</v>
      </c>
      <c r="H20" s="47" t="s">
        <v>461</v>
      </c>
      <c r="I20" s="48" t="s">
        <v>1426</v>
      </c>
      <c r="J20" s="48"/>
      <c r="K20" s="49" t="n">
        <f aca="false">IF(H20="covered",1,IF(H20="partial",0.5,0))</f>
        <v>1</v>
      </c>
    </row>
    <row r="21" customFormat="false" ht="30" hidden="false" customHeight="true" outlineLevel="0" collapsed="false">
      <c r="A21" s="47" t="n">
        <v>13</v>
      </c>
      <c r="B21" s="48" t="s">
        <v>479</v>
      </c>
      <c r="C21" s="48" t="s">
        <v>476</v>
      </c>
      <c r="D21" s="48" t="s">
        <v>480</v>
      </c>
      <c r="E21" s="47" t="s">
        <v>459</v>
      </c>
      <c r="F21" s="47" t="s">
        <v>459</v>
      </c>
      <c r="G21" s="47" t="s">
        <v>110</v>
      </c>
      <c r="H21" s="47" t="s">
        <v>461</v>
      </c>
      <c r="I21" s="48" t="s">
        <v>1426</v>
      </c>
      <c r="J21" s="48"/>
      <c r="K21" s="49" t="n">
        <f aca="false">IF(H21="covered",1,IF(H21="partial",0.5,0))</f>
        <v>1</v>
      </c>
    </row>
    <row r="22" customFormat="false" ht="15" hidden="false" customHeight="true" outlineLevel="0" collapsed="false">
      <c r="A22" s="47" t="n">
        <v>14</v>
      </c>
      <c r="B22" s="48" t="s">
        <v>479</v>
      </c>
      <c r="C22" s="48" t="s">
        <v>476</v>
      </c>
      <c r="D22" s="48" t="s">
        <v>481</v>
      </c>
      <c r="E22" s="47" t="s">
        <v>459</v>
      </c>
      <c r="F22" s="47" t="s">
        <v>459</v>
      </c>
      <c r="G22" s="47" t="s">
        <v>110</v>
      </c>
      <c r="H22" s="47" t="s">
        <v>461</v>
      </c>
      <c r="I22" s="48" t="s">
        <v>1426</v>
      </c>
      <c r="J22" s="48"/>
      <c r="K22" s="49" t="n">
        <f aca="false">IF(H22="covered",1,IF(H22="partial",0.5,0))</f>
        <v>1</v>
      </c>
    </row>
    <row r="23" customFormat="false" ht="15" hidden="false" customHeight="true" outlineLevel="0" collapsed="false">
      <c r="A23" s="47" t="n">
        <v>15</v>
      </c>
      <c r="B23" s="48" t="s">
        <v>457</v>
      </c>
      <c r="C23" s="48" t="s">
        <v>476</v>
      </c>
      <c r="D23" s="48" t="s">
        <v>482</v>
      </c>
      <c r="E23" s="47" t="s">
        <v>459</v>
      </c>
      <c r="F23" s="47" t="s">
        <v>459</v>
      </c>
      <c r="G23" s="47" t="s">
        <v>110</v>
      </c>
      <c r="H23" s="47" t="s">
        <v>461</v>
      </c>
      <c r="I23" s="48" t="s">
        <v>1426</v>
      </c>
      <c r="J23" s="48"/>
      <c r="K23" s="49" t="n">
        <f aca="false">IF(H23="covered",1,IF(H23="partial",0.5,0))</f>
        <v>1</v>
      </c>
    </row>
    <row r="24" customFormat="false" ht="15" hidden="false" customHeight="true" outlineLevel="0" collapsed="false">
      <c r="A24" s="47" t="n">
        <v>16</v>
      </c>
      <c r="B24" s="48" t="s">
        <v>475</v>
      </c>
      <c r="C24" s="48" t="s">
        <v>1431</v>
      </c>
      <c r="D24" s="48" t="s">
        <v>477</v>
      </c>
      <c r="E24" s="47" t="s">
        <v>459</v>
      </c>
      <c r="F24" s="47" t="s">
        <v>459</v>
      </c>
      <c r="G24" s="47" t="s">
        <v>110</v>
      </c>
      <c r="H24" s="47" t="s">
        <v>461</v>
      </c>
      <c r="I24" s="48" t="s">
        <v>1426</v>
      </c>
      <c r="J24" s="48"/>
      <c r="K24" s="49" t="n">
        <f aca="false">IF(H24="covered",1,IF(H24="partial",0.5,0))</f>
        <v>1</v>
      </c>
    </row>
    <row r="25" customFormat="false" ht="15" hidden="false" customHeight="true" outlineLevel="0" collapsed="false">
      <c r="A25" s="47" t="n">
        <v>17</v>
      </c>
      <c r="B25" s="48" t="s">
        <v>475</v>
      </c>
      <c r="C25" s="48" t="s">
        <v>1431</v>
      </c>
      <c r="D25" s="48" t="s">
        <v>478</v>
      </c>
      <c r="E25" s="47" t="s">
        <v>459</v>
      </c>
      <c r="F25" s="47" t="s">
        <v>459</v>
      </c>
      <c r="G25" s="47" t="s">
        <v>110</v>
      </c>
      <c r="H25" s="47" t="s">
        <v>461</v>
      </c>
      <c r="I25" s="48" t="s">
        <v>1426</v>
      </c>
      <c r="J25" s="48"/>
      <c r="K25" s="49" t="n">
        <f aca="false">IF(H25="covered",1,IF(H25="partial",0.5,0))</f>
        <v>1</v>
      </c>
    </row>
    <row r="26" customFormat="false" ht="30" hidden="false" customHeight="true" outlineLevel="0" collapsed="false">
      <c r="A26" s="47" t="n">
        <v>18</v>
      </c>
      <c r="B26" s="48" t="s">
        <v>479</v>
      </c>
      <c r="C26" s="48" t="s">
        <v>1431</v>
      </c>
      <c r="D26" s="48" t="s">
        <v>480</v>
      </c>
      <c r="E26" s="47" t="s">
        <v>459</v>
      </c>
      <c r="F26" s="47" t="s">
        <v>459</v>
      </c>
      <c r="G26" s="47" t="s">
        <v>110</v>
      </c>
      <c r="H26" s="47" t="s">
        <v>461</v>
      </c>
      <c r="I26" s="48" t="s">
        <v>1426</v>
      </c>
      <c r="J26" s="48"/>
      <c r="K26" s="49" t="n">
        <f aca="false">IF(H26="covered",1,IF(H26="partial",0.5,0))</f>
        <v>1</v>
      </c>
    </row>
    <row r="27" customFormat="false" ht="15" hidden="false" customHeight="true" outlineLevel="0" collapsed="false">
      <c r="A27" s="47" t="n">
        <v>19</v>
      </c>
      <c r="B27" s="48" t="s">
        <v>479</v>
      </c>
      <c r="C27" s="48" t="s">
        <v>1431</v>
      </c>
      <c r="D27" s="48" t="s">
        <v>481</v>
      </c>
      <c r="E27" s="47" t="s">
        <v>459</v>
      </c>
      <c r="F27" s="47" t="s">
        <v>459</v>
      </c>
      <c r="G27" s="47" t="s">
        <v>110</v>
      </c>
      <c r="H27" s="47" t="s">
        <v>461</v>
      </c>
      <c r="I27" s="48" t="s">
        <v>1426</v>
      </c>
      <c r="J27" s="48"/>
      <c r="K27" s="49" t="n">
        <f aca="false">IF(H27="covered",1,IF(H27="partial",0.5,0))</f>
        <v>1</v>
      </c>
    </row>
    <row r="28" customFormat="false" ht="15" hidden="false" customHeight="true" outlineLevel="0" collapsed="false">
      <c r="A28" s="47" t="n">
        <v>20</v>
      </c>
      <c r="B28" s="48" t="s">
        <v>457</v>
      </c>
      <c r="C28" s="48" t="s">
        <v>1431</v>
      </c>
      <c r="D28" s="48" t="s">
        <v>482</v>
      </c>
      <c r="E28" s="47" t="s">
        <v>459</v>
      </c>
      <c r="F28" s="47" t="s">
        <v>459</v>
      </c>
      <c r="G28" s="47" t="s">
        <v>110</v>
      </c>
      <c r="H28" s="47" t="s">
        <v>461</v>
      </c>
      <c r="I28" s="48" t="s">
        <v>1426</v>
      </c>
      <c r="J28" s="48"/>
      <c r="K28" s="49" t="n">
        <f aca="false">IF(H28="covered",1,IF(H28="partial",0.5,0))</f>
        <v>1</v>
      </c>
    </row>
    <row r="29" customFormat="false" ht="15" hidden="false" customHeight="true" outlineLevel="0" collapsed="false">
      <c r="A29" s="47" t="n">
        <v>21</v>
      </c>
      <c r="B29" s="48" t="s">
        <v>486</v>
      </c>
      <c r="C29" s="48" t="s">
        <v>1431</v>
      </c>
      <c r="D29" s="48" t="s">
        <v>1432</v>
      </c>
      <c r="E29" s="47" t="s">
        <v>459</v>
      </c>
      <c r="F29" s="47" t="s">
        <v>459</v>
      </c>
      <c r="G29" s="47" t="s">
        <v>110</v>
      </c>
      <c r="H29" s="47" t="s">
        <v>461</v>
      </c>
      <c r="I29" s="48" t="s">
        <v>1426</v>
      </c>
      <c r="J29" s="48"/>
      <c r="K29" s="49" t="n">
        <f aca="false">IF(H29="covered",1,IF(H29="partial",0.5,0))</f>
        <v>1</v>
      </c>
    </row>
    <row r="30" customFormat="false" ht="15" hidden="false" customHeight="true" outlineLevel="0" collapsed="false">
      <c r="A30" s="47" t="n">
        <v>22</v>
      </c>
      <c r="B30" s="48" t="s">
        <v>488</v>
      </c>
      <c r="C30" s="48" t="s">
        <v>476</v>
      </c>
      <c r="D30" s="48" t="s">
        <v>521</v>
      </c>
      <c r="E30" s="47" t="s">
        <v>459</v>
      </c>
      <c r="F30" s="47" t="s">
        <v>459</v>
      </c>
      <c r="G30" s="47" t="s">
        <v>110</v>
      </c>
      <c r="H30" s="47" t="s">
        <v>461</v>
      </c>
      <c r="I30" s="48" t="s">
        <v>1426</v>
      </c>
      <c r="J30" s="48"/>
      <c r="K30" s="49" t="n">
        <f aca="false">IF(H30="covered",1,IF(H30="partial",0.5,0))</f>
        <v>1</v>
      </c>
    </row>
    <row r="31" customFormat="false" ht="15" hidden="false" customHeight="true" outlineLevel="0" collapsed="false">
      <c r="A31" s="47" t="n">
        <v>23</v>
      </c>
      <c r="B31" s="48" t="s">
        <v>488</v>
      </c>
      <c r="C31" s="48" t="s">
        <v>476</v>
      </c>
      <c r="D31" s="48" t="s">
        <v>522</v>
      </c>
      <c r="E31" s="47" t="s">
        <v>459</v>
      </c>
      <c r="F31" s="47" t="s">
        <v>459</v>
      </c>
      <c r="G31" s="47" t="s">
        <v>110</v>
      </c>
      <c r="H31" s="47" t="s">
        <v>461</v>
      </c>
      <c r="I31" s="48" t="s">
        <v>1426</v>
      </c>
      <c r="J31" s="48"/>
      <c r="K31" s="49" t="n">
        <f aca="false">IF(H31="covered",1,IF(H31="partial",0.5,0))</f>
        <v>1</v>
      </c>
    </row>
    <row r="32" customFormat="false" ht="30" hidden="false" customHeight="true" outlineLevel="0" collapsed="false">
      <c r="A32" s="47" t="n">
        <v>24</v>
      </c>
      <c r="B32" s="48" t="s">
        <v>488</v>
      </c>
      <c r="C32" s="48" t="s">
        <v>476</v>
      </c>
      <c r="D32" s="48" t="s">
        <v>523</v>
      </c>
      <c r="E32" s="47" t="s">
        <v>459</v>
      </c>
      <c r="F32" s="47" t="s">
        <v>459</v>
      </c>
      <c r="G32" s="47" t="s">
        <v>110</v>
      </c>
      <c r="H32" s="47" t="s">
        <v>461</v>
      </c>
      <c r="I32" s="48" t="s">
        <v>1426</v>
      </c>
      <c r="J32" s="48"/>
      <c r="K32" s="49" t="n">
        <f aca="false">IF(H32="covered",1,IF(H32="partial",0.5,0))</f>
        <v>1</v>
      </c>
    </row>
    <row r="33" customFormat="false" ht="15" hidden="false" customHeight="true" outlineLevel="0" collapsed="false">
      <c r="A33" s="47" t="n">
        <v>25</v>
      </c>
      <c r="B33" s="48" t="s">
        <v>794</v>
      </c>
      <c r="C33" s="48" t="s">
        <v>31</v>
      </c>
      <c r="D33" s="48" t="s">
        <v>1433</v>
      </c>
      <c r="E33" s="47" t="s">
        <v>459</v>
      </c>
      <c r="F33" s="47" t="s">
        <v>459</v>
      </c>
      <c r="G33" s="47" t="s">
        <v>110</v>
      </c>
      <c r="H33" s="47" t="s">
        <v>461</v>
      </c>
      <c r="I33" s="48" t="s">
        <v>1426</v>
      </c>
      <c r="J33" s="48"/>
      <c r="K33" s="49" t="n">
        <f aca="false">IF(H33="covered",1,IF(H33="partial",0.5,0))</f>
        <v>1</v>
      </c>
    </row>
    <row r="34" customFormat="false" ht="30" hidden="false" customHeight="true" outlineLevel="0" collapsed="false">
      <c r="A34" s="47" t="n">
        <v>26</v>
      </c>
      <c r="B34" s="48" t="s">
        <v>794</v>
      </c>
      <c r="C34" s="48" t="s">
        <v>31</v>
      </c>
      <c r="D34" s="48" t="s">
        <v>1434</v>
      </c>
      <c r="E34" s="47" t="s">
        <v>459</v>
      </c>
      <c r="F34" s="47" t="s">
        <v>459</v>
      </c>
      <c r="G34" s="47" t="s">
        <v>110</v>
      </c>
      <c r="H34" s="47" t="s">
        <v>461</v>
      </c>
      <c r="I34" s="48" t="s">
        <v>1426</v>
      </c>
      <c r="J34" s="48"/>
      <c r="K34" s="49" t="n">
        <f aca="false">IF(H34="covered",1,IF(H34="partial",0.5,0))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1435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27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47" t="n">
        <v>1</v>
      </c>
      <c r="B9" s="48" t="s">
        <v>456</v>
      </c>
      <c r="C9" s="48" t="s">
        <v>457</v>
      </c>
      <c r="D9" s="48" t="s">
        <v>458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1436</v>
      </c>
      <c r="J9" s="48"/>
      <c r="K9" s="49" t="n">
        <f aca="false">IF(H9="covered",1,IF(H9="partial",0.5,0))</f>
        <v>1</v>
      </c>
    </row>
    <row r="10" customFormat="false" ht="15" hidden="false" customHeight="true" outlineLevel="0" collapsed="false">
      <c r="A10" s="47" t="n">
        <v>2</v>
      </c>
      <c r="B10" s="48" t="s">
        <v>456</v>
      </c>
      <c r="C10" s="48" t="s">
        <v>457</v>
      </c>
      <c r="D10" s="48" t="s">
        <v>463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1436</v>
      </c>
      <c r="J10" s="48"/>
      <c r="K10" s="49" t="n">
        <f aca="false">IF(H10="covered",1,IF(H10="partial",0.5,0))</f>
        <v>1</v>
      </c>
    </row>
    <row r="11" customFormat="false" ht="15" hidden="false" customHeight="true" outlineLevel="0" collapsed="false">
      <c r="A11" s="47" t="n">
        <v>3</v>
      </c>
      <c r="B11" s="48" t="s">
        <v>456</v>
      </c>
      <c r="C11" s="48" t="s">
        <v>32</v>
      </c>
      <c r="D11" s="48" t="s">
        <v>464</v>
      </c>
      <c r="E11" s="47" t="s">
        <v>459</v>
      </c>
      <c r="F11" s="47" t="s">
        <v>459</v>
      </c>
      <c r="G11" s="47" t="s">
        <v>110</v>
      </c>
      <c r="H11" s="47" t="s">
        <v>461</v>
      </c>
      <c r="I11" s="48" t="s">
        <v>1437</v>
      </c>
      <c r="J11" s="48"/>
      <c r="K11" s="49" t="n">
        <f aca="false">IF(H11="covered",1,IF(H11="partial",0.5,0))</f>
        <v>1</v>
      </c>
    </row>
    <row r="12" customFormat="false" ht="15" hidden="false" customHeight="true" outlineLevel="0" collapsed="false">
      <c r="A12" s="47" t="n">
        <v>4</v>
      </c>
      <c r="B12" s="48" t="s">
        <v>456</v>
      </c>
      <c r="C12" s="48" t="s">
        <v>32</v>
      </c>
      <c r="D12" s="48" t="s">
        <v>465</v>
      </c>
      <c r="E12" s="47" t="s">
        <v>459</v>
      </c>
      <c r="F12" s="47" t="s">
        <v>459</v>
      </c>
      <c r="G12" s="47" t="s">
        <v>110</v>
      </c>
      <c r="H12" s="47" t="s">
        <v>461</v>
      </c>
      <c r="I12" s="48" t="s">
        <v>1437</v>
      </c>
      <c r="J12" s="48"/>
      <c r="K12" s="49" t="n">
        <f aca="false">IF(H12="covered",1,IF(H12="partial",0.5,0))</f>
        <v>1</v>
      </c>
    </row>
    <row r="13" customFormat="false" ht="30" hidden="false" customHeight="true" outlineLevel="0" collapsed="false">
      <c r="A13" s="47" t="n">
        <v>5</v>
      </c>
      <c r="B13" s="48" t="s">
        <v>456</v>
      </c>
      <c r="C13" s="48" t="s">
        <v>32</v>
      </c>
      <c r="D13" s="48" t="s">
        <v>466</v>
      </c>
      <c r="E13" s="47" t="s">
        <v>459</v>
      </c>
      <c r="F13" s="47" t="s">
        <v>459</v>
      </c>
      <c r="G13" s="47" t="s">
        <v>110</v>
      </c>
      <c r="H13" s="47" t="s">
        <v>461</v>
      </c>
      <c r="I13" s="48" t="s">
        <v>1437</v>
      </c>
      <c r="J13" s="48"/>
      <c r="K13" s="49" t="n">
        <f aca="false">IF(H13="covered",1,IF(H13="partial",0.5,0))</f>
        <v>1</v>
      </c>
    </row>
    <row r="14" customFormat="false" ht="15" hidden="false" customHeight="true" outlineLevel="0" collapsed="false">
      <c r="A14" s="47" t="n">
        <v>6</v>
      </c>
      <c r="B14" s="48" t="s">
        <v>456</v>
      </c>
      <c r="C14" s="48" t="s">
        <v>32</v>
      </c>
      <c r="D14" s="48" t="s">
        <v>467</v>
      </c>
      <c r="E14" s="47" t="s">
        <v>459</v>
      </c>
      <c r="F14" s="47" t="s">
        <v>459</v>
      </c>
      <c r="G14" s="47" t="s">
        <v>110</v>
      </c>
      <c r="H14" s="47" t="s">
        <v>461</v>
      </c>
      <c r="I14" s="48" t="s">
        <v>1437</v>
      </c>
      <c r="J14" s="48"/>
      <c r="K14" s="49" t="n">
        <f aca="false">IF(H14="covered",1,IF(H14="partial",0.5,0))</f>
        <v>1</v>
      </c>
    </row>
    <row r="15" customFormat="false" ht="15" hidden="false" customHeight="true" outlineLevel="0" collapsed="false">
      <c r="A15" s="47" t="n">
        <v>7</v>
      </c>
      <c r="B15" s="48" t="s">
        <v>468</v>
      </c>
      <c r="C15" s="48" t="s">
        <v>32</v>
      </c>
      <c r="D15" s="48" t="s">
        <v>1438</v>
      </c>
      <c r="E15" s="47" t="s">
        <v>459</v>
      </c>
      <c r="F15" s="47" t="s">
        <v>459</v>
      </c>
      <c r="G15" s="47" t="s">
        <v>110</v>
      </c>
      <c r="H15" s="47" t="s">
        <v>461</v>
      </c>
      <c r="I15" s="48" t="s">
        <v>1437</v>
      </c>
      <c r="J15" s="48"/>
      <c r="K15" s="49" t="n">
        <f aca="false">IF(H15="covered",1,IF(H15="partial",0.5,0))</f>
        <v>1</v>
      </c>
    </row>
    <row r="16" customFormat="false" ht="15" hidden="false" customHeight="true" outlineLevel="0" collapsed="false">
      <c r="A16" s="47" t="n">
        <v>8</v>
      </c>
      <c r="B16" s="48" t="s">
        <v>468</v>
      </c>
      <c r="C16" s="48" t="s">
        <v>32</v>
      </c>
      <c r="D16" s="48" t="s">
        <v>1439</v>
      </c>
      <c r="E16" s="47" t="s">
        <v>459</v>
      </c>
      <c r="F16" s="47" t="s">
        <v>459</v>
      </c>
      <c r="G16" s="47" t="s">
        <v>110</v>
      </c>
      <c r="H16" s="47" t="s">
        <v>461</v>
      </c>
      <c r="I16" s="48" t="s">
        <v>1437</v>
      </c>
      <c r="J16" s="48"/>
      <c r="K16" s="49" t="n">
        <f aca="false">IF(H16="covered",1,IF(H16="partial",0.5,0))</f>
        <v>1</v>
      </c>
    </row>
    <row r="17" customFormat="false" ht="15" hidden="false" customHeight="true" outlineLevel="0" collapsed="false">
      <c r="A17" s="47" t="n">
        <v>9</v>
      </c>
      <c r="B17" s="48" t="s">
        <v>468</v>
      </c>
      <c r="C17" s="48" t="s">
        <v>32</v>
      </c>
      <c r="D17" s="48" t="s">
        <v>1440</v>
      </c>
      <c r="E17" s="47" t="s">
        <v>459</v>
      </c>
      <c r="F17" s="47" t="s">
        <v>459</v>
      </c>
      <c r="G17" s="47" t="s">
        <v>110</v>
      </c>
      <c r="H17" s="47" t="s">
        <v>461</v>
      </c>
      <c r="I17" s="48" t="s">
        <v>1437</v>
      </c>
      <c r="J17" s="48"/>
      <c r="K17" s="49" t="n">
        <f aca="false">IF(H17="covered",1,IF(H17="partial",0.5,0))</f>
        <v>1</v>
      </c>
    </row>
    <row r="18" customFormat="false" ht="15" hidden="false" customHeight="true" outlineLevel="0" collapsed="false">
      <c r="A18" s="47" t="n">
        <v>10</v>
      </c>
      <c r="B18" s="48" t="s">
        <v>468</v>
      </c>
      <c r="C18" s="48" t="s">
        <v>32</v>
      </c>
      <c r="D18" s="48" t="s">
        <v>792</v>
      </c>
      <c r="E18" s="47" t="s">
        <v>459</v>
      </c>
      <c r="F18" s="47" t="s">
        <v>459</v>
      </c>
      <c r="G18" s="47" t="s">
        <v>110</v>
      </c>
      <c r="H18" s="47" t="s">
        <v>461</v>
      </c>
      <c r="I18" s="48" t="s">
        <v>1437</v>
      </c>
      <c r="J18" s="48"/>
      <c r="K18" s="49" t="n">
        <f aca="false">IF(H18="covered",1,IF(H18="partial",0.5,0))</f>
        <v>1</v>
      </c>
    </row>
    <row r="19" customFormat="false" ht="15" hidden="false" customHeight="true" outlineLevel="0" collapsed="false">
      <c r="A19" s="47" t="n">
        <v>11</v>
      </c>
      <c r="B19" s="48" t="s">
        <v>475</v>
      </c>
      <c r="C19" s="48" t="s">
        <v>476</v>
      </c>
      <c r="D19" s="48" t="s">
        <v>477</v>
      </c>
      <c r="E19" s="47" t="s">
        <v>459</v>
      </c>
      <c r="F19" s="47" t="s">
        <v>459</v>
      </c>
      <c r="G19" s="47" t="s">
        <v>110</v>
      </c>
      <c r="H19" s="47" t="s">
        <v>461</v>
      </c>
      <c r="I19" s="48" t="s">
        <v>1437</v>
      </c>
      <c r="J19" s="48"/>
      <c r="K19" s="49" t="n">
        <f aca="false">IF(H19="covered",1,IF(H19="partial",0.5,0))</f>
        <v>1</v>
      </c>
    </row>
    <row r="20" customFormat="false" ht="15" hidden="false" customHeight="true" outlineLevel="0" collapsed="false">
      <c r="A20" s="47" t="n">
        <v>12</v>
      </c>
      <c r="B20" s="48" t="s">
        <v>475</v>
      </c>
      <c r="C20" s="48" t="s">
        <v>476</v>
      </c>
      <c r="D20" s="48" t="s">
        <v>478</v>
      </c>
      <c r="E20" s="47" t="s">
        <v>459</v>
      </c>
      <c r="F20" s="47" t="s">
        <v>459</v>
      </c>
      <c r="G20" s="47" t="s">
        <v>110</v>
      </c>
      <c r="H20" s="47" t="s">
        <v>461</v>
      </c>
      <c r="I20" s="48" t="s">
        <v>1437</v>
      </c>
      <c r="J20" s="48"/>
      <c r="K20" s="49" t="n">
        <f aca="false">IF(H20="covered",1,IF(H20="partial",0.5,0))</f>
        <v>1</v>
      </c>
    </row>
    <row r="21" customFormat="false" ht="30" hidden="false" customHeight="true" outlineLevel="0" collapsed="false">
      <c r="A21" s="47" t="n">
        <v>13</v>
      </c>
      <c r="B21" s="48" t="s">
        <v>479</v>
      </c>
      <c r="C21" s="48" t="s">
        <v>476</v>
      </c>
      <c r="D21" s="48" t="s">
        <v>480</v>
      </c>
      <c r="E21" s="47" t="s">
        <v>459</v>
      </c>
      <c r="F21" s="47" t="s">
        <v>459</v>
      </c>
      <c r="G21" s="47" t="s">
        <v>110</v>
      </c>
      <c r="H21" s="47" t="s">
        <v>461</v>
      </c>
      <c r="I21" s="48" t="s">
        <v>1437</v>
      </c>
      <c r="J21" s="48"/>
      <c r="K21" s="49" t="n">
        <f aca="false">IF(H21="covered",1,IF(H21="partial",0.5,0))</f>
        <v>1</v>
      </c>
    </row>
    <row r="22" customFormat="false" ht="15" hidden="false" customHeight="true" outlineLevel="0" collapsed="false">
      <c r="A22" s="47" t="n">
        <v>14</v>
      </c>
      <c r="B22" s="48" t="s">
        <v>479</v>
      </c>
      <c r="C22" s="48" t="s">
        <v>476</v>
      </c>
      <c r="D22" s="48" t="s">
        <v>481</v>
      </c>
      <c r="E22" s="47" t="s">
        <v>459</v>
      </c>
      <c r="F22" s="47" t="s">
        <v>459</v>
      </c>
      <c r="G22" s="47" t="s">
        <v>110</v>
      </c>
      <c r="H22" s="47" t="s">
        <v>461</v>
      </c>
      <c r="I22" s="48" t="s">
        <v>1437</v>
      </c>
      <c r="J22" s="48"/>
      <c r="K22" s="49" t="n">
        <f aca="false">IF(H22="covered",1,IF(H22="partial",0.5,0))</f>
        <v>1</v>
      </c>
    </row>
    <row r="23" customFormat="false" ht="15" hidden="false" customHeight="true" outlineLevel="0" collapsed="false">
      <c r="A23" s="47" t="n">
        <v>15</v>
      </c>
      <c r="B23" s="48" t="s">
        <v>457</v>
      </c>
      <c r="C23" s="48" t="s">
        <v>476</v>
      </c>
      <c r="D23" s="48" t="s">
        <v>482</v>
      </c>
      <c r="E23" s="47" t="s">
        <v>459</v>
      </c>
      <c r="F23" s="47" t="s">
        <v>459</v>
      </c>
      <c r="G23" s="47" t="s">
        <v>110</v>
      </c>
      <c r="H23" s="47" t="s">
        <v>461</v>
      </c>
      <c r="I23" s="48" t="s">
        <v>1437</v>
      </c>
      <c r="J23" s="48"/>
      <c r="K23" s="49" t="n">
        <f aca="false">IF(H23="covered",1,IF(H23="partial",0.5,0))</f>
        <v>1</v>
      </c>
    </row>
    <row r="24" customFormat="false" ht="15" hidden="false" customHeight="true" outlineLevel="0" collapsed="false">
      <c r="A24" s="47" t="n">
        <v>16</v>
      </c>
      <c r="B24" s="48" t="s">
        <v>774</v>
      </c>
      <c r="C24" s="48" t="s">
        <v>476</v>
      </c>
      <c r="D24" s="48" t="s">
        <v>775</v>
      </c>
      <c r="E24" s="47" t="s">
        <v>459</v>
      </c>
      <c r="F24" s="47" t="s">
        <v>459</v>
      </c>
      <c r="G24" s="47" t="s">
        <v>110</v>
      </c>
      <c r="H24" s="47" t="s">
        <v>461</v>
      </c>
      <c r="I24" s="48" t="s">
        <v>1437</v>
      </c>
      <c r="J24" s="48"/>
      <c r="K24" s="49" t="n">
        <f aca="false">IF(H24="covered",1,IF(H24="partial",0.5,0))</f>
        <v>1</v>
      </c>
    </row>
    <row r="25" customFormat="false" ht="15" hidden="false" customHeight="true" outlineLevel="0" collapsed="false">
      <c r="A25" s="47" t="n">
        <v>17</v>
      </c>
      <c r="B25" s="48" t="s">
        <v>483</v>
      </c>
      <c r="C25" s="48" t="s">
        <v>476</v>
      </c>
      <c r="D25" s="48" t="s">
        <v>484</v>
      </c>
      <c r="E25" s="47" t="s">
        <v>459</v>
      </c>
      <c r="F25" s="47" t="s">
        <v>459</v>
      </c>
      <c r="G25" s="47" t="s">
        <v>110</v>
      </c>
      <c r="H25" s="47" t="s">
        <v>461</v>
      </c>
      <c r="I25" s="48" t="s">
        <v>1437</v>
      </c>
      <c r="J25" s="48"/>
      <c r="K25" s="49" t="n">
        <f aca="false">IF(H25="covered",1,IF(H25="partial",0.5,0))</f>
        <v>1</v>
      </c>
    </row>
    <row r="26" customFormat="false" ht="15" hidden="false" customHeight="true" outlineLevel="0" collapsed="false">
      <c r="A26" s="47" t="n">
        <v>18</v>
      </c>
      <c r="B26" s="48" t="s">
        <v>483</v>
      </c>
      <c r="C26" s="48" t="s">
        <v>476</v>
      </c>
      <c r="D26" s="48" t="s">
        <v>485</v>
      </c>
      <c r="E26" s="47" t="s">
        <v>459</v>
      </c>
      <c r="F26" s="47" t="s">
        <v>459</v>
      </c>
      <c r="G26" s="47" t="s">
        <v>110</v>
      </c>
      <c r="H26" s="47" t="s">
        <v>461</v>
      </c>
      <c r="I26" s="48" t="s">
        <v>1437</v>
      </c>
      <c r="J26" s="48"/>
      <c r="K26" s="49" t="n">
        <f aca="false">IF(H26="covered",1,IF(H26="partial",0.5,0))</f>
        <v>1</v>
      </c>
    </row>
    <row r="27" customFormat="false" ht="15" hidden="false" customHeight="true" outlineLevel="0" collapsed="false">
      <c r="A27" s="47" t="n">
        <v>19</v>
      </c>
      <c r="B27" s="48" t="s">
        <v>486</v>
      </c>
      <c r="C27" s="48" t="s">
        <v>476</v>
      </c>
      <c r="D27" s="48" t="s">
        <v>494</v>
      </c>
      <c r="E27" s="47" t="s">
        <v>459</v>
      </c>
      <c r="F27" s="47" t="s">
        <v>459</v>
      </c>
      <c r="G27" s="47" t="s">
        <v>110</v>
      </c>
      <c r="H27" s="47" t="s">
        <v>461</v>
      </c>
      <c r="I27" s="48" t="s">
        <v>1437</v>
      </c>
      <c r="J27" s="48"/>
      <c r="K27" s="49" t="n">
        <f aca="false">IF(H27="covered",1,IF(H27="partial",0.5,0))</f>
        <v>1</v>
      </c>
    </row>
    <row r="28" customFormat="false" ht="15" hidden="false" customHeight="true" outlineLevel="0" collapsed="false">
      <c r="A28" s="47" t="n">
        <v>20</v>
      </c>
      <c r="B28" s="48" t="s">
        <v>486</v>
      </c>
      <c r="C28" s="48" t="s">
        <v>476</v>
      </c>
      <c r="D28" s="48" t="s">
        <v>1441</v>
      </c>
      <c r="E28" s="47" t="s">
        <v>459</v>
      </c>
      <c r="F28" s="47" t="s">
        <v>459</v>
      </c>
      <c r="G28" s="47" t="s">
        <v>110</v>
      </c>
      <c r="H28" s="47" t="s">
        <v>461</v>
      </c>
      <c r="I28" s="48" t="s">
        <v>1437</v>
      </c>
      <c r="J28" s="48"/>
      <c r="K28" s="49" t="n">
        <f aca="false">IF(H28="covered",1,IF(H28="partial",0.5,0))</f>
        <v>1</v>
      </c>
    </row>
    <row r="29" customFormat="false" ht="15" hidden="false" customHeight="true" outlineLevel="0" collapsed="false">
      <c r="A29" s="47" t="n">
        <v>21</v>
      </c>
      <c r="B29" s="48" t="s">
        <v>486</v>
      </c>
      <c r="C29" s="48" t="s">
        <v>476</v>
      </c>
      <c r="D29" s="48" t="s">
        <v>495</v>
      </c>
      <c r="E29" s="47" t="s">
        <v>459</v>
      </c>
      <c r="F29" s="47" t="s">
        <v>459</v>
      </c>
      <c r="G29" s="47" t="s">
        <v>110</v>
      </c>
      <c r="H29" s="47" t="s">
        <v>461</v>
      </c>
      <c r="I29" s="48" t="s">
        <v>1437</v>
      </c>
      <c r="J29" s="48"/>
      <c r="K29" s="49" t="n">
        <f aca="false">IF(H29="covered",1,IF(H29="partial",0.5,0))</f>
        <v>1</v>
      </c>
    </row>
    <row r="30" customFormat="false" ht="15" hidden="false" customHeight="true" outlineLevel="0" collapsed="false">
      <c r="A30" s="47" t="n">
        <v>22</v>
      </c>
      <c r="B30" s="48" t="s">
        <v>505</v>
      </c>
      <c r="C30" s="48" t="s">
        <v>506</v>
      </c>
      <c r="D30" s="48" t="s">
        <v>1442</v>
      </c>
      <c r="E30" s="47" t="s">
        <v>459</v>
      </c>
      <c r="F30" s="47" t="s">
        <v>459</v>
      </c>
      <c r="G30" s="47" t="s">
        <v>110</v>
      </c>
      <c r="H30" s="47" t="s">
        <v>461</v>
      </c>
      <c r="I30" s="48" t="s">
        <v>1437</v>
      </c>
      <c r="J30" s="48"/>
      <c r="K30" s="49" t="n">
        <f aca="false">IF(H30="covered",1,IF(H30="partial",0.5,0))</f>
        <v>1</v>
      </c>
    </row>
    <row r="31" customFormat="false" ht="15" hidden="false" customHeight="true" outlineLevel="0" collapsed="false">
      <c r="A31" s="47" t="n">
        <v>23</v>
      </c>
      <c r="B31" s="48" t="s">
        <v>511</v>
      </c>
      <c r="C31" s="48" t="s">
        <v>506</v>
      </c>
      <c r="D31" s="48" t="s">
        <v>514</v>
      </c>
      <c r="E31" s="47" t="s">
        <v>459</v>
      </c>
      <c r="F31" s="47" t="s">
        <v>459</v>
      </c>
      <c r="G31" s="47" t="s">
        <v>110</v>
      </c>
      <c r="H31" s="47" t="s">
        <v>461</v>
      </c>
      <c r="I31" s="48" t="s">
        <v>1437</v>
      </c>
      <c r="J31" s="48"/>
      <c r="K31" s="49" t="n">
        <f aca="false">IF(H31="covered",1,IF(H31="partial",0.5,0))</f>
        <v>1</v>
      </c>
    </row>
    <row r="32" customFormat="false" ht="15" hidden="false" customHeight="true" outlineLevel="0" collapsed="false">
      <c r="A32" s="47" t="n">
        <v>24</v>
      </c>
      <c r="B32" s="48" t="s">
        <v>483</v>
      </c>
      <c r="C32" s="48" t="s">
        <v>32</v>
      </c>
      <c r="D32" s="48" t="s">
        <v>516</v>
      </c>
      <c r="E32" s="47" t="s">
        <v>459</v>
      </c>
      <c r="F32" s="47" t="s">
        <v>459</v>
      </c>
      <c r="G32" s="47" t="s">
        <v>110</v>
      </c>
      <c r="H32" s="47" t="s">
        <v>461</v>
      </c>
      <c r="I32" s="48" t="s">
        <v>1437</v>
      </c>
      <c r="J32" s="48"/>
      <c r="K32" s="49" t="n">
        <f aca="false">IF(H32="covered",1,IF(H32="partial",0.5,0))</f>
        <v>1</v>
      </c>
    </row>
    <row r="33" customFormat="false" ht="15" hidden="false" customHeight="true" outlineLevel="0" collapsed="false">
      <c r="A33" s="47" t="n">
        <v>25</v>
      </c>
      <c r="B33" s="48" t="s">
        <v>483</v>
      </c>
      <c r="C33" s="48" t="s">
        <v>32</v>
      </c>
      <c r="D33" s="48" t="s">
        <v>517</v>
      </c>
      <c r="E33" s="47" t="s">
        <v>459</v>
      </c>
      <c r="F33" s="47" t="s">
        <v>459</v>
      </c>
      <c r="G33" s="47" t="s">
        <v>110</v>
      </c>
      <c r="H33" s="47" t="s">
        <v>461</v>
      </c>
      <c r="I33" s="48" t="s">
        <v>1437</v>
      </c>
      <c r="J33" s="48"/>
      <c r="K33" s="49" t="n">
        <f aca="false">IF(H33="covered",1,IF(H33="partial",0.5,0))</f>
        <v>1</v>
      </c>
    </row>
    <row r="34" customFormat="false" ht="15" hidden="false" customHeight="true" outlineLevel="0" collapsed="false">
      <c r="A34" s="47" t="n">
        <v>26</v>
      </c>
      <c r="B34" s="48" t="s">
        <v>483</v>
      </c>
      <c r="C34" s="48" t="s">
        <v>32</v>
      </c>
      <c r="D34" s="48" t="s">
        <v>519</v>
      </c>
      <c r="E34" s="47" t="s">
        <v>459</v>
      </c>
      <c r="F34" s="47" t="s">
        <v>459</v>
      </c>
      <c r="G34" s="47" t="s">
        <v>110</v>
      </c>
      <c r="H34" s="47" t="s">
        <v>461</v>
      </c>
      <c r="I34" s="48" t="s">
        <v>1437</v>
      </c>
      <c r="J34" s="48"/>
      <c r="K34" s="49" t="n">
        <f aca="false">IF(H34="covered",1,IF(H34="partial",0.5,0))</f>
        <v>1</v>
      </c>
    </row>
    <row r="35" customFormat="false" ht="15" hidden="false" customHeight="true" outlineLevel="0" collapsed="false">
      <c r="A35" s="47" t="n">
        <v>27</v>
      </c>
      <c r="B35" s="48" t="s">
        <v>483</v>
      </c>
      <c r="C35" s="48" t="s">
        <v>32</v>
      </c>
      <c r="D35" s="48" t="s">
        <v>520</v>
      </c>
      <c r="E35" s="47" t="s">
        <v>459</v>
      </c>
      <c r="F35" s="47" t="s">
        <v>459</v>
      </c>
      <c r="G35" s="47" t="s">
        <v>110</v>
      </c>
      <c r="H35" s="47" t="s">
        <v>461</v>
      </c>
      <c r="I35" s="48" t="s">
        <v>1437</v>
      </c>
      <c r="J35" s="48"/>
      <c r="K35" s="49" t="n">
        <f aca="false">IF(H35="covered",1,IF(H35="partial",0.5,0))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1443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101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1444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1444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33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1444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33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1444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33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1444</v>
      </c>
      <c r="J13" s="42"/>
      <c r="K13" s="45" t="n">
        <f aca="false">IF(AND(E13="yes",F13="yes",H13="covered"),1,IF(H13="partial",0.5,0))</f>
        <v>1</v>
      </c>
    </row>
    <row r="14" customFormat="false" ht="30" hidden="false" customHeight="true" outlineLevel="0" collapsed="false">
      <c r="A14" s="31" t="n">
        <v>6</v>
      </c>
      <c r="B14" s="42" t="s">
        <v>456</v>
      </c>
      <c r="C14" s="42" t="s">
        <v>33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1444</v>
      </c>
      <c r="J14" s="42"/>
      <c r="K14" s="45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33</v>
      </c>
      <c r="D15" s="42" t="s">
        <v>1044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1444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33</v>
      </c>
      <c r="D16" s="42" t="s">
        <v>1445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1444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33</v>
      </c>
      <c r="D17" s="42" t="s">
        <v>1446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1444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33</v>
      </c>
      <c r="D18" s="42" t="s">
        <v>1447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1444</v>
      </c>
      <c r="J18" s="42"/>
      <c r="K18" s="45" t="n">
        <f aca="false">IF(AND(E18="yes",F18="yes",H18="covered"),1,IF(H18="partial",0.5,0))</f>
        <v>1</v>
      </c>
    </row>
    <row r="19" customFormat="false" ht="30" hidden="false" customHeight="true" outlineLevel="0" collapsed="false">
      <c r="A19" s="31" t="n">
        <v>11</v>
      </c>
      <c r="B19" s="42" t="s">
        <v>468</v>
      </c>
      <c r="C19" s="42" t="s">
        <v>33</v>
      </c>
      <c r="D19" s="42" t="s">
        <v>1448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1444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33</v>
      </c>
      <c r="D20" s="42" t="s">
        <v>1449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1444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468</v>
      </c>
      <c r="C21" s="42" t="s">
        <v>33</v>
      </c>
      <c r="D21" s="42" t="s">
        <v>1450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1444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477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1444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475</v>
      </c>
      <c r="C23" s="42" t="s">
        <v>476</v>
      </c>
      <c r="D23" s="42" t="s">
        <v>478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1444</v>
      </c>
      <c r="J23" s="42"/>
      <c r="K23" s="45" t="n">
        <f aca="false">IF(AND(E23="yes",F23="yes",H23="covered"),1,IF(H23="partial",0.5,0))</f>
        <v>1</v>
      </c>
    </row>
    <row r="24" customFormat="false" ht="30" hidden="false" customHeight="true" outlineLevel="0" collapsed="false">
      <c r="A24" s="31" t="n">
        <v>16</v>
      </c>
      <c r="B24" s="42" t="s">
        <v>488</v>
      </c>
      <c r="C24" s="42" t="s">
        <v>476</v>
      </c>
      <c r="D24" s="42" t="s">
        <v>999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1444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488</v>
      </c>
      <c r="C25" s="42" t="s">
        <v>476</v>
      </c>
      <c r="D25" s="42" t="s">
        <v>1000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1444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488</v>
      </c>
      <c r="C26" s="42" t="s">
        <v>476</v>
      </c>
      <c r="D26" s="42" t="s">
        <v>1001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1444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486</v>
      </c>
      <c r="C27" s="42" t="s">
        <v>476</v>
      </c>
      <c r="D27" s="42" t="s">
        <v>1451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1444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486</v>
      </c>
      <c r="C28" s="42" t="s">
        <v>476</v>
      </c>
      <c r="D28" s="42" t="s">
        <v>1452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1444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493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1444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501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1444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475</v>
      </c>
      <c r="C31" s="42" t="s">
        <v>55</v>
      </c>
      <c r="D31" s="42" t="s">
        <v>477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1444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475</v>
      </c>
      <c r="C32" s="42" t="s">
        <v>55</v>
      </c>
      <c r="D32" s="42" t="s">
        <v>478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1444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1056</v>
      </c>
      <c r="C33" s="42" t="s">
        <v>55</v>
      </c>
      <c r="D33" s="42" t="s">
        <v>1057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1444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488</v>
      </c>
      <c r="C34" s="42" t="s">
        <v>55</v>
      </c>
      <c r="D34" s="42" t="s">
        <v>493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1444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475</v>
      </c>
      <c r="C35" s="42" t="s">
        <v>619</v>
      </c>
      <c r="D35" s="42" t="s">
        <v>477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1444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475</v>
      </c>
      <c r="C36" s="42" t="s">
        <v>619</v>
      </c>
      <c r="D36" s="42" t="s">
        <v>478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1444</v>
      </c>
      <c r="J36" s="42"/>
      <c r="K36" s="45" t="n">
        <f aca="false">IF(AND(E36="yes",F36="yes",H36="covered"),1,IF(H36="partial",0.5,0))</f>
        <v>1</v>
      </c>
    </row>
    <row r="37" customFormat="false" ht="30" hidden="false" customHeight="true" outlineLevel="0" collapsed="false">
      <c r="A37" s="31" t="n">
        <v>29</v>
      </c>
      <c r="B37" s="42" t="s">
        <v>479</v>
      </c>
      <c r="C37" s="42" t="s">
        <v>619</v>
      </c>
      <c r="D37" s="42" t="s">
        <v>480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1444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479</v>
      </c>
      <c r="C38" s="42" t="s">
        <v>619</v>
      </c>
      <c r="D38" s="42" t="s">
        <v>481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1444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457</v>
      </c>
      <c r="C39" s="42" t="s">
        <v>619</v>
      </c>
      <c r="D39" s="42" t="s">
        <v>482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1444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488</v>
      </c>
      <c r="C40" s="42" t="s">
        <v>619</v>
      </c>
      <c r="D40" s="42" t="s">
        <v>493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1444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486</v>
      </c>
      <c r="C41" s="42" t="s">
        <v>619</v>
      </c>
      <c r="D41" s="42" t="s">
        <v>1062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1444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486</v>
      </c>
      <c r="C42" s="42" t="s">
        <v>619</v>
      </c>
      <c r="D42" s="42" t="s">
        <v>495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1444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486</v>
      </c>
      <c r="C43" s="42" t="s">
        <v>619</v>
      </c>
      <c r="D43" s="42" t="s">
        <v>499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1444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486</v>
      </c>
      <c r="C44" s="42" t="s">
        <v>619</v>
      </c>
      <c r="D44" s="42" t="s">
        <v>1453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1444</v>
      </c>
      <c r="J44" s="42"/>
      <c r="K44" s="45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31" t="n">
        <v>37</v>
      </c>
      <c r="B45" s="42" t="s">
        <v>475</v>
      </c>
      <c r="C45" s="42" t="s">
        <v>498</v>
      </c>
      <c r="D45" s="42" t="s">
        <v>477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1444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475</v>
      </c>
      <c r="C46" s="42" t="s">
        <v>498</v>
      </c>
      <c r="D46" s="42" t="s">
        <v>478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1444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479</v>
      </c>
      <c r="C47" s="42" t="s">
        <v>498</v>
      </c>
      <c r="D47" s="42" t="s">
        <v>480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1444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479</v>
      </c>
      <c r="C48" s="42" t="s">
        <v>498</v>
      </c>
      <c r="D48" s="42" t="s">
        <v>481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1444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457</v>
      </c>
      <c r="C49" s="42" t="s">
        <v>498</v>
      </c>
      <c r="D49" s="42" t="s">
        <v>482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1444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483</v>
      </c>
      <c r="C50" s="42" t="s">
        <v>498</v>
      </c>
      <c r="D50" s="42" t="s">
        <v>484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1444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483</v>
      </c>
      <c r="C51" s="42" t="s">
        <v>498</v>
      </c>
      <c r="D51" s="42" t="s">
        <v>485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1444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486</v>
      </c>
      <c r="C52" s="42" t="s">
        <v>498</v>
      </c>
      <c r="D52" s="42" t="s">
        <v>1062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1444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486</v>
      </c>
      <c r="C53" s="42" t="s">
        <v>498</v>
      </c>
      <c r="D53" s="42" t="s">
        <v>495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1444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498</v>
      </c>
      <c r="D54" s="42" t="s">
        <v>499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1444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488</v>
      </c>
      <c r="C55" s="42" t="s">
        <v>498</v>
      </c>
      <c r="D55" s="42" t="s">
        <v>497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1444</v>
      </c>
      <c r="J55" s="42"/>
      <c r="K55" s="45" t="n">
        <f aca="false">IF(AND(E55="yes",F55="yes",H55="covered"),1,IF(H55="partial",0.5,0))</f>
        <v>1</v>
      </c>
    </row>
    <row r="56" customFormat="false" ht="30" hidden="false" customHeight="true" outlineLevel="0" collapsed="false">
      <c r="A56" s="31" t="n">
        <v>48</v>
      </c>
      <c r="B56" s="42" t="s">
        <v>475</v>
      </c>
      <c r="C56" s="42" t="s">
        <v>500</v>
      </c>
      <c r="D56" s="42" t="s">
        <v>477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1444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475</v>
      </c>
      <c r="C57" s="42" t="s">
        <v>500</v>
      </c>
      <c r="D57" s="42" t="s">
        <v>478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1444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479</v>
      </c>
      <c r="C58" s="42" t="s">
        <v>500</v>
      </c>
      <c r="D58" s="42" t="s">
        <v>480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1444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479</v>
      </c>
      <c r="C59" s="42" t="s">
        <v>500</v>
      </c>
      <c r="D59" s="42" t="s">
        <v>481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1444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457</v>
      </c>
      <c r="C60" s="42" t="s">
        <v>500</v>
      </c>
      <c r="D60" s="42" t="s">
        <v>482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1444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486</v>
      </c>
      <c r="C61" s="42" t="s">
        <v>500</v>
      </c>
      <c r="D61" s="42" t="s">
        <v>1454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1444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882</v>
      </c>
      <c r="C62" s="42" t="s">
        <v>500</v>
      </c>
      <c r="D62" s="42" t="s">
        <v>956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1444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486</v>
      </c>
      <c r="C63" s="42" t="s">
        <v>500</v>
      </c>
      <c r="D63" s="42" t="s">
        <v>1062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1444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486</v>
      </c>
      <c r="C64" s="42" t="s">
        <v>500</v>
      </c>
      <c r="D64" s="42" t="s">
        <v>495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1444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486</v>
      </c>
      <c r="C65" s="42" t="s">
        <v>500</v>
      </c>
      <c r="D65" s="42" t="s">
        <v>499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1444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486</v>
      </c>
      <c r="C66" s="42" t="s">
        <v>500</v>
      </c>
      <c r="D66" s="42" t="s">
        <v>1455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1444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486</v>
      </c>
      <c r="C67" s="42" t="s">
        <v>500</v>
      </c>
      <c r="D67" s="42" t="s">
        <v>1453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1444</v>
      </c>
      <c r="J67" s="42"/>
      <c r="K67" s="45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31" t="n">
        <v>60</v>
      </c>
      <c r="B68" s="42" t="s">
        <v>475</v>
      </c>
      <c r="C68" s="42" t="s">
        <v>668</v>
      </c>
      <c r="D68" s="42" t="s">
        <v>477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1444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475</v>
      </c>
      <c r="C69" s="42" t="s">
        <v>668</v>
      </c>
      <c r="D69" s="42" t="s">
        <v>478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1444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479</v>
      </c>
      <c r="C70" s="42" t="s">
        <v>668</v>
      </c>
      <c r="D70" s="42" t="s">
        <v>480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1444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479</v>
      </c>
      <c r="C71" s="42" t="s">
        <v>668</v>
      </c>
      <c r="D71" s="42" t="s">
        <v>481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1444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457</v>
      </c>
      <c r="C72" s="42" t="s">
        <v>668</v>
      </c>
      <c r="D72" s="42" t="s">
        <v>482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1444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486</v>
      </c>
      <c r="C73" s="42" t="s">
        <v>668</v>
      </c>
      <c r="D73" s="42" t="s">
        <v>504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1444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486</v>
      </c>
      <c r="C74" s="42" t="s">
        <v>668</v>
      </c>
      <c r="D74" s="42" t="s">
        <v>1062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1444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475</v>
      </c>
      <c r="C75" s="42" t="s">
        <v>686</v>
      </c>
      <c r="D75" s="42" t="s">
        <v>477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1444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475</v>
      </c>
      <c r="C76" s="42" t="s">
        <v>686</v>
      </c>
      <c r="D76" s="42" t="s">
        <v>478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1444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479</v>
      </c>
      <c r="C77" s="42" t="s">
        <v>686</v>
      </c>
      <c r="D77" s="42" t="s">
        <v>480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1444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479</v>
      </c>
      <c r="C78" s="42" t="s">
        <v>686</v>
      </c>
      <c r="D78" s="42" t="s">
        <v>481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1444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457</v>
      </c>
      <c r="C79" s="42" t="s">
        <v>686</v>
      </c>
      <c r="D79" s="42" t="s">
        <v>482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1444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486</v>
      </c>
      <c r="C80" s="42" t="s">
        <v>686</v>
      </c>
      <c r="D80" s="42" t="s">
        <v>1062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1444</v>
      </c>
      <c r="J80" s="42"/>
      <c r="K80" s="45" t="n">
        <f aca="false">IF(AND(E80="yes",F80="yes",H80="covered"),1,IF(H80="partial",0.5,0))</f>
        <v>1</v>
      </c>
    </row>
    <row r="81" customFormat="false" ht="30" hidden="false" customHeight="true" outlineLevel="0" collapsed="false">
      <c r="A81" s="31" t="n">
        <v>73</v>
      </c>
      <c r="B81" s="42" t="s">
        <v>475</v>
      </c>
      <c r="C81" s="42" t="s">
        <v>1400</v>
      </c>
      <c r="D81" s="42" t="s">
        <v>477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1444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475</v>
      </c>
      <c r="C82" s="42" t="s">
        <v>1400</v>
      </c>
      <c r="D82" s="42" t="s">
        <v>478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1444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479</v>
      </c>
      <c r="C83" s="42" t="s">
        <v>1400</v>
      </c>
      <c r="D83" s="42" t="s">
        <v>480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1444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479</v>
      </c>
      <c r="C84" s="42" t="s">
        <v>1400</v>
      </c>
      <c r="D84" s="42" t="s">
        <v>481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1444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457</v>
      </c>
      <c r="C85" s="42" t="s">
        <v>1400</v>
      </c>
      <c r="D85" s="42" t="s">
        <v>482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1444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483</v>
      </c>
      <c r="C86" s="42" t="s">
        <v>1400</v>
      </c>
      <c r="D86" s="42" t="s">
        <v>484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1444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483</v>
      </c>
      <c r="C87" s="42" t="s">
        <v>1400</v>
      </c>
      <c r="D87" s="42" t="s">
        <v>485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1444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486</v>
      </c>
      <c r="C88" s="42" t="s">
        <v>1400</v>
      </c>
      <c r="D88" s="42" t="s">
        <v>1062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1444</v>
      </c>
      <c r="J88" s="42"/>
      <c r="K88" s="45" t="n">
        <f aca="false">IF(AND(E88="yes",F88="yes",H88="covered"),1,IF(H88="partial",0.5,0))</f>
        <v>1</v>
      </c>
    </row>
    <row r="89" customFormat="false" ht="30" hidden="false" customHeight="true" outlineLevel="0" collapsed="false">
      <c r="A89" s="31" t="n">
        <v>81</v>
      </c>
      <c r="B89" s="42" t="s">
        <v>505</v>
      </c>
      <c r="C89" s="42" t="s">
        <v>506</v>
      </c>
      <c r="D89" s="42" t="s">
        <v>905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1444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511</v>
      </c>
      <c r="C90" s="42" t="s">
        <v>506</v>
      </c>
      <c r="D90" s="42" t="s">
        <v>1456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1444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511</v>
      </c>
      <c r="C91" s="42" t="s">
        <v>506</v>
      </c>
      <c r="D91" s="42" t="s">
        <v>1073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1444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511</v>
      </c>
      <c r="C92" s="42" t="s">
        <v>506</v>
      </c>
      <c r="D92" s="42" t="s">
        <v>514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1444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511</v>
      </c>
      <c r="C93" s="42" t="s">
        <v>506</v>
      </c>
      <c r="D93" s="42" t="s">
        <v>515</v>
      </c>
      <c r="E93" s="34" t="s">
        <v>459</v>
      </c>
      <c r="F93" s="43" t="s">
        <v>459</v>
      </c>
      <c r="G93" s="31" t="s">
        <v>543</v>
      </c>
      <c r="H93" s="44" t="s">
        <v>461</v>
      </c>
      <c r="I93" s="42" t="s">
        <v>1444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488</v>
      </c>
      <c r="C94" s="42" t="s">
        <v>476</v>
      </c>
      <c r="D94" s="42" t="s">
        <v>521</v>
      </c>
      <c r="E94" s="34" t="s">
        <v>459</v>
      </c>
      <c r="F94" s="43" t="s">
        <v>459</v>
      </c>
      <c r="G94" s="31" t="s">
        <v>543</v>
      </c>
      <c r="H94" s="44" t="s">
        <v>461</v>
      </c>
      <c r="I94" s="42" t="s">
        <v>1444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488</v>
      </c>
      <c r="C95" s="42" t="s">
        <v>476</v>
      </c>
      <c r="D95" s="42" t="s">
        <v>522</v>
      </c>
      <c r="E95" s="34" t="s">
        <v>459</v>
      </c>
      <c r="F95" s="43" t="s">
        <v>459</v>
      </c>
      <c r="G95" s="31" t="s">
        <v>543</v>
      </c>
      <c r="H95" s="44" t="s">
        <v>461</v>
      </c>
      <c r="I95" s="42" t="s">
        <v>1444</v>
      </c>
      <c r="J95" s="42"/>
      <c r="K95" s="45" t="n">
        <f aca="false">IF(AND(E95="yes",F95="yes",H95="covered"),1,IF(H95="partial",0.5,0))</f>
        <v>1</v>
      </c>
    </row>
    <row r="96" customFormat="false" ht="30" hidden="false" customHeight="true" outlineLevel="0" collapsed="false">
      <c r="A96" s="31" t="n">
        <v>88</v>
      </c>
      <c r="B96" s="42" t="s">
        <v>488</v>
      </c>
      <c r="C96" s="42" t="s">
        <v>476</v>
      </c>
      <c r="D96" s="42" t="s">
        <v>523</v>
      </c>
      <c r="E96" s="34" t="s">
        <v>459</v>
      </c>
      <c r="F96" s="43" t="s">
        <v>459</v>
      </c>
      <c r="G96" s="31" t="s">
        <v>543</v>
      </c>
      <c r="H96" s="44" t="s">
        <v>461</v>
      </c>
      <c r="I96" s="42" t="s">
        <v>1444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524</v>
      </c>
      <c r="C97" s="42" t="s">
        <v>498</v>
      </c>
      <c r="D97" s="42" t="s">
        <v>525</v>
      </c>
      <c r="E97" s="34" t="s">
        <v>459</v>
      </c>
      <c r="F97" s="43" t="s">
        <v>459</v>
      </c>
      <c r="G97" s="31" t="s">
        <v>543</v>
      </c>
      <c r="H97" s="44" t="s">
        <v>461</v>
      </c>
      <c r="I97" s="42" t="s">
        <v>1444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524</v>
      </c>
      <c r="C98" s="42" t="s">
        <v>498</v>
      </c>
      <c r="D98" s="42" t="s">
        <v>526</v>
      </c>
      <c r="E98" s="34" t="s">
        <v>459</v>
      </c>
      <c r="F98" s="43" t="s">
        <v>459</v>
      </c>
      <c r="G98" s="31" t="s">
        <v>543</v>
      </c>
      <c r="H98" s="44" t="s">
        <v>461</v>
      </c>
      <c r="I98" s="42" t="s">
        <v>1444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524</v>
      </c>
      <c r="C99" s="42" t="s">
        <v>498</v>
      </c>
      <c r="D99" s="42" t="s">
        <v>527</v>
      </c>
      <c r="E99" s="34" t="s">
        <v>459</v>
      </c>
      <c r="F99" s="43" t="s">
        <v>459</v>
      </c>
      <c r="G99" s="31" t="s">
        <v>543</v>
      </c>
      <c r="H99" s="44" t="s">
        <v>461</v>
      </c>
      <c r="I99" s="42" t="s">
        <v>1444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524</v>
      </c>
      <c r="C100" s="42" t="s">
        <v>498</v>
      </c>
      <c r="D100" s="42" t="s">
        <v>528</v>
      </c>
      <c r="E100" s="34" t="s">
        <v>459</v>
      </c>
      <c r="F100" s="43" t="s">
        <v>459</v>
      </c>
      <c r="G100" s="31" t="s">
        <v>543</v>
      </c>
      <c r="H100" s="44" t="s">
        <v>461</v>
      </c>
      <c r="I100" s="42" t="s">
        <v>1444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529</v>
      </c>
      <c r="C101" s="42" t="s">
        <v>498</v>
      </c>
      <c r="D101" s="42" t="s">
        <v>530</v>
      </c>
      <c r="E101" s="34" t="s">
        <v>459</v>
      </c>
      <c r="F101" s="43" t="s">
        <v>459</v>
      </c>
      <c r="G101" s="31" t="s">
        <v>543</v>
      </c>
      <c r="H101" s="44" t="s">
        <v>461</v>
      </c>
      <c r="I101" s="42" t="s">
        <v>1444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751</v>
      </c>
      <c r="C102" s="42" t="s">
        <v>33</v>
      </c>
      <c r="D102" s="42" t="s">
        <v>1457</v>
      </c>
      <c r="E102" s="34" t="s">
        <v>459</v>
      </c>
      <c r="F102" s="43" t="s">
        <v>459</v>
      </c>
      <c r="G102" s="31" t="s">
        <v>543</v>
      </c>
      <c r="H102" s="44" t="s">
        <v>461</v>
      </c>
      <c r="I102" s="42" t="s">
        <v>1444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751</v>
      </c>
      <c r="C103" s="42" t="s">
        <v>33</v>
      </c>
      <c r="D103" s="42" t="s">
        <v>1458</v>
      </c>
      <c r="E103" s="34" t="s">
        <v>459</v>
      </c>
      <c r="F103" s="43" t="s">
        <v>459</v>
      </c>
      <c r="G103" s="31" t="s">
        <v>543</v>
      </c>
      <c r="H103" s="44" t="s">
        <v>461</v>
      </c>
      <c r="I103" s="42" t="s">
        <v>1444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751</v>
      </c>
      <c r="C104" s="42" t="s">
        <v>33</v>
      </c>
      <c r="D104" s="42" t="s">
        <v>1459</v>
      </c>
      <c r="E104" s="34" t="s">
        <v>459</v>
      </c>
      <c r="F104" s="43" t="s">
        <v>459</v>
      </c>
      <c r="G104" s="31" t="s">
        <v>543</v>
      </c>
      <c r="H104" s="44" t="s">
        <v>461</v>
      </c>
      <c r="I104" s="42" t="s">
        <v>1444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529</v>
      </c>
      <c r="C105" s="42" t="s">
        <v>33</v>
      </c>
      <c r="D105" s="42" t="s">
        <v>1460</v>
      </c>
      <c r="E105" s="34" t="s">
        <v>459</v>
      </c>
      <c r="F105" s="43" t="s">
        <v>459</v>
      </c>
      <c r="G105" s="31" t="s">
        <v>543</v>
      </c>
      <c r="H105" s="44" t="s">
        <v>461</v>
      </c>
      <c r="I105" s="42" t="s">
        <v>1444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529</v>
      </c>
      <c r="C106" s="42" t="s">
        <v>33</v>
      </c>
      <c r="D106" s="42" t="s">
        <v>1461</v>
      </c>
      <c r="E106" s="34" t="s">
        <v>459</v>
      </c>
      <c r="F106" s="43" t="s">
        <v>459</v>
      </c>
      <c r="G106" s="31" t="s">
        <v>543</v>
      </c>
      <c r="H106" s="44" t="s">
        <v>461</v>
      </c>
      <c r="I106" s="42" t="s">
        <v>1444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55</v>
      </c>
      <c r="C107" s="42" t="s">
        <v>33</v>
      </c>
      <c r="D107" s="42" t="s">
        <v>1074</v>
      </c>
      <c r="E107" s="34" t="s">
        <v>459</v>
      </c>
      <c r="F107" s="43" t="s">
        <v>459</v>
      </c>
      <c r="G107" s="31" t="s">
        <v>543</v>
      </c>
      <c r="H107" s="44" t="s">
        <v>461</v>
      </c>
      <c r="I107" s="42" t="s">
        <v>1444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55</v>
      </c>
      <c r="C108" s="42" t="s">
        <v>33</v>
      </c>
      <c r="D108" s="42" t="s">
        <v>1075</v>
      </c>
      <c r="E108" s="34" t="s">
        <v>459</v>
      </c>
      <c r="F108" s="43" t="s">
        <v>459</v>
      </c>
      <c r="G108" s="31" t="s">
        <v>543</v>
      </c>
      <c r="H108" s="44" t="s">
        <v>461</v>
      </c>
      <c r="I108" s="42" t="s">
        <v>1444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1056</v>
      </c>
      <c r="C109" s="42" t="s">
        <v>33</v>
      </c>
      <c r="D109" s="42" t="s">
        <v>1462</v>
      </c>
      <c r="E109" s="34" t="s">
        <v>459</v>
      </c>
      <c r="F109" s="43" t="s">
        <v>459</v>
      </c>
      <c r="G109" s="31" t="s">
        <v>543</v>
      </c>
      <c r="H109" s="44" t="s">
        <v>461</v>
      </c>
      <c r="I109" s="42" t="s">
        <v>1444</v>
      </c>
      <c r="J109" s="42"/>
      <c r="K109" s="45" t="n">
        <f aca="false">IF(AND(E109="yes",F109="yes",H109="covered"),1,IF(H109="partial",0.5,0))</f>
        <v>1</v>
      </c>
    </row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30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1463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230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31.5" hidden="false" customHeight="true" outlineLevel="0" collapsed="false">
      <c r="A9" s="51" t="n">
        <v>1</v>
      </c>
      <c r="B9" s="52" t="s">
        <v>456</v>
      </c>
      <c r="C9" s="52" t="s">
        <v>457</v>
      </c>
      <c r="D9" s="52" t="s">
        <v>458</v>
      </c>
      <c r="E9" s="51" t="s">
        <v>459</v>
      </c>
      <c r="F9" s="51" t="s">
        <v>459</v>
      </c>
      <c r="G9" s="51" t="s">
        <v>907</v>
      </c>
      <c r="H9" s="51" t="s">
        <v>461</v>
      </c>
      <c r="I9" s="52" t="s">
        <v>1464</v>
      </c>
      <c r="J9" s="52"/>
      <c r="K9" s="53" t="n">
        <f aca="false">IF(AND(E9="yes",F9="yes",H9="covered"),1,IF(H9="partial",0.5,0))</f>
        <v>1</v>
      </c>
    </row>
    <row r="10" customFormat="false" ht="31.5" hidden="false" customHeight="true" outlineLevel="0" collapsed="false">
      <c r="A10" s="51" t="n">
        <v>2</v>
      </c>
      <c r="B10" s="52" t="s">
        <v>456</v>
      </c>
      <c r="C10" s="52" t="s">
        <v>457</v>
      </c>
      <c r="D10" s="52" t="s">
        <v>463</v>
      </c>
      <c r="E10" s="51" t="s">
        <v>459</v>
      </c>
      <c r="F10" s="51" t="s">
        <v>459</v>
      </c>
      <c r="G10" s="51" t="s">
        <v>907</v>
      </c>
      <c r="H10" s="51" t="s">
        <v>461</v>
      </c>
      <c r="I10" s="52" t="s">
        <v>1464</v>
      </c>
      <c r="J10" s="52"/>
      <c r="K10" s="53" t="n">
        <f aca="false">IF(AND(E10="yes",F10="yes",H10="covered"),1,IF(H10="partial",0.5,0))</f>
        <v>1</v>
      </c>
    </row>
    <row r="11" customFormat="false" ht="31.5" hidden="false" customHeight="true" outlineLevel="0" collapsed="false">
      <c r="A11" s="51" t="n">
        <v>3</v>
      </c>
      <c r="B11" s="52" t="s">
        <v>486</v>
      </c>
      <c r="C11" s="52" t="s">
        <v>476</v>
      </c>
      <c r="D11" s="52" t="s">
        <v>1465</v>
      </c>
      <c r="E11" s="51" t="s">
        <v>459</v>
      </c>
      <c r="F11" s="51" t="s">
        <v>459</v>
      </c>
      <c r="G11" s="51" t="s">
        <v>907</v>
      </c>
      <c r="H11" s="51" t="s">
        <v>461</v>
      </c>
      <c r="I11" s="52" t="s">
        <v>1464</v>
      </c>
      <c r="J11" s="52"/>
      <c r="K11" s="53" t="n">
        <f aca="false">IF(AND(E11="yes",F11="yes",H11="covered"),1,IF(H11="partial",0.5,0))</f>
        <v>1</v>
      </c>
    </row>
    <row r="12" customFormat="false" ht="31.5" hidden="false" customHeight="true" outlineLevel="0" collapsed="false">
      <c r="A12" s="51" t="n">
        <v>4</v>
      </c>
      <c r="B12" s="52" t="s">
        <v>486</v>
      </c>
      <c r="C12" s="52" t="s">
        <v>476</v>
      </c>
      <c r="D12" s="52" t="s">
        <v>1089</v>
      </c>
      <c r="E12" s="51" t="s">
        <v>459</v>
      </c>
      <c r="F12" s="51" t="s">
        <v>459</v>
      </c>
      <c r="G12" s="51" t="s">
        <v>907</v>
      </c>
      <c r="H12" s="51" t="s">
        <v>461</v>
      </c>
      <c r="I12" s="52" t="s">
        <v>1464</v>
      </c>
      <c r="J12" s="52"/>
      <c r="K12" s="53" t="n">
        <f aca="false">IF(AND(E12="yes",F12="yes",H12="covered"),1,IF(H12="partial",0.5,0))</f>
        <v>1</v>
      </c>
    </row>
    <row r="13" customFormat="false" ht="31.5" hidden="false" customHeight="true" outlineLevel="0" collapsed="false">
      <c r="A13" s="51" t="n">
        <v>5</v>
      </c>
      <c r="B13" s="52" t="s">
        <v>486</v>
      </c>
      <c r="C13" s="52" t="s">
        <v>476</v>
      </c>
      <c r="D13" s="52" t="s">
        <v>1090</v>
      </c>
      <c r="E13" s="51" t="s">
        <v>459</v>
      </c>
      <c r="F13" s="51" t="s">
        <v>459</v>
      </c>
      <c r="G13" s="51" t="s">
        <v>907</v>
      </c>
      <c r="H13" s="51" t="s">
        <v>461</v>
      </c>
      <c r="I13" s="52" t="s">
        <v>1464</v>
      </c>
      <c r="J13" s="52"/>
      <c r="K13" s="53" t="n">
        <f aca="false">IF(AND(E13="yes",F13="yes",H13="covered"),1,IF(H13="partial",0.5,0))</f>
        <v>1</v>
      </c>
    </row>
    <row r="14" customFormat="false" ht="31.5" hidden="false" customHeight="true" outlineLevel="0" collapsed="false">
      <c r="A14" s="51" t="n">
        <v>6</v>
      </c>
      <c r="B14" s="52" t="s">
        <v>486</v>
      </c>
      <c r="C14" s="52" t="s">
        <v>476</v>
      </c>
      <c r="D14" s="52" t="s">
        <v>1093</v>
      </c>
      <c r="E14" s="51" t="s">
        <v>459</v>
      </c>
      <c r="F14" s="51" t="s">
        <v>459</v>
      </c>
      <c r="G14" s="51" t="s">
        <v>907</v>
      </c>
      <c r="H14" s="51" t="s">
        <v>461</v>
      </c>
      <c r="I14" s="52" t="s">
        <v>1464</v>
      </c>
      <c r="J14" s="52"/>
      <c r="K14" s="53" t="n">
        <f aca="false">IF(AND(E14="yes",F14="yes",H14="covered"),1,IF(H14="partial",0.5,0))</f>
        <v>1</v>
      </c>
    </row>
    <row r="15" customFormat="false" ht="31.5" hidden="false" customHeight="true" outlineLevel="0" collapsed="false">
      <c r="A15" s="51" t="n">
        <v>7</v>
      </c>
      <c r="B15" s="52" t="s">
        <v>486</v>
      </c>
      <c r="C15" s="52" t="s">
        <v>476</v>
      </c>
      <c r="D15" s="52" t="s">
        <v>1466</v>
      </c>
      <c r="E15" s="51" t="s">
        <v>459</v>
      </c>
      <c r="F15" s="51" t="s">
        <v>459</v>
      </c>
      <c r="G15" s="51" t="s">
        <v>907</v>
      </c>
      <c r="H15" s="51" t="s">
        <v>461</v>
      </c>
      <c r="I15" s="52" t="s">
        <v>1464</v>
      </c>
      <c r="J15" s="52"/>
      <c r="K15" s="53" t="n">
        <f aca="false">IF(AND(E15="yes",F15="yes",H15="covered"),1,IF(H15="partial",0.5,0))</f>
        <v>1</v>
      </c>
    </row>
    <row r="16" customFormat="false" ht="31.5" hidden="false" customHeight="true" outlineLevel="0" collapsed="false">
      <c r="A16" s="51" t="n">
        <v>8</v>
      </c>
      <c r="B16" s="52" t="s">
        <v>486</v>
      </c>
      <c r="C16" s="52" t="s">
        <v>476</v>
      </c>
      <c r="D16" s="52" t="s">
        <v>1095</v>
      </c>
      <c r="E16" s="51" t="s">
        <v>459</v>
      </c>
      <c r="F16" s="51" t="s">
        <v>459</v>
      </c>
      <c r="G16" s="51" t="s">
        <v>907</v>
      </c>
      <c r="H16" s="51" t="s">
        <v>461</v>
      </c>
      <c r="I16" s="52" t="s">
        <v>1464</v>
      </c>
      <c r="J16" s="52"/>
      <c r="K16" s="53" t="n">
        <f aca="false">IF(AND(E16="yes",F16="yes",H16="covered"),1,IF(H16="partial",0.5,0))</f>
        <v>1</v>
      </c>
    </row>
    <row r="17" customFormat="false" ht="31.5" hidden="false" customHeight="true" outlineLevel="0" collapsed="false">
      <c r="A17" s="51" t="n">
        <v>9</v>
      </c>
      <c r="B17" s="52" t="s">
        <v>486</v>
      </c>
      <c r="C17" s="52" t="s">
        <v>476</v>
      </c>
      <c r="D17" s="52" t="s">
        <v>1096</v>
      </c>
      <c r="E17" s="51" t="s">
        <v>459</v>
      </c>
      <c r="F17" s="51" t="s">
        <v>459</v>
      </c>
      <c r="G17" s="51" t="s">
        <v>907</v>
      </c>
      <c r="H17" s="51" t="s">
        <v>461</v>
      </c>
      <c r="I17" s="52" t="s">
        <v>1464</v>
      </c>
      <c r="J17" s="52"/>
      <c r="K17" s="53" t="n">
        <f aca="false">IF(AND(E17="yes",F17="yes",H17="covered"),1,IF(H17="partial",0.5,0))</f>
        <v>1</v>
      </c>
    </row>
    <row r="18" customFormat="false" ht="31.5" hidden="false" customHeight="true" outlineLevel="0" collapsed="false">
      <c r="A18" s="51" t="n">
        <v>10</v>
      </c>
      <c r="B18" s="52" t="s">
        <v>486</v>
      </c>
      <c r="C18" s="52" t="s">
        <v>476</v>
      </c>
      <c r="D18" s="52" t="s">
        <v>1467</v>
      </c>
      <c r="E18" s="51" t="s">
        <v>459</v>
      </c>
      <c r="F18" s="51" t="s">
        <v>459</v>
      </c>
      <c r="G18" s="51" t="s">
        <v>907</v>
      </c>
      <c r="H18" s="51" t="s">
        <v>461</v>
      </c>
      <c r="I18" s="52" t="s">
        <v>1464</v>
      </c>
      <c r="J18" s="52"/>
      <c r="K18" s="53" t="n">
        <f aca="false">IF(AND(E18="yes",F18="yes",H18="covered"),1,IF(H18="partial",0.5,0))</f>
        <v>1</v>
      </c>
    </row>
    <row r="19" customFormat="false" ht="31.5" hidden="false" customHeight="true" outlineLevel="0" collapsed="false">
      <c r="A19" s="51" t="n">
        <v>11</v>
      </c>
      <c r="B19" s="52" t="s">
        <v>486</v>
      </c>
      <c r="C19" s="52" t="s">
        <v>476</v>
      </c>
      <c r="D19" s="52" t="s">
        <v>1468</v>
      </c>
      <c r="E19" s="51" t="s">
        <v>459</v>
      </c>
      <c r="F19" s="51" t="s">
        <v>459</v>
      </c>
      <c r="G19" s="51" t="s">
        <v>907</v>
      </c>
      <c r="H19" s="51" t="s">
        <v>461</v>
      </c>
      <c r="I19" s="52" t="s">
        <v>1464</v>
      </c>
      <c r="J19" s="52"/>
      <c r="K19" s="53" t="n">
        <f aca="false">IF(AND(E19="yes",F19="yes",H19="covered"),1,IF(H19="partial",0.5,0))</f>
        <v>1</v>
      </c>
    </row>
    <row r="20" customFormat="false" ht="31.5" hidden="false" customHeight="true" outlineLevel="0" collapsed="false">
      <c r="A20" s="51" t="n">
        <v>12</v>
      </c>
      <c r="B20" s="52" t="s">
        <v>486</v>
      </c>
      <c r="C20" s="52" t="s">
        <v>476</v>
      </c>
      <c r="D20" s="52" t="s">
        <v>1469</v>
      </c>
      <c r="E20" s="51" t="s">
        <v>459</v>
      </c>
      <c r="F20" s="51" t="s">
        <v>459</v>
      </c>
      <c r="G20" s="51" t="s">
        <v>907</v>
      </c>
      <c r="H20" s="51" t="s">
        <v>461</v>
      </c>
      <c r="I20" s="52" t="s">
        <v>1464</v>
      </c>
      <c r="J20" s="52"/>
      <c r="K20" s="53" t="n">
        <f aca="false">IF(AND(E20="yes",F20="yes",H20="covered"),1,IF(H20="partial",0.5,0))</f>
        <v>1</v>
      </c>
    </row>
    <row r="21" customFormat="false" ht="31.5" hidden="false" customHeight="true" outlineLevel="0" collapsed="false">
      <c r="A21" s="51" t="n">
        <v>13</v>
      </c>
      <c r="B21" s="52" t="s">
        <v>486</v>
      </c>
      <c r="C21" s="52" t="s">
        <v>498</v>
      </c>
      <c r="D21" s="52" t="s">
        <v>1470</v>
      </c>
      <c r="E21" s="51" t="s">
        <v>459</v>
      </c>
      <c r="F21" s="51" t="s">
        <v>459</v>
      </c>
      <c r="G21" s="51" t="s">
        <v>907</v>
      </c>
      <c r="H21" s="51" t="s">
        <v>461</v>
      </c>
      <c r="I21" s="52" t="s">
        <v>1464</v>
      </c>
      <c r="J21" s="52"/>
      <c r="K21" s="53" t="n">
        <f aca="false">IF(AND(E21="yes",F21="yes",H21="covered"),1,IF(H21="partial",0.5,0))</f>
        <v>1</v>
      </c>
    </row>
    <row r="22" customFormat="false" ht="31.5" hidden="false" customHeight="true" outlineLevel="0" collapsed="false">
      <c r="A22" s="51" t="n">
        <v>14</v>
      </c>
      <c r="B22" s="52" t="s">
        <v>486</v>
      </c>
      <c r="C22" s="52" t="s">
        <v>498</v>
      </c>
      <c r="D22" s="52" t="s">
        <v>1471</v>
      </c>
      <c r="E22" s="51" t="s">
        <v>459</v>
      </c>
      <c r="F22" s="51" t="s">
        <v>459</v>
      </c>
      <c r="G22" s="51" t="s">
        <v>907</v>
      </c>
      <c r="H22" s="51" t="s">
        <v>461</v>
      </c>
      <c r="I22" s="52" t="s">
        <v>1464</v>
      </c>
      <c r="J22" s="52"/>
      <c r="K22" s="53" t="n">
        <f aca="false">IF(AND(E22="yes",F22="yes",H22="covered"),1,IF(H22="partial",0.5,0))</f>
        <v>1</v>
      </c>
    </row>
    <row r="23" customFormat="false" ht="31.5" hidden="false" customHeight="true" outlineLevel="0" collapsed="false">
      <c r="A23" s="51" t="n">
        <v>15</v>
      </c>
      <c r="B23" s="52" t="s">
        <v>486</v>
      </c>
      <c r="C23" s="52" t="s">
        <v>498</v>
      </c>
      <c r="D23" s="52" t="s">
        <v>1103</v>
      </c>
      <c r="E23" s="51" t="s">
        <v>459</v>
      </c>
      <c r="F23" s="51" t="s">
        <v>459</v>
      </c>
      <c r="G23" s="51" t="s">
        <v>907</v>
      </c>
      <c r="H23" s="51" t="s">
        <v>461</v>
      </c>
      <c r="I23" s="52" t="s">
        <v>1464</v>
      </c>
      <c r="J23" s="52"/>
      <c r="K23" s="53" t="n">
        <f aca="false">IF(AND(E23="yes",F23="yes",H23="covered"),1,IF(H23="partial",0.5,0))</f>
        <v>1</v>
      </c>
    </row>
    <row r="24" customFormat="false" ht="31.5" hidden="false" customHeight="true" outlineLevel="0" collapsed="false">
      <c r="A24" s="51" t="n">
        <v>16</v>
      </c>
      <c r="B24" s="52" t="s">
        <v>486</v>
      </c>
      <c r="C24" s="52" t="s">
        <v>498</v>
      </c>
      <c r="D24" s="52" t="s">
        <v>1472</v>
      </c>
      <c r="E24" s="51" t="s">
        <v>459</v>
      </c>
      <c r="F24" s="51" t="s">
        <v>459</v>
      </c>
      <c r="G24" s="51" t="s">
        <v>907</v>
      </c>
      <c r="H24" s="51" t="s">
        <v>461</v>
      </c>
      <c r="I24" s="52" t="s">
        <v>1464</v>
      </c>
      <c r="J24" s="52"/>
      <c r="K24" s="53" t="n">
        <f aca="false">IF(AND(E24="yes",F24="yes",H24="covered"),1,IF(H24="partial",0.5,0))</f>
        <v>1</v>
      </c>
    </row>
    <row r="25" customFormat="false" ht="31.5" hidden="false" customHeight="true" outlineLevel="0" collapsed="false">
      <c r="A25" s="51" t="n">
        <v>17</v>
      </c>
      <c r="B25" s="52" t="s">
        <v>486</v>
      </c>
      <c r="C25" s="52" t="s">
        <v>498</v>
      </c>
      <c r="D25" s="52" t="s">
        <v>1473</v>
      </c>
      <c r="E25" s="51" t="s">
        <v>459</v>
      </c>
      <c r="F25" s="51" t="s">
        <v>459</v>
      </c>
      <c r="G25" s="51" t="s">
        <v>907</v>
      </c>
      <c r="H25" s="51" t="s">
        <v>461</v>
      </c>
      <c r="I25" s="52" t="s">
        <v>1464</v>
      </c>
      <c r="J25" s="52"/>
      <c r="K25" s="53" t="n">
        <f aca="false">IF(AND(E25="yes",F25="yes",H25="covered"),1,IF(H25="partial",0.5,0))</f>
        <v>1</v>
      </c>
    </row>
    <row r="26" customFormat="false" ht="31.5" hidden="false" customHeight="true" outlineLevel="0" collapsed="false">
      <c r="A26" s="51" t="n">
        <v>18</v>
      </c>
      <c r="B26" s="52" t="s">
        <v>486</v>
      </c>
      <c r="C26" s="52" t="s">
        <v>498</v>
      </c>
      <c r="D26" s="52" t="s">
        <v>1474</v>
      </c>
      <c r="E26" s="51" t="s">
        <v>459</v>
      </c>
      <c r="F26" s="51" t="s">
        <v>459</v>
      </c>
      <c r="G26" s="51" t="s">
        <v>907</v>
      </c>
      <c r="H26" s="51" t="s">
        <v>461</v>
      </c>
      <c r="I26" s="52" t="s">
        <v>1464</v>
      </c>
      <c r="J26" s="52"/>
      <c r="K26" s="53" t="n">
        <f aca="false">IF(AND(E26="yes",F26="yes",H26="covered"),1,IF(H26="partial",0.5,0))</f>
        <v>1</v>
      </c>
    </row>
    <row r="27" customFormat="false" ht="31.5" hidden="false" customHeight="true" outlineLevel="0" collapsed="false">
      <c r="A27" s="51" t="n">
        <v>19</v>
      </c>
      <c r="B27" s="52" t="s">
        <v>486</v>
      </c>
      <c r="C27" s="52" t="s">
        <v>498</v>
      </c>
      <c r="D27" s="52" t="s">
        <v>1475</v>
      </c>
      <c r="E27" s="51" t="s">
        <v>459</v>
      </c>
      <c r="F27" s="51" t="s">
        <v>459</v>
      </c>
      <c r="G27" s="51" t="s">
        <v>907</v>
      </c>
      <c r="H27" s="51" t="s">
        <v>461</v>
      </c>
      <c r="I27" s="52" t="s">
        <v>1464</v>
      </c>
      <c r="J27" s="52"/>
      <c r="K27" s="53" t="n">
        <f aca="false">IF(AND(E27="yes",F27="yes",H27="covered"),1,IF(H27="partial",0.5,0))</f>
        <v>1</v>
      </c>
    </row>
    <row r="28" customFormat="false" ht="31.5" hidden="false" customHeight="true" outlineLevel="0" collapsed="false">
      <c r="A28" s="51" t="n">
        <v>20</v>
      </c>
      <c r="B28" s="52" t="s">
        <v>486</v>
      </c>
      <c r="C28" s="52" t="s">
        <v>498</v>
      </c>
      <c r="D28" s="52" t="s">
        <v>1476</v>
      </c>
      <c r="E28" s="51" t="s">
        <v>459</v>
      </c>
      <c r="F28" s="51" t="s">
        <v>459</v>
      </c>
      <c r="G28" s="51" t="s">
        <v>907</v>
      </c>
      <c r="H28" s="51" t="s">
        <v>461</v>
      </c>
      <c r="I28" s="52" t="s">
        <v>1464</v>
      </c>
      <c r="J28" s="52"/>
      <c r="K28" s="53" t="n">
        <f aca="false">IF(AND(E28="yes",F28="yes",H28="covered"),1,IF(H28="partial",0.5,0))</f>
        <v>1</v>
      </c>
    </row>
    <row r="29" customFormat="false" ht="31.5" hidden="false" customHeight="true" outlineLevel="0" collapsed="false">
      <c r="A29" s="51" t="n">
        <v>21</v>
      </c>
      <c r="B29" s="52" t="s">
        <v>486</v>
      </c>
      <c r="C29" s="52" t="s">
        <v>498</v>
      </c>
      <c r="D29" s="52" t="s">
        <v>1477</v>
      </c>
      <c r="E29" s="51" t="s">
        <v>459</v>
      </c>
      <c r="F29" s="51" t="s">
        <v>459</v>
      </c>
      <c r="G29" s="51" t="s">
        <v>907</v>
      </c>
      <c r="H29" s="51" t="s">
        <v>461</v>
      </c>
      <c r="I29" s="52" t="s">
        <v>1464</v>
      </c>
      <c r="J29" s="52"/>
      <c r="K29" s="53" t="n">
        <f aca="false">IF(AND(E29="yes",F29="yes",H29="covered"),1,IF(H29="partial",0.5,0))</f>
        <v>1</v>
      </c>
    </row>
    <row r="30" customFormat="false" ht="31.5" hidden="false" customHeight="true" outlineLevel="0" collapsed="false">
      <c r="A30" s="51" t="n">
        <v>22</v>
      </c>
      <c r="B30" s="52" t="s">
        <v>486</v>
      </c>
      <c r="C30" s="52" t="s">
        <v>498</v>
      </c>
      <c r="D30" s="52" t="s">
        <v>1478</v>
      </c>
      <c r="E30" s="51" t="s">
        <v>459</v>
      </c>
      <c r="F30" s="51" t="s">
        <v>459</v>
      </c>
      <c r="G30" s="51" t="s">
        <v>907</v>
      </c>
      <c r="H30" s="51" t="s">
        <v>461</v>
      </c>
      <c r="I30" s="52" t="s">
        <v>1464</v>
      </c>
      <c r="J30" s="52"/>
      <c r="K30" s="53" t="n">
        <f aca="false">IF(AND(E30="yes",F30="yes",H30="covered"),1,IF(H30="partial",0.5,0))</f>
        <v>1</v>
      </c>
    </row>
    <row r="31" customFormat="false" ht="31.5" hidden="false" customHeight="true" outlineLevel="0" collapsed="false">
      <c r="A31" s="51" t="n">
        <v>23</v>
      </c>
      <c r="B31" s="52" t="s">
        <v>486</v>
      </c>
      <c r="C31" s="52" t="s">
        <v>498</v>
      </c>
      <c r="D31" s="52" t="s">
        <v>1479</v>
      </c>
      <c r="E31" s="51" t="s">
        <v>459</v>
      </c>
      <c r="F31" s="51" t="s">
        <v>459</v>
      </c>
      <c r="G31" s="51" t="s">
        <v>907</v>
      </c>
      <c r="H31" s="51" t="s">
        <v>461</v>
      </c>
      <c r="I31" s="52" t="s">
        <v>1464</v>
      </c>
      <c r="J31" s="52"/>
      <c r="K31" s="53" t="n">
        <f aca="false">IF(AND(E31="yes",F31="yes",H31="covered"),1,IF(H31="partial",0.5,0))</f>
        <v>1</v>
      </c>
    </row>
    <row r="32" customFormat="false" ht="31.5" hidden="false" customHeight="true" outlineLevel="0" collapsed="false">
      <c r="A32" s="51" t="n">
        <v>24</v>
      </c>
      <c r="B32" s="52" t="s">
        <v>486</v>
      </c>
      <c r="C32" s="52" t="s">
        <v>498</v>
      </c>
      <c r="D32" s="52" t="s">
        <v>1480</v>
      </c>
      <c r="E32" s="51" t="s">
        <v>459</v>
      </c>
      <c r="F32" s="51" t="s">
        <v>459</v>
      </c>
      <c r="G32" s="51" t="s">
        <v>907</v>
      </c>
      <c r="H32" s="51" t="s">
        <v>461</v>
      </c>
      <c r="I32" s="52" t="s">
        <v>1464</v>
      </c>
      <c r="J32" s="52"/>
      <c r="K32" s="53" t="n">
        <f aca="false">IF(AND(E32="yes",F32="yes",H32="covered"),1,IF(H32="partial",0.5,0))</f>
        <v>1</v>
      </c>
    </row>
    <row r="33" customFormat="false" ht="31.5" hidden="false" customHeight="true" outlineLevel="0" collapsed="false">
      <c r="A33" s="51" t="n">
        <v>25</v>
      </c>
      <c r="B33" s="52" t="s">
        <v>486</v>
      </c>
      <c r="C33" s="52" t="s">
        <v>498</v>
      </c>
      <c r="D33" s="52" t="s">
        <v>1106</v>
      </c>
      <c r="E33" s="51" t="s">
        <v>459</v>
      </c>
      <c r="F33" s="51" t="s">
        <v>459</v>
      </c>
      <c r="G33" s="51" t="s">
        <v>907</v>
      </c>
      <c r="H33" s="51" t="s">
        <v>461</v>
      </c>
      <c r="I33" s="52" t="s">
        <v>1464</v>
      </c>
      <c r="J33" s="52"/>
      <c r="K33" s="53" t="n">
        <f aca="false">IF(AND(E33="yes",F33="yes",H33="covered"),1,IF(H33="partial",0.5,0))</f>
        <v>1</v>
      </c>
    </row>
    <row r="34" customFormat="false" ht="31.5" hidden="false" customHeight="true" outlineLevel="0" collapsed="false">
      <c r="A34" s="51" t="n">
        <v>26</v>
      </c>
      <c r="B34" s="52" t="s">
        <v>486</v>
      </c>
      <c r="C34" s="52" t="s">
        <v>498</v>
      </c>
      <c r="D34" s="52" t="s">
        <v>1481</v>
      </c>
      <c r="E34" s="51" t="s">
        <v>459</v>
      </c>
      <c r="F34" s="51" t="s">
        <v>459</v>
      </c>
      <c r="G34" s="51" t="s">
        <v>907</v>
      </c>
      <c r="H34" s="51" t="s">
        <v>461</v>
      </c>
      <c r="I34" s="52" t="s">
        <v>1464</v>
      </c>
      <c r="J34" s="52"/>
      <c r="K34" s="53" t="n">
        <f aca="false">IF(AND(E34="yes",F34="yes",H34="covered"),1,IF(H34="partial",0.5,0))</f>
        <v>1</v>
      </c>
    </row>
    <row r="35" customFormat="false" ht="31.5" hidden="false" customHeight="true" outlineLevel="0" collapsed="false">
      <c r="A35" s="51" t="n">
        <v>27</v>
      </c>
      <c r="B35" s="52" t="s">
        <v>486</v>
      </c>
      <c r="C35" s="52" t="s">
        <v>498</v>
      </c>
      <c r="D35" s="52" t="s">
        <v>1482</v>
      </c>
      <c r="E35" s="51" t="s">
        <v>459</v>
      </c>
      <c r="F35" s="51" t="s">
        <v>459</v>
      </c>
      <c r="G35" s="51" t="s">
        <v>907</v>
      </c>
      <c r="H35" s="51" t="s">
        <v>461</v>
      </c>
      <c r="I35" s="52" t="s">
        <v>1464</v>
      </c>
      <c r="J35" s="52"/>
      <c r="K35" s="53" t="n">
        <f aca="false">IF(AND(E35="yes",F35="yes",H35="covered"),1,IF(H35="partial",0.5,0))</f>
        <v>1</v>
      </c>
    </row>
    <row r="36" customFormat="false" ht="31.5" hidden="false" customHeight="true" outlineLevel="0" collapsed="false">
      <c r="A36" s="51" t="n">
        <v>28</v>
      </c>
      <c r="B36" s="52" t="s">
        <v>486</v>
      </c>
      <c r="C36" s="52" t="s">
        <v>498</v>
      </c>
      <c r="D36" s="52" t="s">
        <v>1115</v>
      </c>
      <c r="E36" s="51" t="s">
        <v>459</v>
      </c>
      <c r="F36" s="51" t="s">
        <v>459</v>
      </c>
      <c r="G36" s="51" t="s">
        <v>907</v>
      </c>
      <c r="H36" s="51" t="s">
        <v>461</v>
      </c>
      <c r="I36" s="52" t="s">
        <v>1464</v>
      </c>
      <c r="J36" s="52"/>
      <c r="K36" s="53" t="n">
        <f aca="false">IF(AND(E36="yes",F36="yes",H36="covered"),1,IF(H36="partial",0.5,0))</f>
        <v>1</v>
      </c>
    </row>
    <row r="37" customFormat="false" ht="31.5" hidden="false" customHeight="true" outlineLevel="0" collapsed="false">
      <c r="A37" s="51" t="n">
        <v>29</v>
      </c>
      <c r="B37" s="52" t="s">
        <v>486</v>
      </c>
      <c r="C37" s="52" t="s">
        <v>498</v>
      </c>
      <c r="D37" s="52" t="s">
        <v>1483</v>
      </c>
      <c r="E37" s="51" t="s">
        <v>459</v>
      </c>
      <c r="F37" s="51" t="s">
        <v>459</v>
      </c>
      <c r="G37" s="51" t="s">
        <v>907</v>
      </c>
      <c r="H37" s="51" t="s">
        <v>461</v>
      </c>
      <c r="I37" s="52" t="s">
        <v>1464</v>
      </c>
      <c r="J37" s="52"/>
      <c r="K37" s="53" t="n">
        <f aca="false">IF(AND(E37="yes",F37="yes",H37="covered"),1,IF(H37="partial",0.5,0))</f>
        <v>1</v>
      </c>
    </row>
    <row r="38" customFormat="false" ht="31.5" hidden="false" customHeight="true" outlineLevel="0" collapsed="false">
      <c r="A38" s="51" t="n">
        <v>30</v>
      </c>
      <c r="B38" s="52" t="s">
        <v>486</v>
      </c>
      <c r="C38" s="52" t="s">
        <v>498</v>
      </c>
      <c r="D38" s="52" t="s">
        <v>1484</v>
      </c>
      <c r="E38" s="51" t="s">
        <v>459</v>
      </c>
      <c r="F38" s="51" t="s">
        <v>459</v>
      </c>
      <c r="G38" s="51" t="s">
        <v>907</v>
      </c>
      <c r="H38" s="51" t="s">
        <v>461</v>
      </c>
      <c r="I38" s="52" t="s">
        <v>1464</v>
      </c>
      <c r="J38" s="52"/>
      <c r="K38" s="53" t="n">
        <f aca="false">IF(AND(E38="yes",F38="yes",H38="covered"),1,IF(H38="partial",0.5,0))</f>
        <v>1</v>
      </c>
    </row>
    <row r="39" customFormat="false" ht="31.5" hidden="false" customHeight="true" outlineLevel="0" collapsed="false">
      <c r="A39" s="51" t="n">
        <v>31</v>
      </c>
      <c r="B39" s="52" t="s">
        <v>486</v>
      </c>
      <c r="C39" s="52" t="s">
        <v>498</v>
      </c>
      <c r="D39" s="52" t="s">
        <v>1485</v>
      </c>
      <c r="E39" s="51" t="s">
        <v>459</v>
      </c>
      <c r="F39" s="51" t="s">
        <v>459</v>
      </c>
      <c r="G39" s="51" t="s">
        <v>907</v>
      </c>
      <c r="H39" s="51" t="s">
        <v>461</v>
      </c>
      <c r="I39" s="52" t="s">
        <v>1464</v>
      </c>
      <c r="J39" s="52"/>
      <c r="K39" s="53" t="n">
        <f aca="false">IF(AND(E39="yes",F39="yes",H39="covered"),1,IF(H39="partial",0.5,0))</f>
        <v>1</v>
      </c>
    </row>
    <row r="40" customFormat="false" ht="31.5" hidden="false" customHeight="true" outlineLevel="0" collapsed="false">
      <c r="A40" s="51" t="n">
        <v>32</v>
      </c>
      <c r="B40" s="52" t="s">
        <v>486</v>
      </c>
      <c r="C40" s="52" t="s">
        <v>498</v>
      </c>
      <c r="D40" s="52" t="s">
        <v>1486</v>
      </c>
      <c r="E40" s="51" t="s">
        <v>459</v>
      </c>
      <c r="F40" s="51" t="s">
        <v>459</v>
      </c>
      <c r="G40" s="51" t="s">
        <v>907</v>
      </c>
      <c r="H40" s="51" t="s">
        <v>461</v>
      </c>
      <c r="I40" s="52" t="s">
        <v>1464</v>
      </c>
      <c r="J40" s="52"/>
      <c r="K40" s="53" t="n">
        <f aca="false">IF(AND(E40="yes",F40="yes",H40="covered"),1,IF(H40="partial",0.5,0))</f>
        <v>1</v>
      </c>
    </row>
    <row r="41" customFormat="false" ht="31.5" hidden="false" customHeight="true" outlineLevel="0" collapsed="false">
      <c r="A41" s="51" t="n">
        <v>33</v>
      </c>
      <c r="B41" s="52" t="s">
        <v>486</v>
      </c>
      <c r="C41" s="52" t="s">
        <v>498</v>
      </c>
      <c r="D41" s="52" t="s">
        <v>1487</v>
      </c>
      <c r="E41" s="51" t="s">
        <v>459</v>
      </c>
      <c r="F41" s="51" t="s">
        <v>459</v>
      </c>
      <c r="G41" s="51" t="s">
        <v>907</v>
      </c>
      <c r="H41" s="51" t="s">
        <v>461</v>
      </c>
      <c r="I41" s="52" t="s">
        <v>1464</v>
      </c>
      <c r="J41" s="52"/>
      <c r="K41" s="53" t="n">
        <f aca="false">IF(AND(E41="yes",F41="yes",H41="covered"),1,IF(H41="partial",0.5,0))</f>
        <v>1</v>
      </c>
    </row>
    <row r="42" customFormat="false" ht="31.5" hidden="false" customHeight="true" outlineLevel="0" collapsed="false">
      <c r="A42" s="51" t="n">
        <v>34</v>
      </c>
      <c r="B42" s="52" t="s">
        <v>486</v>
      </c>
      <c r="C42" s="52" t="s">
        <v>498</v>
      </c>
      <c r="D42" s="52" t="s">
        <v>1488</v>
      </c>
      <c r="E42" s="51" t="s">
        <v>459</v>
      </c>
      <c r="F42" s="51" t="s">
        <v>459</v>
      </c>
      <c r="G42" s="51" t="s">
        <v>907</v>
      </c>
      <c r="H42" s="51" t="s">
        <v>461</v>
      </c>
      <c r="I42" s="52" t="s">
        <v>1464</v>
      </c>
      <c r="J42" s="52"/>
      <c r="K42" s="53" t="n">
        <f aca="false">IF(AND(E42="yes",F42="yes",H42="covered"),1,IF(H42="partial",0.5,0))</f>
        <v>1</v>
      </c>
    </row>
    <row r="43" customFormat="false" ht="31.5" hidden="false" customHeight="true" outlineLevel="0" collapsed="false">
      <c r="A43" s="51" t="n">
        <v>35</v>
      </c>
      <c r="B43" s="52" t="s">
        <v>486</v>
      </c>
      <c r="C43" s="52" t="s">
        <v>498</v>
      </c>
      <c r="D43" s="52" t="s">
        <v>1489</v>
      </c>
      <c r="E43" s="51" t="s">
        <v>459</v>
      </c>
      <c r="F43" s="51" t="s">
        <v>459</v>
      </c>
      <c r="G43" s="51" t="s">
        <v>907</v>
      </c>
      <c r="H43" s="51" t="s">
        <v>461</v>
      </c>
      <c r="I43" s="52" t="s">
        <v>1464</v>
      </c>
      <c r="J43" s="52"/>
      <c r="K43" s="53" t="n">
        <f aca="false">IF(AND(E43="yes",F43="yes",H43="covered"),1,IF(H43="partial",0.5,0))</f>
        <v>1</v>
      </c>
    </row>
    <row r="44" customFormat="false" ht="31.5" hidden="false" customHeight="true" outlineLevel="0" collapsed="false">
      <c r="A44" s="51" t="n">
        <v>36</v>
      </c>
      <c r="B44" s="52" t="s">
        <v>486</v>
      </c>
      <c r="C44" s="52" t="s">
        <v>498</v>
      </c>
      <c r="D44" s="52" t="s">
        <v>1490</v>
      </c>
      <c r="E44" s="51" t="s">
        <v>459</v>
      </c>
      <c r="F44" s="51" t="s">
        <v>459</v>
      </c>
      <c r="G44" s="51" t="s">
        <v>907</v>
      </c>
      <c r="H44" s="51" t="s">
        <v>461</v>
      </c>
      <c r="I44" s="52" t="s">
        <v>1464</v>
      </c>
      <c r="J44" s="52"/>
      <c r="K44" s="53" t="n">
        <f aca="false">IF(AND(E44="yes",F44="yes",H44="covered"),1,IF(H44="partial",0.5,0))</f>
        <v>1</v>
      </c>
    </row>
    <row r="45" customFormat="false" ht="31.5" hidden="false" customHeight="true" outlineLevel="0" collapsed="false">
      <c r="A45" s="51" t="n">
        <v>37</v>
      </c>
      <c r="B45" s="52" t="s">
        <v>486</v>
      </c>
      <c r="C45" s="52" t="s">
        <v>498</v>
      </c>
      <c r="D45" s="52" t="s">
        <v>1491</v>
      </c>
      <c r="E45" s="51" t="s">
        <v>459</v>
      </c>
      <c r="F45" s="51" t="s">
        <v>459</v>
      </c>
      <c r="G45" s="51" t="s">
        <v>907</v>
      </c>
      <c r="H45" s="51" t="s">
        <v>461</v>
      </c>
      <c r="I45" s="52" t="s">
        <v>1464</v>
      </c>
      <c r="J45" s="52"/>
      <c r="K45" s="53" t="n">
        <f aca="false">IF(AND(E45="yes",F45="yes",H45="covered"),1,IF(H45="partial",0.5,0))</f>
        <v>1</v>
      </c>
    </row>
    <row r="46" customFormat="false" ht="31.5" hidden="false" customHeight="true" outlineLevel="0" collapsed="false">
      <c r="A46" s="51" t="n">
        <v>38</v>
      </c>
      <c r="B46" s="52" t="s">
        <v>486</v>
      </c>
      <c r="C46" s="52" t="s">
        <v>498</v>
      </c>
      <c r="D46" s="52" t="s">
        <v>1492</v>
      </c>
      <c r="E46" s="51" t="s">
        <v>459</v>
      </c>
      <c r="F46" s="51" t="s">
        <v>459</v>
      </c>
      <c r="G46" s="51" t="s">
        <v>907</v>
      </c>
      <c r="H46" s="51" t="s">
        <v>461</v>
      </c>
      <c r="I46" s="52" t="s">
        <v>1464</v>
      </c>
      <c r="J46" s="52"/>
      <c r="K46" s="53" t="n">
        <f aca="false">IF(AND(E46="yes",F46="yes",H46="covered"),1,IF(H46="partial",0.5,0))</f>
        <v>1</v>
      </c>
    </row>
    <row r="47" customFormat="false" ht="31.5" hidden="false" customHeight="true" outlineLevel="0" collapsed="false">
      <c r="A47" s="51" t="n">
        <v>39</v>
      </c>
      <c r="B47" s="52" t="s">
        <v>486</v>
      </c>
      <c r="C47" s="52" t="s">
        <v>498</v>
      </c>
      <c r="D47" s="52" t="s">
        <v>1493</v>
      </c>
      <c r="E47" s="51" t="s">
        <v>459</v>
      </c>
      <c r="F47" s="51" t="s">
        <v>459</v>
      </c>
      <c r="G47" s="51" t="s">
        <v>907</v>
      </c>
      <c r="H47" s="51" t="s">
        <v>461</v>
      </c>
      <c r="I47" s="52" t="s">
        <v>1464</v>
      </c>
      <c r="J47" s="52"/>
      <c r="K47" s="53" t="n">
        <f aca="false">IF(AND(E47="yes",F47="yes",H47="covered"),1,IF(H47="partial",0.5,0))</f>
        <v>1</v>
      </c>
    </row>
    <row r="48" customFormat="false" ht="31.5" hidden="false" customHeight="true" outlineLevel="0" collapsed="false">
      <c r="A48" s="51" t="n">
        <v>40</v>
      </c>
      <c r="B48" s="52" t="s">
        <v>486</v>
      </c>
      <c r="C48" s="52" t="s">
        <v>498</v>
      </c>
      <c r="D48" s="52" t="s">
        <v>1494</v>
      </c>
      <c r="E48" s="51" t="s">
        <v>459</v>
      </c>
      <c r="F48" s="51" t="s">
        <v>459</v>
      </c>
      <c r="G48" s="51" t="s">
        <v>907</v>
      </c>
      <c r="H48" s="51" t="s">
        <v>461</v>
      </c>
      <c r="I48" s="52" t="s">
        <v>1464</v>
      </c>
      <c r="J48" s="52"/>
      <c r="K48" s="53" t="n">
        <f aca="false">IF(AND(E48="yes",F48="yes",H48="covered"),1,IF(H48="partial",0.5,0))</f>
        <v>1</v>
      </c>
    </row>
    <row r="49" customFormat="false" ht="31.5" hidden="false" customHeight="true" outlineLevel="0" collapsed="false">
      <c r="A49" s="51" t="n">
        <v>41</v>
      </c>
      <c r="B49" s="52" t="s">
        <v>486</v>
      </c>
      <c r="C49" s="52" t="s">
        <v>498</v>
      </c>
      <c r="D49" s="52" t="s">
        <v>1495</v>
      </c>
      <c r="E49" s="51" t="s">
        <v>459</v>
      </c>
      <c r="F49" s="51" t="s">
        <v>459</v>
      </c>
      <c r="G49" s="51" t="s">
        <v>907</v>
      </c>
      <c r="H49" s="51" t="s">
        <v>461</v>
      </c>
      <c r="I49" s="52" t="s">
        <v>1464</v>
      </c>
      <c r="J49" s="52"/>
      <c r="K49" s="53" t="n">
        <f aca="false">IF(AND(E49="yes",F49="yes",H49="covered"),1,IF(H49="partial",0.5,0))</f>
        <v>1</v>
      </c>
    </row>
    <row r="50" customFormat="false" ht="31.5" hidden="false" customHeight="true" outlineLevel="0" collapsed="false">
      <c r="A50" s="51" t="n">
        <v>42</v>
      </c>
      <c r="B50" s="52" t="s">
        <v>486</v>
      </c>
      <c r="C50" s="52" t="s">
        <v>498</v>
      </c>
      <c r="D50" s="52" t="s">
        <v>1116</v>
      </c>
      <c r="E50" s="51" t="s">
        <v>459</v>
      </c>
      <c r="F50" s="51" t="s">
        <v>459</v>
      </c>
      <c r="G50" s="51" t="s">
        <v>907</v>
      </c>
      <c r="H50" s="51" t="s">
        <v>461</v>
      </c>
      <c r="I50" s="52" t="s">
        <v>1464</v>
      </c>
      <c r="J50" s="52"/>
      <c r="K50" s="53" t="n">
        <f aca="false">IF(AND(E50="yes",F50="yes",H50="covered"),1,IF(H50="partial",0.5,0))</f>
        <v>1</v>
      </c>
    </row>
    <row r="51" customFormat="false" ht="31.5" hidden="false" customHeight="true" outlineLevel="0" collapsed="false">
      <c r="A51" s="51" t="n">
        <v>43</v>
      </c>
      <c r="B51" s="52" t="s">
        <v>486</v>
      </c>
      <c r="C51" s="52" t="s">
        <v>498</v>
      </c>
      <c r="D51" s="52" t="s">
        <v>1496</v>
      </c>
      <c r="E51" s="51" t="s">
        <v>459</v>
      </c>
      <c r="F51" s="51" t="s">
        <v>459</v>
      </c>
      <c r="G51" s="51" t="s">
        <v>907</v>
      </c>
      <c r="H51" s="51" t="s">
        <v>461</v>
      </c>
      <c r="I51" s="52" t="s">
        <v>1464</v>
      </c>
      <c r="J51" s="52"/>
      <c r="K51" s="53" t="n">
        <f aca="false">IF(AND(E51="yes",F51="yes",H51="covered"),1,IF(H51="partial",0.5,0))</f>
        <v>1</v>
      </c>
    </row>
    <row r="52" customFormat="false" ht="31.5" hidden="false" customHeight="true" outlineLevel="0" collapsed="false">
      <c r="A52" s="51" t="n">
        <v>44</v>
      </c>
      <c r="B52" s="52" t="s">
        <v>486</v>
      </c>
      <c r="C52" s="52" t="s">
        <v>498</v>
      </c>
      <c r="D52" s="52" t="s">
        <v>1497</v>
      </c>
      <c r="E52" s="51" t="s">
        <v>459</v>
      </c>
      <c r="F52" s="51" t="s">
        <v>459</v>
      </c>
      <c r="G52" s="51" t="s">
        <v>907</v>
      </c>
      <c r="H52" s="51" t="s">
        <v>461</v>
      </c>
      <c r="I52" s="52" t="s">
        <v>1464</v>
      </c>
      <c r="J52" s="52"/>
      <c r="K52" s="53" t="n">
        <f aca="false">IF(AND(E52="yes",F52="yes",H52="covered"),1,IF(H52="partial",0.5,0))</f>
        <v>1</v>
      </c>
    </row>
    <row r="53" customFormat="false" ht="31.5" hidden="false" customHeight="true" outlineLevel="0" collapsed="false">
      <c r="A53" s="51" t="n">
        <v>45</v>
      </c>
      <c r="B53" s="52" t="s">
        <v>486</v>
      </c>
      <c r="C53" s="52" t="s">
        <v>498</v>
      </c>
      <c r="D53" s="52" t="s">
        <v>1498</v>
      </c>
      <c r="E53" s="51" t="s">
        <v>459</v>
      </c>
      <c r="F53" s="51" t="s">
        <v>459</v>
      </c>
      <c r="G53" s="51" t="s">
        <v>907</v>
      </c>
      <c r="H53" s="51" t="s">
        <v>461</v>
      </c>
      <c r="I53" s="52" t="s">
        <v>1464</v>
      </c>
      <c r="J53" s="52"/>
      <c r="K53" s="53" t="n">
        <f aca="false">IF(AND(E53="yes",F53="yes",H53="covered"),1,IF(H53="partial",0.5,0))</f>
        <v>1</v>
      </c>
    </row>
    <row r="54" customFormat="false" ht="31.5" hidden="false" customHeight="true" outlineLevel="0" collapsed="false">
      <c r="A54" s="51" t="n">
        <v>46</v>
      </c>
      <c r="B54" s="52" t="s">
        <v>486</v>
      </c>
      <c r="C54" s="52" t="s">
        <v>498</v>
      </c>
      <c r="D54" s="52" t="s">
        <v>1118</v>
      </c>
      <c r="E54" s="51" t="s">
        <v>459</v>
      </c>
      <c r="F54" s="51" t="s">
        <v>459</v>
      </c>
      <c r="G54" s="51" t="s">
        <v>907</v>
      </c>
      <c r="H54" s="51" t="s">
        <v>461</v>
      </c>
      <c r="I54" s="52" t="s">
        <v>1464</v>
      </c>
      <c r="J54" s="52"/>
      <c r="K54" s="53" t="n">
        <f aca="false">IF(AND(E54="yes",F54="yes",H54="covered"),1,IF(H54="partial",0.5,0))</f>
        <v>1</v>
      </c>
    </row>
    <row r="55" customFormat="false" ht="31.5" hidden="false" customHeight="true" outlineLevel="0" collapsed="false">
      <c r="A55" s="51" t="n">
        <v>47</v>
      </c>
      <c r="B55" s="52" t="s">
        <v>486</v>
      </c>
      <c r="C55" s="52" t="s">
        <v>498</v>
      </c>
      <c r="D55" s="52" t="s">
        <v>1499</v>
      </c>
      <c r="E55" s="51" t="s">
        <v>459</v>
      </c>
      <c r="F55" s="51" t="s">
        <v>459</v>
      </c>
      <c r="G55" s="51" t="s">
        <v>907</v>
      </c>
      <c r="H55" s="51" t="s">
        <v>461</v>
      </c>
      <c r="I55" s="52" t="s">
        <v>1464</v>
      </c>
      <c r="J55" s="52"/>
      <c r="K55" s="53" t="n">
        <f aca="false">IF(AND(E55="yes",F55="yes",H55="covered"),1,IF(H55="partial",0.5,0))</f>
        <v>1</v>
      </c>
    </row>
    <row r="56" customFormat="false" ht="31.5" hidden="false" customHeight="true" outlineLevel="0" collapsed="false">
      <c r="A56" s="51" t="n">
        <v>48</v>
      </c>
      <c r="B56" s="52" t="s">
        <v>486</v>
      </c>
      <c r="C56" s="52" t="s">
        <v>498</v>
      </c>
      <c r="D56" s="52" t="s">
        <v>1500</v>
      </c>
      <c r="E56" s="51" t="s">
        <v>459</v>
      </c>
      <c r="F56" s="51" t="s">
        <v>459</v>
      </c>
      <c r="G56" s="51" t="s">
        <v>907</v>
      </c>
      <c r="H56" s="51" t="s">
        <v>461</v>
      </c>
      <c r="I56" s="52" t="s">
        <v>1464</v>
      </c>
      <c r="J56" s="52"/>
      <c r="K56" s="53" t="n">
        <f aca="false">IF(AND(E56="yes",F56="yes",H56="covered"),1,IF(H56="partial",0.5,0))</f>
        <v>1</v>
      </c>
    </row>
    <row r="57" customFormat="false" ht="31.5" hidden="false" customHeight="true" outlineLevel="0" collapsed="false">
      <c r="A57" s="51" t="n">
        <v>49</v>
      </c>
      <c r="B57" s="52" t="s">
        <v>486</v>
      </c>
      <c r="C57" s="52" t="s">
        <v>498</v>
      </c>
      <c r="D57" s="52" t="s">
        <v>1501</v>
      </c>
      <c r="E57" s="51" t="s">
        <v>459</v>
      </c>
      <c r="F57" s="51" t="s">
        <v>459</v>
      </c>
      <c r="G57" s="51" t="s">
        <v>907</v>
      </c>
      <c r="H57" s="51" t="s">
        <v>461</v>
      </c>
      <c r="I57" s="52" t="s">
        <v>1464</v>
      </c>
      <c r="J57" s="52"/>
      <c r="K57" s="53" t="n">
        <f aca="false">IF(AND(E57="yes",F57="yes",H57="covered"),1,IF(H57="partial",0.5,0))</f>
        <v>1</v>
      </c>
    </row>
    <row r="58" customFormat="false" ht="31.5" hidden="false" customHeight="true" outlineLevel="0" collapsed="false">
      <c r="A58" s="51" t="n">
        <v>50</v>
      </c>
      <c r="B58" s="52" t="s">
        <v>486</v>
      </c>
      <c r="C58" s="52" t="s">
        <v>498</v>
      </c>
      <c r="D58" s="52" t="s">
        <v>1502</v>
      </c>
      <c r="E58" s="51" t="s">
        <v>459</v>
      </c>
      <c r="F58" s="51" t="s">
        <v>459</v>
      </c>
      <c r="G58" s="51" t="s">
        <v>907</v>
      </c>
      <c r="H58" s="51" t="s">
        <v>461</v>
      </c>
      <c r="I58" s="52" t="s">
        <v>1464</v>
      </c>
      <c r="J58" s="52"/>
      <c r="K58" s="53" t="n">
        <f aca="false">IF(AND(E58="yes",F58="yes",H58="covered"),1,IF(H58="partial",0.5,0))</f>
        <v>1</v>
      </c>
    </row>
    <row r="59" customFormat="false" ht="31.5" hidden="false" customHeight="true" outlineLevel="0" collapsed="false">
      <c r="A59" s="51" t="n">
        <v>51</v>
      </c>
      <c r="B59" s="52" t="s">
        <v>486</v>
      </c>
      <c r="C59" s="52" t="s">
        <v>500</v>
      </c>
      <c r="D59" s="52" t="s">
        <v>1120</v>
      </c>
      <c r="E59" s="51" t="s">
        <v>459</v>
      </c>
      <c r="F59" s="51" t="s">
        <v>459</v>
      </c>
      <c r="G59" s="51" t="s">
        <v>907</v>
      </c>
      <c r="H59" s="51" t="s">
        <v>461</v>
      </c>
      <c r="I59" s="52" t="s">
        <v>1464</v>
      </c>
      <c r="J59" s="52"/>
      <c r="K59" s="53" t="n">
        <f aca="false">IF(AND(E59="yes",F59="yes",H59="covered"),1,IF(H59="partial",0.5,0))</f>
        <v>1</v>
      </c>
    </row>
    <row r="60" customFormat="false" ht="31.5" hidden="false" customHeight="true" outlineLevel="0" collapsed="false">
      <c r="A60" s="51" t="n">
        <v>52</v>
      </c>
      <c r="B60" s="52" t="s">
        <v>486</v>
      </c>
      <c r="C60" s="52" t="s">
        <v>500</v>
      </c>
      <c r="D60" s="52" t="s">
        <v>1121</v>
      </c>
      <c r="E60" s="51" t="s">
        <v>459</v>
      </c>
      <c r="F60" s="51" t="s">
        <v>459</v>
      </c>
      <c r="G60" s="51" t="s">
        <v>907</v>
      </c>
      <c r="H60" s="51" t="s">
        <v>461</v>
      </c>
      <c r="I60" s="52" t="s">
        <v>1464</v>
      </c>
      <c r="J60" s="52"/>
      <c r="K60" s="53" t="n">
        <f aca="false">IF(AND(E60="yes",F60="yes",H60="covered"),1,IF(H60="partial",0.5,0))</f>
        <v>1</v>
      </c>
    </row>
    <row r="61" customFormat="false" ht="31.5" hidden="false" customHeight="true" outlineLevel="0" collapsed="false">
      <c r="A61" s="51" t="n">
        <v>53</v>
      </c>
      <c r="B61" s="52" t="s">
        <v>486</v>
      </c>
      <c r="C61" s="52" t="s">
        <v>500</v>
      </c>
      <c r="D61" s="52" t="s">
        <v>1122</v>
      </c>
      <c r="E61" s="51" t="s">
        <v>459</v>
      </c>
      <c r="F61" s="51" t="s">
        <v>459</v>
      </c>
      <c r="G61" s="51" t="s">
        <v>907</v>
      </c>
      <c r="H61" s="51" t="s">
        <v>461</v>
      </c>
      <c r="I61" s="52" t="s">
        <v>1464</v>
      </c>
      <c r="J61" s="52"/>
      <c r="K61" s="53" t="n">
        <f aca="false">IF(AND(E61="yes",F61="yes",H61="covered"),1,IF(H61="partial",0.5,0))</f>
        <v>1</v>
      </c>
    </row>
    <row r="62" customFormat="false" ht="31.5" hidden="false" customHeight="true" outlineLevel="0" collapsed="false">
      <c r="A62" s="51" t="n">
        <v>54</v>
      </c>
      <c r="B62" s="52" t="s">
        <v>486</v>
      </c>
      <c r="C62" s="52" t="s">
        <v>500</v>
      </c>
      <c r="D62" s="52" t="s">
        <v>1123</v>
      </c>
      <c r="E62" s="51" t="s">
        <v>459</v>
      </c>
      <c r="F62" s="51" t="s">
        <v>459</v>
      </c>
      <c r="G62" s="51" t="s">
        <v>907</v>
      </c>
      <c r="H62" s="51" t="s">
        <v>461</v>
      </c>
      <c r="I62" s="52" t="s">
        <v>1464</v>
      </c>
      <c r="J62" s="52"/>
      <c r="K62" s="53" t="n">
        <f aca="false">IF(AND(E62="yes",F62="yes",H62="covered"),1,IF(H62="partial",0.5,0))</f>
        <v>1</v>
      </c>
    </row>
    <row r="63" customFormat="false" ht="31.5" hidden="false" customHeight="true" outlineLevel="0" collapsed="false">
      <c r="A63" s="51" t="n">
        <v>55</v>
      </c>
      <c r="B63" s="52" t="s">
        <v>486</v>
      </c>
      <c r="C63" s="52" t="s">
        <v>500</v>
      </c>
      <c r="D63" s="52" t="s">
        <v>1124</v>
      </c>
      <c r="E63" s="51" t="s">
        <v>459</v>
      </c>
      <c r="F63" s="51" t="s">
        <v>459</v>
      </c>
      <c r="G63" s="51" t="s">
        <v>907</v>
      </c>
      <c r="H63" s="51" t="s">
        <v>461</v>
      </c>
      <c r="I63" s="52" t="s">
        <v>1464</v>
      </c>
      <c r="J63" s="52"/>
      <c r="K63" s="53" t="n">
        <f aca="false">IF(AND(E63="yes",F63="yes",H63="covered"),1,IF(H63="partial",0.5,0))</f>
        <v>1</v>
      </c>
    </row>
    <row r="64" customFormat="false" ht="31.5" hidden="false" customHeight="true" outlineLevel="0" collapsed="false">
      <c r="A64" s="51" t="n">
        <v>56</v>
      </c>
      <c r="B64" s="52" t="s">
        <v>486</v>
      </c>
      <c r="C64" s="52" t="s">
        <v>500</v>
      </c>
      <c r="D64" s="52" t="s">
        <v>1125</v>
      </c>
      <c r="E64" s="51" t="s">
        <v>459</v>
      </c>
      <c r="F64" s="51" t="s">
        <v>459</v>
      </c>
      <c r="G64" s="51" t="s">
        <v>907</v>
      </c>
      <c r="H64" s="51" t="s">
        <v>461</v>
      </c>
      <c r="I64" s="52" t="s">
        <v>1464</v>
      </c>
      <c r="J64" s="52"/>
      <c r="K64" s="53" t="n">
        <f aca="false">IF(AND(E64="yes",F64="yes",H64="covered"),1,IF(H64="partial",0.5,0))</f>
        <v>1</v>
      </c>
    </row>
    <row r="65" customFormat="false" ht="31.5" hidden="false" customHeight="true" outlineLevel="0" collapsed="false">
      <c r="A65" s="51" t="n">
        <v>57</v>
      </c>
      <c r="B65" s="52" t="s">
        <v>486</v>
      </c>
      <c r="C65" s="52" t="s">
        <v>500</v>
      </c>
      <c r="D65" s="52" t="s">
        <v>1503</v>
      </c>
      <c r="E65" s="51" t="s">
        <v>459</v>
      </c>
      <c r="F65" s="51" t="s">
        <v>459</v>
      </c>
      <c r="G65" s="51" t="s">
        <v>907</v>
      </c>
      <c r="H65" s="51" t="s">
        <v>461</v>
      </c>
      <c r="I65" s="52" t="s">
        <v>1464</v>
      </c>
      <c r="J65" s="52"/>
      <c r="K65" s="53" t="n">
        <f aca="false">IF(AND(E65="yes",F65="yes",H65="covered"),1,IF(H65="partial",0.5,0))</f>
        <v>1</v>
      </c>
    </row>
    <row r="66" customFormat="false" ht="31.5" hidden="false" customHeight="true" outlineLevel="0" collapsed="false">
      <c r="A66" s="51" t="n">
        <v>58</v>
      </c>
      <c r="B66" s="52" t="s">
        <v>486</v>
      </c>
      <c r="C66" s="52" t="s">
        <v>500</v>
      </c>
      <c r="D66" s="52" t="s">
        <v>1127</v>
      </c>
      <c r="E66" s="51" t="s">
        <v>459</v>
      </c>
      <c r="F66" s="51" t="s">
        <v>459</v>
      </c>
      <c r="G66" s="51" t="s">
        <v>907</v>
      </c>
      <c r="H66" s="51" t="s">
        <v>461</v>
      </c>
      <c r="I66" s="52" t="s">
        <v>1464</v>
      </c>
      <c r="J66" s="52"/>
      <c r="K66" s="53" t="n">
        <f aca="false">IF(AND(E66="yes",F66="yes",H66="covered"),1,IF(H66="partial",0.5,0))</f>
        <v>1</v>
      </c>
    </row>
    <row r="67" customFormat="false" ht="31.5" hidden="false" customHeight="true" outlineLevel="0" collapsed="false">
      <c r="A67" s="51" t="n">
        <v>59</v>
      </c>
      <c r="B67" s="52" t="s">
        <v>486</v>
      </c>
      <c r="C67" s="52" t="s">
        <v>500</v>
      </c>
      <c r="D67" s="52" t="s">
        <v>1128</v>
      </c>
      <c r="E67" s="51" t="s">
        <v>459</v>
      </c>
      <c r="F67" s="51" t="s">
        <v>459</v>
      </c>
      <c r="G67" s="51" t="s">
        <v>907</v>
      </c>
      <c r="H67" s="51" t="s">
        <v>461</v>
      </c>
      <c r="I67" s="52" t="s">
        <v>1464</v>
      </c>
      <c r="J67" s="52"/>
      <c r="K67" s="53" t="n">
        <f aca="false">IF(AND(E67="yes",F67="yes",H67="covered"),1,IF(H67="partial",0.5,0))</f>
        <v>1</v>
      </c>
    </row>
    <row r="68" customFormat="false" ht="31.5" hidden="false" customHeight="true" outlineLevel="0" collapsed="false">
      <c r="A68" s="51" t="n">
        <v>60</v>
      </c>
      <c r="B68" s="52" t="s">
        <v>486</v>
      </c>
      <c r="C68" s="52" t="s">
        <v>500</v>
      </c>
      <c r="D68" s="52" t="s">
        <v>1129</v>
      </c>
      <c r="E68" s="51" t="s">
        <v>459</v>
      </c>
      <c r="F68" s="51" t="s">
        <v>459</v>
      </c>
      <c r="G68" s="51" t="s">
        <v>907</v>
      </c>
      <c r="H68" s="51" t="s">
        <v>461</v>
      </c>
      <c r="I68" s="52" t="s">
        <v>1464</v>
      </c>
      <c r="J68" s="52"/>
      <c r="K68" s="53" t="n">
        <f aca="false">IF(AND(E68="yes",F68="yes",H68="covered"),1,IF(H68="partial",0.5,0))</f>
        <v>1</v>
      </c>
    </row>
    <row r="69" customFormat="false" ht="31.5" hidden="false" customHeight="true" outlineLevel="0" collapsed="false">
      <c r="A69" s="51" t="n">
        <v>61</v>
      </c>
      <c r="B69" s="52" t="s">
        <v>486</v>
      </c>
      <c r="C69" s="52" t="s">
        <v>500</v>
      </c>
      <c r="D69" s="52" t="s">
        <v>1130</v>
      </c>
      <c r="E69" s="51" t="s">
        <v>459</v>
      </c>
      <c r="F69" s="51" t="s">
        <v>459</v>
      </c>
      <c r="G69" s="51" t="s">
        <v>907</v>
      </c>
      <c r="H69" s="51" t="s">
        <v>461</v>
      </c>
      <c r="I69" s="52" t="s">
        <v>1464</v>
      </c>
      <c r="J69" s="52"/>
      <c r="K69" s="53" t="n">
        <f aca="false">IF(AND(E69="yes",F69="yes",H69="covered"),1,IF(H69="partial",0.5,0))</f>
        <v>1</v>
      </c>
    </row>
    <row r="70" customFormat="false" ht="31.5" hidden="false" customHeight="true" outlineLevel="0" collapsed="false">
      <c r="A70" s="51" t="n">
        <v>62</v>
      </c>
      <c r="B70" s="52" t="s">
        <v>486</v>
      </c>
      <c r="C70" s="52" t="s">
        <v>500</v>
      </c>
      <c r="D70" s="52" t="s">
        <v>631</v>
      </c>
      <c r="E70" s="51" t="s">
        <v>459</v>
      </c>
      <c r="F70" s="51" t="s">
        <v>459</v>
      </c>
      <c r="G70" s="51" t="s">
        <v>907</v>
      </c>
      <c r="H70" s="51" t="s">
        <v>461</v>
      </c>
      <c r="I70" s="52" t="s">
        <v>1464</v>
      </c>
      <c r="J70" s="52"/>
      <c r="K70" s="53" t="n">
        <f aca="false">IF(AND(E70="yes",F70="yes",H70="covered"),1,IF(H70="partial",0.5,0))</f>
        <v>1</v>
      </c>
    </row>
    <row r="71" customFormat="false" ht="31.5" hidden="false" customHeight="true" outlineLevel="0" collapsed="false">
      <c r="A71" s="51" t="n">
        <v>63</v>
      </c>
      <c r="B71" s="52" t="s">
        <v>486</v>
      </c>
      <c r="C71" s="52" t="s">
        <v>500</v>
      </c>
      <c r="D71" s="52" t="s">
        <v>1131</v>
      </c>
      <c r="E71" s="51" t="s">
        <v>459</v>
      </c>
      <c r="F71" s="51" t="s">
        <v>459</v>
      </c>
      <c r="G71" s="51" t="s">
        <v>907</v>
      </c>
      <c r="H71" s="51" t="s">
        <v>461</v>
      </c>
      <c r="I71" s="52" t="s">
        <v>1464</v>
      </c>
      <c r="J71" s="52"/>
      <c r="K71" s="53" t="n">
        <f aca="false">IF(AND(E71="yes",F71="yes",H71="covered"),1,IF(H71="partial",0.5,0))</f>
        <v>1</v>
      </c>
    </row>
    <row r="72" customFormat="false" ht="31.5" hidden="false" customHeight="true" outlineLevel="0" collapsed="false">
      <c r="A72" s="51" t="n">
        <v>64</v>
      </c>
      <c r="B72" s="52" t="s">
        <v>486</v>
      </c>
      <c r="C72" s="52" t="s">
        <v>500</v>
      </c>
      <c r="D72" s="52" t="s">
        <v>1132</v>
      </c>
      <c r="E72" s="51" t="s">
        <v>459</v>
      </c>
      <c r="F72" s="51" t="s">
        <v>459</v>
      </c>
      <c r="G72" s="51" t="s">
        <v>907</v>
      </c>
      <c r="H72" s="51" t="s">
        <v>461</v>
      </c>
      <c r="I72" s="52" t="s">
        <v>1464</v>
      </c>
      <c r="J72" s="52"/>
      <c r="K72" s="53" t="n">
        <f aca="false">IF(AND(E72="yes",F72="yes",H72="covered"),1,IF(H72="partial",0.5,0))</f>
        <v>1</v>
      </c>
    </row>
    <row r="73" customFormat="false" ht="31.5" hidden="false" customHeight="true" outlineLevel="0" collapsed="false">
      <c r="A73" s="51" t="n">
        <v>65</v>
      </c>
      <c r="B73" s="52" t="s">
        <v>486</v>
      </c>
      <c r="C73" s="52" t="s">
        <v>500</v>
      </c>
      <c r="D73" s="52" t="s">
        <v>1133</v>
      </c>
      <c r="E73" s="51" t="s">
        <v>459</v>
      </c>
      <c r="F73" s="51" t="s">
        <v>459</v>
      </c>
      <c r="G73" s="51" t="s">
        <v>907</v>
      </c>
      <c r="H73" s="51" t="s">
        <v>461</v>
      </c>
      <c r="I73" s="52" t="s">
        <v>1464</v>
      </c>
      <c r="J73" s="52"/>
      <c r="K73" s="53" t="n">
        <f aca="false">IF(AND(E73="yes",F73="yes",H73="covered"),1,IF(H73="partial",0.5,0))</f>
        <v>1</v>
      </c>
    </row>
    <row r="74" customFormat="false" ht="31.5" hidden="false" customHeight="true" outlineLevel="0" collapsed="false">
      <c r="A74" s="51" t="n">
        <v>66</v>
      </c>
      <c r="B74" s="52" t="s">
        <v>486</v>
      </c>
      <c r="C74" s="52" t="s">
        <v>500</v>
      </c>
      <c r="D74" s="52" t="s">
        <v>1134</v>
      </c>
      <c r="E74" s="51" t="s">
        <v>459</v>
      </c>
      <c r="F74" s="51" t="s">
        <v>459</v>
      </c>
      <c r="G74" s="51" t="s">
        <v>907</v>
      </c>
      <c r="H74" s="51" t="s">
        <v>461</v>
      </c>
      <c r="I74" s="52" t="s">
        <v>1464</v>
      </c>
      <c r="J74" s="52"/>
      <c r="K74" s="53" t="n">
        <f aca="false">IF(AND(E74="yes",F74="yes",H74="covered"),1,IF(H74="partial",0.5,0))</f>
        <v>1</v>
      </c>
    </row>
    <row r="75" customFormat="false" ht="31.5" hidden="false" customHeight="true" outlineLevel="0" collapsed="false">
      <c r="A75" s="51" t="n">
        <v>67</v>
      </c>
      <c r="B75" s="52" t="s">
        <v>486</v>
      </c>
      <c r="C75" s="52" t="s">
        <v>500</v>
      </c>
      <c r="D75" s="52" t="s">
        <v>1115</v>
      </c>
      <c r="E75" s="51" t="s">
        <v>459</v>
      </c>
      <c r="F75" s="51" t="s">
        <v>459</v>
      </c>
      <c r="G75" s="51" t="s">
        <v>907</v>
      </c>
      <c r="H75" s="51" t="s">
        <v>461</v>
      </c>
      <c r="I75" s="52" t="s">
        <v>1464</v>
      </c>
      <c r="J75" s="52"/>
      <c r="K75" s="53" t="n">
        <f aca="false">IF(AND(E75="yes",F75="yes",H75="covered"),1,IF(H75="partial",0.5,0))</f>
        <v>1</v>
      </c>
    </row>
    <row r="76" customFormat="false" ht="31.5" hidden="false" customHeight="true" outlineLevel="0" collapsed="false">
      <c r="A76" s="51" t="n">
        <v>68</v>
      </c>
      <c r="B76" s="52" t="s">
        <v>486</v>
      </c>
      <c r="C76" s="52" t="s">
        <v>500</v>
      </c>
      <c r="D76" s="52" t="s">
        <v>1135</v>
      </c>
      <c r="E76" s="51" t="s">
        <v>459</v>
      </c>
      <c r="F76" s="51" t="s">
        <v>459</v>
      </c>
      <c r="G76" s="51" t="s">
        <v>907</v>
      </c>
      <c r="H76" s="51" t="s">
        <v>461</v>
      </c>
      <c r="I76" s="52" t="s">
        <v>1464</v>
      </c>
      <c r="J76" s="52"/>
      <c r="K76" s="53" t="n">
        <f aca="false">IF(AND(E76="yes",F76="yes",H76="covered"),1,IF(H76="partial",0.5,0))</f>
        <v>1</v>
      </c>
    </row>
    <row r="77" customFormat="false" ht="31.5" hidden="false" customHeight="true" outlineLevel="0" collapsed="false">
      <c r="A77" s="51" t="n">
        <v>69</v>
      </c>
      <c r="B77" s="52" t="s">
        <v>486</v>
      </c>
      <c r="C77" s="52" t="s">
        <v>502</v>
      </c>
      <c r="D77" s="52" t="s">
        <v>1136</v>
      </c>
      <c r="E77" s="51" t="s">
        <v>459</v>
      </c>
      <c r="F77" s="51" t="s">
        <v>459</v>
      </c>
      <c r="G77" s="51" t="s">
        <v>907</v>
      </c>
      <c r="H77" s="51" t="s">
        <v>461</v>
      </c>
      <c r="I77" s="52" t="s">
        <v>1464</v>
      </c>
      <c r="J77" s="52"/>
      <c r="K77" s="53" t="n">
        <f aca="false">IF(AND(E77="yes",F77="yes",H77="covered"),1,IF(H77="partial",0.5,0))</f>
        <v>1</v>
      </c>
    </row>
    <row r="78" customFormat="false" ht="31.5" hidden="false" customHeight="true" outlineLevel="0" collapsed="false">
      <c r="A78" s="51" t="n">
        <v>70</v>
      </c>
      <c r="B78" s="52" t="s">
        <v>486</v>
      </c>
      <c r="C78" s="52" t="s">
        <v>502</v>
      </c>
      <c r="D78" s="52" t="s">
        <v>1137</v>
      </c>
      <c r="E78" s="51" t="s">
        <v>459</v>
      </c>
      <c r="F78" s="51" t="s">
        <v>459</v>
      </c>
      <c r="G78" s="51" t="s">
        <v>907</v>
      </c>
      <c r="H78" s="51" t="s">
        <v>461</v>
      </c>
      <c r="I78" s="52" t="s">
        <v>1464</v>
      </c>
      <c r="J78" s="52"/>
      <c r="K78" s="53" t="n">
        <f aca="false">IF(AND(E78="yes",F78="yes",H78="covered"),1,IF(H78="partial",0.5,0))</f>
        <v>1</v>
      </c>
    </row>
    <row r="79" customFormat="false" ht="31.5" hidden="false" customHeight="true" outlineLevel="0" collapsed="false">
      <c r="A79" s="51" t="n">
        <v>71</v>
      </c>
      <c r="B79" s="52" t="s">
        <v>486</v>
      </c>
      <c r="C79" s="52" t="s">
        <v>502</v>
      </c>
      <c r="D79" s="52" t="s">
        <v>1184</v>
      </c>
      <c r="E79" s="51" t="s">
        <v>459</v>
      </c>
      <c r="F79" s="51" t="s">
        <v>459</v>
      </c>
      <c r="G79" s="51" t="s">
        <v>907</v>
      </c>
      <c r="H79" s="51" t="s">
        <v>461</v>
      </c>
      <c r="I79" s="52" t="s">
        <v>1464</v>
      </c>
      <c r="J79" s="52"/>
      <c r="K79" s="53" t="n">
        <f aca="false">IF(AND(E79="yes",F79="yes",H79="covered"),1,IF(H79="partial",0.5,0))</f>
        <v>1</v>
      </c>
    </row>
    <row r="80" customFormat="false" ht="31.5" hidden="false" customHeight="true" outlineLevel="0" collapsed="false">
      <c r="A80" s="51" t="n">
        <v>72</v>
      </c>
      <c r="B80" s="52" t="s">
        <v>486</v>
      </c>
      <c r="C80" s="52" t="s">
        <v>502</v>
      </c>
      <c r="D80" s="52" t="s">
        <v>1139</v>
      </c>
      <c r="E80" s="51" t="s">
        <v>459</v>
      </c>
      <c r="F80" s="51" t="s">
        <v>459</v>
      </c>
      <c r="G80" s="51" t="s">
        <v>907</v>
      </c>
      <c r="H80" s="51" t="s">
        <v>461</v>
      </c>
      <c r="I80" s="52" t="s">
        <v>1464</v>
      </c>
      <c r="J80" s="52"/>
      <c r="K80" s="53" t="n">
        <f aca="false">IF(AND(E80="yes",F80="yes",H80="covered"),1,IF(H80="partial",0.5,0))</f>
        <v>1</v>
      </c>
    </row>
    <row r="81" customFormat="false" ht="31.5" hidden="false" customHeight="true" outlineLevel="0" collapsed="false">
      <c r="A81" s="51" t="n">
        <v>73</v>
      </c>
      <c r="B81" s="52" t="s">
        <v>486</v>
      </c>
      <c r="C81" s="52" t="s">
        <v>502</v>
      </c>
      <c r="D81" s="52" t="s">
        <v>1504</v>
      </c>
      <c r="E81" s="51" t="s">
        <v>459</v>
      </c>
      <c r="F81" s="51" t="s">
        <v>459</v>
      </c>
      <c r="G81" s="51" t="s">
        <v>907</v>
      </c>
      <c r="H81" s="51" t="s">
        <v>461</v>
      </c>
      <c r="I81" s="52" t="s">
        <v>1464</v>
      </c>
      <c r="J81" s="52"/>
      <c r="K81" s="53" t="n">
        <f aca="false">IF(AND(E81="yes",F81="yes",H81="covered"),1,IF(H81="partial",0.5,0))</f>
        <v>1</v>
      </c>
    </row>
    <row r="82" customFormat="false" ht="31.5" hidden="false" customHeight="true" outlineLevel="0" collapsed="false">
      <c r="A82" s="51" t="n">
        <v>74</v>
      </c>
      <c r="B82" s="52" t="s">
        <v>486</v>
      </c>
      <c r="C82" s="52" t="s">
        <v>502</v>
      </c>
      <c r="D82" s="52" t="s">
        <v>1505</v>
      </c>
      <c r="E82" s="51" t="s">
        <v>459</v>
      </c>
      <c r="F82" s="51" t="s">
        <v>459</v>
      </c>
      <c r="G82" s="51" t="s">
        <v>907</v>
      </c>
      <c r="H82" s="51" t="s">
        <v>461</v>
      </c>
      <c r="I82" s="52" t="s">
        <v>1464</v>
      </c>
      <c r="J82" s="52"/>
      <c r="K82" s="53" t="n">
        <f aca="false">IF(AND(E82="yes",F82="yes",H82="covered"),1,IF(H82="partial",0.5,0))</f>
        <v>1</v>
      </c>
    </row>
    <row r="83" customFormat="false" ht="31.5" hidden="false" customHeight="true" outlineLevel="0" collapsed="false">
      <c r="A83" s="51" t="n">
        <v>75</v>
      </c>
      <c r="B83" s="52" t="s">
        <v>486</v>
      </c>
      <c r="C83" s="52" t="s">
        <v>502</v>
      </c>
      <c r="D83" s="52" t="s">
        <v>1506</v>
      </c>
      <c r="E83" s="51" t="s">
        <v>459</v>
      </c>
      <c r="F83" s="51" t="s">
        <v>459</v>
      </c>
      <c r="G83" s="51" t="s">
        <v>907</v>
      </c>
      <c r="H83" s="51" t="s">
        <v>461</v>
      </c>
      <c r="I83" s="52" t="s">
        <v>1464</v>
      </c>
      <c r="J83" s="52"/>
      <c r="K83" s="53" t="n">
        <f aca="false">IF(AND(E83="yes",F83="yes",H83="covered"),1,IF(H83="partial",0.5,0))</f>
        <v>1</v>
      </c>
    </row>
    <row r="84" customFormat="false" ht="31.5" hidden="false" customHeight="true" outlineLevel="0" collapsed="false">
      <c r="A84" s="51" t="n">
        <v>76</v>
      </c>
      <c r="B84" s="52" t="s">
        <v>486</v>
      </c>
      <c r="C84" s="52" t="s">
        <v>502</v>
      </c>
      <c r="D84" s="52" t="s">
        <v>1507</v>
      </c>
      <c r="E84" s="51" t="s">
        <v>459</v>
      </c>
      <c r="F84" s="51" t="s">
        <v>459</v>
      </c>
      <c r="G84" s="51" t="s">
        <v>907</v>
      </c>
      <c r="H84" s="51" t="s">
        <v>461</v>
      </c>
      <c r="I84" s="52" t="s">
        <v>1464</v>
      </c>
      <c r="J84" s="52"/>
      <c r="K84" s="53" t="n">
        <f aca="false">IF(AND(E84="yes",F84="yes",H84="covered"),1,IF(H84="partial",0.5,0))</f>
        <v>1</v>
      </c>
    </row>
    <row r="85" customFormat="false" ht="31.5" hidden="false" customHeight="true" outlineLevel="0" collapsed="false">
      <c r="A85" s="51" t="n">
        <v>77</v>
      </c>
      <c r="B85" s="52" t="s">
        <v>486</v>
      </c>
      <c r="C85" s="52" t="s">
        <v>502</v>
      </c>
      <c r="D85" s="52" t="s">
        <v>1508</v>
      </c>
      <c r="E85" s="51" t="s">
        <v>459</v>
      </c>
      <c r="F85" s="51" t="s">
        <v>459</v>
      </c>
      <c r="G85" s="51" t="s">
        <v>907</v>
      </c>
      <c r="H85" s="51" t="s">
        <v>461</v>
      </c>
      <c r="I85" s="52" t="s">
        <v>1464</v>
      </c>
      <c r="J85" s="52"/>
      <c r="K85" s="53" t="n">
        <f aca="false">IF(AND(E85="yes",F85="yes",H85="covered"),1,IF(H85="partial",0.5,0))</f>
        <v>1</v>
      </c>
    </row>
    <row r="86" customFormat="false" ht="31.5" hidden="false" customHeight="true" outlineLevel="0" collapsed="false">
      <c r="A86" s="51" t="n">
        <v>78</v>
      </c>
      <c r="B86" s="52" t="s">
        <v>486</v>
      </c>
      <c r="C86" s="52" t="s">
        <v>502</v>
      </c>
      <c r="D86" s="52" t="s">
        <v>1509</v>
      </c>
      <c r="E86" s="51" t="s">
        <v>459</v>
      </c>
      <c r="F86" s="51" t="s">
        <v>459</v>
      </c>
      <c r="G86" s="51" t="s">
        <v>907</v>
      </c>
      <c r="H86" s="51" t="s">
        <v>461</v>
      </c>
      <c r="I86" s="52" t="s">
        <v>1464</v>
      </c>
      <c r="J86" s="52"/>
      <c r="K86" s="53" t="n">
        <f aca="false">IF(AND(E86="yes",F86="yes",H86="covered"),1,IF(H86="partial",0.5,0))</f>
        <v>1</v>
      </c>
    </row>
    <row r="87" customFormat="false" ht="31.5" hidden="false" customHeight="true" outlineLevel="0" collapsed="false">
      <c r="A87" s="51" t="n">
        <v>79</v>
      </c>
      <c r="B87" s="52" t="s">
        <v>486</v>
      </c>
      <c r="C87" s="52" t="s">
        <v>502</v>
      </c>
      <c r="D87" s="52" t="s">
        <v>1510</v>
      </c>
      <c r="E87" s="51" t="s">
        <v>459</v>
      </c>
      <c r="F87" s="51" t="s">
        <v>459</v>
      </c>
      <c r="G87" s="51" t="s">
        <v>907</v>
      </c>
      <c r="H87" s="51" t="s">
        <v>461</v>
      </c>
      <c r="I87" s="52" t="s">
        <v>1464</v>
      </c>
      <c r="J87" s="52"/>
      <c r="K87" s="53" t="n">
        <f aca="false">IF(AND(E87="yes",F87="yes",H87="covered"),1,IF(H87="partial",0.5,0))</f>
        <v>1</v>
      </c>
    </row>
    <row r="88" customFormat="false" ht="31.5" hidden="false" customHeight="true" outlineLevel="0" collapsed="false">
      <c r="A88" s="51" t="n">
        <v>80</v>
      </c>
      <c r="B88" s="52" t="s">
        <v>486</v>
      </c>
      <c r="C88" s="52" t="s">
        <v>502</v>
      </c>
      <c r="D88" s="52" t="s">
        <v>1511</v>
      </c>
      <c r="E88" s="51" t="s">
        <v>459</v>
      </c>
      <c r="F88" s="51" t="s">
        <v>459</v>
      </c>
      <c r="G88" s="51" t="s">
        <v>907</v>
      </c>
      <c r="H88" s="51" t="s">
        <v>461</v>
      </c>
      <c r="I88" s="52" t="s">
        <v>1464</v>
      </c>
      <c r="J88" s="52"/>
      <c r="K88" s="53" t="n">
        <f aca="false">IF(AND(E88="yes",F88="yes",H88="covered"),1,IF(H88="partial",0.5,0))</f>
        <v>1</v>
      </c>
    </row>
    <row r="89" customFormat="false" ht="31.5" hidden="false" customHeight="true" outlineLevel="0" collapsed="false">
      <c r="A89" s="51" t="n">
        <v>81</v>
      </c>
      <c r="B89" s="52" t="s">
        <v>486</v>
      </c>
      <c r="C89" s="52" t="s">
        <v>502</v>
      </c>
      <c r="D89" s="52" t="s">
        <v>1145</v>
      </c>
      <c r="E89" s="51" t="s">
        <v>459</v>
      </c>
      <c r="F89" s="51" t="s">
        <v>459</v>
      </c>
      <c r="G89" s="51" t="s">
        <v>907</v>
      </c>
      <c r="H89" s="51" t="s">
        <v>461</v>
      </c>
      <c r="I89" s="52" t="s">
        <v>1464</v>
      </c>
      <c r="J89" s="52"/>
      <c r="K89" s="53" t="n">
        <f aca="false">IF(AND(E89="yes",F89="yes",H89="covered"),1,IF(H89="partial",0.5,0))</f>
        <v>1</v>
      </c>
    </row>
    <row r="90" customFormat="false" ht="31.5" hidden="false" customHeight="true" outlineLevel="0" collapsed="false">
      <c r="A90" s="51" t="n">
        <v>82</v>
      </c>
      <c r="B90" s="52" t="s">
        <v>486</v>
      </c>
      <c r="C90" s="52" t="s">
        <v>502</v>
      </c>
      <c r="D90" s="52" t="s">
        <v>1115</v>
      </c>
      <c r="E90" s="51" t="s">
        <v>459</v>
      </c>
      <c r="F90" s="51" t="s">
        <v>459</v>
      </c>
      <c r="G90" s="51" t="s">
        <v>907</v>
      </c>
      <c r="H90" s="51" t="s">
        <v>461</v>
      </c>
      <c r="I90" s="52" t="s">
        <v>1464</v>
      </c>
      <c r="J90" s="52"/>
      <c r="K90" s="53" t="n">
        <f aca="false">IF(AND(E90="yes",F90="yes",H90="covered"),1,IF(H90="partial",0.5,0))</f>
        <v>1</v>
      </c>
    </row>
    <row r="91" customFormat="false" ht="31.5" hidden="false" customHeight="true" outlineLevel="0" collapsed="false">
      <c r="A91" s="51" t="n">
        <v>83</v>
      </c>
      <c r="B91" s="52" t="s">
        <v>486</v>
      </c>
      <c r="C91" s="52" t="s">
        <v>1146</v>
      </c>
      <c r="D91" s="52" t="s">
        <v>1147</v>
      </c>
      <c r="E91" s="51" t="s">
        <v>459</v>
      </c>
      <c r="F91" s="51" t="s">
        <v>459</v>
      </c>
      <c r="G91" s="51" t="s">
        <v>907</v>
      </c>
      <c r="H91" s="51" t="s">
        <v>461</v>
      </c>
      <c r="I91" s="52" t="s">
        <v>1464</v>
      </c>
      <c r="J91" s="52"/>
      <c r="K91" s="53" t="n">
        <f aca="false">IF(AND(E91="yes",F91="yes",H91="covered"),1,IF(H91="partial",0.5,0))</f>
        <v>1</v>
      </c>
    </row>
    <row r="92" customFormat="false" ht="31.5" hidden="false" customHeight="true" outlineLevel="0" collapsed="false">
      <c r="A92" s="51" t="n">
        <v>84</v>
      </c>
      <c r="B92" s="52" t="s">
        <v>486</v>
      </c>
      <c r="C92" s="52" t="s">
        <v>1146</v>
      </c>
      <c r="D92" s="52" t="s">
        <v>1512</v>
      </c>
      <c r="E92" s="51" t="s">
        <v>459</v>
      </c>
      <c r="F92" s="51" t="s">
        <v>459</v>
      </c>
      <c r="G92" s="51" t="s">
        <v>907</v>
      </c>
      <c r="H92" s="51" t="s">
        <v>461</v>
      </c>
      <c r="I92" s="52" t="s">
        <v>1464</v>
      </c>
      <c r="J92" s="52"/>
      <c r="K92" s="53" t="n">
        <f aca="false">IF(AND(E92="yes",F92="yes",H92="covered"),1,IF(H92="partial",0.5,0))</f>
        <v>1</v>
      </c>
    </row>
    <row r="93" customFormat="false" ht="31.5" hidden="false" customHeight="true" outlineLevel="0" collapsed="false">
      <c r="A93" s="51" t="n">
        <v>85</v>
      </c>
      <c r="B93" s="52" t="s">
        <v>486</v>
      </c>
      <c r="C93" s="52" t="s">
        <v>1146</v>
      </c>
      <c r="D93" s="52" t="s">
        <v>1513</v>
      </c>
      <c r="E93" s="51" t="s">
        <v>459</v>
      </c>
      <c r="F93" s="51" t="s">
        <v>459</v>
      </c>
      <c r="G93" s="51" t="s">
        <v>907</v>
      </c>
      <c r="H93" s="51" t="s">
        <v>461</v>
      </c>
      <c r="I93" s="52" t="s">
        <v>1464</v>
      </c>
      <c r="J93" s="52"/>
      <c r="K93" s="53" t="n">
        <f aca="false">IF(AND(E93="yes",F93="yes",H93="covered"),1,IF(H93="partial",0.5,0))</f>
        <v>1</v>
      </c>
    </row>
    <row r="94" customFormat="false" ht="31.5" hidden="false" customHeight="true" outlineLevel="0" collapsed="false">
      <c r="A94" s="51" t="n">
        <v>86</v>
      </c>
      <c r="B94" s="52" t="s">
        <v>486</v>
      </c>
      <c r="C94" s="52" t="s">
        <v>1146</v>
      </c>
      <c r="D94" s="52" t="s">
        <v>1514</v>
      </c>
      <c r="E94" s="51" t="s">
        <v>459</v>
      </c>
      <c r="F94" s="51" t="s">
        <v>459</v>
      </c>
      <c r="G94" s="51" t="s">
        <v>907</v>
      </c>
      <c r="H94" s="51" t="s">
        <v>461</v>
      </c>
      <c r="I94" s="52" t="s">
        <v>1464</v>
      </c>
      <c r="J94" s="52"/>
      <c r="K94" s="53" t="n">
        <f aca="false">IF(AND(E94="yes",F94="yes",H94="covered"),1,IF(H94="partial",0.5,0))</f>
        <v>1</v>
      </c>
    </row>
    <row r="95" customFormat="false" ht="31.5" hidden="false" customHeight="true" outlineLevel="0" collapsed="false">
      <c r="A95" s="51" t="n">
        <v>87</v>
      </c>
      <c r="B95" s="52" t="s">
        <v>486</v>
      </c>
      <c r="C95" s="52" t="s">
        <v>1146</v>
      </c>
      <c r="D95" s="52" t="s">
        <v>1515</v>
      </c>
      <c r="E95" s="51" t="s">
        <v>459</v>
      </c>
      <c r="F95" s="51" t="s">
        <v>459</v>
      </c>
      <c r="G95" s="51" t="s">
        <v>907</v>
      </c>
      <c r="H95" s="51" t="s">
        <v>461</v>
      </c>
      <c r="I95" s="52" t="s">
        <v>1464</v>
      </c>
      <c r="J95" s="52"/>
      <c r="K95" s="53" t="n">
        <f aca="false">IF(AND(E95="yes",F95="yes",H95="covered"),1,IF(H95="partial",0.5,0))</f>
        <v>1</v>
      </c>
    </row>
    <row r="96" customFormat="false" ht="31.5" hidden="false" customHeight="true" outlineLevel="0" collapsed="false">
      <c r="A96" s="51" t="n">
        <v>88</v>
      </c>
      <c r="B96" s="52" t="s">
        <v>486</v>
      </c>
      <c r="C96" s="52" t="s">
        <v>1146</v>
      </c>
      <c r="D96" s="52" t="s">
        <v>1516</v>
      </c>
      <c r="E96" s="51" t="s">
        <v>459</v>
      </c>
      <c r="F96" s="51" t="s">
        <v>459</v>
      </c>
      <c r="G96" s="51" t="s">
        <v>907</v>
      </c>
      <c r="H96" s="51" t="s">
        <v>461</v>
      </c>
      <c r="I96" s="52" t="s">
        <v>1464</v>
      </c>
      <c r="J96" s="52"/>
      <c r="K96" s="53" t="n">
        <f aca="false">IF(AND(E96="yes",F96="yes",H96="covered"),1,IF(H96="partial",0.5,0))</f>
        <v>1</v>
      </c>
    </row>
    <row r="97" customFormat="false" ht="31.5" hidden="false" customHeight="true" outlineLevel="0" collapsed="false">
      <c r="A97" s="51" t="n">
        <v>89</v>
      </c>
      <c r="B97" s="52" t="s">
        <v>486</v>
      </c>
      <c r="C97" s="52" t="s">
        <v>1146</v>
      </c>
      <c r="D97" s="52" t="s">
        <v>1153</v>
      </c>
      <c r="E97" s="51" t="s">
        <v>459</v>
      </c>
      <c r="F97" s="51" t="s">
        <v>459</v>
      </c>
      <c r="G97" s="51" t="s">
        <v>907</v>
      </c>
      <c r="H97" s="51" t="s">
        <v>461</v>
      </c>
      <c r="I97" s="52" t="s">
        <v>1464</v>
      </c>
      <c r="J97" s="52"/>
      <c r="K97" s="53" t="n">
        <f aca="false">IF(AND(E97="yes",F97="yes",H97="covered"),1,IF(H97="partial",0.5,0))</f>
        <v>1</v>
      </c>
    </row>
    <row r="98" customFormat="false" ht="31.5" hidden="false" customHeight="true" outlineLevel="0" collapsed="false">
      <c r="A98" s="51" t="n">
        <v>90</v>
      </c>
      <c r="B98" s="52" t="s">
        <v>486</v>
      </c>
      <c r="C98" s="52" t="s">
        <v>1146</v>
      </c>
      <c r="D98" s="52" t="s">
        <v>1154</v>
      </c>
      <c r="E98" s="51" t="s">
        <v>459</v>
      </c>
      <c r="F98" s="51" t="s">
        <v>459</v>
      </c>
      <c r="G98" s="51" t="s">
        <v>907</v>
      </c>
      <c r="H98" s="51" t="s">
        <v>461</v>
      </c>
      <c r="I98" s="52" t="s">
        <v>1464</v>
      </c>
      <c r="J98" s="52"/>
      <c r="K98" s="53" t="n">
        <f aca="false">IF(AND(E98="yes",F98="yes",H98="covered"),1,IF(H98="partial",0.5,0))</f>
        <v>1</v>
      </c>
    </row>
    <row r="99" customFormat="false" ht="31.5" hidden="false" customHeight="true" outlineLevel="0" collapsed="false">
      <c r="A99" s="51" t="n">
        <v>91</v>
      </c>
      <c r="B99" s="52" t="s">
        <v>486</v>
      </c>
      <c r="C99" s="52" t="s">
        <v>1146</v>
      </c>
      <c r="D99" s="52" t="s">
        <v>1184</v>
      </c>
      <c r="E99" s="51" t="s">
        <v>459</v>
      </c>
      <c r="F99" s="51" t="s">
        <v>459</v>
      </c>
      <c r="G99" s="51" t="s">
        <v>907</v>
      </c>
      <c r="H99" s="51" t="s">
        <v>461</v>
      </c>
      <c r="I99" s="52" t="s">
        <v>1464</v>
      </c>
      <c r="J99" s="52"/>
      <c r="K99" s="53" t="n">
        <f aca="false">IF(AND(E99="yes",F99="yes",H99="covered"),1,IF(H99="partial",0.5,0))</f>
        <v>1</v>
      </c>
    </row>
    <row r="100" customFormat="false" ht="31.5" hidden="false" customHeight="true" outlineLevel="0" collapsed="false">
      <c r="A100" s="51" t="n">
        <v>92</v>
      </c>
      <c r="B100" s="52" t="s">
        <v>486</v>
      </c>
      <c r="C100" s="52" t="s">
        <v>1155</v>
      </c>
      <c r="D100" s="52" t="s">
        <v>1156</v>
      </c>
      <c r="E100" s="51" t="s">
        <v>459</v>
      </c>
      <c r="F100" s="51" t="s">
        <v>459</v>
      </c>
      <c r="G100" s="51" t="s">
        <v>907</v>
      </c>
      <c r="H100" s="51" t="s">
        <v>461</v>
      </c>
      <c r="I100" s="52" t="s">
        <v>1464</v>
      </c>
      <c r="J100" s="52"/>
      <c r="K100" s="53" t="n">
        <f aca="false">IF(AND(E100="yes",F100="yes",H100="covered"),1,IF(H100="partial",0.5,0))</f>
        <v>1</v>
      </c>
    </row>
    <row r="101" customFormat="false" ht="31.5" hidden="false" customHeight="true" outlineLevel="0" collapsed="false">
      <c r="A101" s="51" t="n">
        <v>93</v>
      </c>
      <c r="B101" s="52" t="s">
        <v>486</v>
      </c>
      <c r="C101" s="52" t="s">
        <v>1155</v>
      </c>
      <c r="D101" s="52" t="s">
        <v>1157</v>
      </c>
      <c r="E101" s="51" t="s">
        <v>459</v>
      </c>
      <c r="F101" s="51" t="s">
        <v>459</v>
      </c>
      <c r="G101" s="51" t="s">
        <v>907</v>
      </c>
      <c r="H101" s="51" t="s">
        <v>461</v>
      </c>
      <c r="I101" s="52" t="s">
        <v>1464</v>
      </c>
      <c r="J101" s="52"/>
      <c r="K101" s="53" t="n">
        <f aca="false">IF(AND(E101="yes",F101="yes",H101="covered"),1,IF(H101="partial",0.5,0))</f>
        <v>1</v>
      </c>
    </row>
    <row r="102" customFormat="false" ht="31.5" hidden="false" customHeight="true" outlineLevel="0" collapsed="false">
      <c r="A102" s="51" t="n">
        <v>94</v>
      </c>
      <c r="B102" s="52" t="s">
        <v>486</v>
      </c>
      <c r="C102" s="52" t="s">
        <v>1155</v>
      </c>
      <c r="D102" s="52" t="s">
        <v>1517</v>
      </c>
      <c r="E102" s="51" t="s">
        <v>459</v>
      </c>
      <c r="F102" s="51" t="s">
        <v>459</v>
      </c>
      <c r="G102" s="51" t="s">
        <v>907</v>
      </c>
      <c r="H102" s="51" t="s">
        <v>461</v>
      </c>
      <c r="I102" s="52" t="s">
        <v>1464</v>
      </c>
      <c r="J102" s="52"/>
      <c r="K102" s="53" t="n">
        <f aca="false">IF(AND(E102="yes",F102="yes",H102="covered"),1,IF(H102="partial",0.5,0))</f>
        <v>1</v>
      </c>
    </row>
    <row r="103" customFormat="false" ht="31.5" hidden="false" customHeight="true" outlineLevel="0" collapsed="false">
      <c r="A103" s="51" t="n">
        <v>95</v>
      </c>
      <c r="B103" s="52" t="s">
        <v>486</v>
      </c>
      <c r="C103" s="52" t="s">
        <v>1155</v>
      </c>
      <c r="D103" s="52" t="s">
        <v>1518</v>
      </c>
      <c r="E103" s="51" t="s">
        <v>459</v>
      </c>
      <c r="F103" s="51" t="s">
        <v>459</v>
      </c>
      <c r="G103" s="51" t="s">
        <v>907</v>
      </c>
      <c r="H103" s="51" t="s">
        <v>461</v>
      </c>
      <c r="I103" s="52" t="s">
        <v>1464</v>
      </c>
      <c r="J103" s="52"/>
      <c r="K103" s="53" t="n">
        <f aca="false">IF(AND(E103="yes",F103="yes",H103="covered"),1,IF(H103="partial",0.5,0))</f>
        <v>1</v>
      </c>
    </row>
    <row r="104" customFormat="false" ht="31.5" hidden="false" customHeight="true" outlineLevel="0" collapsed="false">
      <c r="A104" s="51" t="n">
        <v>96</v>
      </c>
      <c r="B104" s="52" t="s">
        <v>486</v>
      </c>
      <c r="C104" s="52" t="s">
        <v>1155</v>
      </c>
      <c r="D104" s="52" t="s">
        <v>1519</v>
      </c>
      <c r="E104" s="51" t="s">
        <v>459</v>
      </c>
      <c r="F104" s="51" t="s">
        <v>459</v>
      </c>
      <c r="G104" s="51" t="s">
        <v>907</v>
      </c>
      <c r="H104" s="51" t="s">
        <v>461</v>
      </c>
      <c r="I104" s="52" t="s">
        <v>1464</v>
      </c>
      <c r="J104" s="52"/>
      <c r="K104" s="53" t="n">
        <f aca="false">IF(AND(E104="yes",F104="yes",H104="covered"),1,IF(H104="partial",0.5,0))</f>
        <v>1</v>
      </c>
    </row>
    <row r="105" customFormat="false" ht="31.5" hidden="false" customHeight="true" outlineLevel="0" collapsed="false">
      <c r="A105" s="51" t="n">
        <v>97</v>
      </c>
      <c r="B105" s="52" t="s">
        <v>486</v>
      </c>
      <c r="C105" s="52" t="s">
        <v>1155</v>
      </c>
      <c r="D105" s="52" t="s">
        <v>1115</v>
      </c>
      <c r="E105" s="51" t="s">
        <v>459</v>
      </c>
      <c r="F105" s="51" t="s">
        <v>459</v>
      </c>
      <c r="G105" s="51" t="s">
        <v>907</v>
      </c>
      <c r="H105" s="51" t="s">
        <v>461</v>
      </c>
      <c r="I105" s="52" t="s">
        <v>1464</v>
      </c>
      <c r="J105" s="52"/>
      <c r="K105" s="53" t="n">
        <f aca="false">IF(AND(E105="yes",F105="yes",H105="covered"),1,IF(H105="partial",0.5,0))</f>
        <v>1</v>
      </c>
    </row>
    <row r="106" customFormat="false" ht="31.5" hidden="false" customHeight="true" outlineLevel="0" collapsed="false">
      <c r="A106" s="51" t="n">
        <v>98</v>
      </c>
      <c r="B106" s="52" t="s">
        <v>486</v>
      </c>
      <c r="C106" s="52" t="s">
        <v>1160</v>
      </c>
      <c r="D106" s="52" t="s">
        <v>1161</v>
      </c>
      <c r="E106" s="51" t="s">
        <v>459</v>
      </c>
      <c r="F106" s="51" t="s">
        <v>459</v>
      </c>
      <c r="G106" s="51" t="s">
        <v>907</v>
      </c>
      <c r="H106" s="51" t="s">
        <v>461</v>
      </c>
      <c r="I106" s="52" t="s">
        <v>1464</v>
      </c>
      <c r="J106" s="52"/>
      <c r="K106" s="53" t="n">
        <f aca="false">IF(AND(E106="yes",F106="yes",H106="covered"),1,IF(H106="partial",0.5,0))</f>
        <v>1</v>
      </c>
    </row>
    <row r="107" customFormat="false" ht="31.5" hidden="false" customHeight="true" outlineLevel="0" collapsed="false">
      <c r="A107" s="51" t="n">
        <v>99</v>
      </c>
      <c r="B107" s="52" t="s">
        <v>486</v>
      </c>
      <c r="C107" s="52" t="s">
        <v>1160</v>
      </c>
      <c r="D107" s="52" t="s">
        <v>1520</v>
      </c>
      <c r="E107" s="51" t="s">
        <v>459</v>
      </c>
      <c r="F107" s="51" t="s">
        <v>459</v>
      </c>
      <c r="G107" s="51" t="s">
        <v>907</v>
      </c>
      <c r="H107" s="51" t="s">
        <v>461</v>
      </c>
      <c r="I107" s="52" t="s">
        <v>1464</v>
      </c>
      <c r="J107" s="52"/>
      <c r="K107" s="53" t="n">
        <f aca="false">IF(AND(E107="yes",F107="yes",H107="covered"),1,IF(H107="partial",0.5,0))</f>
        <v>1</v>
      </c>
    </row>
    <row r="108" customFormat="false" ht="31.5" hidden="false" customHeight="true" outlineLevel="0" collapsed="false">
      <c r="A108" s="51" t="n">
        <v>100</v>
      </c>
      <c r="B108" s="52" t="s">
        <v>486</v>
      </c>
      <c r="C108" s="52" t="s">
        <v>1160</v>
      </c>
      <c r="D108" s="52" t="s">
        <v>1521</v>
      </c>
      <c r="E108" s="51" t="s">
        <v>459</v>
      </c>
      <c r="F108" s="51" t="s">
        <v>459</v>
      </c>
      <c r="G108" s="51" t="s">
        <v>907</v>
      </c>
      <c r="H108" s="51" t="s">
        <v>461</v>
      </c>
      <c r="I108" s="52" t="s">
        <v>1464</v>
      </c>
      <c r="J108" s="52"/>
      <c r="K108" s="53" t="n">
        <f aca="false">IF(AND(E108="yes",F108="yes",H108="covered"),1,IF(H108="partial",0.5,0))</f>
        <v>1</v>
      </c>
    </row>
    <row r="109" customFormat="false" ht="31.5" hidden="false" customHeight="true" outlineLevel="0" collapsed="false">
      <c r="A109" s="51" t="n">
        <v>101</v>
      </c>
      <c r="B109" s="52" t="s">
        <v>486</v>
      </c>
      <c r="C109" s="52" t="s">
        <v>1160</v>
      </c>
      <c r="D109" s="52" t="s">
        <v>1522</v>
      </c>
      <c r="E109" s="51" t="s">
        <v>459</v>
      </c>
      <c r="F109" s="51" t="s">
        <v>459</v>
      </c>
      <c r="G109" s="51" t="s">
        <v>907</v>
      </c>
      <c r="H109" s="51" t="s">
        <v>461</v>
      </c>
      <c r="I109" s="52" t="s">
        <v>1464</v>
      </c>
      <c r="J109" s="52"/>
      <c r="K109" s="53" t="n">
        <f aca="false">IF(AND(E109="yes",F109="yes",H109="covered"),1,IF(H109="partial",0.5,0))</f>
        <v>1</v>
      </c>
    </row>
    <row r="110" customFormat="false" ht="31.5" hidden="false" customHeight="true" outlineLevel="0" collapsed="false">
      <c r="A110" s="51" t="n">
        <v>102</v>
      </c>
      <c r="B110" s="52" t="s">
        <v>486</v>
      </c>
      <c r="C110" s="52" t="s">
        <v>1160</v>
      </c>
      <c r="D110" s="52" t="s">
        <v>1164</v>
      </c>
      <c r="E110" s="51" t="s">
        <v>459</v>
      </c>
      <c r="F110" s="51" t="s">
        <v>459</v>
      </c>
      <c r="G110" s="51" t="s">
        <v>907</v>
      </c>
      <c r="H110" s="51" t="s">
        <v>461</v>
      </c>
      <c r="I110" s="52" t="s">
        <v>1464</v>
      </c>
      <c r="J110" s="52"/>
      <c r="K110" s="53" t="n">
        <f aca="false">IF(AND(E110="yes",F110="yes",H110="covered"),1,IF(H110="partial",0.5,0))</f>
        <v>1</v>
      </c>
    </row>
    <row r="111" customFormat="false" ht="31.5" hidden="false" customHeight="true" outlineLevel="0" collapsed="false">
      <c r="A111" s="51" t="n">
        <v>103</v>
      </c>
      <c r="B111" s="52" t="s">
        <v>486</v>
      </c>
      <c r="C111" s="52" t="s">
        <v>1160</v>
      </c>
      <c r="D111" s="52" t="s">
        <v>1165</v>
      </c>
      <c r="E111" s="51" t="s">
        <v>459</v>
      </c>
      <c r="F111" s="51" t="s">
        <v>459</v>
      </c>
      <c r="G111" s="51" t="s">
        <v>907</v>
      </c>
      <c r="H111" s="51" t="s">
        <v>461</v>
      </c>
      <c r="I111" s="52" t="s">
        <v>1464</v>
      </c>
      <c r="J111" s="52"/>
      <c r="K111" s="53" t="n">
        <f aca="false">IF(AND(E111="yes",F111="yes",H111="covered"),1,IF(H111="partial",0.5,0))</f>
        <v>1</v>
      </c>
    </row>
    <row r="112" customFormat="false" ht="31.5" hidden="false" customHeight="true" outlineLevel="0" collapsed="false">
      <c r="A112" s="51" t="n">
        <v>104</v>
      </c>
      <c r="B112" s="52" t="s">
        <v>486</v>
      </c>
      <c r="C112" s="52" t="s">
        <v>1160</v>
      </c>
      <c r="D112" s="52" t="s">
        <v>1516</v>
      </c>
      <c r="E112" s="51" t="s">
        <v>459</v>
      </c>
      <c r="F112" s="51" t="s">
        <v>459</v>
      </c>
      <c r="G112" s="51" t="s">
        <v>907</v>
      </c>
      <c r="H112" s="51" t="s">
        <v>461</v>
      </c>
      <c r="I112" s="52" t="s">
        <v>1464</v>
      </c>
      <c r="J112" s="52"/>
      <c r="K112" s="53" t="n">
        <f aca="false">IF(AND(E112="yes",F112="yes",H112="covered"),1,IF(H112="partial",0.5,0))</f>
        <v>1</v>
      </c>
    </row>
    <row r="113" customFormat="false" ht="31.5" hidden="false" customHeight="true" outlineLevel="0" collapsed="false">
      <c r="A113" s="51" t="n">
        <v>105</v>
      </c>
      <c r="B113" s="52" t="s">
        <v>486</v>
      </c>
      <c r="C113" s="52" t="s">
        <v>1160</v>
      </c>
      <c r="D113" s="52" t="s">
        <v>1153</v>
      </c>
      <c r="E113" s="51" t="s">
        <v>459</v>
      </c>
      <c r="F113" s="51" t="s">
        <v>459</v>
      </c>
      <c r="G113" s="51" t="s">
        <v>907</v>
      </c>
      <c r="H113" s="51" t="s">
        <v>461</v>
      </c>
      <c r="I113" s="52" t="s">
        <v>1464</v>
      </c>
      <c r="J113" s="52"/>
      <c r="K113" s="53" t="n">
        <f aca="false">IF(AND(E113="yes",F113="yes",H113="covered"),1,IF(H113="partial",0.5,0))</f>
        <v>1</v>
      </c>
    </row>
    <row r="114" customFormat="false" ht="31.5" hidden="false" customHeight="true" outlineLevel="0" collapsed="false">
      <c r="A114" s="51" t="n">
        <v>106</v>
      </c>
      <c r="B114" s="52" t="s">
        <v>486</v>
      </c>
      <c r="C114" s="52" t="s">
        <v>1160</v>
      </c>
      <c r="D114" s="52" t="s">
        <v>1184</v>
      </c>
      <c r="E114" s="51" t="s">
        <v>459</v>
      </c>
      <c r="F114" s="51" t="s">
        <v>459</v>
      </c>
      <c r="G114" s="51" t="s">
        <v>907</v>
      </c>
      <c r="H114" s="51" t="s">
        <v>461</v>
      </c>
      <c r="I114" s="52" t="s">
        <v>1464</v>
      </c>
      <c r="J114" s="52"/>
      <c r="K114" s="53" t="n">
        <f aca="false">IF(AND(E114="yes",F114="yes",H114="covered"),1,IF(H114="partial",0.5,0))</f>
        <v>1</v>
      </c>
    </row>
    <row r="115" customFormat="false" ht="31.5" hidden="false" customHeight="true" outlineLevel="0" collapsed="false">
      <c r="A115" s="51" t="n">
        <v>107</v>
      </c>
      <c r="B115" s="52" t="s">
        <v>486</v>
      </c>
      <c r="C115" s="52" t="s">
        <v>825</v>
      </c>
      <c r="D115" s="52" t="s">
        <v>1156</v>
      </c>
      <c r="E115" s="51" t="s">
        <v>459</v>
      </c>
      <c r="F115" s="51" t="s">
        <v>459</v>
      </c>
      <c r="G115" s="51" t="s">
        <v>907</v>
      </c>
      <c r="H115" s="51" t="s">
        <v>461</v>
      </c>
      <c r="I115" s="52" t="s">
        <v>1464</v>
      </c>
      <c r="J115" s="52"/>
      <c r="K115" s="53" t="n">
        <f aca="false">IF(AND(E115="yes",F115="yes",H115="covered"),1,IF(H115="partial",0.5,0))</f>
        <v>1</v>
      </c>
    </row>
    <row r="116" customFormat="false" ht="31.5" hidden="false" customHeight="true" outlineLevel="0" collapsed="false">
      <c r="A116" s="51" t="n">
        <v>108</v>
      </c>
      <c r="B116" s="52" t="s">
        <v>486</v>
      </c>
      <c r="C116" s="52" t="s">
        <v>825</v>
      </c>
      <c r="D116" s="52" t="s">
        <v>1166</v>
      </c>
      <c r="E116" s="51" t="s">
        <v>459</v>
      </c>
      <c r="F116" s="51" t="s">
        <v>459</v>
      </c>
      <c r="G116" s="51" t="s">
        <v>907</v>
      </c>
      <c r="H116" s="51" t="s">
        <v>461</v>
      </c>
      <c r="I116" s="52" t="s">
        <v>1464</v>
      </c>
      <c r="J116" s="52"/>
      <c r="K116" s="53" t="n">
        <f aca="false">IF(AND(E116="yes",F116="yes",H116="covered"),1,IF(H116="partial",0.5,0))</f>
        <v>1</v>
      </c>
    </row>
    <row r="117" customFormat="false" ht="31.5" hidden="false" customHeight="true" outlineLevel="0" collapsed="false">
      <c r="A117" s="51" t="n">
        <v>109</v>
      </c>
      <c r="B117" s="52" t="s">
        <v>486</v>
      </c>
      <c r="C117" s="52" t="s">
        <v>825</v>
      </c>
      <c r="D117" s="52" t="s">
        <v>1115</v>
      </c>
      <c r="E117" s="51" t="s">
        <v>459</v>
      </c>
      <c r="F117" s="51" t="s">
        <v>459</v>
      </c>
      <c r="G117" s="51" t="s">
        <v>907</v>
      </c>
      <c r="H117" s="51" t="s">
        <v>461</v>
      </c>
      <c r="I117" s="52" t="s">
        <v>1464</v>
      </c>
      <c r="J117" s="52"/>
      <c r="K117" s="53" t="n">
        <f aca="false">IF(AND(E117="yes",F117="yes",H117="covered"),1,IF(H117="partial",0.5,0))</f>
        <v>1</v>
      </c>
    </row>
    <row r="118" customFormat="false" ht="31.5" hidden="false" customHeight="true" outlineLevel="0" collapsed="false">
      <c r="A118" s="51" t="n">
        <v>110</v>
      </c>
      <c r="B118" s="52" t="s">
        <v>486</v>
      </c>
      <c r="C118" s="52" t="s">
        <v>904</v>
      </c>
      <c r="D118" s="52" t="s">
        <v>1167</v>
      </c>
      <c r="E118" s="51" t="s">
        <v>459</v>
      </c>
      <c r="F118" s="51" t="s">
        <v>459</v>
      </c>
      <c r="G118" s="51" t="s">
        <v>907</v>
      </c>
      <c r="H118" s="51" t="s">
        <v>461</v>
      </c>
      <c r="I118" s="52" t="s">
        <v>1464</v>
      </c>
      <c r="J118" s="52"/>
      <c r="K118" s="53" t="n">
        <f aca="false">IF(AND(E118="yes",F118="yes",H118="covered"),1,IF(H118="partial",0.5,0))</f>
        <v>1</v>
      </c>
    </row>
    <row r="119" customFormat="false" ht="31.5" hidden="false" customHeight="true" outlineLevel="0" collapsed="false">
      <c r="A119" s="51" t="n">
        <v>111</v>
      </c>
      <c r="B119" s="52" t="s">
        <v>486</v>
      </c>
      <c r="C119" s="52" t="s">
        <v>904</v>
      </c>
      <c r="D119" s="52" t="s">
        <v>1168</v>
      </c>
      <c r="E119" s="51" t="s">
        <v>459</v>
      </c>
      <c r="F119" s="51" t="s">
        <v>459</v>
      </c>
      <c r="G119" s="51" t="s">
        <v>907</v>
      </c>
      <c r="H119" s="51" t="s">
        <v>461</v>
      </c>
      <c r="I119" s="52" t="s">
        <v>1464</v>
      </c>
      <c r="J119" s="52"/>
      <c r="K119" s="53" t="n">
        <f aca="false">IF(AND(E119="yes",F119="yes",H119="covered"),1,IF(H119="partial",0.5,0))</f>
        <v>1</v>
      </c>
    </row>
    <row r="120" customFormat="false" ht="31.5" hidden="false" customHeight="true" outlineLevel="0" collapsed="false">
      <c r="A120" s="51" t="n">
        <v>112</v>
      </c>
      <c r="B120" s="52" t="s">
        <v>486</v>
      </c>
      <c r="C120" s="52" t="s">
        <v>904</v>
      </c>
      <c r="D120" s="52" t="s">
        <v>1169</v>
      </c>
      <c r="E120" s="51" t="s">
        <v>459</v>
      </c>
      <c r="F120" s="51" t="s">
        <v>459</v>
      </c>
      <c r="G120" s="51" t="s">
        <v>907</v>
      </c>
      <c r="H120" s="51" t="s">
        <v>461</v>
      </c>
      <c r="I120" s="52" t="s">
        <v>1464</v>
      </c>
      <c r="J120" s="52"/>
      <c r="K120" s="53" t="n">
        <f aca="false">IF(AND(E120="yes",F120="yes",H120="covered"),1,IF(H120="partial",0.5,0))</f>
        <v>1</v>
      </c>
    </row>
    <row r="121" customFormat="false" ht="31.5" hidden="false" customHeight="true" outlineLevel="0" collapsed="false">
      <c r="A121" s="51" t="n">
        <v>113</v>
      </c>
      <c r="B121" s="52" t="s">
        <v>486</v>
      </c>
      <c r="C121" s="52" t="s">
        <v>904</v>
      </c>
      <c r="D121" s="52" t="s">
        <v>1523</v>
      </c>
      <c r="E121" s="51" t="s">
        <v>459</v>
      </c>
      <c r="F121" s="51" t="s">
        <v>459</v>
      </c>
      <c r="G121" s="51" t="s">
        <v>907</v>
      </c>
      <c r="H121" s="51" t="s">
        <v>461</v>
      </c>
      <c r="I121" s="52" t="s">
        <v>1464</v>
      </c>
      <c r="J121" s="52"/>
      <c r="K121" s="53" t="n">
        <f aca="false">IF(AND(E121="yes",F121="yes",H121="covered"),1,IF(H121="partial",0.5,0))</f>
        <v>1</v>
      </c>
    </row>
    <row r="122" customFormat="false" ht="31.5" hidden="false" customHeight="true" outlineLevel="0" collapsed="false">
      <c r="A122" s="51" t="n">
        <v>114</v>
      </c>
      <c r="B122" s="52" t="s">
        <v>486</v>
      </c>
      <c r="C122" s="52" t="s">
        <v>1170</v>
      </c>
      <c r="D122" s="52" t="s">
        <v>1171</v>
      </c>
      <c r="E122" s="51" t="s">
        <v>459</v>
      </c>
      <c r="F122" s="51" t="s">
        <v>459</v>
      </c>
      <c r="G122" s="51" t="s">
        <v>907</v>
      </c>
      <c r="H122" s="51" t="s">
        <v>461</v>
      </c>
      <c r="I122" s="52" t="s">
        <v>1464</v>
      </c>
      <c r="J122" s="52"/>
      <c r="K122" s="53" t="n">
        <f aca="false">IF(AND(E122="yes",F122="yes",H122="covered"),1,IF(H122="partial",0.5,0))</f>
        <v>1</v>
      </c>
    </row>
    <row r="123" customFormat="false" ht="31.5" hidden="false" customHeight="true" outlineLevel="0" collapsed="false">
      <c r="A123" s="51" t="n">
        <v>115</v>
      </c>
      <c r="B123" s="52" t="s">
        <v>486</v>
      </c>
      <c r="C123" s="52" t="s">
        <v>1170</v>
      </c>
      <c r="D123" s="52" t="s">
        <v>1172</v>
      </c>
      <c r="E123" s="51" t="s">
        <v>459</v>
      </c>
      <c r="F123" s="51" t="s">
        <v>459</v>
      </c>
      <c r="G123" s="51" t="s">
        <v>907</v>
      </c>
      <c r="H123" s="51" t="s">
        <v>461</v>
      </c>
      <c r="I123" s="52" t="s">
        <v>1464</v>
      </c>
      <c r="J123" s="52"/>
      <c r="K123" s="53" t="n">
        <f aca="false">IF(AND(E123="yes",F123="yes",H123="covered"),1,IF(H123="partial",0.5,0))</f>
        <v>1</v>
      </c>
    </row>
    <row r="124" customFormat="false" ht="31.5" hidden="false" customHeight="true" outlineLevel="0" collapsed="false">
      <c r="A124" s="51" t="n">
        <v>116</v>
      </c>
      <c r="B124" s="52" t="s">
        <v>486</v>
      </c>
      <c r="C124" s="52" t="s">
        <v>1170</v>
      </c>
      <c r="D124" s="52" t="s">
        <v>1173</v>
      </c>
      <c r="E124" s="51" t="s">
        <v>459</v>
      </c>
      <c r="F124" s="51" t="s">
        <v>459</v>
      </c>
      <c r="G124" s="51" t="s">
        <v>907</v>
      </c>
      <c r="H124" s="51" t="s">
        <v>461</v>
      </c>
      <c r="I124" s="52" t="s">
        <v>1464</v>
      </c>
      <c r="J124" s="52"/>
      <c r="K124" s="53" t="n">
        <f aca="false">IF(AND(E124="yes",F124="yes",H124="covered"),1,IF(H124="partial",0.5,0))</f>
        <v>1</v>
      </c>
    </row>
    <row r="125" customFormat="false" ht="31.5" hidden="false" customHeight="true" outlineLevel="0" collapsed="false">
      <c r="A125" s="51" t="n">
        <v>117</v>
      </c>
      <c r="B125" s="52" t="s">
        <v>486</v>
      </c>
      <c r="C125" s="52" t="s">
        <v>1170</v>
      </c>
      <c r="D125" s="52" t="s">
        <v>1174</v>
      </c>
      <c r="E125" s="51" t="s">
        <v>459</v>
      </c>
      <c r="F125" s="51" t="s">
        <v>459</v>
      </c>
      <c r="G125" s="51" t="s">
        <v>907</v>
      </c>
      <c r="H125" s="51" t="s">
        <v>461</v>
      </c>
      <c r="I125" s="52" t="s">
        <v>1464</v>
      </c>
      <c r="J125" s="52"/>
      <c r="K125" s="53" t="n">
        <f aca="false">IF(AND(E125="yes",F125="yes",H125="covered"),1,IF(H125="partial",0.5,0))</f>
        <v>1</v>
      </c>
    </row>
    <row r="126" customFormat="false" ht="31.5" hidden="false" customHeight="true" outlineLevel="0" collapsed="false">
      <c r="A126" s="51" t="n">
        <v>118</v>
      </c>
      <c r="B126" s="52" t="s">
        <v>486</v>
      </c>
      <c r="C126" s="52" t="s">
        <v>1175</v>
      </c>
      <c r="D126" s="52" t="s">
        <v>1136</v>
      </c>
      <c r="E126" s="51" t="s">
        <v>459</v>
      </c>
      <c r="F126" s="51" t="s">
        <v>459</v>
      </c>
      <c r="G126" s="51" t="s">
        <v>907</v>
      </c>
      <c r="H126" s="51" t="s">
        <v>461</v>
      </c>
      <c r="I126" s="52" t="s">
        <v>1464</v>
      </c>
      <c r="J126" s="52"/>
      <c r="K126" s="53" t="n">
        <f aca="false">IF(AND(E126="yes",F126="yes",H126="covered"),1,IF(H126="partial",0.5,0))</f>
        <v>1</v>
      </c>
    </row>
    <row r="127" customFormat="false" ht="31.5" hidden="false" customHeight="true" outlineLevel="0" collapsed="false">
      <c r="A127" s="51" t="n">
        <v>119</v>
      </c>
      <c r="B127" s="52" t="s">
        <v>486</v>
      </c>
      <c r="C127" s="52" t="s">
        <v>1175</v>
      </c>
      <c r="D127" s="52" t="s">
        <v>1176</v>
      </c>
      <c r="E127" s="51" t="s">
        <v>459</v>
      </c>
      <c r="F127" s="51" t="s">
        <v>459</v>
      </c>
      <c r="G127" s="51" t="s">
        <v>907</v>
      </c>
      <c r="H127" s="51" t="s">
        <v>461</v>
      </c>
      <c r="I127" s="52" t="s">
        <v>1464</v>
      </c>
      <c r="J127" s="52"/>
      <c r="K127" s="53" t="n">
        <f aca="false">IF(AND(E127="yes",F127="yes",H127="covered"),1,IF(H127="partial",0.5,0))</f>
        <v>1</v>
      </c>
    </row>
    <row r="128" customFormat="false" ht="31.5" hidden="false" customHeight="true" outlineLevel="0" collapsed="false">
      <c r="A128" s="51" t="n">
        <v>120</v>
      </c>
      <c r="B128" s="52" t="s">
        <v>486</v>
      </c>
      <c r="C128" s="52" t="s">
        <v>1175</v>
      </c>
      <c r="D128" s="52" t="s">
        <v>1177</v>
      </c>
      <c r="E128" s="51" t="s">
        <v>459</v>
      </c>
      <c r="F128" s="51" t="s">
        <v>459</v>
      </c>
      <c r="G128" s="51" t="s">
        <v>907</v>
      </c>
      <c r="H128" s="51" t="s">
        <v>461</v>
      </c>
      <c r="I128" s="52" t="s">
        <v>1464</v>
      </c>
      <c r="J128" s="52"/>
      <c r="K128" s="53" t="n">
        <f aca="false">IF(AND(E128="yes",F128="yes",H128="covered"),1,IF(H128="partial",0.5,0))</f>
        <v>1</v>
      </c>
    </row>
    <row r="129" customFormat="false" ht="31.5" hidden="false" customHeight="true" outlineLevel="0" collapsed="false">
      <c r="A129" s="51" t="n">
        <v>121</v>
      </c>
      <c r="B129" s="52" t="s">
        <v>486</v>
      </c>
      <c r="C129" s="52" t="s">
        <v>1175</v>
      </c>
      <c r="D129" s="52" t="s">
        <v>1178</v>
      </c>
      <c r="E129" s="51" t="s">
        <v>459</v>
      </c>
      <c r="F129" s="51" t="s">
        <v>459</v>
      </c>
      <c r="G129" s="51" t="s">
        <v>907</v>
      </c>
      <c r="H129" s="51" t="s">
        <v>461</v>
      </c>
      <c r="I129" s="52" t="s">
        <v>1464</v>
      </c>
      <c r="J129" s="52"/>
      <c r="K129" s="53" t="n">
        <f aca="false">IF(AND(E129="yes",F129="yes",H129="covered"),1,IF(H129="partial",0.5,0))</f>
        <v>1</v>
      </c>
    </row>
    <row r="130" customFormat="false" ht="31.5" hidden="false" customHeight="true" outlineLevel="0" collapsed="false">
      <c r="A130" s="51" t="n">
        <v>122</v>
      </c>
      <c r="B130" s="52" t="s">
        <v>486</v>
      </c>
      <c r="C130" s="52" t="s">
        <v>1175</v>
      </c>
      <c r="D130" s="52" t="s">
        <v>1179</v>
      </c>
      <c r="E130" s="51" t="s">
        <v>459</v>
      </c>
      <c r="F130" s="51" t="s">
        <v>459</v>
      </c>
      <c r="G130" s="51" t="s">
        <v>907</v>
      </c>
      <c r="H130" s="51" t="s">
        <v>461</v>
      </c>
      <c r="I130" s="52" t="s">
        <v>1464</v>
      </c>
      <c r="J130" s="52"/>
      <c r="K130" s="53" t="n">
        <f aca="false">IF(AND(E130="yes",F130="yes",H130="covered"),1,IF(H130="partial",0.5,0))</f>
        <v>1</v>
      </c>
    </row>
    <row r="131" customFormat="false" ht="31.5" hidden="false" customHeight="true" outlineLevel="0" collapsed="false">
      <c r="A131" s="51" t="n">
        <v>123</v>
      </c>
      <c r="B131" s="52" t="s">
        <v>486</v>
      </c>
      <c r="C131" s="52" t="s">
        <v>1175</v>
      </c>
      <c r="D131" s="52" t="s">
        <v>1180</v>
      </c>
      <c r="E131" s="51" t="s">
        <v>459</v>
      </c>
      <c r="F131" s="51" t="s">
        <v>459</v>
      </c>
      <c r="G131" s="51" t="s">
        <v>907</v>
      </c>
      <c r="H131" s="51" t="s">
        <v>461</v>
      </c>
      <c r="I131" s="52" t="s">
        <v>1464</v>
      </c>
      <c r="J131" s="52"/>
      <c r="K131" s="53" t="n">
        <f aca="false">IF(AND(E131="yes",F131="yes",H131="covered"),1,IF(H131="partial",0.5,0))</f>
        <v>1</v>
      </c>
    </row>
    <row r="132" customFormat="false" ht="31.5" hidden="false" customHeight="true" outlineLevel="0" collapsed="false">
      <c r="A132" s="51" t="n">
        <v>124</v>
      </c>
      <c r="B132" s="52" t="s">
        <v>486</v>
      </c>
      <c r="C132" s="52" t="s">
        <v>1175</v>
      </c>
      <c r="D132" s="52" t="s">
        <v>1181</v>
      </c>
      <c r="E132" s="51" t="s">
        <v>459</v>
      </c>
      <c r="F132" s="51" t="s">
        <v>459</v>
      </c>
      <c r="G132" s="51" t="s">
        <v>907</v>
      </c>
      <c r="H132" s="51" t="s">
        <v>461</v>
      </c>
      <c r="I132" s="52" t="s">
        <v>1464</v>
      </c>
      <c r="J132" s="52"/>
      <c r="K132" s="53" t="n">
        <f aca="false">IF(AND(E132="yes",F132="yes",H132="covered"),1,IF(H132="partial",0.5,0))</f>
        <v>1</v>
      </c>
    </row>
    <row r="133" customFormat="false" ht="31.5" hidden="false" customHeight="true" outlineLevel="0" collapsed="false">
      <c r="A133" s="51" t="n">
        <v>125</v>
      </c>
      <c r="B133" s="52" t="s">
        <v>486</v>
      </c>
      <c r="C133" s="52" t="s">
        <v>1175</v>
      </c>
      <c r="D133" s="52" t="s">
        <v>1182</v>
      </c>
      <c r="E133" s="51" t="s">
        <v>459</v>
      </c>
      <c r="F133" s="51" t="s">
        <v>459</v>
      </c>
      <c r="G133" s="51" t="s">
        <v>907</v>
      </c>
      <c r="H133" s="51" t="s">
        <v>461</v>
      </c>
      <c r="I133" s="52" t="s">
        <v>1464</v>
      </c>
      <c r="J133" s="52"/>
      <c r="K133" s="53" t="n">
        <f aca="false">IF(AND(E133="yes",F133="yes",H133="covered"),1,IF(H133="partial",0.5,0))</f>
        <v>1</v>
      </c>
    </row>
    <row r="134" customFormat="false" ht="31.5" hidden="false" customHeight="true" outlineLevel="0" collapsed="false">
      <c r="A134" s="51" t="n">
        <v>126</v>
      </c>
      <c r="B134" s="52" t="s">
        <v>486</v>
      </c>
      <c r="C134" s="52" t="s">
        <v>1175</v>
      </c>
      <c r="D134" s="52" t="s">
        <v>1183</v>
      </c>
      <c r="E134" s="51" t="s">
        <v>459</v>
      </c>
      <c r="F134" s="51" t="s">
        <v>459</v>
      </c>
      <c r="G134" s="51" t="s">
        <v>907</v>
      </c>
      <c r="H134" s="51" t="s">
        <v>461</v>
      </c>
      <c r="I134" s="52" t="s">
        <v>1464</v>
      </c>
      <c r="J134" s="52"/>
      <c r="K134" s="53" t="n">
        <f aca="false">IF(AND(E134="yes",F134="yes",H134="covered"),1,IF(H134="partial",0.5,0))</f>
        <v>1</v>
      </c>
    </row>
    <row r="135" customFormat="false" ht="31.5" hidden="false" customHeight="true" outlineLevel="0" collapsed="false">
      <c r="A135" s="51" t="n">
        <v>127</v>
      </c>
      <c r="B135" s="52" t="s">
        <v>486</v>
      </c>
      <c r="C135" s="52" t="s">
        <v>1175</v>
      </c>
      <c r="D135" s="52" t="s">
        <v>1184</v>
      </c>
      <c r="E135" s="51" t="s">
        <v>459</v>
      </c>
      <c r="F135" s="51" t="s">
        <v>459</v>
      </c>
      <c r="G135" s="51" t="s">
        <v>907</v>
      </c>
      <c r="H135" s="51" t="s">
        <v>461</v>
      </c>
      <c r="I135" s="52" t="s">
        <v>1464</v>
      </c>
      <c r="J135" s="52"/>
      <c r="K135" s="53" t="n">
        <f aca="false">IF(AND(E135="yes",F135="yes",H135="covered"),1,IF(H135="partial",0.5,0))</f>
        <v>1</v>
      </c>
    </row>
    <row r="136" customFormat="false" ht="31.5" hidden="false" customHeight="true" outlineLevel="0" collapsed="false">
      <c r="A136" s="51" t="n">
        <v>128</v>
      </c>
      <c r="B136" s="52" t="s">
        <v>486</v>
      </c>
      <c r="C136" s="52" t="s">
        <v>1185</v>
      </c>
      <c r="D136" s="52" t="s">
        <v>1186</v>
      </c>
      <c r="E136" s="51" t="s">
        <v>459</v>
      </c>
      <c r="F136" s="51" t="s">
        <v>459</v>
      </c>
      <c r="G136" s="51" t="s">
        <v>907</v>
      </c>
      <c r="H136" s="51" t="s">
        <v>461</v>
      </c>
      <c r="I136" s="52" t="s">
        <v>1464</v>
      </c>
      <c r="J136" s="52"/>
      <c r="K136" s="53" t="n">
        <f aca="false">IF(AND(E136="yes",F136="yes",H136="covered"),1,IF(H136="partial",0.5,0))</f>
        <v>1</v>
      </c>
    </row>
    <row r="137" customFormat="false" ht="31.5" hidden="false" customHeight="true" outlineLevel="0" collapsed="false">
      <c r="A137" s="51" t="n">
        <v>129</v>
      </c>
      <c r="B137" s="52" t="s">
        <v>486</v>
      </c>
      <c r="C137" s="52" t="s">
        <v>1185</v>
      </c>
      <c r="D137" s="52" t="s">
        <v>1187</v>
      </c>
      <c r="E137" s="51" t="s">
        <v>459</v>
      </c>
      <c r="F137" s="51" t="s">
        <v>459</v>
      </c>
      <c r="G137" s="51" t="s">
        <v>907</v>
      </c>
      <c r="H137" s="51" t="s">
        <v>461</v>
      </c>
      <c r="I137" s="52" t="s">
        <v>1464</v>
      </c>
      <c r="J137" s="52"/>
      <c r="K137" s="53" t="n">
        <f aca="false">IF(AND(E137="yes",F137="yes",H137="covered"),1,IF(H137="partial",0.5,0))</f>
        <v>1</v>
      </c>
    </row>
    <row r="138" customFormat="false" ht="31.5" hidden="false" customHeight="true" outlineLevel="0" collapsed="false">
      <c r="A138" s="51" t="n">
        <v>130</v>
      </c>
      <c r="B138" s="52" t="s">
        <v>486</v>
      </c>
      <c r="C138" s="52" t="s">
        <v>1185</v>
      </c>
      <c r="D138" s="52" t="s">
        <v>1188</v>
      </c>
      <c r="E138" s="51" t="s">
        <v>459</v>
      </c>
      <c r="F138" s="51" t="s">
        <v>459</v>
      </c>
      <c r="G138" s="51" t="s">
        <v>907</v>
      </c>
      <c r="H138" s="51" t="s">
        <v>461</v>
      </c>
      <c r="I138" s="52" t="s">
        <v>1464</v>
      </c>
      <c r="J138" s="52"/>
      <c r="K138" s="53" t="n">
        <f aca="false">IF(AND(E138="yes",F138="yes",H138="covered"),1,IF(H138="partial",0.5,0))</f>
        <v>1</v>
      </c>
    </row>
    <row r="139" customFormat="false" ht="31.5" hidden="false" customHeight="true" outlineLevel="0" collapsed="false">
      <c r="A139" s="51" t="n">
        <v>131</v>
      </c>
      <c r="B139" s="52" t="s">
        <v>486</v>
      </c>
      <c r="C139" s="52" t="s">
        <v>1185</v>
      </c>
      <c r="D139" s="52" t="s">
        <v>1189</v>
      </c>
      <c r="E139" s="51" t="s">
        <v>459</v>
      </c>
      <c r="F139" s="51" t="s">
        <v>459</v>
      </c>
      <c r="G139" s="51" t="s">
        <v>907</v>
      </c>
      <c r="H139" s="51" t="s">
        <v>461</v>
      </c>
      <c r="I139" s="52" t="s">
        <v>1464</v>
      </c>
      <c r="J139" s="52"/>
      <c r="K139" s="53" t="n">
        <f aca="false">IF(AND(E139="yes",F139="yes",H139="covered"),1,IF(H139="partial",0.5,0))</f>
        <v>1</v>
      </c>
    </row>
    <row r="140" customFormat="false" ht="31.5" hidden="false" customHeight="true" outlineLevel="0" collapsed="false">
      <c r="A140" s="51" t="n">
        <v>132</v>
      </c>
      <c r="B140" s="52" t="s">
        <v>486</v>
      </c>
      <c r="C140" s="52" t="s">
        <v>1185</v>
      </c>
      <c r="D140" s="52" t="s">
        <v>1128</v>
      </c>
      <c r="E140" s="51" t="s">
        <v>459</v>
      </c>
      <c r="F140" s="51" t="s">
        <v>459</v>
      </c>
      <c r="G140" s="51" t="s">
        <v>907</v>
      </c>
      <c r="H140" s="51" t="s">
        <v>461</v>
      </c>
      <c r="I140" s="52" t="s">
        <v>1464</v>
      </c>
      <c r="J140" s="52"/>
      <c r="K140" s="53" t="n">
        <f aca="false">IF(AND(E140="yes",F140="yes",H140="covered"),1,IF(H140="partial",0.5,0))</f>
        <v>1</v>
      </c>
    </row>
    <row r="141" customFormat="false" ht="31.5" hidden="false" customHeight="true" outlineLevel="0" collapsed="false">
      <c r="A141" s="51" t="n">
        <v>133</v>
      </c>
      <c r="B141" s="52" t="s">
        <v>486</v>
      </c>
      <c r="C141" s="52" t="s">
        <v>1185</v>
      </c>
      <c r="D141" s="52" t="s">
        <v>1129</v>
      </c>
      <c r="E141" s="51" t="s">
        <v>459</v>
      </c>
      <c r="F141" s="51" t="s">
        <v>459</v>
      </c>
      <c r="G141" s="51" t="s">
        <v>907</v>
      </c>
      <c r="H141" s="51" t="s">
        <v>461</v>
      </c>
      <c r="I141" s="52" t="s">
        <v>1464</v>
      </c>
      <c r="J141" s="52"/>
      <c r="K141" s="53" t="n">
        <f aca="false">IF(AND(E141="yes",F141="yes",H141="covered"),1,IF(H141="partial",0.5,0))</f>
        <v>1</v>
      </c>
    </row>
    <row r="142" customFormat="false" ht="31.5" hidden="false" customHeight="true" outlineLevel="0" collapsed="false">
      <c r="A142" s="51" t="n">
        <v>134</v>
      </c>
      <c r="B142" s="52" t="s">
        <v>486</v>
      </c>
      <c r="C142" s="52" t="s">
        <v>1185</v>
      </c>
      <c r="D142" s="52" t="s">
        <v>631</v>
      </c>
      <c r="E142" s="51" t="s">
        <v>459</v>
      </c>
      <c r="F142" s="51" t="s">
        <v>459</v>
      </c>
      <c r="G142" s="51" t="s">
        <v>907</v>
      </c>
      <c r="H142" s="51" t="s">
        <v>461</v>
      </c>
      <c r="I142" s="52" t="s">
        <v>1464</v>
      </c>
      <c r="J142" s="52"/>
      <c r="K142" s="53" t="n">
        <f aca="false">IF(AND(E142="yes",F142="yes",H142="covered"),1,IF(H142="partial",0.5,0))</f>
        <v>1</v>
      </c>
    </row>
    <row r="143" customFormat="false" ht="31.5" hidden="false" customHeight="true" outlineLevel="0" collapsed="false">
      <c r="A143" s="51" t="n">
        <v>135</v>
      </c>
      <c r="B143" s="52" t="s">
        <v>486</v>
      </c>
      <c r="C143" s="52" t="s">
        <v>1185</v>
      </c>
      <c r="D143" s="52" t="s">
        <v>1190</v>
      </c>
      <c r="E143" s="51" t="s">
        <v>459</v>
      </c>
      <c r="F143" s="51" t="s">
        <v>459</v>
      </c>
      <c r="G143" s="51" t="s">
        <v>907</v>
      </c>
      <c r="H143" s="51" t="s">
        <v>461</v>
      </c>
      <c r="I143" s="52" t="s">
        <v>1464</v>
      </c>
      <c r="J143" s="52"/>
      <c r="K143" s="53" t="n">
        <f aca="false">IF(AND(E143="yes",F143="yes",H143="covered"),1,IF(H143="partial",0.5,0))</f>
        <v>1</v>
      </c>
    </row>
    <row r="144" customFormat="false" ht="31.5" hidden="false" customHeight="true" outlineLevel="0" collapsed="false">
      <c r="A144" s="51" t="n">
        <v>136</v>
      </c>
      <c r="B144" s="52" t="s">
        <v>486</v>
      </c>
      <c r="C144" s="52" t="s">
        <v>1185</v>
      </c>
      <c r="D144" s="52" t="s">
        <v>1191</v>
      </c>
      <c r="E144" s="51" t="s">
        <v>459</v>
      </c>
      <c r="F144" s="51" t="s">
        <v>459</v>
      </c>
      <c r="G144" s="51" t="s">
        <v>907</v>
      </c>
      <c r="H144" s="51" t="s">
        <v>461</v>
      </c>
      <c r="I144" s="52" t="s">
        <v>1464</v>
      </c>
      <c r="J144" s="52"/>
      <c r="K144" s="53" t="n">
        <f aca="false">IF(AND(E144="yes",F144="yes",H144="covered"),1,IF(H144="partial",0.5,0))</f>
        <v>1</v>
      </c>
    </row>
    <row r="145" customFormat="false" ht="31.5" hidden="false" customHeight="true" outlineLevel="0" collapsed="false">
      <c r="A145" s="51" t="n">
        <v>137</v>
      </c>
      <c r="B145" s="52" t="s">
        <v>524</v>
      </c>
      <c r="C145" s="52" t="s">
        <v>1192</v>
      </c>
      <c r="D145" s="52" t="s">
        <v>1524</v>
      </c>
      <c r="E145" s="51" t="s">
        <v>459</v>
      </c>
      <c r="F145" s="51" t="s">
        <v>459</v>
      </c>
      <c r="G145" s="51" t="s">
        <v>907</v>
      </c>
      <c r="H145" s="51" t="s">
        <v>461</v>
      </c>
      <c r="I145" s="52" t="s">
        <v>1464</v>
      </c>
      <c r="J145" s="52"/>
      <c r="K145" s="53" t="n">
        <f aca="false">IF(AND(E145="yes",F145="yes",H145="covered"),1,IF(H145="partial",0.5,0))</f>
        <v>1</v>
      </c>
    </row>
    <row r="146" customFormat="false" ht="31.5" hidden="false" customHeight="true" outlineLevel="0" collapsed="false">
      <c r="A146" s="51" t="n">
        <v>138</v>
      </c>
      <c r="B146" s="52" t="s">
        <v>524</v>
      </c>
      <c r="C146" s="52" t="s">
        <v>1192</v>
      </c>
      <c r="D146" s="52" t="s">
        <v>1525</v>
      </c>
      <c r="E146" s="51" t="s">
        <v>459</v>
      </c>
      <c r="F146" s="51" t="s">
        <v>459</v>
      </c>
      <c r="G146" s="51" t="s">
        <v>907</v>
      </c>
      <c r="H146" s="51" t="s">
        <v>461</v>
      </c>
      <c r="I146" s="52" t="s">
        <v>1464</v>
      </c>
      <c r="J146" s="52"/>
      <c r="K146" s="53" t="n">
        <f aca="false">IF(AND(E146="yes",F146="yes",H146="covered"),1,IF(H146="partial",0.5,0))</f>
        <v>1</v>
      </c>
    </row>
    <row r="147" customFormat="false" ht="31.5" hidden="false" customHeight="true" outlineLevel="0" collapsed="false">
      <c r="A147" s="51" t="n">
        <v>139</v>
      </c>
      <c r="B147" s="52" t="s">
        <v>524</v>
      </c>
      <c r="C147" s="52" t="s">
        <v>1192</v>
      </c>
      <c r="D147" s="52" t="s">
        <v>1526</v>
      </c>
      <c r="E147" s="51" t="s">
        <v>459</v>
      </c>
      <c r="F147" s="51" t="s">
        <v>459</v>
      </c>
      <c r="G147" s="51" t="s">
        <v>907</v>
      </c>
      <c r="H147" s="51" t="s">
        <v>461</v>
      </c>
      <c r="I147" s="52" t="s">
        <v>1464</v>
      </c>
      <c r="J147" s="52"/>
      <c r="K147" s="53" t="n">
        <f aca="false">IF(AND(E147="yes",F147="yes",H147="covered"),1,IF(H147="partial",0.5,0))</f>
        <v>1</v>
      </c>
    </row>
    <row r="148" customFormat="false" ht="31.5" hidden="false" customHeight="true" outlineLevel="0" collapsed="false">
      <c r="A148" s="51" t="n">
        <v>140</v>
      </c>
      <c r="B148" s="52" t="s">
        <v>524</v>
      </c>
      <c r="C148" s="52" t="s">
        <v>1192</v>
      </c>
      <c r="D148" s="52" t="s">
        <v>1527</v>
      </c>
      <c r="E148" s="51" t="s">
        <v>459</v>
      </c>
      <c r="F148" s="51" t="s">
        <v>459</v>
      </c>
      <c r="G148" s="51" t="s">
        <v>907</v>
      </c>
      <c r="H148" s="51" t="s">
        <v>461</v>
      </c>
      <c r="I148" s="52" t="s">
        <v>1464</v>
      </c>
      <c r="J148" s="52"/>
      <c r="K148" s="53" t="n">
        <f aca="false">IF(AND(E148="yes",F148="yes",H148="covered"),1,IF(H148="partial",0.5,0))</f>
        <v>1</v>
      </c>
    </row>
    <row r="149" customFormat="false" ht="31.5" hidden="false" customHeight="true" outlineLevel="0" collapsed="false">
      <c r="A149" s="51" t="n">
        <v>141</v>
      </c>
      <c r="B149" s="52" t="s">
        <v>524</v>
      </c>
      <c r="C149" s="52" t="s">
        <v>1192</v>
      </c>
      <c r="D149" s="52" t="s">
        <v>1195</v>
      </c>
      <c r="E149" s="51" t="s">
        <v>459</v>
      </c>
      <c r="F149" s="51" t="s">
        <v>459</v>
      </c>
      <c r="G149" s="51" t="s">
        <v>907</v>
      </c>
      <c r="H149" s="51" t="s">
        <v>461</v>
      </c>
      <c r="I149" s="52" t="s">
        <v>1464</v>
      </c>
      <c r="J149" s="52"/>
      <c r="K149" s="53" t="n">
        <f aca="false">IF(AND(E149="yes",F149="yes",H149="covered"),1,IF(H149="partial",0.5,0))</f>
        <v>1</v>
      </c>
    </row>
    <row r="150" customFormat="false" ht="31.5" hidden="false" customHeight="true" outlineLevel="0" collapsed="false">
      <c r="A150" s="51" t="n">
        <v>142</v>
      </c>
      <c r="B150" s="52" t="s">
        <v>524</v>
      </c>
      <c r="C150" s="52" t="s">
        <v>1192</v>
      </c>
      <c r="D150" s="52" t="s">
        <v>1528</v>
      </c>
      <c r="E150" s="51" t="s">
        <v>459</v>
      </c>
      <c r="F150" s="51" t="s">
        <v>459</v>
      </c>
      <c r="G150" s="51" t="s">
        <v>907</v>
      </c>
      <c r="H150" s="51" t="s">
        <v>461</v>
      </c>
      <c r="I150" s="52" t="s">
        <v>1464</v>
      </c>
      <c r="J150" s="52"/>
      <c r="K150" s="53" t="n">
        <f aca="false">IF(AND(E150="yes",F150="yes",H150="covered"),1,IF(H150="partial",0.5,0))</f>
        <v>1</v>
      </c>
    </row>
    <row r="151" customFormat="false" ht="31.5" hidden="false" customHeight="true" outlineLevel="0" collapsed="false">
      <c r="A151" s="51" t="n">
        <v>143</v>
      </c>
      <c r="B151" s="52" t="s">
        <v>524</v>
      </c>
      <c r="C151" s="52" t="s">
        <v>1192</v>
      </c>
      <c r="D151" s="52" t="s">
        <v>1196</v>
      </c>
      <c r="E151" s="51" t="s">
        <v>459</v>
      </c>
      <c r="F151" s="51" t="s">
        <v>459</v>
      </c>
      <c r="G151" s="51" t="s">
        <v>907</v>
      </c>
      <c r="H151" s="51" t="s">
        <v>461</v>
      </c>
      <c r="I151" s="52" t="s">
        <v>1464</v>
      </c>
      <c r="J151" s="52"/>
      <c r="K151" s="53" t="n">
        <f aca="false">IF(AND(E151="yes",F151="yes",H151="covered"),1,IF(H151="partial",0.5,0))</f>
        <v>1</v>
      </c>
    </row>
    <row r="152" customFormat="false" ht="31.5" hidden="false" customHeight="true" outlineLevel="0" collapsed="false">
      <c r="A152" s="51" t="n">
        <v>144</v>
      </c>
      <c r="B152" s="52" t="s">
        <v>524</v>
      </c>
      <c r="C152" s="52" t="s">
        <v>1192</v>
      </c>
      <c r="D152" s="52" t="s">
        <v>1529</v>
      </c>
      <c r="E152" s="51" t="s">
        <v>459</v>
      </c>
      <c r="F152" s="51" t="s">
        <v>459</v>
      </c>
      <c r="G152" s="51" t="s">
        <v>907</v>
      </c>
      <c r="H152" s="51" t="s">
        <v>461</v>
      </c>
      <c r="I152" s="52" t="s">
        <v>1464</v>
      </c>
      <c r="J152" s="52"/>
      <c r="K152" s="53" t="n">
        <f aca="false">IF(AND(E152="yes",F152="yes",H152="covered"),1,IF(H152="partial",0.5,0))</f>
        <v>1</v>
      </c>
    </row>
    <row r="153" customFormat="false" ht="31.5" hidden="false" customHeight="true" outlineLevel="0" collapsed="false">
      <c r="A153" s="51" t="n">
        <v>145</v>
      </c>
      <c r="B153" s="52" t="s">
        <v>524</v>
      </c>
      <c r="C153" s="52" t="s">
        <v>1192</v>
      </c>
      <c r="D153" s="52" t="s">
        <v>1198</v>
      </c>
      <c r="E153" s="51" t="s">
        <v>459</v>
      </c>
      <c r="F153" s="51" t="s">
        <v>459</v>
      </c>
      <c r="G153" s="51" t="s">
        <v>907</v>
      </c>
      <c r="H153" s="51" t="s">
        <v>461</v>
      </c>
      <c r="I153" s="52" t="s">
        <v>1464</v>
      </c>
      <c r="J153" s="52"/>
      <c r="K153" s="53" t="n">
        <f aca="false">IF(AND(E153="yes",F153="yes",H153="covered"),1,IF(H153="partial",0.5,0))</f>
        <v>1</v>
      </c>
    </row>
    <row r="154" customFormat="false" ht="31.5" hidden="false" customHeight="true" outlineLevel="0" collapsed="false">
      <c r="A154" s="51" t="n">
        <v>146</v>
      </c>
      <c r="B154" s="52" t="s">
        <v>524</v>
      </c>
      <c r="C154" s="52" t="s">
        <v>1192</v>
      </c>
      <c r="D154" s="52" t="s">
        <v>1199</v>
      </c>
      <c r="E154" s="51" t="s">
        <v>459</v>
      </c>
      <c r="F154" s="51" t="s">
        <v>459</v>
      </c>
      <c r="G154" s="51" t="s">
        <v>907</v>
      </c>
      <c r="H154" s="51" t="s">
        <v>461</v>
      </c>
      <c r="I154" s="52" t="s">
        <v>1464</v>
      </c>
      <c r="J154" s="52"/>
      <c r="K154" s="53" t="n">
        <f aca="false">IF(AND(E154="yes",F154="yes",H154="covered"),1,IF(H154="partial",0.5,0))</f>
        <v>1</v>
      </c>
    </row>
    <row r="155" customFormat="false" ht="31.5" hidden="false" customHeight="true" outlineLevel="0" collapsed="false">
      <c r="A155" s="51" t="n">
        <v>147</v>
      </c>
      <c r="B155" s="52" t="s">
        <v>524</v>
      </c>
      <c r="C155" s="52" t="s">
        <v>1192</v>
      </c>
      <c r="D155" s="52" t="s">
        <v>1530</v>
      </c>
      <c r="E155" s="51" t="s">
        <v>459</v>
      </c>
      <c r="F155" s="51" t="s">
        <v>459</v>
      </c>
      <c r="G155" s="51" t="s">
        <v>907</v>
      </c>
      <c r="H155" s="51" t="s">
        <v>461</v>
      </c>
      <c r="I155" s="52" t="s">
        <v>1464</v>
      </c>
      <c r="J155" s="52"/>
      <c r="K155" s="53" t="n">
        <f aca="false">IF(AND(E155="yes",F155="yes",H155="covered"),1,IF(H155="partial",0.5,0))</f>
        <v>1</v>
      </c>
    </row>
    <row r="156" customFormat="false" ht="31.5" hidden="false" customHeight="true" outlineLevel="0" collapsed="false">
      <c r="A156" s="51" t="n">
        <v>148</v>
      </c>
      <c r="B156" s="52" t="s">
        <v>524</v>
      </c>
      <c r="C156" s="52" t="s">
        <v>1192</v>
      </c>
      <c r="D156" s="52" t="s">
        <v>1201</v>
      </c>
      <c r="E156" s="51" t="s">
        <v>459</v>
      </c>
      <c r="F156" s="51" t="s">
        <v>459</v>
      </c>
      <c r="G156" s="51" t="s">
        <v>907</v>
      </c>
      <c r="H156" s="51" t="s">
        <v>461</v>
      </c>
      <c r="I156" s="52" t="s">
        <v>1464</v>
      </c>
      <c r="J156" s="52"/>
      <c r="K156" s="53" t="n">
        <f aca="false">IF(AND(E156="yes",F156="yes",H156="covered"),1,IF(H156="partial",0.5,0))</f>
        <v>1</v>
      </c>
    </row>
    <row r="157" customFormat="false" ht="31.5" hidden="false" customHeight="true" outlineLevel="0" collapsed="false">
      <c r="A157" s="51" t="n">
        <v>149</v>
      </c>
      <c r="B157" s="52" t="s">
        <v>531</v>
      </c>
      <c r="C157" s="52" t="s">
        <v>1202</v>
      </c>
      <c r="D157" s="52" t="s">
        <v>1531</v>
      </c>
      <c r="E157" s="51" t="s">
        <v>459</v>
      </c>
      <c r="F157" s="51" t="s">
        <v>459</v>
      </c>
      <c r="G157" s="51" t="s">
        <v>907</v>
      </c>
      <c r="H157" s="51" t="s">
        <v>461</v>
      </c>
      <c r="I157" s="52" t="s">
        <v>1464</v>
      </c>
      <c r="J157" s="52"/>
      <c r="K157" s="53" t="n">
        <f aca="false">IF(AND(E157="yes",F157="yes",H157="covered"),1,IF(H157="partial",0.5,0))</f>
        <v>1</v>
      </c>
    </row>
    <row r="158" customFormat="false" ht="31.5" hidden="false" customHeight="true" outlineLevel="0" collapsed="false">
      <c r="A158" s="51" t="n">
        <v>150</v>
      </c>
      <c r="B158" s="52" t="s">
        <v>531</v>
      </c>
      <c r="C158" s="52" t="s">
        <v>1202</v>
      </c>
      <c r="D158" s="52" t="s">
        <v>1532</v>
      </c>
      <c r="E158" s="51" t="s">
        <v>459</v>
      </c>
      <c r="F158" s="51" t="s">
        <v>459</v>
      </c>
      <c r="G158" s="51" t="s">
        <v>907</v>
      </c>
      <c r="H158" s="51" t="s">
        <v>461</v>
      </c>
      <c r="I158" s="52" t="s">
        <v>1464</v>
      </c>
      <c r="J158" s="52"/>
      <c r="K158" s="53" t="n">
        <f aca="false">IF(AND(E158="yes",F158="yes",H158="covered"),1,IF(H158="partial",0.5,0))</f>
        <v>1</v>
      </c>
    </row>
    <row r="159" customFormat="false" ht="31.5" hidden="false" customHeight="true" outlineLevel="0" collapsed="false">
      <c r="A159" s="51" t="n">
        <v>151</v>
      </c>
      <c r="B159" s="52" t="s">
        <v>531</v>
      </c>
      <c r="C159" s="52" t="s">
        <v>1202</v>
      </c>
      <c r="D159" s="52" t="s">
        <v>1533</v>
      </c>
      <c r="E159" s="51" t="s">
        <v>459</v>
      </c>
      <c r="F159" s="51" t="s">
        <v>459</v>
      </c>
      <c r="G159" s="51" t="s">
        <v>907</v>
      </c>
      <c r="H159" s="51" t="s">
        <v>461</v>
      </c>
      <c r="I159" s="52" t="s">
        <v>1464</v>
      </c>
      <c r="J159" s="52"/>
      <c r="K159" s="53" t="n">
        <f aca="false">IF(AND(E159="yes",F159="yes",H159="covered"),1,IF(H159="partial",0.5,0))</f>
        <v>1</v>
      </c>
    </row>
    <row r="160" customFormat="false" ht="31.5" hidden="false" customHeight="true" outlineLevel="0" collapsed="false">
      <c r="A160" s="51" t="n">
        <v>152</v>
      </c>
      <c r="B160" s="52" t="s">
        <v>531</v>
      </c>
      <c r="C160" s="52" t="s">
        <v>1202</v>
      </c>
      <c r="D160" s="52" t="s">
        <v>1534</v>
      </c>
      <c r="E160" s="51" t="s">
        <v>459</v>
      </c>
      <c r="F160" s="51" t="s">
        <v>459</v>
      </c>
      <c r="G160" s="51" t="s">
        <v>907</v>
      </c>
      <c r="H160" s="51" t="s">
        <v>461</v>
      </c>
      <c r="I160" s="52" t="s">
        <v>1464</v>
      </c>
      <c r="J160" s="52"/>
      <c r="K160" s="53" t="n">
        <f aca="false">IF(AND(E160="yes",F160="yes",H160="covered"),1,IF(H160="partial",0.5,0))</f>
        <v>1</v>
      </c>
    </row>
    <row r="161" customFormat="false" ht="31.5" hidden="false" customHeight="true" outlineLevel="0" collapsed="false">
      <c r="A161" s="51" t="n">
        <v>153</v>
      </c>
      <c r="B161" s="52" t="s">
        <v>531</v>
      </c>
      <c r="C161" s="52" t="s">
        <v>1202</v>
      </c>
      <c r="D161" s="52" t="s">
        <v>1535</v>
      </c>
      <c r="E161" s="51" t="s">
        <v>459</v>
      </c>
      <c r="F161" s="51" t="s">
        <v>459</v>
      </c>
      <c r="G161" s="51" t="s">
        <v>907</v>
      </c>
      <c r="H161" s="51" t="s">
        <v>461</v>
      </c>
      <c r="I161" s="52" t="s">
        <v>1464</v>
      </c>
      <c r="J161" s="52"/>
      <c r="K161" s="53" t="n">
        <f aca="false">IF(AND(E161="yes",F161="yes",H161="covered"),1,IF(H161="partial",0.5,0))</f>
        <v>1</v>
      </c>
    </row>
    <row r="162" customFormat="false" ht="31.5" hidden="false" customHeight="true" outlineLevel="0" collapsed="false">
      <c r="A162" s="51" t="n">
        <v>154</v>
      </c>
      <c r="B162" s="52" t="s">
        <v>531</v>
      </c>
      <c r="C162" s="52" t="s">
        <v>1202</v>
      </c>
      <c r="D162" s="52" t="s">
        <v>1536</v>
      </c>
      <c r="E162" s="51" t="s">
        <v>459</v>
      </c>
      <c r="F162" s="51" t="s">
        <v>459</v>
      </c>
      <c r="G162" s="51" t="s">
        <v>907</v>
      </c>
      <c r="H162" s="51" t="s">
        <v>461</v>
      </c>
      <c r="I162" s="52" t="s">
        <v>1464</v>
      </c>
      <c r="J162" s="52"/>
      <c r="K162" s="53" t="n">
        <f aca="false">IF(AND(E162="yes",F162="yes",H162="covered"),1,IF(H162="partial",0.5,0))</f>
        <v>1</v>
      </c>
    </row>
    <row r="163" customFormat="false" ht="31.5" hidden="false" customHeight="true" outlineLevel="0" collapsed="false">
      <c r="A163" s="51" t="n">
        <v>155</v>
      </c>
      <c r="B163" s="52" t="s">
        <v>531</v>
      </c>
      <c r="C163" s="52" t="s">
        <v>1202</v>
      </c>
      <c r="D163" s="52" t="s">
        <v>1537</v>
      </c>
      <c r="E163" s="51" t="s">
        <v>459</v>
      </c>
      <c r="F163" s="51" t="s">
        <v>459</v>
      </c>
      <c r="G163" s="51" t="s">
        <v>907</v>
      </c>
      <c r="H163" s="51" t="s">
        <v>461</v>
      </c>
      <c r="I163" s="52" t="s">
        <v>1464</v>
      </c>
      <c r="J163" s="52"/>
      <c r="K163" s="53" t="n">
        <f aca="false">IF(AND(E163="yes",F163="yes",H163="covered"),1,IF(H163="partial",0.5,0))</f>
        <v>1</v>
      </c>
    </row>
    <row r="164" customFormat="false" ht="31.5" hidden="false" customHeight="true" outlineLevel="0" collapsed="false">
      <c r="A164" s="51" t="n">
        <v>156</v>
      </c>
      <c r="B164" s="52" t="s">
        <v>531</v>
      </c>
      <c r="C164" s="52" t="s">
        <v>1202</v>
      </c>
      <c r="D164" s="52" t="s">
        <v>1538</v>
      </c>
      <c r="E164" s="51" t="s">
        <v>459</v>
      </c>
      <c r="F164" s="51" t="s">
        <v>459</v>
      </c>
      <c r="G164" s="51" t="s">
        <v>907</v>
      </c>
      <c r="H164" s="51" t="s">
        <v>461</v>
      </c>
      <c r="I164" s="52" t="s">
        <v>1464</v>
      </c>
      <c r="J164" s="52"/>
      <c r="K164" s="53" t="n">
        <f aca="false">IF(AND(E164="yes",F164="yes",H164="covered"),1,IF(H164="partial",0.5,0))</f>
        <v>1</v>
      </c>
    </row>
    <row r="165" customFormat="false" ht="31.5" hidden="false" customHeight="true" outlineLevel="0" collapsed="false">
      <c r="A165" s="51" t="n">
        <v>157</v>
      </c>
      <c r="B165" s="52" t="s">
        <v>531</v>
      </c>
      <c r="C165" s="52" t="s">
        <v>1202</v>
      </c>
      <c r="D165" s="52" t="s">
        <v>1208</v>
      </c>
      <c r="E165" s="51" t="s">
        <v>459</v>
      </c>
      <c r="F165" s="51" t="s">
        <v>459</v>
      </c>
      <c r="G165" s="51" t="s">
        <v>907</v>
      </c>
      <c r="H165" s="51" t="s">
        <v>461</v>
      </c>
      <c r="I165" s="52" t="s">
        <v>1464</v>
      </c>
      <c r="J165" s="52"/>
      <c r="K165" s="53" t="n">
        <f aca="false">IF(AND(E165="yes",F165="yes",H165="covered"),1,IF(H165="partial",0.5,0))</f>
        <v>1</v>
      </c>
    </row>
    <row r="166" customFormat="false" ht="31.5" hidden="false" customHeight="true" outlineLevel="0" collapsed="false">
      <c r="A166" s="51" t="n">
        <v>158</v>
      </c>
      <c r="B166" s="52" t="s">
        <v>531</v>
      </c>
      <c r="C166" s="52" t="s">
        <v>1202</v>
      </c>
      <c r="D166" s="52" t="s">
        <v>1209</v>
      </c>
      <c r="E166" s="51" t="s">
        <v>459</v>
      </c>
      <c r="F166" s="51" t="s">
        <v>459</v>
      </c>
      <c r="G166" s="51" t="s">
        <v>907</v>
      </c>
      <c r="H166" s="51" t="s">
        <v>461</v>
      </c>
      <c r="I166" s="52" t="s">
        <v>1464</v>
      </c>
      <c r="J166" s="52"/>
      <c r="K166" s="53" t="n">
        <f aca="false">IF(AND(E166="yes",F166="yes",H166="covered"),1,IF(H166="partial",0.5,0))</f>
        <v>1</v>
      </c>
    </row>
    <row r="167" customFormat="false" ht="31.5" hidden="false" customHeight="true" outlineLevel="0" collapsed="false">
      <c r="A167" s="51" t="n">
        <v>159</v>
      </c>
      <c r="B167" s="52" t="s">
        <v>531</v>
      </c>
      <c r="C167" s="52" t="s">
        <v>1202</v>
      </c>
      <c r="D167" s="52" t="s">
        <v>1539</v>
      </c>
      <c r="E167" s="51" t="s">
        <v>459</v>
      </c>
      <c r="F167" s="51" t="s">
        <v>459</v>
      </c>
      <c r="G167" s="51" t="s">
        <v>907</v>
      </c>
      <c r="H167" s="51" t="s">
        <v>461</v>
      </c>
      <c r="I167" s="52" t="s">
        <v>1464</v>
      </c>
      <c r="J167" s="52"/>
      <c r="K167" s="53" t="n">
        <f aca="false">IF(AND(E167="yes",F167="yes",H167="covered"),1,IF(H167="partial",0.5,0))</f>
        <v>1</v>
      </c>
    </row>
    <row r="168" customFormat="false" ht="31.5" hidden="false" customHeight="true" outlineLevel="0" collapsed="false">
      <c r="A168" s="51" t="n">
        <v>160</v>
      </c>
      <c r="B168" s="52" t="s">
        <v>531</v>
      </c>
      <c r="C168" s="52" t="s">
        <v>1202</v>
      </c>
      <c r="D168" s="52" t="s">
        <v>1540</v>
      </c>
      <c r="E168" s="51" t="s">
        <v>459</v>
      </c>
      <c r="F168" s="51" t="s">
        <v>459</v>
      </c>
      <c r="G168" s="51" t="s">
        <v>907</v>
      </c>
      <c r="H168" s="51" t="s">
        <v>461</v>
      </c>
      <c r="I168" s="52" t="s">
        <v>1464</v>
      </c>
      <c r="J168" s="52"/>
      <c r="K168" s="53" t="n">
        <f aca="false">IF(AND(E168="yes",F168="yes",H168="covered"),1,IF(H168="partial",0.5,0))</f>
        <v>1</v>
      </c>
    </row>
    <row r="169" customFormat="false" ht="31.5" hidden="false" customHeight="true" outlineLevel="0" collapsed="false">
      <c r="A169" s="51" t="n">
        <v>161</v>
      </c>
      <c r="B169" s="52" t="s">
        <v>531</v>
      </c>
      <c r="C169" s="52" t="s">
        <v>1202</v>
      </c>
      <c r="D169" s="52" t="s">
        <v>1212</v>
      </c>
      <c r="E169" s="51" t="s">
        <v>459</v>
      </c>
      <c r="F169" s="51" t="s">
        <v>459</v>
      </c>
      <c r="G169" s="51" t="s">
        <v>907</v>
      </c>
      <c r="H169" s="51" t="s">
        <v>461</v>
      </c>
      <c r="I169" s="52" t="s">
        <v>1464</v>
      </c>
      <c r="J169" s="52"/>
      <c r="K169" s="53" t="n">
        <f aca="false">IF(AND(E169="yes",F169="yes",H169="covered"),1,IF(H169="partial",0.5,0))</f>
        <v>1</v>
      </c>
    </row>
    <row r="170" customFormat="false" ht="31.5" hidden="false" customHeight="true" outlineLevel="0" collapsed="false">
      <c r="A170" s="51" t="n">
        <v>162</v>
      </c>
      <c r="B170" s="52" t="s">
        <v>531</v>
      </c>
      <c r="C170" s="52" t="s">
        <v>1202</v>
      </c>
      <c r="D170" s="52" t="s">
        <v>1213</v>
      </c>
      <c r="E170" s="51" t="s">
        <v>459</v>
      </c>
      <c r="F170" s="51" t="s">
        <v>459</v>
      </c>
      <c r="G170" s="51" t="s">
        <v>907</v>
      </c>
      <c r="H170" s="51" t="s">
        <v>461</v>
      </c>
      <c r="I170" s="52" t="s">
        <v>1464</v>
      </c>
      <c r="J170" s="52"/>
      <c r="K170" s="53" t="n">
        <f aca="false">IF(AND(E170="yes",F170="yes",H170="covered"),1,IF(H170="partial",0.5,0))</f>
        <v>1</v>
      </c>
    </row>
    <row r="171" customFormat="false" ht="31.5" hidden="false" customHeight="true" outlineLevel="0" collapsed="false">
      <c r="A171" s="51" t="n">
        <v>163</v>
      </c>
      <c r="B171" s="52" t="s">
        <v>531</v>
      </c>
      <c r="C171" s="52" t="s">
        <v>1202</v>
      </c>
      <c r="D171" s="52" t="s">
        <v>1214</v>
      </c>
      <c r="E171" s="51" t="s">
        <v>459</v>
      </c>
      <c r="F171" s="51" t="s">
        <v>459</v>
      </c>
      <c r="G171" s="51" t="s">
        <v>907</v>
      </c>
      <c r="H171" s="51" t="s">
        <v>461</v>
      </c>
      <c r="I171" s="52" t="s">
        <v>1464</v>
      </c>
      <c r="J171" s="52"/>
      <c r="K171" s="53" t="n">
        <f aca="false">IF(AND(E171="yes",F171="yes",H171="covered"),1,IF(H171="partial",0.5,0))</f>
        <v>1</v>
      </c>
    </row>
    <row r="172" customFormat="false" ht="31.5" hidden="false" customHeight="true" outlineLevel="0" collapsed="false">
      <c r="A172" s="51" t="n">
        <v>164</v>
      </c>
      <c r="B172" s="52" t="s">
        <v>531</v>
      </c>
      <c r="C172" s="52" t="s">
        <v>1202</v>
      </c>
      <c r="D172" s="52" t="s">
        <v>1541</v>
      </c>
      <c r="E172" s="51" t="s">
        <v>459</v>
      </c>
      <c r="F172" s="51" t="s">
        <v>459</v>
      </c>
      <c r="G172" s="51" t="s">
        <v>907</v>
      </c>
      <c r="H172" s="51" t="s">
        <v>461</v>
      </c>
      <c r="I172" s="52" t="s">
        <v>1464</v>
      </c>
      <c r="J172" s="52"/>
      <c r="K172" s="53" t="n">
        <f aca="false">IF(AND(E172="yes",F172="yes",H172="covered"),1,IF(H172="partial",0.5,0))</f>
        <v>1</v>
      </c>
    </row>
    <row r="173" customFormat="false" ht="31.5" hidden="false" customHeight="true" outlineLevel="0" collapsed="false">
      <c r="A173" s="51" t="n">
        <v>165</v>
      </c>
      <c r="B173" s="52" t="s">
        <v>531</v>
      </c>
      <c r="C173" s="52" t="s">
        <v>1202</v>
      </c>
      <c r="D173" s="52" t="s">
        <v>1542</v>
      </c>
      <c r="E173" s="51" t="s">
        <v>459</v>
      </c>
      <c r="F173" s="51" t="s">
        <v>459</v>
      </c>
      <c r="G173" s="51" t="s">
        <v>907</v>
      </c>
      <c r="H173" s="51" t="s">
        <v>461</v>
      </c>
      <c r="I173" s="52" t="s">
        <v>1464</v>
      </c>
      <c r="J173" s="52"/>
      <c r="K173" s="53" t="n">
        <f aca="false">IF(AND(E173="yes",F173="yes",H173="covered"),1,IF(H173="partial",0.5,0))</f>
        <v>1</v>
      </c>
    </row>
    <row r="174" customFormat="false" ht="31.5" hidden="false" customHeight="true" outlineLevel="0" collapsed="false">
      <c r="A174" s="51" t="n">
        <v>166</v>
      </c>
      <c r="B174" s="52" t="s">
        <v>531</v>
      </c>
      <c r="C174" s="52" t="s">
        <v>1202</v>
      </c>
      <c r="D174" s="52" t="s">
        <v>1217</v>
      </c>
      <c r="E174" s="51" t="s">
        <v>459</v>
      </c>
      <c r="F174" s="51" t="s">
        <v>459</v>
      </c>
      <c r="G174" s="51" t="s">
        <v>907</v>
      </c>
      <c r="H174" s="51" t="s">
        <v>461</v>
      </c>
      <c r="I174" s="52" t="s">
        <v>1464</v>
      </c>
      <c r="J174" s="52"/>
      <c r="K174" s="53" t="n">
        <f aca="false">IF(AND(E174="yes",F174="yes",H174="covered"),1,IF(H174="partial",0.5,0))</f>
        <v>1</v>
      </c>
    </row>
    <row r="175" customFormat="false" ht="31.5" hidden="false" customHeight="true" outlineLevel="0" collapsed="false">
      <c r="A175" s="51" t="n">
        <v>167</v>
      </c>
      <c r="B175" s="52" t="s">
        <v>531</v>
      </c>
      <c r="C175" s="52" t="s">
        <v>1202</v>
      </c>
      <c r="D175" s="52" t="s">
        <v>1218</v>
      </c>
      <c r="E175" s="51" t="s">
        <v>459</v>
      </c>
      <c r="F175" s="51" t="s">
        <v>459</v>
      </c>
      <c r="G175" s="51" t="s">
        <v>907</v>
      </c>
      <c r="H175" s="51" t="s">
        <v>461</v>
      </c>
      <c r="I175" s="52" t="s">
        <v>1464</v>
      </c>
      <c r="J175" s="52"/>
      <c r="K175" s="53" t="n">
        <f aca="false">IF(AND(E175="yes",F175="yes",H175="covered"),1,IF(H175="partial",0.5,0))</f>
        <v>1</v>
      </c>
    </row>
    <row r="176" customFormat="false" ht="31.5" hidden="false" customHeight="true" outlineLevel="0" collapsed="false">
      <c r="A176" s="51" t="n">
        <v>168</v>
      </c>
      <c r="B176" s="52" t="s">
        <v>531</v>
      </c>
      <c r="C176" s="52" t="s">
        <v>1202</v>
      </c>
      <c r="D176" s="52" t="s">
        <v>1219</v>
      </c>
      <c r="E176" s="51" t="s">
        <v>459</v>
      </c>
      <c r="F176" s="51" t="s">
        <v>459</v>
      </c>
      <c r="G176" s="51" t="s">
        <v>907</v>
      </c>
      <c r="H176" s="51" t="s">
        <v>461</v>
      </c>
      <c r="I176" s="52" t="s">
        <v>1464</v>
      </c>
      <c r="J176" s="52"/>
      <c r="K176" s="53" t="n">
        <f aca="false">IF(AND(E176="yes",F176="yes",H176="covered"),1,IF(H176="partial",0.5,0))</f>
        <v>1</v>
      </c>
    </row>
    <row r="177" customFormat="false" ht="31.5" hidden="false" customHeight="true" outlineLevel="0" collapsed="false">
      <c r="A177" s="51" t="n">
        <v>169</v>
      </c>
      <c r="B177" s="52" t="s">
        <v>1220</v>
      </c>
      <c r="C177" s="52" t="s">
        <v>1221</v>
      </c>
      <c r="D177" s="52" t="s">
        <v>1543</v>
      </c>
      <c r="E177" s="51" t="s">
        <v>459</v>
      </c>
      <c r="F177" s="51" t="s">
        <v>459</v>
      </c>
      <c r="G177" s="51" t="s">
        <v>907</v>
      </c>
      <c r="H177" s="51" t="s">
        <v>461</v>
      </c>
      <c r="I177" s="52" t="s">
        <v>1464</v>
      </c>
      <c r="J177" s="52"/>
      <c r="K177" s="53" t="n">
        <f aca="false">IF(AND(E177="yes",F177="yes",H177="covered"),1,IF(H177="partial",0.5,0))</f>
        <v>1</v>
      </c>
    </row>
    <row r="178" customFormat="false" ht="31.5" hidden="false" customHeight="true" outlineLevel="0" collapsed="false">
      <c r="A178" s="51" t="n">
        <v>170</v>
      </c>
      <c r="B178" s="52" t="s">
        <v>1220</v>
      </c>
      <c r="C178" s="52" t="s">
        <v>1221</v>
      </c>
      <c r="D178" s="52" t="s">
        <v>1544</v>
      </c>
      <c r="E178" s="51" t="s">
        <v>459</v>
      </c>
      <c r="F178" s="51" t="s">
        <v>459</v>
      </c>
      <c r="G178" s="51" t="s">
        <v>907</v>
      </c>
      <c r="H178" s="51" t="s">
        <v>461</v>
      </c>
      <c r="I178" s="52" t="s">
        <v>1464</v>
      </c>
      <c r="J178" s="52"/>
      <c r="K178" s="53" t="n">
        <f aca="false">IF(AND(E178="yes",F178="yes",H178="covered"),1,IF(H178="partial",0.5,0))</f>
        <v>1</v>
      </c>
    </row>
    <row r="179" customFormat="false" ht="31.5" hidden="false" customHeight="true" outlineLevel="0" collapsed="false">
      <c r="A179" s="51" t="n">
        <v>171</v>
      </c>
      <c r="B179" s="52" t="s">
        <v>1220</v>
      </c>
      <c r="C179" s="52" t="s">
        <v>1221</v>
      </c>
      <c r="D179" s="52" t="s">
        <v>1545</v>
      </c>
      <c r="E179" s="51" t="s">
        <v>459</v>
      </c>
      <c r="F179" s="51" t="s">
        <v>459</v>
      </c>
      <c r="G179" s="51" t="s">
        <v>907</v>
      </c>
      <c r="H179" s="51" t="s">
        <v>461</v>
      </c>
      <c r="I179" s="52" t="s">
        <v>1464</v>
      </c>
      <c r="J179" s="52"/>
      <c r="K179" s="53" t="n">
        <f aca="false">IF(AND(E179="yes",F179="yes",H179="covered"),1,IF(H179="partial",0.5,0))</f>
        <v>1</v>
      </c>
    </row>
    <row r="180" customFormat="false" ht="31.5" hidden="false" customHeight="true" outlineLevel="0" collapsed="false">
      <c r="A180" s="51" t="n">
        <v>172</v>
      </c>
      <c r="B180" s="52" t="s">
        <v>1220</v>
      </c>
      <c r="C180" s="52" t="s">
        <v>1221</v>
      </c>
      <c r="D180" s="52" t="s">
        <v>1546</v>
      </c>
      <c r="E180" s="51" t="s">
        <v>459</v>
      </c>
      <c r="F180" s="51" t="s">
        <v>459</v>
      </c>
      <c r="G180" s="51" t="s">
        <v>907</v>
      </c>
      <c r="H180" s="51" t="s">
        <v>461</v>
      </c>
      <c r="I180" s="52" t="s">
        <v>1464</v>
      </c>
      <c r="J180" s="52"/>
      <c r="K180" s="53" t="n">
        <f aca="false">IF(AND(E180="yes",F180="yes",H180="covered"),1,IF(H180="partial",0.5,0))</f>
        <v>1</v>
      </c>
    </row>
    <row r="181" customFormat="false" ht="31.5" hidden="false" customHeight="true" outlineLevel="0" collapsed="false">
      <c r="A181" s="51" t="n">
        <v>173</v>
      </c>
      <c r="B181" s="52" t="s">
        <v>1220</v>
      </c>
      <c r="C181" s="52" t="s">
        <v>1221</v>
      </c>
      <c r="D181" s="52" t="s">
        <v>1225</v>
      </c>
      <c r="E181" s="51" t="s">
        <v>459</v>
      </c>
      <c r="F181" s="51" t="s">
        <v>459</v>
      </c>
      <c r="G181" s="51" t="s">
        <v>907</v>
      </c>
      <c r="H181" s="51" t="s">
        <v>461</v>
      </c>
      <c r="I181" s="52" t="s">
        <v>1464</v>
      </c>
      <c r="J181" s="52"/>
      <c r="K181" s="53" t="n">
        <f aca="false">IF(AND(E181="yes",F181="yes",H181="covered"),1,IF(H181="partial",0.5,0))</f>
        <v>1</v>
      </c>
    </row>
    <row r="182" customFormat="false" ht="31.5" hidden="false" customHeight="true" outlineLevel="0" collapsed="false">
      <c r="A182" s="51" t="n">
        <v>174</v>
      </c>
      <c r="B182" s="52" t="s">
        <v>1220</v>
      </c>
      <c r="C182" s="52" t="s">
        <v>1221</v>
      </c>
      <c r="D182" s="52" t="s">
        <v>1547</v>
      </c>
      <c r="E182" s="51" t="s">
        <v>459</v>
      </c>
      <c r="F182" s="51" t="s">
        <v>459</v>
      </c>
      <c r="G182" s="51" t="s">
        <v>907</v>
      </c>
      <c r="H182" s="51" t="s">
        <v>461</v>
      </c>
      <c r="I182" s="52" t="s">
        <v>1464</v>
      </c>
      <c r="J182" s="52"/>
      <c r="K182" s="53" t="n">
        <f aca="false">IF(AND(E182="yes",F182="yes",H182="covered"),1,IF(H182="partial",0.5,0))</f>
        <v>1</v>
      </c>
    </row>
    <row r="183" customFormat="false" ht="31.5" hidden="false" customHeight="true" outlineLevel="0" collapsed="false">
      <c r="A183" s="51" t="n">
        <v>175</v>
      </c>
      <c r="B183" s="52" t="s">
        <v>882</v>
      </c>
      <c r="C183" s="52" t="s">
        <v>1227</v>
      </c>
      <c r="D183" s="52" t="s">
        <v>1228</v>
      </c>
      <c r="E183" s="51" t="s">
        <v>459</v>
      </c>
      <c r="F183" s="51" t="s">
        <v>459</v>
      </c>
      <c r="G183" s="51" t="s">
        <v>907</v>
      </c>
      <c r="H183" s="51" t="s">
        <v>461</v>
      </c>
      <c r="I183" s="52" t="s">
        <v>1464</v>
      </c>
      <c r="J183" s="52"/>
      <c r="K183" s="53" t="n">
        <f aca="false">IF(AND(E183="yes",F183="yes",H183="covered"),1,IF(H183="partial",0.5,0))</f>
        <v>1</v>
      </c>
    </row>
    <row r="184" customFormat="false" ht="31.5" hidden="false" customHeight="true" outlineLevel="0" collapsed="false">
      <c r="A184" s="51" t="n">
        <v>176</v>
      </c>
      <c r="B184" s="52" t="s">
        <v>882</v>
      </c>
      <c r="C184" s="52" t="s">
        <v>1227</v>
      </c>
      <c r="D184" s="52" t="s">
        <v>1548</v>
      </c>
      <c r="E184" s="51" t="s">
        <v>459</v>
      </c>
      <c r="F184" s="51" t="s">
        <v>459</v>
      </c>
      <c r="G184" s="51" t="s">
        <v>907</v>
      </c>
      <c r="H184" s="51" t="s">
        <v>461</v>
      </c>
      <c r="I184" s="52" t="s">
        <v>1464</v>
      </c>
      <c r="J184" s="52"/>
      <c r="K184" s="53" t="n">
        <f aca="false">IF(AND(E184="yes",F184="yes",H184="covered"),1,IF(H184="partial",0.5,0))</f>
        <v>1</v>
      </c>
    </row>
    <row r="185" customFormat="false" ht="31.5" hidden="false" customHeight="true" outlineLevel="0" collapsed="false">
      <c r="A185" s="51" t="n">
        <v>177</v>
      </c>
      <c r="B185" s="52" t="s">
        <v>882</v>
      </c>
      <c r="C185" s="52" t="s">
        <v>1227</v>
      </c>
      <c r="D185" s="52" t="s">
        <v>1229</v>
      </c>
      <c r="E185" s="51" t="s">
        <v>459</v>
      </c>
      <c r="F185" s="51" t="s">
        <v>459</v>
      </c>
      <c r="G185" s="51" t="s">
        <v>907</v>
      </c>
      <c r="H185" s="51" t="s">
        <v>461</v>
      </c>
      <c r="I185" s="52" t="s">
        <v>1464</v>
      </c>
      <c r="J185" s="52"/>
      <c r="K185" s="53" t="n">
        <f aca="false">IF(AND(E185="yes",F185="yes",H185="covered"),1,IF(H185="partial",0.5,0))</f>
        <v>1</v>
      </c>
    </row>
    <row r="186" customFormat="false" ht="31.5" hidden="false" customHeight="true" outlineLevel="0" collapsed="false">
      <c r="A186" s="51" t="n">
        <v>178</v>
      </c>
      <c r="B186" s="52" t="s">
        <v>882</v>
      </c>
      <c r="C186" s="52" t="s">
        <v>1227</v>
      </c>
      <c r="D186" s="52" t="s">
        <v>1230</v>
      </c>
      <c r="E186" s="51" t="s">
        <v>459</v>
      </c>
      <c r="F186" s="51" t="s">
        <v>459</v>
      </c>
      <c r="G186" s="51" t="s">
        <v>907</v>
      </c>
      <c r="H186" s="51" t="s">
        <v>461</v>
      </c>
      <c r="I186" s="52" t="s">
        <v>1464</v>
      </c>
      <c r="J186" s="52"/>
      <c r="K186" s="53" t="n">
        <f aca="false">IF(AND(E186="yes",F186="yes",H186="covered"),1,IF(H186="partial",0.5,0))</f>
        <v>1</v>
      </c>
    </row>
    <row r="187" customFormat="false" ht="31.5" hidden="false" customHeight="true" outlineLevel="0" collapsed="false">
      <c r="A187" s="51" t="n">
        <v>179</v>
      </c>
      <c r="B187" s="52" t="s">
        <v>882</v>
      </c>
      <c r="C187" s="52" t="s">
        <v>1227</v>
      </c>
      <c r="D187" s="52" t="s">
        <v>1231</v>
      </c>
      <c r="E187" s="51" t="s">
        <v>459</v>
      </c>
      <c r="F187" s="51" t="s">
        <v>459</v>
      </c>
      <c r="G187" s="51" t="s">
        <v>907</v>
      </c>
      <c r="H187" s="51" t="s">
        <v>461</v>
      </c>
      <c r="I187" s="52" t="s">
        <v>1464</v>
      </c>
      <c r="J187" s="52"/>
      <c r="K187" s="53" t="n">
        <f aca="false">IF(AND(E187="yes",F187="yes",H187="covered"),1,IF(H187="partial",0.5,0))</f>
        <v>1</v>
      </c>
    </row>
    <row r="188" customFormat="false" ht="31.5" hidden="false" customHeight="true" outlineLevel="0" collapsed="false">
      <c r="A188" s="51" t="n">
        <v>180</v>
      </c>
      <c r="B188" s="52" t="s">
        <v>882</v>
      </c>
      <c r="C188" s="52" t="s">
        <v>1227</v>
      </c>
      <c r="D188" s="52" t="s">
        <v>1232</v>
      </c>
      <c r="E188" s="51" t="s">
        <v>459</v>
      </c>
      <c r="F188" s="51" t="s">
        <v>459</v>
      </c>
      <c r="G188" s="51" t="s">
        <v>907</v>
      </c>
      <c r="H188" s="51" t="s">
        <v>461</v>
      </c>
      <c r="I188" s="52" t="s">
        <v>1464</v>
      </c>
      <c r="J188" s="52"/>
      <c r="K188" s="53" t="n">
        <f aca="false">IF(AND(E188="yes",F188="yes",H188="covered"),1,IF(H188="partial",0.5,0))</f>
        <v>1</v>
      </c>
    </row>
    <row r="189" customFormat="false" ht="31.5" hidden="false" customHeight="true" outlineLevel="0" collapsed="false">
      <c r="A189" s="51" t="n">
        <v>181</v>
      </c>
      <c r="B189" s="52" t="s">
        <v>882</v>
      </c>
      <c r="C189" s="52" t="s">
        <v>1227</v>
      </c>
      <c r="D189" s="52" t="s">
        <v>1233</v>
      </c>
      <c r="E189" s="51" t="s">
        <v>459</v>
      </c>
      <c r="F189" s="51" t="s">
        <v>459</v>
      </c>
      <c r="G189" s="51" t="s">
        <v>907</v>
      </c>
      <c r="H189" s="51" t="s">
        <v>461</v>
      </c>
      <c r="I189" s="52" t="s">
        <v>1464</v>
      </c>
      <c r="J189" s="52"/>
      <c r="K189" s="53" t="n">
        <f aca="false">IF(AND(E189="yes",F189="yes",H189="covered"),1,IF(H189="partial",0.5,0))</f>
        <v>1</v>
      </c>
    </row>
    <row r="190" customFormat="false" ht="31.5" hidden="false" customHeight="true" outlineLevel="0" collapsed="false">
      <c r="A190" s="51" t="n">
        <v>182</v>
      </c>
      <c r="B190" s="52" t="s">
        <v>882</v>
      </c>
      <c r="C190" s="52" t="s">
        <v>1227</v>
      </c>
      <c r="D190" s="52" t="s">
        <v>1549</v>
      </c>
      <c r="E190" s="51" t="s">
        <v>459</v>
      </c>
      <c r="F190" s="51" t="s">
        <v>459</v>
      </c>
      <c r="G190" s="51" t="s">
        <v>907</v>
      </c>
      <c r="H190" s="51" t="s">
        <v>461</v>
      </c>
      <c r="I190" s="52" t="s">
        <v>1464</v>
      </c>
      <c r="J190" s="52"/>
      <c r="K190" s="53" t="n">
        <f aca="false">IF(AND(E190="yes",F190="yes",H190="covered"),1,IF(H190="partial",0.5,0))</f>
        <v>1</v>
      </c>
    </row>
    <row r="191" customFormat="false" ht="31.5" hidden="false" customHeight="true" outlineLevel="0" collapsed="false">
      <c r="A191" s="51" t="n">
        <v>183</v>
      </c>
      <c r="B191" s="52" t="s">
        <v>882</v>
      </c>
      <c r="C191" s="52" t="s">
        <v>1227</v>
      </c>
      <c r="D191" s="52" t="s">
        <v>1550</v>
      </c>
      <c r="E191" s="51" t="s">
        <v>459</v>
      </c>
      <c r="F191" s="51" t="s">
        <v>459</v>
      </c>
      <c r="G191" s="51" t="s">
        <v>907</v>
      </c>
      <c r="H191" s="51" t="s">
        <v>461</v>
      </c>
      <c r="I191" s="52" t="s">
        <v>1464</v>
      </c>
      <c r="J191" s="52"/>
      <c r="K191" s="53" t="n">
        <f aca="false">IF(AND(E191="yes",F191="yes",H191="covered"),1,IF(H191="partial",0.5,0))</f>
        <v>1</v>
      </c>
    </row>
    <row r="192" customFormat="false" ht="31.5" hidden="false" customHeight="true" outlineLevel="0" collapsed="false">
      <c r="A192" s="51" t="n">
        <v>184</v>
      </c>
      <c r="B192" s="52" t="s">
        <v>882</v>
      </c>
      <c r="C192" s="52" t="s">
        <v>1227</v>
      </c>
      <c r="D192" s="52" t="s">
        <v>1551</v>
      </c>
      <c r="E192" s="51" t="s">
        <v>459</v>
      </c>
      <c r="F192" s="51" t="s">
        <v>459</v>
      </c>
      <c r="G192" s="51" t="s">
        <v>907</v>
      </c>
      <c r="H192" s="51" t="s">
        <v>461</v>
      </c>
      <c r="I192" s="52" t="s">
        <v>1464</v>
      </c>
      <c r="J192" s="52"/>
      <c r="K192" s="53" t="n">
        <f aca="false">IF(AND(E192="yes",F192="yes",H192="covered"),1,IF(H192="partial",0.5,0))</f>
        <v>1</v>
      </c>
    </row>
    <row r="193" customFormat="false" ht="31.5" hidden="false" customHeight="true" outlineLevel="0" collapsed="false">
      <c r="A193" s="51" t="n">
        <v>185</v>
      </c>
      <c r="B193" s="52" t="s">
        <v>483</v>
      </c>
      <c r="C193" s="52" t="s">
        <v>1235</v>
      </c>
      <c r="D193" s="52" t="s">
        <v>1236</v>
      </c>
      <c r="E193" s="51" t="s">
        <v>459</v>
      </c>
      <c r="F193" s="51" t="s">
        <v>459</v>
      </c>
      <c r="G193" s="51" t="s">
        <v>907</v>
      </c>
      <c r="H193" s="51" t="s">
        <v>461</v>
      </c>
      <c r="I193" s="52" t="s">
        <v>1464</v>
      </c>
      <c r="J193" s="52"/>
      <c r="K193" s="53" t="n">
        <f aca="false">IF(AND(E193="yes",F193="yes",H193="covered"),1,IF(H193="partial",0.5,0))</f>
        <v>1</v>
      </c>
    </row>
    <row r="194" customFormat="false" ht="31.5" hidden="false" customHeight="true" outlineLevel="0" collapsed="false">
      <c r="A194" s="51" t="n">
        <v>186</v>
      </c>
      <c r="B194" s="52" t="s">
        <v>483</v>
      </c>
      <c r="C194" s="52" t="s">
        <v>1235</v>
      </c>
      <c r="D194" s="52" t="s">
        <v>1237</v>
      </c>
      <c r="E194" s="51" t="s">
        <v>459</v>
      </c>
      <c r="F194" s="51" t="s">
        <v>459</v>
      </c>
      <c r="G194" s="51" t="s">
        <v>907</v>
      </c>
      <c r="H194" s="51" t="s">
        <v>461</v>
      </c>
      <c r="I194" s="52" t="s">
        <v>1464</v>
      </c>
      <c r="J194" s="52"/>
      <c r="K194" s="53" t="n">
        <f aca="false">IF(AND(E194="yes",F194="yes",H194="covered"),1,IF(H194="partial",0.5,0))</f>
        <v>1</v>
      </c>
    </row>
    <row r="195" customFormat="false" ht="31.5" hidden="false" customHeight="true" outlineLevel="0" collapsed="false">
      <c r="A195" s="51" t="n">
        <v>187</v>
      </c>
      <c r="B195" s="52" t="s">
        <v>483</v>
      </c>
      <c r="C195" s="52" t="s">
        <v>1235</v>
      </c>
      <c r="D195" s="52" t="s">
        <v>1552</v>
      </c>
      <c r="E195" s="51" t="s">
        <v>459</v>
      </c>
      <c r="F195" s="51" t="s">
        <v>459</v>
      </c>
      <c r="G195" s="51" t="s">
        <v>907</v>
      </c>
      <c r="H195" s="51" t="s">
        <v>461</v>
      </c>
      <c r="I195" s="52" t="s">
        <v>1464</v>
      </c>
      <c r="J195" s="52"/>
      <c r="K195" s="53" t="n">
        <f aca="false">IF(AND(E195="yes",F195="yes",H195="covered"),1,IF(H195="partial",0.5,0))</f>
        <v>1</v>
      </c>
    </row>
    <row r="196" customFormat="false" ht="31.5" hidden="false" customHeight="true" outlineLevel="0" collapsed="false">
      <c r="A196" s="51" t="n">
        <v>188</v>
      </c>
      <c r="B196" s="52" t="s">
        <v>483</v>
      </c>
      <c r="C196" s="52" t="s">
        <v>1238</v>
      </c>
      <c r="D196" s="52" t="s">
        <v>1239</v>
      </c>
      <c r="E196" s="51" t="s">
        <v>459</v>
      </c>
      <c r="F196" s="51" t="s">
        <v>459</v>
      </c>
      <c r="G196" s="51" t="s">
        <v>907</v>
      </c>
      <c r="H196" s="51" t="s">
        <v>461</v>
      </c>
      <c r="I196" s="52" t="s">
        <v>1464</v>
      </c>
      <c r="J196" s="52"/>
      <c r="K196" s="53" t="n">
        <f aca="false">IF(AND(E196="yes",F196="yes",H196="covered"),1,IF(H196="partial",0.5,0))</f>
        <v>1</v>
      </c>
    </row>
    <row r="197" customFormat="false" ht="31.5" hidden="false" customHeight="true" outlineLevel="0" collapsed="false">
      <c r="A197" s="51" t="n">
        <v>189</v>
      </c>
      <c r="B197" s="52" t="s">
        <v>483</v>
      </c>
      <c r="C197" s="52" t="s">
        <v>1238</v>
      </c>
      <c r="D197" s="52" t="s">
        <v>1240</v>
      </c>
      <c r="E197" s="51" t="s">
        <v>459</v>
      </c>
      <c r="F197" s="51" t="s">
        <v>459</v>
      </c>
      <c r="G197" s="51" t="s">
        <v>907</v>
      </c>
      <c r="H197" s="51" t="s">
        <v>461</v>
      </c>
      <c r="I197" s="52" t="s">
        <v>1464</v>
      </c>
      <c r="J197" s="52"/>
      <c r="K197" s="53" t="n">
        <f aca="false">IF(AND(E197="yes",F197="yes",H197="covered"),1,IF(H197="partial",0.5,0))</f>
        <v>1</v>
      </c>
    </row>
    <row r="198" customFormat="false" ht="31.5" hidden="false" customHeight="true" outlineLevel="0" collapsed="false">
      <c r="A198" s="51" t="n">
        <v>190</v>
      </c>
      <c r="B198" s="52" t="s">
        <v>483</v>
      </c>
      <c r="C198" s="52" t="s">
        <v>1238</v>
      </c>
      <c r="D198" s="52" t="s">
        <v>1553</v>
      </c>
      <c r="E198" s="51" t="s">
        <v>459</v>
      </c>
      <c r="F198" s="51" t="s">
        <v>459</v>
      </c>
      <c r="G198" s="51" t="s">
        <v>907</v>
      </c>
      <c r="H198" s="51" t="s">
        <v>461</v>
      </c>
      <c r="I198" s="52" t="s">
        <v>1464</v>
      </c>
      <c r="J198" s="52"/>
      <c r="K198" s="53" t="n">
        <f aca="false">IF(AND(E198="yes",F198="yes",H198="covered"),1,IF(H198="partial",0.5,0))</f>
        <v>1</v>
      </c>
    </row>
    <row r="199" customFormat="false" ht="31.5" hidden="false" customHeight="true" outlineLevel="0" collapsed="false">
      <c r="A199" s="51" t="n">
        <v>191</v>
      </c>
      <c r="B199" s="52" t="s">
        <v>483</v>
      </c>
      <c r="C199" s="52" t="s">
        <v>1241</v>
      </c>
      <c r="D199" s="52" t="s">
        <v>1242</v>
      </c>
      <c r="E199" s="51" t="s">
        <v>459</v>
      </c>
      <c r="F199" s="51" t="s">
        <v>459</v>
      </c>
      <c r="G199" s="51" t="s">
        <v>907</v>
      </c>
      <c r="H199" s="51" t="s">
        <v>461</v>
      </c>
      <c r="I199" s="52" t="s">
        <v>1464</v>
      </c>
      <c r="J199" s="52"/>
      <c r="K199" s="53" t="n">
        <f aca="false">IF(AND(E199="yes",F199="yes",H199="covered"),1,IF(H199="partial",0.5,0))</f>
        <v>1</v>
      </c>
    </row>
    <row r="200" customFormat="false" ht="31.5" hidden="false" customHeight="true" outlineLevel="0" collapsed="false">
      <c r="A200" s="51" t="n">
        <v>192</v>
      </c>
      <c r="B200" s="52" t="s">
        <v>483</v>
      </c>
      <c r="C200" s="52" t="s">
        <v>1241</v>
      </c>
      <c r="D200" s="52" t="s">
        <v>1243</v>
      </c>
      <c r="E200" s="51" t="s">
        <v>459</v>
      </c>
      <c r="F200" s="51" t="s">
        <v>459</v>
      </c>
      <c r="G200" s="51" t="s">
        <v>907</v>
      </c>
      <c r="H200" s="51" t="s">
        <v>461</v>
      </c>
      <c r="I200" s="52" t="s">
        <v>1464</v>
      </c>
      <c r="J200" s="52"/>
      <c r="K200" s="53" t="n">
        <f aca="false">IF(AND(E200="yes",F200="yes",H200="covered"),1,IF(H200="partial",0.5,0))</f>
        <v>1</v>
      </c>
    </row>
    <row r="201" customFormat="false" ht="31.5" hidden="false" customHeight="true" outlineLevel="0" collapsed="false">
      <c r="A201" s="51" t="n">
        <v>193</v>
      </c>
      <c r="B201" s="52" t="s">
        <v>483</v>
      </c>
      <c r="C201" s="52" t="s">
        <v>1241</v>
      </c>
      <c r="D201" s="52" t="s">
        <v>1245</v>
      </c>
      <c r="E201" s="51" t="s">
        <v>459</v>
      </c>
      <c r="F201" s="51" t="s">
        <v>459</v>
      </c>
      <c r="G201" s="51" t="s">
        <v>907</v>
      </c>
      <c r="H201" s="51" t="s">
        <v>461</v>
      </c>
      <c r="I201" s="52" t="s">
        <v>1464</v>
      </c>
      <c r="J201" s="52"/>
      <c r="K201" s="53" t="n">
        <f aca="false">IF(AND(E201="yes",F201="yes",H201="covered"),1,IF(H201="partial",0.5,0))</f>
        <v>1</v>
      </c>
    </row>
    <row r="202" customFormat="false" ht="31.5" hidden="false" customHeight="true" outlineLevel="0" collapsed="false">
      <c r="A202" s="51" t="n">
        <v>194</v>
      </c>
      <c r="B202" s="52" t="s">
        <v>483</v>
      </c>
      <c r="C202" s="52" t="s">
        <v>1241</v>
      </c>
      <c r="D202" s="52" t="s">
        <v>1247</v>
      </c>
      <c r="E202" s="51" t="s">
        <v>459</v>
      </c>
      <c r="F202" s="51" t="s">
        <v>459</v>
      </c>
      <c r="G202" s="51" t="s">
        <v>907</v>
      </c>
      <c r="H202" s="51" t="s">
        <v>461</v>
      </c>
      <c r="I202" s="52" t="s">
        <v>1464</v>
      </c>
      <c r="J202" s="52"/>
      <c r="K202" s="53" t="n">
        <f aca="false">IF(AND(E202="yes",F202="yes",H202="covered"),1,IF(H202="partial",0.5,0))</f>
        <v>1</v>
      </c>
    </row>
    <row r="203" customFormat="false" ht="31.5" hidden="false" customHeight="true" outlineLevel="0" collapsed="false">
      <c r="A203" s="51" t="n">
        <v>195</v>
      </c>
      <c r="B203" s="52" t="s">
        <v>483</v>
      </c>
      <c r="C203" s="52" t="s">
        <v>1241</v>
      </c>
      <c r="D203" s="52" t="s">
        <v>1249</v>
      </c>
      <c r="E203" s="51" t="s">
        <v>459</v>
      </c>
      <c r="F203" s="51" t="s">
        <v>459</v>
      </c>
      <c r="G203" s="51" t="s">
        <v>907</v>
      </c>
      <c r="H203" s="51" t="s">
        <v>461</v>
      </c>
      <c r="I203" s="52" t="s">
        <v>1464</v>
      </c>
      <c r="J203" s="52"/>
      <c r="K203" s="53" t="n">
        <f aca="false">IF(AND(E203="yes",F203="yes",H203="covered"),1,IF(H203="partial",0.5,0))</f>
        <v>1</v>
      </c>
    </row>
    <row r="204" customFormat="false" ht="31.5" hidden="false" customHeight="true" outlineLevel="0" collapsed="false">
      <c r="A204" s="51" t="n">
        <v>196</v>
      </c>
      <c r="B204" s="52" t="s">
        <v>1250</v>
      </c>
      <c r="C204" s="52" t="s">
        <v>1251</v>
      </c>
      <c r="D204" s="52" t="s">
        <v>1252</v>
      </c>
      <c r="E204" s="51" t="s">
        <v>459</v>
      </c>
      <c r="F204" s="51" t="s">
        <v>459</v>
      </c>
      <c r="G204" s="51" t="s">
        <v>907</v>
      </c>
      <c r="H204" s="51" t="s">
        <v>461</v>
      </c>
      <c r="I204" s="52" t="s">
        <v>1464</v>
      </c>
      <c r="J204" s="52"/>
      <c r="K204" s="53" t="n">
        <f aca="false">IF(AND(E204="yes",F204="yes",H204="covered"),1,IF(H204="partial",0.5,0))</f>
        <v>1</v>
      </c>
    </row>
    <row r="205" customFormat="false" ht="31.5" hidden="false" customHeight="true" outlineLevel="0" collapsed="false">
      <c r="A205" s="51" t="n">
        <v>197</v>
      </c>
      <c r="B205" s="52" t="s">
        <v>1250</v>
      </c>
      <c r="C205" s="52" t="s">
        <v>1251</v>
      </c>
      <c r="D205" s="52" t="s">
        <v>1253</v>
      </c>
      <c r="E205" s="51" t="s">
        <v>459</v>
      </c>
      <c r="F205" s="51" t="s">
        <v>459</v>
      </c>
      <c r="G205" s="51" t="s">
        <v>907</v>
      </c>
      <c r="H205" s="51" t="s">
        <v>461</v>
      </c>
      <c r="I205" s="52" t="s">
        <v>1464</v>
      </c>
      <c r="J205" s="52"/>
      <c r="K205" s="53" t="n">
        <f aca="false">IF(AND(E205="yes",F205="yes",H205="covered"),1,IF(H205="partial",0.5,0))</f>
        <v>1</v>
      </c>
    </row>
    <row r="206" customFormat="false" ht="31.5" hidden="false" customHeight="true" outlineLevel="0" collapsed="false">
      <c r="A206" s="51" t="n">
        <v>198</v>
      </c>
      <c r="B206" s="52" t="s">
        <v>1250</v>
      </c>
      <c r="C206" s="52" t="s">
        <v>1251</v>
      </c>
      <c r="D206" s="52" t="s">
        <v>1554</v>
      </c>
      <c r="E206" s="51" t="s">
        <v>459</v>
      </c>
      <c r="F206" s="51" t="s">
        <v>459</v>
      </c>
      <c r="G206" s="51" t="s">
        <v>907</v>
      </c>
      <c r="H206" s="51" t="s">
        <v>461</v>
      </c>
      <c r="I206" s="52" t="s">
        <v>1464</v>
      </c>
      <c r="J206" s="52"/>
      <c r="K206" s="53" t="n">
        <f aca="false">IF(AND(E206="yes",F206="yes",H206="covered"),1,IF(H206="partial",0.5,0))</f>
        <v>1</v>
      </c>
    </row>
    <row r="207" customFormat="false" ht="31.5" hidden="false" customHeight="true" outlineLevel="0" collapsed="false">
      <c r="A207" s="51" t="n">
        <v>199</v>
      </c>
      <c r="B207" s="52" t="s">
        <v>1250</v>
      </c>
      <c r="C207" s="52" t="s">
        <v>1251</v>
      </c>
      <c r="D207" s="52" t="s">
        <v>1254</v>
      </c>
      <c r="E207" s="51" t="s">
        <v>459</v>
      </c>
      <c r="F207" s="51" t="s">
        <v>459</v>
      </c>
      <c r="G207" s="51" t="s">
        <v>907</v>
      </c>
      <c r="H207" s="51" t="s">
        <v>461</v>
      </c>
      <c r="I207" s="52" t="s">
        <v>1464</v>
      </c>
      <c r="J207" s="52"/>
      <c r="K207" s="53" t="n">
        <f aca="false">IF(AND(E207="yes",F207="yes",H207="covered"),1,IF(H207="partial",0.5,0))</f>
        <v>1</v>
      </c>
    </row>
    <row r="208" customFormat="false" ht="31.5" hidden="false" customHeight="true" outlineLevel="0" collapsed="false">
      <c r="A208" s="51" t="n">
        <v>200</v>
      </c>
      <c r="B208" s="52" t="s">
        <v>1250</v>
      </c>
      <c r="C208" s="52" t="s">
        <v>1251</v>
      </c>
      <c r="D208" s="52" t="s">
        <v>1255</v>
      </c>
      <c r="E208" s="51" t="s">
        <v>459</v>
      </c>
      <c r="F208" s="51" t="s">
        <v>459</v>
      </c>
      <c r="G208" s="51" t="s">
        <v>907</v>
      </c>
      <c r="H208" s="51" t="s">
        <v>461</v>
      </c>
      <c r="I208" s="52" t="s">
        <v>1464</v>
      </c>
      <c r="J208" s="52"/>
      <c r="K208" s="53" t="n">
        <f aca="false">IF(AND(E208="yes",F208="yes",H208="covered"),1,IF(H208="partial",0.5,0))</f>
        <v>1</v>
      </c>
    </row>
    <row r="209" customFormat="false" ht="31.5" hidden="false" customHeight="true" outlineLevel="0" collapsed="false">
      <c r="A209" s="51" t="n">
        <v>201</v>
      </c>
      <c r="B209" s="52" t="s">
        <v>1250</v>
      </c>
      <c r="C209" s="52" t="s">
        <v>1251</v>
      </c>
      <c r="D209" s="52" t="s">
        <v>1256</v>
      </c>
      <c r="E209" s="51" t="s">
        <v>459</v>
      </c>
      <c r="F209" s="51" t="s">
        <v>459</v>
      </c>
      <c r="G209" s="51" t="s">
        <v>907</v>
      </c>
      <c r="H209" s="51" t="s">
        <v>461</v>
      </c>
      <c r="I209" s="52" t="s">
        <v>1464</v>
      </c>
      <c r="J209" s="52"/>
      <c r="K209" s="53" t="n">
        <f aca="false">IF(AND(E209="yes",F209="yes",H209="covered"),1,IF(H209="partial",0.5,0))</f>
        <v>1</v>
      </c>
    </row>
    <row r="210" customFormat="false" ht="31.5" hidden="false" customHeight="true" outlineLevel="0" collapsed="false">
      <c r="A210" s="51" t="n">
        <v>202</v>
      </c>
      <c r="B210" s="52" t="s">
        <v>1250</v>
      </c>
      <c r="C210" s="52" t="s">
        <v>1251</v>
      </c>
      <c r="D210" s="52" t="s">
        <v>1555</v>
      </c>
      <c r="E210" s="51" t="s">
        <v>459</v>
      </c>
      <c r="F210" s="51" t="s">
        <v>459</v>
      </c>
      <c r="G210" s="51" t="s">
        <v>907</v>
      </c>
      <c r="H210" s="51" t="s">
        <v>461</v>
      </c>
      <c r="I210" s="52" t="s">
        <v>1464</v>
      </c>
      <c r="J210" s="52"/>
      <c r="K210" s="53" t="n">
        <f aca="false">IF(AND(E210="yes",F210="yes",H210="covered"),1,IF(H210="partial",0.5,0))</f>
        <v>1</v>
      </c>
    </row>
    <row r="211" customFormat="false" ht="31.5" hidden="false" customHeight="true" outlineLevel="0" collapsed="false">
      <c r="A211" s="51" t="n">
        <v>203</v>
      </c>
      <c r="B211" s="52" t="s">
        <v>1250</v>
      </c>
      <c r="C211" s="52" t="s">
        <v>1251</v>
      </c>
      <c r="D211" s="52" t="s">
        <v>1257</v>
      </c>
      <c r="E211" s="51" t="s">
        <v>459</v>
      </c>
      <c r="F211" s="51" t="s">
        <v>459</v>
      </c>
      <c r="G211" s="51" t="s">
        <v>907</v>
      </c>
      <c r="H211" s="51" t="s">
        <v>461</v>
      </c>
      <c r="I211" s="52" t="s">
        <v>1464</v>
      </c>
      <c r="J211" s="52"/>
      <c r="K211" s="53" t="n">
        <f aca="false">IF(AND(E211="yes",F211="yes",H211="covered"),1,IF(H211="partial",0.5,0))</f>
        <v>1</v>
      </c>
    </row>
    <row r="212" customFormat="false" ht="31.5" hidden="false" customHeight="true" outlineLevel="0" collapsed="false">
      <c r="A212" s="51" t="n">
        <v>204</v>
      </c>
      <c r="B212" s="52" t="s">
        <v>1258</v>
      </c>
      <c r="C212" s="52" t="s">
        <v>55</v>
      </c>
      <c r="D212" s="52" t="s">
        <v>1259</v>
      </c>
      <c r="E212" s="51" t="s">
        <v>459</v>
      </c>
      <c r="F212" s="51" t="s">
        <v>459</v>
      </c>
      <c r="G212" s="51" t="s">
        <v>907</v>
      </c>
      <c r="H212" s="51" t="s">
        <v>461</v>
      </c>
      <c r="I212" s="52" t="s">
        <v>1464</v>
      </c>
      <c r="J212" s="52"/>
      <c r="K212" s="53" t="n">
        <f aca="false">IF(AND(E212="yes",F212="yes",H212="covered"),1,IF(H212="partial",0.5,0))</f>
        <v>1</v>
      </c>
    </row>
    <row r="213" customFormat="false" ht="31.5" hidden="false" customHeight="true" outlineLevel="0" collapsed="false">
      <c r="A213" s="51" t="n">
        <v>205</v>
      </c>
      <c r="B213" s="52" t="s">
        <v>1258</v>
      </c>
      <c r="C213" s="52" t="s">
        <v>55</v>
      </c>
      <c r="D213" s="52" t="s">
        <v>1260</v>
      </c>
      <c r="E213" s="51" t="s">
        <v>459</v>
      </c>
      <c r="F213" s="51" t="s">
        <v>459</v>
      </c>
      <c r="G213" s="51" t="s">
        <v>907</v>
      </c>
      <c r="H213" s="51" t="s">
        <v>461</v>
      </c>
      <c r="I213" s="52" t="s">
        <v>1464</v>
      </c>
      <c r="J213" s="52"/>
      <c r="K213" s="53" t="n">
        <f aca="false">IF(AND(E213="yes",F213="yes",H213="covered"),1,IF(H213="partial",0.5,0))</f>
        <v>1</v>
      </c>
    </row>
    <row r="214" customFormat="false" ht="31.5" hidden="false" customHeight="true" outlineLevel="0" collapsed="false">
      <c r="A214" s="51" t="n">
        <v>206</v>
      </c>
      <c r="B214" s="52" t="s">
        <v>1258</v>
      </c>
      <c r="C214" s="52" t="s">
        <v>55</v>
      </c>
      <c r="D214" s="52" t="s">
        <v>1556</v>
      </c>
      <c r="E214" s="51" t="s">
        <v>459</v>
      </c>
      <c r="F214" s="51" t="s">
        <v>459</v>
      </c>
      <c r="G214" s="51" t="s">
        <v>907</v>
      </c>
      <c r="H214" s="51" t="s">
        <v>461</v>
      </c>
      <c r="I214" s="52" t="s">
        <v>1464</v>
      </c>
      <c r="J214" s="52"/>
      <c r="K214" s="53" t="n">
        <f aca="false">IF(AND(E214="yes",F214="yes",H214="covered"),1,IF(H214="partial",0.5,0))</f>
        <v>1</v>
      </c>
    </row>
    <row r="215" customFormat="false" ht="31.5" hidden="false" customHeight="true" outlineLevel="0" collapsed="false">
      <c r="A215" s="51" t="n">
        <v>207</v>
      </c>
      <c r="B215" s="52" t="s">
        <v>1258</v>
      </c>
      <c r="C215" s="52" t="s">
        <v>55</v>
      </c>
      <c r="D215" s="52" t="s">
        <v>324</v>
      </c>
      <c r="E215" s="51" t="s">
        <v>459</v>
      </c>
      <c r="F215" s="51" t="s">
        <v>459</v>
      </c>
      <c r="G215" s="51" t="s">
        <v>1078</v>
      </c>
      <c r="H215" s="51" t="s">
        <v>461</v>
      </c>
      <c r="I215" s="52" t="s">
        <v>1079</v>
      </c>
      <c r="J215" s="52"/>
      <c r="K215" s="53" t="n">
        <f aca="false">IF(AND(E215="yes",F215="yes",H215="covered"),1,IF(H215="partial",0.5,0))</f>
        <v>1</v>
      </c>
    </row>
    <row r="216" customFormat="false" ht="31.5" hidden="false" customHeight="true" outlineLevel="0" collapsed="false">
      <c r="A216" s="51" t="n">
        <v>208</v>
      </c>
      <c r="B216" s="52" t="s">
        <v>1258</v>
      </c>
      <c r="C216" s="52" t="s">
        <v>55</v>
      </c>
      <c r="D216" s="52" t="s">
        <v>1557</v>
      </c>
      <c r="E216" s="51" t="s">
        <v>459</v>
      </c>
      <c r="F216" s="51" t="s">
        <v>459</v>
      </c>
      <c r="G216" s="51" t="s">
        <v>907</v>
      </c>
      <c r="H216" s="51" t="s">
        <v>461</v>
      </c>
      <c r="I216" s="52" t="s">
        <v>1464</v>
      </c>
      <c r="J216" s="52"/>
      <c r="K216" s="53" t="n">
        <f aca="false">IF(AND(E216="yes",F216="yes",H216="covered"),1,IF(H216="partial",0.5,0))</f>
        <v>1</v>
      </c>
    </row>
    <row r="217" customFormat="false" ht="31.5" hidden="false" customHeight="true" outlineLevel="0" collapsed="false">
      <c r="A217" s="51" t="n">
        <v>209</v>
      </c>
      <c r="B217" s="52" t="s">
        <v>1258</v>
      </c>
      <c r="C217" s="52" t="s">
        <v>55</v>
      </c>
      <c r="D217" s="52" t="s">
        <v>1558</v>
      </c>
      <c r="E217" s="51" t="s">
        <v>459</v>
      </c>
      <c r="F217" s="51" t="s">
        <v>459</v>
      </c>
      <c r="G217" s="51" t="s">
        <v>907</v>
      </c>
      <c r="H217" s="51" t="s">
        <v>461</v>
      </c>
      <c r="I217" s="52" t="s">
        <v>1464</v>
      </c>
      <c r="J217" s="52"/>
      <c r="K217" s="53" t="n">
        <f aca="false">IF(AND(E217="yes",F217="yes",H217="covered"),1,IF(H217="partial",0.5,0))</f>
        <v>1</v>
      </c>
    </row>
    <row r="218" customFormat="false" ht="31.5" hidden="false" customHeight="true" outlineLevel="0" collapsed="false">
      <c r="A218" s="51" t="n">
        <v>210</v>
      </c>
      <c r="B218" s="52" t="s">
        <v>1263</v>
      </c>
      <c r="C218" s="52" t="s">
        <v>1264</v>
      </c>
      <c r="D218" s="52" t="s">
        <v>1559</v>
      </c>
      <c r="E218" s="51" t="s">
        <v>459</v>
      </c>
      <c r="F218" s="51" t="s">
        <v>459</v>
      </c>
      <c r="G218" s="51" t="s">
        <v>907</v>
      </c>
      <c r="H218" s="51" t="s">
        <v>461</v>
      </c>
      <c r="I218" s="52" t="s">
        <v>1464</v>
      </c>
      <c r="J218" s="52"/>
      <c r="K218" s="53" t="n">
        <f aca="false">IF(AND(E218="yes",F218="yes",H218="covered"),1,IF(H218="partial",0.5,0))</f>
        <v>1</v>
      </c>
    </row>
    <row r="219" customFormat="false" ht="31.5" hidden="false" customHeight="true" outlineLevel="0" collapsed="false">
      <c r="A219" s="51" t="n">
        <v>211</v>
      </c>
      <c r="B219" s="52" t="s">
        <v>1263</v>
      </c>
      <c r="C219" s="52" t="s">
        <v>1264</v>
      </c>
      <c r="D219" s="52" t="s">
        <v>1560</v>
      </c>
      <c r="E219" s="51" t="s">
        <v>459</v>
      </c>
      <c r="F219" s="51" t="s">
        <v>459</v>
      </c>
      <c r="G219" s="51" t="s">
        <v>907</v>
      </c>
      <c r="H219" s="51" t="s">
        <v>461</v>
      </c>
      <c r="I219" s="52" t="s">
        <v>1464</v>
      </c>
      <c r="J219" s="52"/>
      <c r="K219" s="53" t="n">
        <f aca="false">IF(AND(E219="yes",F219="yes",H219="covered"),1,IF(H219="partial",0.5,0))</f>
        <v>1</v>
      </c>
    </row>
    <row r="220" customFormat="false" ht="31.5" hidden="false" customHeight="true" outlineLevel="0" collapsed="false">
      <c r="A220" s="51" t="n">
        <v>212</v>
      </c>
      <c r="B220" s="52" t="s">
        <v>1263</v>
      </c>
      <c r="C220" s="52" t="s">
        <v>1264</v>
      </c>
      <c r="D220" s="52" t="s">
        <v>1561</v>
      </c>
      <c r="E220" s="51" t="s">
        <v>459</v>
      </c>
      <c r="F220" s="51" t="s">
        <v>459</v>
      </c>
      <c r="G220" s="51" t="s">
        <v>907</v>
      </c>
      <c r="H220" s="51" t="s">
        <v>461</v>
      </c>
      <c r="I220" s="52" t="s">
        <v>1464</v>
      </c>
      <c r="J220" s="52"/>
      <c r="K220" s="53" t="n">
        <f aca="false">IF(AND(E220="yes",F220="yes",H220="covered"),1,IF(H220="partial",0.5,0))</f>
        <v>1</v>
      </c>
    </row>
    <row r="221" customFormat="false" ht="31.5" hidden="false" customHeight="true" outlineLevel="0" collapsed="false">
      <c r="A221" s="51" t="n">
        <v>213</v>
      </c>
      <c r="B221" s="52" t="s">
        <v>1263</v>
      </c>
      <c r="C221" s="52" t="s">
        <v>1264</v>
      </c>
      <c r="D221" s="52" t="s">
        <v>1562</v>
      </c>
      <c r="E221" s="51" t="s">
        <v>459</v>
      </c>
      <c r="F221" s="51" t="s">
        <v>459</v>
      </c>
      <c r="G221" s="51" t="s">
        <v>907</v>
      </c>
      <c r="H221" s="51" t="s">
        <v>461</v>
      </c>
      <c r="I221" s="52" t="s">
        <v>1464</v>
      </c>
      <c r="J221" s="52"/>
      <c r="K221" s="53" t="n">
        <f aca="false">IF(AND(E221="yes",F221="yes",H221="covered"),1,IF(H221="partial",0.5,0))</f>
        <v>1</v>
      </c>
    </row>
    <row r="222" customFormat="false" ht="31.5" hidden="false" customHeight="true" outlineLevel="0" collapsed="false">
      <c r="A222" s="51" t="n">
        <v>214</v>
      </c>
      <c r="B222" s="52" t="s">
        <v>1263</v>
      </c>
      <c r="C222" s="52" t="s">
        <v>1264</v>
      </c>
      <c r="D222" s="52" t="s">
        <v>1563</v>
      </c>
      <c r="E222" s="51" t="s">
        <v>459</v>
      </c>
      <c r="F222" s="51" t="s">
        <v>459</v>
      </c>
      <c r="G222" s="51" t="s">
        <v>907</v>
      </c>
      <c r="H222" s="51" t="s">
        <v>461</v>
      </c>
      <c r="I222" s="52" t="s">
        <v>1464</v>
      </c>
      <c r="J222" s="52"/>
      <c r="K222" s="53" t="n">
        <f aca="false">IF(AND(E222="yes",F222="yes",H222="covered"),1,IF(H222="partial",0.5,0))</f>
        <v>1</v>
      </c>
    </row>
    <row r="223" customFormat="false" ht="31.5" hidden="false" customHeight="true" outlineLevel="0" collapsed="false">
      <c r="A223" s="51" t="n">
        <v>215</v>
      </c>
      <c r="B223" s="52" t="s">
        <v>1263</v>
      </c>
      <c r="C223" s="52" t="s">
        <v>1264</v>
      </c>
      <c r="D223" s="52" t="s">
        <v>1564</v>
      </c>
      <c r="E223" s="51" t="s">
        <v>459</v>
      </c>
      <c r="F223" s="51" t="s">
        <v>459</v>
      </c>
      <c r="G223" s="51" t="s">
        <v>907</v>
      </c>
      <c r="H223" s="51" t="s">
        <v>461</v>
      </c>
      <c r="I223" s="52" t="s">
        <v>1464</v>
      </c>
      <c r="J223" s="52"/>
      <c r="K223" s="53" t="n">
        <f aca="false">IF(AND(E223="yes",F223="yes",H223="covered"),1,IF(H223="partial",0.5,0))</f>
        <v>1</v>
      </c>
    </row>
    <row r="224" customFormat="false" ht="31.5" hidden="false" customHeight="true" outlineLevel="0" collapsed="false">
      <c r="A224" s="51" t="n">
        <v>216</v>
      </c>
      <c r="B224" s="52" t="s">
        <v>1263</v>
      </c>
      <c r="C224" s="52" t="s">
        <v>1264</v>
      </c>
      <c r="D224" s="52" t="s">
        <v>1565</v>
      </c>
      <c r="E224" s="51" t="s">
        <v>459</v>
      </c>
      <c r="F224" s="51" t="s">
        <v>459</v>
      </c>
      <c r="G224" s="51" t="s">
        <v>907</v>
      </c>
      <c r="H224" s="51" t="s">
        <v>461</v>
      </c>
      <c r="I224" s="52" t="s">
        <v>1464</v>
      </c>
      <c r="J224" s="52"/>
      <c r="K224" s="53" t="n">
        <f aca="false">IF(AND(E224="yes",F224="yes",H224="covered"),1,IF(H224="partial",0.5,0))</f>
        <v>1</v>
      </c>
    </row>
    <row r="225" customFormat="false" ht="31.5" hidden="false" customHeight="true" outlineLevel="0" collapsed="false">
      <c r="A225" s="51" t="n">
        <v>217</v>
      </c>
      <c r="B225" s="52" t="s">
        <v>1263</v>
      </c>
      <c r="C225" s="52" t="s">
        <v>1264</v>
      </c>
      <c r="D225" s="52" t="s">
        <v>1271</v>
      </c>
      <c r="E225" s="51" t="s">
        <v>459</v>
      </c>
      <c r="F225" s="51" t="s">
        <v>459</v>
      </c>
      <c r="G225" s="51" t="s">
        <v>907</v>
      </c>
      <c r="H225" s="51" t="s">
        <v>461</v>
      </c>
      <c r="I225" s="52" t="s">
        <v>1464</v>
      </c>
      <c r="J225" s="52"/>
      <c r="K225" s="53" t="n">
        <f aca="false">IF(AND(E225="yes",F225="yes",H225="covered"),1,IF(H225="partial",0.5,0))</f>
        <v>1</v>
      </c>
    </row>
    <row r="226" customFormat="false" ht="31.5" hidden="false" customHeight="true" outlineLevel="0" collapsed="false">
      <c r="A226" s="51" t="n">
        <v>218</v>
      </c>
      <c r="B226" s="52" t="s">
        <v>1263</v>
      </c>
      <c r="C226" s="52" t="s">
        <v>1264</v>
      </c>
      <c r="D226" s="52" t="s">
        <v>1566</v>
      </c>
      <c r="E226" s="51" t="s">
        <v>459</v>
      </c>
      <c r="F226" s="51" t="s">
        <v>459</v>
      </c>
      <c r="G226" s="51" t="s">
        <v>907</v>
      </c>
      <c r="H226" s="51" t="s">
        <v>461</v>
      </c>
      <c r="I226" s="52" t="s">
        <v>1464</v>
      </c>
      <c r="J226" s="52"/>
      <c r="K226" s="53" t="n">
        <f aca="false">IF(AND(E226="yes",F226="yes",H226="covered"),1,IF(H226="partial",0.5,0))</f>
        <v>1</v>
      </c>
    </row>
    <row r="227" customFormat="false" ht="31.5" hidden="false" customHeight="true" outlineLevel="0" collapsed="false">
      <c r="A227" s="51" t="n">
        <v>219</v>
      </c>
      <c r="B227" s="52" t="s">
        <v>1263</v>
      </c>
      <c r="C227" s="52" t="s">
        <v>1264</v>
      </c>
      <c r="D227" s="52" t="s">
        <v>1270</v>
      </c>
      <c r="E227" s="51" t="s">
        <v>459</v>
      </c>
      <c r="F227" s="51" t="s">
        <v>459</v>
      </c>
      <c r="G227" s="51" t="s">
        <v>907</v>
      </c>
      <c r="H227" s="51" t="s">
        <v>461</v>
      </c>
      <c r="I227" s="52" t="s">
        <v>1464</v>
      </c>
      <c r="J227" s="52"/>
      <c r="K227" s="53" t="n">
        <f aca="false">IF(AND(E227="yes",F227="yes",H227="covered"),1,IF(H227="partial",0.5,0))</f>
        <v>1</v>
      </c>
    </row>
    <row r="228" customFormat="false" ht="31.5" hidden="false" customHeight="true" outlineLevel="0" collapsed="false">
      <c r="A228" s="51" t="n">
        <v>220</v>
      </c>
      <c r="B228" s="52" t="s">
        <v>524</v>
      </c>
      <c r="C228" s="52" t="s">
        <v>498</v>
      </c>
      <c r="D228" s="52" t="s">
        <v>376</v>
      </c>
      <c r="E228" s="51" t="s">
        <v>459</v>
      </c>
      <c r="F228" s="51" t="s">
        <v>459</v>
      </c>
      <c r="G228" s="51" t="s">
        <v>1078</v>
      </c>
      <c r="H228" s="51" t="s">
        <v>461</v>
      </c>
      <c r="I228" s="52" t="s">
        <v>1079</v>
      </c>
      <c r="J228" s="52"/>
      <c r="K228" s="53" t="n">
        <f aca="false">IF(AND(E228="yes",F228="yes",H228="covered"),1,IF(H228="partial",0.5,0))</f>
        <v>1</v>
      </c>
    </row>
    <row r="229" customFormat="false" ht="31.5" hidden="false" customHeight="true" outlineLevel="0" collapsed="false">
      <c r="A229" s="51" t="n">
        <v>221</v>
      </c>
      <c r="B229" s="52" t="s">
        <v>524</v>
      </c>
      <c r="C229" s="52" t="s">
        <v>498</v>
      </c>
      <c r="D229" s="52" t="s">
        <v>383</v>
      </c>
      <c r="E229" s="51" t="s">
        <v>459</v>
      </c>
      <c r="F229" s="51" t="s">
        <v>459</v>
      </c>
      <c r="G229" s="51" t="s">
        <v>1078</v>
      </c>
      <c r="H229" s="51" t="s">
        <v>461</v>
      </c>
      <c r="I229" s="52" t="s">
        <v>1079</v>
      </c>
      <c r="J229" s="52"/>
      <c r="K229" s="53" t="n">
        <f aca="false">IF(AND(E229="yes",F229="yes",H229="covered"),1,IF(H229="partial",0.5,0))</f>
        <v>1</v>
      </c>
    </row>
    <row r="230" customFormat="false" ht="31.5" hidden="false" customHeight="true" outlineLevel="0" collapsed="false">
      <c r="A230" s="51" t="n">
        <v>222</v>
      </c>
      <c r="B230" s="52" t="s">
        <v>524</v>
      </c>
      <c r="C230" s="52" t="s">
        <v>502</v>
      </c>
      <c r="D230" s="52" t="s">
        <v>338</v>
      </c>
      <c r="E230" s="51" t="s">
        <v>459</v>
      </c>
      <c r="F230" s="51" t="s">
        <v>459</v>
      </c>
      <c r="G230" s="51" t="s">
        <v>1078</v>
      </c>
      <c r="H230" s="51" t="s">
        <v>461</v>
      </c>
      <c r="I230" s="52" t="s">
        <v>1079</v>
      </c>
      <c r="J230" s="52"/>
      <c r="K230" s="53" t="n">
        <f aca="false">IF(AND(E230="yes",F230="yes",H230="covered"),1,IF(H230="partial",0.5,0))</f>
        <v>1</v>
      </c>
    </row>
    <row r="231" customFormat="false" ht="31.5" hidden="false" customHeight="true" outlineLevel="0" collapsed="false">
      <c r="A231" s="51" t="n">
        <v>223</v>
      </c>
      <c r="B231" s="52" t="s">
        <v>524</v>
      </c>
      <c r="C231" s="52" t="s">
        <v>1273</v>
      </c>
      <c r="D231" s="52" t="s">
        <v>345</v>
      </c>
      <c r="E231" s="51" t="s">
        <v>459</v>
      </c>
      <c r="F231" s="51" t="s">
        <v>459</v>
      </c>
      <c r="G231" s="51" t="s">
        <v>1078</v>
      </c>
      <c r="H231" s="51" t="s">
        <v>461</v>
      </c>
      <c r="I231" s="52" t="s">
        <v>1079</v>
      </c>
      <c r="J231" s="52"/>
      <c r="K231" s="53" t="n">
        <f aca="false">IF(AND(E231="yes",F231="yes",H231="covered"),1,IF(H231="partial",0.5,0))</f>
        <v>1</v>
      </c>
    </row>
    <row r="232" customFormat="false" ht="31.5" hidden="false" customHeight="true" outlineLevel="0" collapsed="false">
      <c r="A232" s="51" t="n">
        <v>224</v>
      </c>
      <c r="B232" s="52" t="s">
        <v>524</v>
      </c>
      <c r="C232" s="52" t="s">
        <v>1274</v>
      </c>
      <c r="D232" s="52" t="s">
        <v>352</v>
      </c>
      <c r="E232" s="51" t="s">
        <v>459</v>
      </c>
      <c r="F232" s="51" t="s">
        <v>459</v>
      </c>
      <c r="G232" s="51" t="s">
        <v>1078</v>
      </c>
      <c r="H232" s="51" t="s">
        <v>461</v>
      </c>
      <c r="I232" s="52" t="s">
        <v>1079</v>
      </c>
      <c r="J232" s="52"/>
      <c r="K232" s="53" t="n">
        <f aca="false">IF(AND(E232="yes",F232="yes",H232="covered"),1,IF(H232="partial",0.5,0))</f>
        <v>1</v>
      </c>
    </row>
    <row r="233" customFormat="false" ht="30" hidden="false" customHeight="true" outlineLevel="0" collapsed="false">
      <c r="A233" s="51" t="n">
        <v>225</v>
      </c>
      <c r="B233" s="52" t="s">
        <v>524</v>
      </c>
      <c r="C233" s="52" t="s">
        <v>1275</v>
      </c>
      <c r="D233" s="52" t="s">
        <v>359</v>
      </c>
      <c r="E233" s="51" t="s">
        <v>459</v>
      </c>
      <c r="F233" s="51" t="s">
        <v>459</v>
      </c>
      <c r="G233" s="51" t="s">
        <v>1078</v>
      </c>
      <c r="H233" s="51" t="s">
        <v>461</v>
      </c>
      <c r="I233" s="52" t="s">
        <v>1079</v>
      </c>
      <c r="J233" s="52"/>
      <c r="K233" s="53" t="n">
        <f aca="false">IF(AND(E233="yes",F233="yes",H233="covered"),1,IF(H233="partial",0.5,0))</f>
        <v>1</v>
      </c>
    </row>
    <row r="234" customFormat="false" ht="30" hidden="false" customHeight="true" outlineLevel="0" collapsed="false">
      <c r="A234" s="51" t="n">
        <v>226</v>
      </c>
      <c r="B234" s="52" t="s">
        <v>524</v>
      </c>
      <c r="C234" s="52" t="s">
        <v>1272</v>
      </c>
      <c r="D234" s="52" t="s">
        <v>402</v>
      </c>
      <c r="E234" s="51" t="s">
        <v>459</v>
      </c>
      <c r="F234" s="51" t="s">
        <v>459</v>
      </c>
      <c r="G234" s="51" t="s">
        <v>1078</v>
      </c>
      <c r="H234" s="51" t="s">
        <v>461</v>
      </c>
      <c r="I234" s="52" t="s">
        <v>1079</v>
      </c>
      <c r="J234" s="52"/>
      <c r="K234" s="53" t="n">
        <f aca="false">IF(AND(E234="yes",F234="yes",H234="covered"),1,IF(H234="partial",0.5,0))</f>
        <v>1</v>
      </c>
    </row>
    <row r="235" customFormat="false" ht="30" hidden="false" customHeight="true" outlineLevel="0" collapsed="false">
      <c r="A235" s="51" t="n">
        <v>227</v>
      </c>
      <c r="B235" s="52" t="s">
        <v>531</v>
      </c>
      <c r="C235" s="52" t="s">
        <v>1567</v>
      </c>
      <c r="D235" s="52" t="s">
        <v>1568</v>
      </c>
      <c r="E235" s="51" t="s">
        <v>459</v>
      </c>
      <c r="F235" s="51" t="s">
        <v>459</v>
      </c>
      <c r="G235" s="51" t="s">
        <v>907</v>
      </c>
      <c r="H235" s="51" t="s">
        <v>461</v>
      </c>
      <c r="I235" s="52" t="s">
        <v>1464</v>
      </c>
      <c r="J235" s="52"/>
      <c r="K235" s="53" t="n">
        <f aca="false">IF(AND(E235="yes",F235="yes",H235="covered"),1,IF(H235="partial",0.5,0))</f>
        <v>1</v>
      </c>
    </row>
    <row r="236" customFormat="false" ht="30" hidden="false" customHeight="true" outlineLevel="0" collapsed="false">
      <c r="A236" s="51" t="n">
        <v>228</v>
      </c>
      <c r="B236" s="52" t="s">
        <v>31</v>
      </c>
      <c r="C236" s="52" t="s">
        <v>1275</v>
      </c>
      <c r="D236" s="52" t="s">
        <v>1276</v>
      </c>
      <c r="E236" s="51" t="s">
        <v>459</v>
      </c>
      <c r="F236" s="51" t="s">
        <v>459</v>
      </c>
      <c r="G236" s="51" t="s">
        <v>907</v>
      </c>
      <c r="H236" s="51" t="s">
        <v>461</v>
      </c>
      <c r="I236" s="52" t="s">
        <v>1464</v>
      </c>
      <c r="J236" s="52"/>
      <c r="K236" s="53" t="n">
        <f aca="false">IF(AND(E236="yes",F236="yes",H236="covered"),1,IF(H236="partial",0.5,0))</f>
        <v>1</v>
      </c>
    </row>
    <row r="237" customFormat="false" ht="30" hidden="false" customHeight="true" outlineLevel="0" collapsed="false">
      <c r="A237" s="51" t="n">
        <v>229</v>
      </c>
      <c r="B237" s="52" t="s">
        <v>31</v>
      </c>
      <c r="C237" s="52" t="s">
        <v>1275</v>
      </c>
      <c r="D237" s="52" t="s">
        <v>1278</v>
      </c>
      <c r="E237" s="51" t="s">
        <v>459</v>
      </c>
      <c r="F237" s="51" t="s">
        <v>459</v>
      </c>
      <c r="G237" s="51" t="s">
        <v>907</v>
      </c>
      <c r="H237" s="51" t="s">
        <v>461</v>
      </c>
      <c r="I237" s="52" t="s">
        <v>1464</v>
      </c>
      <c r="J237" s="52"/>
      <c r="K237" s="53" t="n">
        <f aca="false">IF(AND(E237="yes",F237="yes",H237="covered"),1,IF(H237="partial",0.5,0))</f>
        <v>1</v>
      </c>
    </row>
    <row r="238" customFormat="false" ht="30" hidden="false" customHeight="true" outlineLevel="0" collapsed="false">
      <c r="A238" s="51" t="n">
        <v>230</v>
      </c>
      <c r="B238" s="52" t="s">
        <v>456</v>
      </c>
      <c r="C238" s="52" t="s">
        <v>540</v>
      </c>
      <c r="D238" s="52" t="s">
        <v>541</v>
      </c>
      <c r="E238" s="51" t="s">
        <v>459</v>
      </c>
      <c r="F238" s="51" t="s">
        <v>459</v>
      </c>
      <c r="G238" s="51" t="s">
        <v>907</v>
      </c>
      <c r="H238" s="51" t="s">
        <v>461</v>
      </c>
      <c r="I238" s="52" t="s">
        <v>1464</v>
      </c>
      <c r="J238" s="52"/>
      <c r="K238" s="53" t="n">
        <f aca="false">IF(AND(E238="yes",F238="yes",H238="covered"),1,IF(H238="partial",0.5,0))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1569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53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1333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1333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35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1570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35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1570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35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1570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35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1570</v>
      </c>
      <c r="J14" s="42"/>
      <c r="K14" s="45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35</v>
      </c>
      <c r="D15" s="42" t="s">
        <v>1571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1570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35</v>
      </c>
      <c r="D16" s="42" t="s">
        <v>1572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1570</v>
      </c>
      <c r="J16" s="42"/>
      <c r="K16" s="45" t="n">
        <f aca="false">IF(AND(E16="yes",F16="yes",H16="covered"),1,IF(H16="partial",0.5,0))</f>
        <v>1</v>
      </c>
    </row>
    <row r="17" customFormat="false" ht="45" hidden="false" customHeight="true" outlineLevel="0" collapsed="false">
      <c r="A17" s="31" t="n">
        <v>9</v>
      </c>
      <c r="B17" s="42" t="s">
        <v>468</v>
      </c>
      <c r="C17" s="42" t="s">
        <v>35</v>
      </c>
      <c r="D17" s="42" t="s">
        <v>1573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1570</v>
      </c>
      <c r="J17" s="42"/>
      <c r="K17" s="45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35</v>
      </c>
      <c r="D18" s="42" t="s">
        <v>1574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1570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35</v>
      </c>
      <c r="D19" s="42" t="s">
        <v>1575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1570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35</v>
      </c>
      <c r="D20" s="42" t="s">
        <v>1576</v>
      </c>
      <c r="E20" s="34" t="s">
        <v>459</v>
      </c>
      <c r="F20" s="43" t="s">
        <v>459</v>
      </c>
      <c r="G20" s="31" t="s">
        <v>1577</v>
      </c>
      <c r="H20" s="44" t="s">
        <v>461</v>
      </c>
      <c r="I20" s="42" t="s">
        <v>1570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1570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1570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1570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1570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1570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1570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486</v>
      </c>
      <c r="C27" s="42" t="s">
        <v>476</v>
      </c>
      <c r="D27" s="42" t="s">
        <v>1578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1570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486</v>
      </c>
      <c r="C28" s="42" t="s">
        <v>476</v>
      </c>
      <c r="D28" s="42" t="s">
        <v>1579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1570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483</v>
      </c>
      <c r="C29" s="42" t="s">
        <v>476</v>
      </c>
      <c r="D29" s="42" t="s">
        <v>484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1570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483</v>
      </c>
      <c r="C30" s="42" t="s">
        <v>476</v>
      </c>
      <c r="D30" s="42" t="s">
        <v>485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1570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495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1570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1580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1570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475</v>
      </c>
      <c r="C33" s="42" t="s">
        <v>502</v>
      </c>
      <c r="D33" s="42" t="s">
        <v>477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1570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475</v>
      </c>
      <c r="C34" s="42" t="s">
        <v>502</v>
      </c>
      <c r="D34" s="42" t="s">
        <v>478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1570</v>
      </c>
      <c r="J34" s="42"/>
      <c r="K34" s="45" t="n">
        <f aca="false">IF(AND(E34="yes",F34="yes",H34="covered"),1,IF(H34="partial",0.5,0))</f>
        <v>1</v>
      </c>
    </row>
    <row r="35" customFormat="false" ht="30" hidden="false" customHeight="true" outlineLevel="0" collapsed="false">
      <c r="A35" s="31" t="n">
        <v>27</v>
      </c>
      <c r="B35" s="42" t="s">
        <v>479</v>
      </c>
      <c r="C35" s="42" t="s">
        <v>502</v>
      </c>
      <c r="D35" s="42" t="s">
        <v>480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1570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479</v>
      </c>
      <c r="C36" s="42" t="s">
        <v>502</v>
      </c>
      <c r="D36" s="42" t="s">
        <v>481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1570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457</v>
      </c>
      <c r="C37" s="42" t="s">
        <v>502</v>
      </c>
      <c r="D37" s="42" t="s">
        <v>482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1570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774</v>
      </c>
      <c r="C38" s="42" t="s">
        <v>502</v>
      </c>
      <c r="D38" s="42" t="s">
        <v>775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1570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502</v>
      </c>
      <c r="D39" s="42" t="s">
        <v>776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1570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502</v>
      </c>
      <c r="D40" s="42" t="s">
        <v>1302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1570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486</v>
      </c>
      <c r="C41" s="42" t="s">
        <v>502</v>
      </c>
      <c r="D41" s="42" t="s">
        <v>1579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1570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483</v>
      </c>
      <c r="C42" s="42" t="s">
        <v>502</v>
      </c>
      <c r="D42" s="42" t="s">
        <v>484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1570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483</v>
      </c>
      <c r="C43" s="42" t="s">
        <v>502</v>
      </c>
      <c r="D43" s="42" t="s">
        <v>485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1570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486</v>
      </c>
      <c r="C44" s="42" t="s">
        <v>502</v>
      </c>
      <c r="D44" s="42" t="s">
        <v>495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1570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486</v>
      </c>
      <c r="C45" s="42" t="s">
        <v>502</v>
      </c>
      <c r="D45" s="42" t="s">
        <v>777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1570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486</v>
      </c>
      <c r="C46" s="42" t="s">
        <v>502</v>
      </c>
      <c r="D46" s="42" t="s">
        <v>1581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1570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505</v>
      </c>
      <c r="C47" s="42" t="s">
        <v>506</v>
      </c>
      <c r="D47" s="42" t="s">
        <v>1582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1570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505</v>
      </c>
      <c r="C48" s="42" t="s">
        <v>506</v>
      </c>
      <c r="D48" s="42" t="s">
        <v>1583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1570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505</v>
      </c>
      <c r="C49" s="42" t="s">
        <v>506</v>
      </c>
      <c r="D49" s="42" t="s">
        <v>1584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1570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511</v>
      </c>
      <c r="C50" s="42" t="s">
        <v>506</v>
      </c>
      <c r="D50" s="42" t="s">
        <v>1585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1570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511</v>
      </c>
      <c r="C51" s="42" t="s">
        <v>506</v>
      </c>
      <c r="D51" s="42" t="s">
        <v>785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1570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511</v>
      </c>
      <c r="C52" s="42" t="s">
        <v>506</v>
      </c>
      <c r="D52" s="42" t="s">
        <v>1586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1570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511</v>
      </c>
      <c r="C53" s="42" t="s">
        <v>506</v>
      </c>
      <c r="D53" s="42" t="s">
        <v>514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1570</v>
      </c>
      <c r="J53" s="42"/>
      <c r="K53" s="45" t="n">
        <f aca="false">IF(AND(E53="yes",F53="yes",H53="covered"),1,IF(H53="partial",0.5,0))</f>
        <v>1</v>
      </c>
    </row>
    <row r="54" customFormat="false" ht="30" hidden="false" customHeight="true" outlineLevel="0" collapsed="false">
      <c r="A54" s="31" t="n">
        <v>46</v>
      </c>
      <c r="B54" s="42" t="s">
        <v>483</v>
      </c>
      <c r="C54" s="42" t="s">
        <v>35</v>
      </c>
      <c r="D54" s="42" t="s">
        <v>516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1570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483</v>
      </c>
      <c r="C55" s="42" t="s">
        <v>35</v>
      </c>
      <c r="D55" s="42" t="s">
        <v>517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1570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483</v>
      </c>
      <c r="C56" s="42" t="s">
        <v>35</v>
      </c>
      <c r="D56" s="42" t="s">
        <v>518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1570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483</v>
      </c>
      <c r="C57" s="42" t="s">
        <v>35</v>
      </c>
      <c r="D57" s="42" t="s">
        <v>519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1570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483</v>
      </c>
      <c r="C58" s="42" t="s">
        <v>35</v>
      </c>
      <c r="D58" s="42" t="s">
        <v>520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1570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531</v>
      </c>
      <c r="C59" s="42" t="s">
        <v>35</v>
      </c>
      <c r="D59" s="42" t="s">
        <v>1587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1570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531</v>
      </c>
      <c r="C60" s="42" t="s">
        <v>35</v>
      </c>
      <c r="D60" s="42" t="s">
        <v>1588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1570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531</v>
      </c>
      <c r="C61" s="42" t="s">
        <v>35</v>
      </c>
      <c r="D61" s="42" t="s">
        <v>1589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1570</v>
      </c>
      <c r="J61" s="42"/>
      <c r="K61" s="45" t="n">
        <f aca="false">IF(AND(E61="yes",F61="yes",H61="covered"),1,IF(H61="partial",0.5,0))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1590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100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47" t="n">
        <v>1</v>
      </c>
      <c r="B9" s="48" t="s">
        <v>456</v>
      </c>
      <c r="C9" s="48" t="s">
        <v>457</v>
      </c>
      <c r="D9" s="48" t="s">
        <v>458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1591</v>
      </c>
      <c r="J9" s="48"/>
      <c r="K9" s="49" t="n">
        <f aca="false">IF(H9="covered",1,IF(H9="partial",0.5,0))</f>
        <v>1</v>
      </c>
    </row>
    <row r="10" customFormat="false" ht="15" hidden="false" customHeight="true" outlineLevel="0" collapsed="false">
      <c r="A10" s="47" t="n">
        <v>2</v>
      </c>
      <c r="B10" s="48" t="s">
        <v>456</v>
      </c>
      <c r="C10" s="48" t="s">
        <v>457</v>
      </c>
      <c r="D10" s="48" t="s">
        <v>463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1591</v>
      </c>
      <c r="J10" s="48"/>
      <c r="K10" s="49" t="n">
        <f aca="false">IF(H10="covered",1,IF(H10="partial",0.5,0))</f>
        <v>1</v>
      </c>
    </row>
    <row r="11" customFormat="false" ht="30" hidden="false" customHeight="true" outlineLevel="0" collapsed="false">
      <c r="A11" s="31" t="n">
        <v>3</v>
      </c>
      <c r="B11" s="42" t="s">
        <v>456</v>
      </c>
      <c r="C11" s="42" t="s">
        <v>36</v>
      </c>
      <c r="D11" s="42" t="s">
        <v>464</v>
      </c>
      <c r="E11" s="34" t="s">
        <v>459</v>
      </c>
      <c r="F11" s="43" t="s">
        <v>459</v>
      </c>
      <c r="G11" s="31" t="s">
        <v>110</v>
      </c>
      <c r="H11" s="44" t="s">
        <v>461</v>
      </c>
      <c r="I11" s="42" t="s">
        <v>1592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36</v>
      </c>
      <c r="D12" s="42" t="s">
        <v>465</v>
      </c>
      <c r="E12" s="34" t="s">
        <v>459</v>
      </c>
      <c r="F12" s="43" t="s">
        <v>459</v>
      </c>
      <c r="G12" s="31" t="s">
        <v>110</v>
      </c>
      <c r="H12" s="44" t="s">
        <v>461</v>
      </c>
      <c r="I12" s="42" t="s">
        <v>1592</v>
      </c>
      <c r="J12" s="42"/>
      <c r="K12" s="45" t="n">
        <f aca="false">IF(AND(E12="yes",F12="yes",H12="covered"),1,IF(H12="partial",0.5,0))</f>
        <v>1</v>
      </c>
    </row>
    <row r="13" customFormat="false" ht="30" hidden="false" customHeight="true" outlineLevel="0" collapsed="false">
      <c r="A13" s="31" t="n">
        <v>5</v>
      </c>
      <c r="B13" s="42" t="s">
        <v>456</v>
      </c>
      <c r="C13" s="42" t="s">
        <v>36</v>
      </c>
      <c r="D13" s="42" t="s">
        <v>466</v>
      </c>
      <c r="E13" s="34" t="s">
        <v>459</v>
      </c>
      <c r="F13" s="43" t="s">
        <v>459</v>
      </c>
      <c r="G13" s="31" t="s">
        <v>110</v>
      </c>
      <c r="H13" s="44" t="s">
        <v>461</v>
      </c>
      <c r="I13" s="42" t="s">
        <v>1593</v>
      </c>
      <c r="J13" s="42"/>
      <c r="K13" s="45" t="n">
        <f aca="false">IF(AND(E13="yes",F13="yes",H13="covered"),1,IF(H13="partial",0.5,0))</f>
        <v>1</v>
      </c>
    </row>
    <row r="14" customFormat="false" ht="30" hidden="false" customHeight="true" outlineLevel="0" collapsed="false">
      <c r="A14" s="31" t="n">
        <v>6</v>
      </c>
      <c r="B14" s="42" t="s">
        <v>456</v>
      </c>
      <c r="C14" s="42" t="s">
        <v>36</v>
      </c>
      <c r="D14" s="42" t="s">
        <v>467</v>
      </c>
      <c r="E14" s="34" t="s">
        <v>459</v>
      </c>
      <c r="F14" s="43" t="s">
        <v>459</v>
      </c>
      <c r="G14" s="31" t="s">
        <v>110</v>
      </c>
      <c r="H14" s="44" t="s">
        <v>461</v>
      </c>
      <c r="I14" s="42" t="s">
        <v>1592</v>
      </c>
      <c r="J14" s="42"/>
      <c r="K14" s="45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36</v>
      </c>
      <c r="D15" s="42" t="s">
        <v>1594</v>
      </c>
      <c r="E15" s="34" t="s">
        <v>459</v>
      </c>
      <c r="F15" s="43" t="s">
        <v>459</v>
      </c>
      <c r="G15" s="31" t="s">
        <v>110</v>
      </c>
      <c r="H15" s="44" t="s">
        <v>461</v>
      </c>
      <c r="I15" s="42" t="s">
        <v>1592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36</v>
      </c>
      <c r="D16" s="42" t="s">
        <v>1595</v>
      </c>
      <c r="E16" s="34" t="s">
        <v>459</v>
      </c>
      <c r="F16" s="43" t="s">
        <v>459</v>
      </c>
      <c r="G16" s="31" t="s">
        <v>110</v>
      </c>
      <c r="H16" s="44" t="s">
        <v>461</v>
      </c>
      <c r="I16" s="42" t="s">
        <v>1592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36</v>
      </c>
      <c r="D17" s="42" t="s">
        <v>1596</v>
      </c>
      <c r="E17" s="34" t="s">
        <v>459</v>
      </c>
      <c r="F17" s="43" t="s">
        <v>459</v>
      </c>
      <c r="G17" s="31" t="s">
        <v>110</v>
      </c>
      <c r="H17" s="44" t="s">
        <v>461</v>
      </c>
      <c r="I17" s="42" t="s">
        <v>1592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36</v>
      </c>
      <c r="D18" s="42" t="s">
        <v>1597</v>
      </c>
      <c r="E18" s="34" t="s">
        <v>459</v>
      </c>
      <c r="F18" s="43" t="s">
        <v>459</v>
      </c>
      <c r="G18" s="31" t="s">
        <v>110</v>
      </c>
      <c r="H18" s="44" t="s">
        <v>461</v>
      </c>
      <c r="I18" s="42" t="s">
        <v>1592</v>
      </c>
      <c r="J18" s="42"/>
      <c r="K18" s="45" t="n">
        <f aca="false">IF(AND(E18="yes",F18="yes",H18="covered"),1,IF(H18="partial",0.5,0))</f>
        <v>1</v>
      </c>
    </row>
    <row r="19" customFormat="false" ht="45" hidden="false" customHeight="true" outlineLevel="0" collapsed="false">
      <c r="A19" s="31" t="n">
        <v>11</v>
      </c>
      <c r="B19" s="42" t="s">
        <v>468</v>
      </c>
      <c r="C19" s="42" t="s">
        <v>36</v>
      </c>
      <c r="D19" s="42" t="s">
        <v>1598</v>
      </c>
      <c r="E19" s="34" t="s">
        <v>459</v>
      </c>
      <c r="F19" s="43" t="s">
        <v>459</v>
      </c>
      <c r="G19" s="31" t="s">
        <v>110</v>
      </c>
      <c r="H19" s="44" t="s">
        <v>461</v>
      </c>
      <c r="I19" s="42" t="s">
        <v>1592</v>
      </c>
      <c r="J19" s="42"/>
      <c r="K19" s="45" t="n">
        <f aca="false">IF(AND(E19="yes",F19="yes",H19="covered"),1,IF(H19="partial",0.5,0))</f>
        <v>1</v>
      </c>
    </row>
    <row r="20" customFormat="false" ht="4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477</v>
      </c>
      <c r="E20" s="34" t="s">
        <v>459</v>
      </c>
      <c r="F20" s="43" t="s">
        <v>459</v>
      </c>
      <c r="G20" s="31" t="s">
        <v>110</v>
      </c>
      <c r="H20" s="44" t="s">
        <v>461</v>
      </c>
      <c r="I20" s="42" t="s">
        <v>1592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478</v>
      </c>
      <c r="E21" s="34" t="s">
        <v>459</v>
      </c>
      <c r="F21" s="43" t="s">
        <v>459</v>
      </c>
      <c r="G21" s="31" t="s">
        <v>110</v>
      </c>
      <c r="H21" s="44" t="s">
        <v>461</v>
      </c>
      <c r="I21" s="42" t="s">
        <v>1599</v>
      </c>
      <c r="J21" s="42"/>
      <c r="K21" s="45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480</v>
      </c>
      <c r="E22" s="34" t="s">
        <v>459</v>
      </c>
      <c r="F22" s="43" t="s">
        <v>459</v>
      </c>
      <c r="G22" s="31" t="s">
        <v>110</v>
      </c>
      <c r="H22" s="44" t="s">
        <v>461</v>
      </c>
      <c r="I22" s="42" t="s">
        <v>1600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481</v>
      </c>
      <c r="E23" s="34" t="s">
        <v>459</v>
      </c>
      <c r="F23" s="43" t="s">
        <v>459</v>
      </c>
      <c r="G23" s="31" t="s">
        <v>110</v>
      </c>
      <c r="H23" s="44" t="s">
        <v>461</v>
      </c>
      <c r="I23" s="42" t="s">
        <v>1592</v>
      </c>
      <c r="J23" s="42"/>
      <c r="K23" s="45" t="n">
        <f aca="false">IF(AND(E23="yes",F23="yes",H23="covered"),1,IF(H23="partial",0.5,0))</f>
        <v>1</v>
      </c>
    </row>
    <row r="24" customFormat="false" ht="45" hidden="false" customHeight="true" outlineLevel="0" collapsed="false">
      <c r="A24" s="31" t="n">
        <v>16</v>
      </c>
      <c r="B24" s="42" t="s">
        <v>457</v>
      </c>
      <c r="C24" s="42" t="s">
        <v>476</v>
      </c>
      <c r="D24" s="42" t="s">
        <v>482</v>
      </c>
      <c r="E24" s="34" t="s">
        <v>459</v>
      </c>
      <c r="F24" s="43" t="s">
        <v>459</v>
      </c>
      <c r="G24" s="31" t="s">
        <v>110</v>
      </c>
      <c r="H24" s="44" t="s">
        <v>461</v>
      </c>
      <c r="I24" s="42" t="s">
        <v>1592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774</v>
      </c>
      <c r="C25" s="42" t="s">
        <v>476</v>
      </c>
      <c r="D25" s="42" t="s">
        <v>775</v>
      </c>
      <c r="E25" s="34" t="s">
        <v>459</v>
      </c>
      <c r="F25" s="43" t="s">
        <v>459</v>
      </c>
      <c r="G25" s="31" t="s">
        <v>110</v>
      </c>
      <c r="H25" s="44" t="s">
        <v>461</v>
      </c>
      <c r="I25" s="42" t="s">
        <v>1592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486</v>
      </c>
      <c r="C26" s="42" t="s">
        <v>476</v>
      </c>
      <c r="D26" s="42" t="s">
        <v>1601</v>
      </c>
      <c r="E26" s="34" t="s">
        <v>459</v>
      </c>
      <c r="F26" s="43" t="s">
        <v>459</v>
      </c>
      <c r="G26" s="31" t="s">
        <v>110</v>
      </c>
      <c r="H26" s="44" t="s">
        <v>461</v>
      </c>
      <c r="I26" s="42" t="s">
        <v>1599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493</v>
      </c>
      <c r="E27" s="34" t="s">
        <v>459</v>
      </c>
      <c r="F27" s="43" t="s">
        <v>459</v>
      </c>
      <c r="G27" s="31" t="s">
        <v>110</v>
      </c>
      <c r="H27" s="44" t="s">
        <v>461</v>
      </c>
      <c r="I27" s="42" t="s">
        <v>1592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953</v>
      </c>
      <c r="E28" s="34" t="s">
        <v>459</v>
      </c>
      <c r="F28" s="43" t="s">
        <v>459</v>
      </c>
      <c r="G28" s="31" t="s">
        <v>110</v>
      </c>
      <c r="H28" s="44" t="s">
        <v>461</v>
      </c>
      <c r="I28" s="42" t="s">
        <v>1592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951</v>
      </c>
      <c r="E29" s="34" t="s">
        <v>459</v>
      </c>
      <c r="F29" s="43" t="s">
        <v>459</v>
      </c>
      <c r="G29" s="31" t="s">
        <v>110</v>
      </c>
      <c r="H29" s="44" t="s">
        <v>461</v>
      </c>
      <c r="I29" s="42" t="s">
        <v>1592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952</v>
      </c>
      <c r="E30" s="34" t="s">
        <v>459</v>
      </c>
      <c r="F30" s="43" t="s">
        <v>459</v>
      </c>
      <c r="G30" s="31" t="s">
        <v>110</v>
      </c>
      <c r="H30" s="44" t="s">
        <v>461</v>
      </c>
      <c r="I30" s="42" t="s">
        <v>1592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494</v>
      </c>
      <c r="E31" s="34" t="s">
        <v>459</v>
      </c>
      <c r="F31" s="43" t="s">
        <v>459</v>
      </c>
      <c r="G31" s="31" t="s">
        <v>110</v>
      </c>
      <c r="H31" s="44" t="s">
        <v>461</v>
      </c>
      <c r="I31" s="42" t="s">
        <v>1592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483</v>
      </c>
      <c r="C32" s="42" t="s">
        <v>476</v>
      </c>
      <c r="D32" s="42" t="s">
        <v>484</v>
      </c>
      <c r="E32" s="34" t="s">
        <v>459</v>
      </c>
      <c r="F32" s="43" t="s">
        <v>459</v>
      </c>
      <c r="G32" s="31" t="s">
        <v>110</v>
      </c>
      <c r="H32" s="44" t="s">
        <v>461</v>
      </c>
      <c r="I32" s="42" t="s">
        <v>1592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483</v>
      </c>
      <c r="C33" s="42" t="s">
        <v>476</v>
      </c>
      <c r="D33" s="42" t="s">
        <v>485</v>
      </c>
      <c r="E33" s="34" t="s">
        <v>459</v>
      </c>
      <c r="F33" s="43" t="s">
        <v>459</v>
      </c>
      <c r="G33" s="31" t="s">
        <v>110</v>
      </c>
      <c r="H33" s="44" t="s">
        <v>461</v>
      </c>
      <c r="I33" s="42" t="s">
        <v>1592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476</v>
      </c>
      <c r="D34" s="42" t="s">
        <v>495</v>
      </c>
      <c r="E34" s="34" t="s">
        <v>459</v>
      </c>
      <c r="F34" s="43" t="s">
        <v>459</v>
      </c>
      <c r="G34" s="31" t="s">
        <v>110</v>
      </c>
      <c r="H34" s="44" t="s">
        <v>461</v>
      </c>
      <c r="I34" s="42" t="s">
        <v>1592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496</v>
      </c>
      <c r="E35" s="34" t="s">
        <v>459</v>
      </c>
      <c r="F35" s="43" t="s">
        <v>459</v>
      </c>
      <c r="G35" s="31" t="s">
        <v>110</v>
      </c>
      <c r="H35" s="44" t="s">
        <v>461</v>
      </c>
      <c r="I35" s="42" t="s">
        <v>1592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488</v>
      </c>
      <c r="C36" s="42" t="s">
        <v>476</v>
      </c>
      <c r="D36" s="42" t="s">
        <v>497</v>
      </c>
      <c r="E36" s="34" t="s">
        <v>459</v>
      </c>
      <c r="F36" s="43" t="s">
        <v>459</v>
      </c>
      <c r="G36" s="31" t="s">
        <v>110</v>
      </c>
      <c r="H36" s="44" t="s">
        <v>461</v>
      </c>
      <c r="I36" s="42" t="s">
        <v>1592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488</v>
      </c>
      <c r="C37" s="42" t="s">
        <v>476</v>
      </c>
      <c r="D37" s="42" t="s">
        <v>1602</v>
      </c>
      <c r="E37" s="34" t="s">
        <v>459</v>
      </c>
      <c r="F37" s="43" t="s">
        <v>459</v>
      </c>
      <c r="G37" s="31" t="s">
        <v>110</v>
      </c>
      <c r="H37" s="44" t="s">
        <v>461</v>
      </c>
      <c r="I37" s="42" t="s">
        <v>1592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488</v>
      </c>
      <c r="C38" s="42" t="s">
        <v>476</v>
      </c>
      <c r="D38" s="42" t="s">
        <v>957</v>
      </c>
      <c r="E38" s="34" t="s">
        <v>459</v>
      </c>
      <c r="F38" s="43" t="s">
        <v>459</v>
      </c>
      <c r="G38" s="31" t="s">
        <v>110</v>
      </c>
      <c r="H38" s="44" t="s">
        <v>461</v>
      </c>
      <c r="I38" s="42" t="s">
        <v>1592</v>
      </c>
      <c r="J38" s="42"/>
      <c r="K38" s="45" t="n">
        <f aca="false">IF(AND(E38="yes",F38="yes",H38="covered"),1,IF(H38="partial",0.5,0))</f>
        <v>1</v>
      </c>
    </row>
    <row r="39" customFormat="false" ht="45" hidden="false" customHeight="true" outlineLevel="0" collapsed="false">
      <c r="A39" s="31" t="n">
        <v>31</v>
      </c>
      <c r="B39" s="42" t="s">
        <v>488</v>
      </c>
      <c r="C39" s="42" t="s">
        <v>476</v>
      </c>
      <c r="D39" s="42" t="s">
        <v>958</v>
      </c>
      <c r="E39" s="34" t="s">
        <v>459</v>
      </c>
      <c r="F39" s="43" t="s">
        <v>459</v>
      </c>
      <c r="G39" s="31" t="s">
        <v>110</v>
      </c>
      <c r="H39" s="44" t="s">
        <v>461</v>
      </c>
      <c r="I39" s="42" t="s">
        <v>1592</v>
      </c>
      <c r="J39" s="42"/>
      <c r="K39" s="45" t="n">
        <f aca="false">IF(AND(E39="yes",F39="yes",H39="covered"),1,IF(H39="partial",0.5,0))</f>
        <v>1</v>
      </c>
    </row>
    <row r="40" customFormat="false" ht="45" hidden="false" customHeight="true" outlineLevel="0" collapsed="false">
      <c r="A40" s="31" t="n">
        <v>32</v>
      </c>
      <c r="B40" s="42" t="s">
        <v>475</v>
      </c>
      <c r="C40" s="42" t="s">
        <v>42</v>
      </c>
      <c r="D40" s="42" t="s">
        <v>477</v>
      </c>
      <c r="E40" s="34" t="s">
        <v>459</v>
      </c>
      <c r="F40" s="43" t="s">
        <v>459</v>
      </c>
      <c r="G40" s="31" t="s">
        <v>110</v>
      </c>
      <c r="H40" s="44" t="s">
        <v>461</v>
      </c>
      <c r="I40" s="42" t="s">
        <v>1592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475</v>
      </c>
      <c r="C41" s="42" t="s">
        <v>42</v>
      </c>
      <c r="D41" s="42" t="s">
        <v>478</v>
      </c>
      <c r="E41" s="34" t="s">
        <v>459</v>
      </c>
      <c r="F41" s="43" t="s">
        <v>459</v>
      </c>
      <c r="G41" s="31" t="s">
        <v>110</v>
      </c>
      <c r="H41" s="44" t="s">
        <v>461</v>
      </c>
      <c r="I41" s="42" t="s">
        <v>1599</v>
      </c>
      <c r="J41" s="42"/>
      <c r="K41" s="45" t="n">
        <f aca="false">IF(AND(E41="yes",F41="yes",H41="covered"),1,IF(H41="partial",0.5,0))</f>
        <v>1</v>
      </c>
    </row>
    <row r="42" customFormat="false" ht="30" hidden="false" customHeight="true" outlineLevel="0" collapsed="false">
      <c r="A42" s="31" t="n">
        <v>34</v>
      </c>
      <c r="B42" s="42" t="s">
        <v>479</v>
      </c>
      <c r="C42" s="42" t="s">
        <v>42</v>
      </c>
      <c r="D42" s="42" t="s">
        <v>480</v>
      </c>
      <c r="E42" s="34" t="s">
        <v>459</v>
      </c>
      <c r="F42" s="43" t="s">
        <v>459</v>
      </c>
      <c r="G42" s="31" t="s">
        <v>110</v>
      </c>
      <c r="H42" s="44" t="s">
        <v>461</v>
      </c>
      <c r="I42" s="42" t="s">
        <v>1599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479</v>
      </c>
      <c r="C43" s="42" t="s">
        <v>42</v>
      </c>
      <c r="D43" s="42" t="s">
        <v>481</v>
      </c>
      <c r="E43" s="34" t="s">
        <v>459</v>
      </c>
      <c r="F43" s="43" t="s">
        <v>459</v>
      </c>
      <c r="G43" s="31" t="s">
        <v>110</v>
      </c>
      <c r="H43" s="44" t="s">
        <v>461</v>
      </c>
      <c r="I43" s="42" t="s">
        <v>1592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457</v>
      </c>
      <c r="C44" s="42" t="s">
        <v>42</v>
      </c>
      <c r="D44" s="42" t="s">
        <v>482</v>
      </c>
      <c r="E44" s="34" t="s">
        <v>459</v>
      </c>
      <c r="F44" s="43" t="s">
        <v>459</v>
      </c>
      <c r="G44" s="31" t="s">
        <v>110</v>
      </c>
      <c r="H44" s="44" t="s">
        <v>461</v>
      </c>
      <c r="I44" s="42" t="s">
        <v>1592</v>
      </c>
      <c r="J44" s="42"/>
      <c r="K44" s="45" t="n">
        <f aca="false">IF(AND(E44="yes",F44="yes",H44="covered"),1,IF(H44="partial",0.5,0))</f>
        <v>1</v>
      </c>
    </row>
    <row r="45" customFormat="false" ht="45" hidden="false" customHeight="true" outlineLevel="0" collapsed="false">
      <c r="A45" s="31" t="n">
        <v>37</v>
      </c>
      <c r="B45" s="42" t="s">
        <v>774</v>
      </c>
      <c r="C45" s="42" t="s">
        <v>42</v>
      </c>
      <c r="D45" s="42" t="s">
        <v>775</v>
      </c>
      <c r="E45" s="34" t="s">
        <v>459</v>
      </c>
      <c r="F45" s="43" t="s">
        <v>459</v>
      </c>
      <c r="G45" s="31" t="s">
        <v>110</v>
      </c>
      <c r="H45" s="44" t="s">
        <v>461</v>
      </c>
      <c r="I45" s="42" t="s">
        <v>1592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488</v>
      </c>
      <c r="C46" s="42" t="s">
        <v>42</v>
      </c>
      <c r="D46" s="42" t="s">
        <v>1603</v>
      </c>
      <c r="E46" s="34" t="s">
        <v>459</v>
      </c>
      <c r="F46" s="43" t="s">
        <v>459</v>
      </c>
      <c r="G46" s="31" t="s">
        <v>110</v>
      </c>
      <c r="H46" s="44" t="s">
        <v>461</v>
      </c>
      <c r="I46" s="42" t="s">
        <v>1592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486</v>
      </c>
      <c r="C47" s="42" t="s">
        <v>42</v>
      </c>
      <c r="D47" s="42" t="s">
        <v>1604</v>
      </c>
      <c r="E47" s="34" t="s">
        <v>459</v>
      </c>
      <c r="F47" s="43" t="s">
        <v>459</v>
      </c>
      <c r="G47" s="31" t="s">
        <v>110</v>
      </c>
      <c r="H47" s="44" t="s">
        <v>461</v>
      </c>
      <c r="I47" s="42" t="s">
        <v>1599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488</v>
      </c>
      <c r="C48" s="42" t="s">
        <v>42</v>
      </c>
      <c r="D48" s="42" t="s">
        <v>493</v>
      </c>
      <c r="E48" s="34" t="s">
        <v>459</v>
      </c>
      <c r="F48" s="43" t="s">
        <v>459</v>
      </c>
      <c r="G48" s="31" t="s">
        <v>110</v>
      </c>
      <c r="H48" s="44" t="s">
        <v>461</v>
      </c>
      <c r="I48" s="42" t="s">
        <v>1592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488</v>
      </c>
      <c r="C49" s="42" t="s">
        <v>42</v>
      </c>
      <c r="D49" s="42" t="s">
        <v>953</v>
      </c>
      <c r="E49" s="34" t="s">
        <v>459</v>
      </c>
      <c r="F49" s="43" t="s">
        <v>459</v>
      </c>
      <c r="G49" s="31" t="s">
        <v>110</v>
      </c>
      <c r="H49" s="44" t="s">
        <v>461</v>
      </c>
      <c r="I49" s="42" t="s">
        <v>1592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488</v>
      </c>
      <c r="C50" s="42" t="s">
        <v>42</v>
      </c>
      <c r="D50" s="42" t="s">
        <v>951</v>
      </c>
      <c r="E50" s="34" t="s">
        <v>459</v>
      </c>
      <c r="F50" s="43" t="s">
        <v>459</v>
      </c>
      <c r="G50" s="31" t="s">
        <v>110</v>
      </c>
      <c r="H50" s="44" t="s">
        <v>461</v>
      </c>
      <c r="I50" s="42" t="s">
        <v>1592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488</v>
      </c>
      <c r="C51" s="42" t="s">
        <v>42</v>
      </c>
      <c r="D51" s="42" t="s">
        <v>952</v>
      </c>
      <c r="E51" s="34" t="s">
        <v>459</v>
      </c>
      <c r="F51" s="43" t="s">
        <v>459</v>
      </c>
      <c r="G51" s="31" t="s">
        <v>110</v>
      </c>
      <c r="H51" s="44" t="s">
        <v>461</v>
      </c>
      <c r="I51" s="42" t="s">
        <v>1592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483</v>
      </c>
      <c r="C52" s="42" t="s">
        <v>42</v>
      </c>
      <c r="D52" s="42" t="s">
        <v>484</v>
      </c>
      <c r="E52" s="34" t="s">
        <v>459</v>
      </c>
      <c r="F52" s="43" t="s">
        <v>459</v>
      </c>
      <c r="G52" s="31" t="s">
        <v>110</v>
      </c>
      <c r="H52" s="44" t="s">
        <v>461</v>
      </c>
      <c r="I52" s="42" t="s">
        <v>1592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483</v>
      </c>
      <c r="C53" s="42" t="s">
        <v>42</v>
      </c>
      <c r="D53" s="42" t="s">
        <v>485</v>
      </c>
      <c r="E53" s="34" t="s">
        <v>459</v>
      </c>
      <c r="F53" s="43" t="s">
        <v>459</v>
      </c>
      <c r="G53" s="31" t="s">
        <v>110</v>
      </c>
      <c r="H53" s="44" t="s">
        <v>461</v>
      </c>
      <c r="I53" s="42" t="s">
        <v>1592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42</v>
      </c>
      <c r="D54" s="42" t="s">
        <v>495</v>
      </c>
      <c r="E54" s="34" t="s">
        <v>459</v>
      </c>
      <c r="F54" s="43" t="s">
        <v>459</v>
      </c>
      <c r="G54" s="31" t="s">
        <v>110</v>
      </c>
      <c r="H54" s="44" t="s">
        <v>461</v>
      </c>
      <c r="I54" s="42" t="s">
        <v>1592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488</v>
      </c>
      <c r="C55" s="42" t="s">
        <v>42</v>
      </c>
      <c r="D55" s="42" t="s">
        <v>497</v>
      </c>
      <c r="E55" s="34" t="s">
        <v>459</v>
      </c>
      <c r="F55" s="43" t="s">
        <v>459</v>
      </c>
      <c r="G55" s="31" t="s">
        <v>110</v>
      </c>
      <c r="H55" s="44" t="s">
        <v>461</v>
      </c>
      <c r="I55" s="42" t="s">
        <v>1592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488</v>
      </c>
      <c r="C56" s="42" t="s">
        <v>42</v>
      </c>
      <c r="D56" s="42" t="s">
        <v>1602</v>
      </c>
      <c r="E56" s="34" t="s">
        <v>459</v>
      </c>
      <c r="F56" s="43" t="s">
        <v>459</v>
      </c>
      <c r="G56" s="31" t="s">
        <v>110</v>
      </c>
      <c r="H56" s="44" t="s">
        <v>461</v>
      </c>
      <c r="I56" s="42" t="s">
        <v>1592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488</v>
      </c>
      <c r="C57" s="42" t="s">
        <v>42</v>
      </c>
      <c r="D57" s="42" t="s">
        <v>957</v>
      </c>
      <c r="E57" s="34" t="s">
        <v>459</v>
      </c>
      <c r="F57" s="43" t="s">
        <v>459</v>
      </c>
      <c r="G57" s="31" t="s">
        <v>110</v>
      </c>
      <c r="H57" s="44" t="s">
        <v>461</v>
      </c>
      <c r="I57" s="42" t="s">
        <v>1592</v>
      </c>
      <c r="J57" s="42"/>
      <c r="K57" s="45" t="n">
        <f aca="false">IF(AND(E57="yes",F57="yes",H57="covered"),1,IF(H57="partial",0.5,0))</f>
        <v>1</v>
      </c>
    </row>
    <row r="58" customFormat="false" ht="45" hidden="false" customHeight="true" outlineLevel="0" collapsed="false">
      <c r="A58" s="31" t="n">
        <v>50</v>
      </c>
      <c r="B58" s="42" t="s">
        <v>488</v>
      </c>
      <c r="C58" s="42" t="s">
        <v>42</v>
      </c>
      <c r="D58" s="42" t="s">
        <v>958</v>
      </c>
      <c r="E58" s="34" t="s">
        <v>459</v>
      </c>
      <c r="F58" s="43" t="s">
        <v>459</v>
      </c>
      <c r="G58" s="31" t="s">
        <v>110</v>
      </c>
      <c r="H58" s="44" t="s">
        <v>461</v>
      </c>
      <c r="I58" s="42" t="s">
        <v>1592</v>
      </c>
      <c r="J58" s="42"/>
      <c r="K58" s="45" t="n">
        <f aca="false">IF(AND(E58="yes",F58="yes",H58="covered"),1,IF(H58="partial",0.5,0))</f>
        <v>1</v>
      </c>
    </row>
    <row r="59" customFormat="false" ht="45" hidden="false" customHeight="true" outlineLevel="0" collapsed="false">
      <c r="A59" s="31" t="n">
        <v>51</v>
      </c>
      <c r="B59" s="42" t="s">
        <v>475</v>
      </c>
      <c r="C59" s="42" t="s">
        <v>686</v>
      </c>
      <c r="D59" s="42" t="s">
        <v>477</v>
      </c>
      <c r="E59" s="34" t="s">
        <v>459</v>
      </c>
      <c r="F59" s="43" t="s">
        <v>459</v>
      </c>
      <c r="G59" s="31" t="s">
        <v>110</v>
      </c>
      <c r="H59" s="44" t="s">
        <v>461</v>
      </c>
      <c r="I59" s="42" t="s">
        <v>1592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475</v>
      </c>
      <c r="C60" s="42" t="s">
        <v>686</v>
      </c>
      <c r="D60" s="42" t="s">
        <v>478</v>
      </c>
      <c r="E60" s="34" t="s">
        <v>459</v>
      </c>
      <c r="F60" s="43" t="s">
        <v>459</v>
      </c>
      <c r="G60" s="31" t="s">
        <v>110</v>
      </c>
      <c r="H60" s="44" t="s">
        <v>461</v>
      </c>
      <c r="I60" s="42" t="s">
        <v>1599</v>
      </c>
      <c r="J60" s="42"/>
      <c r="K60" s="45" t="n">
        <f aca="false">IF(AND(E60="yes",F60="yes",H60="covered"),1,IF(H60="partial",0.5,0))</f>
        <v>1</v>
      </c>
    </row>
    <row r="61" customFormat="false" ht="30" hidden="false" customHeight="true" outlineLevel="0" collapsed="false">
      <c r="A61" s="31" t="n">
        <v>53</v>
      </c>
      <c r="B61" s="42" t="s">
        <v>479</v>
      </c>
      <c r="C61" s="42" t="s">
        <v>686</v>
      </c>
      <c r="D61" s="42" t="s">
        <v>480</v>
      </c>
      <c r="E61" s="34" t="s">
        <v>459</v>
      </c>
      <c r="F61" s="43" t="s">
        <v>459</v>
      </c>
      <c r="G61" s="31" t="s">
        <v>110</v>
      </c>
      <c r="H61" s="44" t="s">
        <v>461</v>
      </c>
      <c r="I61" s="42" t="s">
        <v>1599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479</v>
      </c>
      <c r="C62" s="42" t="s">
        <v>686</v>
      </c>
      <c r="D62" s="42" t="s">
        <v>481</v>
      </c>
      <c r="E62" s="34" t="s">
        <v>459</v>
      </c>
      <c r="F62" s="43" t="s">
        <v>459</v>
      </c>
      <c r="G62" s="31" t="s">
        <v>110</v>
      </c>
      <c r="H62" s="44" t="s">
        <v>461</v>
      </c>
      <c r="I62" s="42" t="s">
        <v>1592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457</v>
      </c>
      <c r="C63" s="42" t="s">
        <v>686</v>
      </c>
      <c r="D63" s="42" t="s">
        <v>482</v>
      </c>
      <c r="E63" s="34" t="s">
        <v>459</v>
      </c>
      <c r="F63" s="43" t="s">
        <v>459</v>
      </c>
      <c r="G63" s="31" t="s">
        <v>110</v>
      </c>
      <c r="H63" s="44" t="s">
        <v>461</v>
      </c>
      <c r="I63" s="42" t="s">
        <v>1592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774</v>
      </c>
      <c r="C64" s="42" t="s">
        <v>686</v>
      </c>
      <c r="D64" s="42" t="s">
        <v>775</v>
      </c>
      <c r="E64" s="34" t="s">
        <v>459</v>
      </c>
      <c r="F64" s="43" t="s">
        <v>459</v>
      </c>
      <c r="G64" s="31" t="s">
        <v>110</v>
      </c>
      <c r="H64" s="44" t="s">
        <v>461</v>
      </c>
      <c r="I64" s="42" t="s">
        <v>1592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483</v>
      </c>
      <c r="C65" s="42" t="s">
        <v>686</v>
      </c>
      <c r="D65" s="42" t="s">
        <v>484</v>
      </c>
      <c r="E65" s="34" t="s">
        <v>459</v>
      </c>
      <c r="F65" s="43" t="s">
        <v>459</v>
      </c>
      <c r="G65" s="31" t="s">
        <v>110</v>
      </c>
      <c r="H65" s="44" t="s">
        <v>461</v>
      </c>
      <c r="I65" s="42" t="s">
        <v>1592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483</v>
      </c>
      <c r="C66" s="42" t="s">
        <v>686</v>
      </c>
      <c r="D66" s="42" t="s">
        <v>485</v>
      </c>
      <c r="E66" s="34" t="s">
        <v>459</v>
      </c>
      <c r="F66" s="43" t="s">
        <v>459</v>
      </c>
      <c r="G66" s="31" t="s">
        <v>110</v>
      </c>
      <c r="H66" s="44" t="s">
        <v>461</v>
      </c>
      <c r="I66" s="42" t="s">
        <v>1592</v>
      </c>
      <c r="J66" s="42"/>
      <c r="K66" s="45" t="n">
        <f aca="false">IF(AND(E66="yes",F66="yes",H66="covered"),1,IF(H66="partial",0.5,0))</f>
        <v>1</v>
      </c>
    </row>
    <row r="67" customFormat="false" ht="45" hidden="false" customHeight="true" outlineLevel="0" collapsed="false">
      <c r="A67" s="31" t="n">
        <v>59</v>
      </c>
      <c r="B67" s="42" t="s">
        <v>486</v>
      </c>
      <c r="C67" s="42" t="s">
        <v>686</v>
      </c>
      <c r="D67" s="42" t="s">
        <v>495</v>
      </c>
      <c r="E67" s="34" t="s">
        <v>459</v>
      </c>
      <c r="F67" s="43" t="s">
        <v>459</v>
      </c>
      <c r="G67" s="31" t="s">
        <v>110</v>
      </c>
      <c r="H67" s="44" t="s">
        <v>461</v>
      </c>
      <c r="I67" s="42" t="s">
        <v>1592</v>
      </c>
      <c r="J67" s="42"/>
      <c r="K67" s="45" t="n">
        <f aca="false">IF(AND(E67="yes",F67="yes",H67="covered"),1,IF(H67="partial",0.5,0))</f>
        <v>1</v>
      </c>
    </row>
    <row r="68" customFormat="false" ht="45" hidden="false" customHeight="true" outlineLevel="0" collapsed="false">
      <c r="A68" s="31" t="n">
        <v>60</v>
      </c>
      <c r="B68" s="42" t="s">
        <v>475</v>
      </c>
      <c r="C68" s="42" t="s">
        <v>1605</v>
      </c>
      <c r="D68" s="42" t="s">
        <v>477</v>
      </c>
      <c r="E68" s="34" t="s">
        <v>459</v>
      </c>
      <c r="F68" s="43" t="s">
        <v>459</v>
      </c>
      <c r="G68" s="31" t="s">
        <v>110</v>
      </c>
      <c r="H68" s="44" t="s">
        <v>461</v>
      </c>
      <c r="I68" s="42" t="s">
        <v>1592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475</v>
      </c>
      <c r="C69" s="42" t="s">
        <v>1605</v>
      </c>
      <c r="D69" s="42" t="s">
        <v>478</v>
      </c>
      <c r="E69" s="34" t="s">
        <v>459</v>
      </c>
      <c r="F69" s="43" t="s">
        <v>459</v>
      </c>
      <c r="G69" s="31" t="s">
        <v>110</v>
      </c>
      <c r="H69" s="44" t="s">
        <v>461</v>
      </c>
      <c r="I69" s="42" t="s">
        <v>1599</v>
      </c>
      <c r="J69" s="42"/>
      <c r="K69" s="45" t="n">
        <f aca="false">IF(AND(E69="yes",F69="yes",H69="covered"),1,IF(H69="partial",0.5,0))</f>
        <v>1</v>
      </c>
    </row>
    <row r="70" customFormat="false" ht="30" hidden="false" customHeight="true" outlineLevel="0" collapsed="false">
      <c r="A70" s="31" t="n">
        <v>62</v>
      </c>
      <c r="B70" s="42" t="s">
        <v>479</v>
      </c>
      <c r="C70" s="42" t="s">
        <v>1605</v>
      </c>
      <c r="D70" s="42" t="s">
        <v>480</v>
      </c>
      <c r="E70" s="34" t="s">
        <v>459</v>
      </c>
      <c r="F70" s="43" t="s">
        <v>459</v>
      </c>
      <c r="G70" s="31" t="s">
        <v>110</v>
      </c>
      <c r="H70" s="44" t="s">
        <v>461</v>
      </c>
      <c r="I70" s="42" t="s">
        <v>1599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479</v>
      </c>
      <c r="C71" s="42" t="s">
        <v>1605</v>
      </c>
      <c r="D71" s="42" t="s">
        <v>481</v>
      </c>
      <c r="E71" s="34" t="s">
        <v>459</v>
      </c>
      <c r="F71" s="43" t="s">
        <v>459</v>
      </c>
      <c r="G71" s="31" t="s">
        <v>110</v>
      </c>
      <c r="H71" s="44" t="s">
        <v>461</v>
      </c>
      <c r="I71" s="42" t="s">
        <v>1592</v>
      </c>
      <c r="J71" s="42"/>
      <c r="K71" s="45" t="n">
        <f aca="false">IF(AND(E71="yes",F71="yes",H71="covered"),1,IF(H71="partial",0.5,0))</f>
        <v>1</v>
      </c>
    </row>
    <row r="72" customFormat="false" ht="45" hidden="false" customHeight="true" outlineLevel="0" collapsed="false">
      <c r="A72" s="31" t="n">
        <v>64</v>
      </c>
      <c r="B72" s="42" t="s">
        <v>457</v>
      </c>
      <c r="C72" s="42" t="s">
        <v>1605</v>
      </c>
      <c r="D72" s="42" t="s">
        <v>482</v>
      </c>
      <c r="E72" s="34" t="s">
        <v>459</v>
      </c>
      <c r="F72" s="43" t="s">
        <v>459</v>
      </c>
      <c r="G72" s="31" t="s">
        <v>110</v>
      </c>
      <c r="H72" s="44" t="s">
        <v>461</v>
      </c>
      <c r="I72" s="42" t="s">
        <v>1592</v>
      </c>
      <c r="J72" s="42"/>
      <c r="K72" s="45" t="n">
        <f aca="false">IF(AND(E72="yes",F72="yes",H72="covered"),1,IF(H72="partial",0.5,0))</f>
        <v>1</v>
      </c>
    </row>
    <row r="73" customFormat="false" ht="45" hidden="false" customHeight="true" outlineLevel="0" collapsed="false">
      <c r="A73" s="31" t="n">
        <v>65</v>
      </c>
      <c r="B73" s="42" t="s">
        <v>774</v>
      </c>
      <c r="C73" s="42" t="s">
        <v>1605</v>
      </c>
      <c r="D73" s="42" t="s">
        <v>775</v>
      </c>
      <c r="E73" s="34" t="s">
        <v>459</v>
      </c>
      <c r="F73" s="43" t="s">
        <v>459</v>
      </c>
      <c r="G73" s="31" t="s">
        <v>110</v>
      </c>
      <c r="H73" s="44" t="s">
        <v>461</v>
      </c>
      <c r="I73" s="42" t="s">
        <v>1592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486</v>
      </c>
      <c r="C74" s="42" t="s">
        <v>1605</v>
      </c>
      <c r="D74" s="42" t="s">
        <v>1606</v>
      </c>
      <c r="E74" s="34" t="s">
        <v>459</v>
      </c>
      <c r="F74" s="43" t="s">
        <v>459</v>
      </c>
      <c r="G74" s="31" t="s">
        <v>110</v>
      </c>
      <c r="H74" s="44" t="s">
        <v>461</v>
      </c>
      <c r="I74" s="42" t="s">
        <v>1599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486</v>
      </c>
      <c r="C75" s="42" t="s">
        <v>1605</v>
      </c>
      <c r="D75" s="42" t="s">
        <v>1607</v>
      </c>
      <c r="E75" s="34" t="s">
        <v>459</v>
      </c>
      <c r="F75" s="43" t="s">
        <v>459</v>
      </c>
      <c r="G75" s="31" t="s">
        <v>110</v>
      </c>
      <c r="H75" s="44" t="s">
        <v>461</v>
      </c>
      <c r="I75" s="42" t="s">
        <v>1599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483</v>
      </c>
      <c r="C76" s="42" t="s">
        <v>1605</v>
      </c>
      <c r="D76" s="42" t="s">
        <v>484</v>
      </c>
      <c r="E76" s="34" t="s">
        <v>459</v>
      </c>
      <c r="F76" s="43" t="s">
        <v>459</v>
      </c>
      <c r="G76" s="31" t="s">
        <v>110</v>
      </c>
      <c r="H76" s="44" t="s">
        <v>461</v>
      </c>
      <c r="I76" s="42" t="s">
        <v>1592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483</v>
      </c>
      <c r="C77" s="42" t="s">
        <v>1605</v>
      </c>
      <c r="D77" s="42" t="s">
        <v>485</v>
      </c>
      <c r="E77" s="34" t="s">
        <v>459</v>
      </c>
      <c r="F77" s="43" t="s">
        <v>459</v>
      </c>
      <c r="G77" s="31" t="s">
        <v>110</v>
      </c>
      <c r="H77" s="44" t="s">
        <v>461</v>
      </c>
      <c r="I77" s="42" t="s">
        <v>1592</v>
      </c>
      <c r="J77" s="42"/>
      <c r="K77" s="45" t="n">
        <f aca="false">IF(AND(E77="yes",F77="yes",H77="covered"),1,IF(H77="partial",0.5,0))</f>
        <v>1</v>
      </c>
    </row>
    <row r="78" customFormat="false" ht="45" hidden="false" customHeight="true" outlineLevel="0" collapsed="false">
      <c r="A78" s="31" t="n">
        <v>70</v>
      </c>
      <c r="B78" s="42" t="s">
        <v>486</v>
      </c>
      <c r="C78" s="42" t="s">
        <v>1605</v>
      </c>
      <c r="D78" s="42" t="s">
        <v>495</v>
      </c>
      <c r="E78" s="34" t="s">
        <v>459</v>
      </c>
      <c r="F78" s="43" t="s">
        <v>459</v>
      </c>
      <c r="G78" s="31" t="s">
        <v>110</v>
      </c>
      <c r="H78" s="44" t="s">
        <v>461</v>
      </c>
      <c r="I78" s="42" t="s">
        <v>1592</v>
      </c>
      <c r="J78" s="42"/>
      <c r="K78" s="45" t="n">
        <f aca="false">IF(AND(E78="yes",F78="yes",H78="covered"),1,IF(H78="partial",0.5,0))</f>
        <v>1</v>
      </c>
    </row>
    <row r="79" customFormat="false" ht="45" hidden="false" customHeight="true" outlineLevel="0" collapsed="false">
      <c r="A79" s="31" t="n">
        <v>71</v>
      </c>
      <c r="B79" s="42" t="s">
        <v>475</v>
      </c>
      <c r="C79" s="42" t="s">
        <v>1608</v>
      </c>
      <c r="D79" s="42" t="s">
        <v>477</v>
      </c>
      <c r="E79" s="34" t="s">
        <v>459</v>
      </c>
      <c r="F79" s="43" t="s">
        <v>459</v>
      </c>
      <c r="G79" s="31" t="s">
        <v>110</v>
      </c>
      <c r="H79" s="44" t="s">
        <v>461</v>
      </c>
      <c r="I79" s="42" t="s">
        <v>1592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475</v>
      </c>
      <c r="C80" s="42" t="s">
        <v>1608</v>
      </c>
      <c r="D80" s="42" t="s">
        <v>478</v>
      </c>
      <c r="E80" s="34" t="s">
        <v>459</v>
      </c>
      <c r="F80" s="43" t="s">
        <v>459</v>
      </c>
      <c r="G80" s="31" t="s">
        <v>110</v>
      </c>
      <c r="H80" s="44" t="s">
        <v>461</v>
      </c>
      <c r="I80" s="42" t="s">
        <v>1599</v>
      </c>
      <c r="J80" s="42"/>
      <c r="K80" s="45" t="n">
        <f aca="false">IF(AND(E80="yes",F80="yes",H80="covered"),1,IF(H80="partial",0.5,0))</f>
        <v>1</v>
      </c>
    </row>
    <row r="81" customFormat="false" ht="30" hidden="false" customHeight="true" outlineLevel="0" collapsed="false">
      <c r="A81" s="31" t="n">
        <v>73</v>
      </c>
      <c r="B81" s="42" t="s">
        <v>479</v>
      </c>
      <c r="C81" s="42" t="s">
        <v>1608</v>
      </c>
      <c r="D81" s="42" t="s">
        <v>480</v>
      </c>
      <c r="E81" s="34" t="s">
        <v>459</v>
      </c>
      <c r="F81" s="43" t="s">
        <v>459</v>
      </c>
      <c r="G81" s="31" t="s">
        <v>110</v>
      </c>
      <c r="H81" s="44" t="s">
        <v>461</v>
      </c>
      <c r="I81" s="42" t="s">
        <v>1599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479</v>
      </c>
      <c r="C82" s="42" t="s">
        <v>1608</v>
      </c>
      <c r="D82" s="42" t="s">
        <v>481</v>
      </c>
      <c r="E82" s="34" t="s">
        <v>459</v>
      </c>
      <c r="F82" s="43" t="s">
        <v>459</v>
      </c>
      <c r="G82" s="31" t="s">
        <v>110</v>
      </c>
      <c r="H82" s="44" t="s">
        <v>461</v>
      </c>
      <c r="I82" s="42" t="s">
        <v>1592</v>
      </c>
      <c r="J82" s="42"/>
      <c r="K82" s="45" t="n">
        <f aca="false">IF(AND(E82="yes",F82="yes",H82="covered"),1,IF(H82="partial",0.5,0))</f>
        <v>1</v>
      </c>
    </row>
    <row r="83" customFormat="false" ht="45" hidden="false" customHeight="true" outlineLevel="0" collapsed="false">
      <c r="A83" s="31" t="n">
        <v>75</v>
      </c>
      <c r="B83" s="42" t="s">
        <v>457</v>
      </c>
      <c r="C83" s="42" t="s">
        <v>1608</v>
      </c>
      <c r="D83" s="42" t="s">
        <v>482</v>
      </c>
      <c r="E83" s="34" t="s">
        <v>459</v>
      </c>
      <c r="F83" s="43" t="s">
        <v>459</v>
      </c>
      <c r="G83" s="31" t="s">
        <v>110</v>
      </c>
      <c r="H83" s="44" t="s">
        <v>461</v>
      </c>
      <c r="I83" s="42" t="s">
        <v>1592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774</v>
      </c>
      <c r="C84" s="42" t="s">
        <v>1608</v>
      </c>
      <c r="D84" s="42" t="s">
        <v>775</v>
      </c>
      <c r="E84" s="34" t="s">
        <v>459</v>
      </c>
      <c r="F84" s="43" t="s">
        <v>459</v>
      </c>
      <c r="G84" s="31" t="s">
        <v>110</v>
      </c>
      <c r="H84" s="44" t="s">
        <v>461</v>
      </c>
      <c r="I84" s="42" t="s">
        <v>1592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486</v>
      </c>
      <c r="C85" s="42" t="s">
        <v>1608</v>
      </c>
      <c r="D85" s="42" t="s">
        <v>1609</v>
      </c>
      <c r="E85" s="34" t="s">
        <v>459</v>
      </c>
      <c r="F85" s="43" t="s">
        <v>459</v>
      </c>
      <c r="G85" s="31" t="s">
        <v>110</v>
      </c>
      <c r="H85" s="44" t="s">
        <v>461</v>
      </c>
      <c r="I85" s="42" t="s">
        <v>1599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483</v>
      </c>
      <c r="C86" s="42" t="s">
        <v>1608</v>
      </c>
      <c r="D86" s="42" t="s">
        <v>484</v>
      </c>
      <c r="E86" s="34" t="s">
        <v>459</v>
      </c>
      <c r="F86" s="43" t="s">
        <v>459</v>
      </c>
      <c r="G86" s="31" t="s">
        <v>110</v>
      </c>
      <c r="H86" s="44" t="s">
        <v>461</v>
      </c>
      <c r="I86" s="42" t="s">
        <v>1592</v>
      </c>
      <c r="J86" s="42"/>
      <c r="K86" s="45" t="n">
        <f aca="false">IF(AND(E86="yes",F86="yes",H86="covered"),1,IF(H86="partial",0.5,0))</f>
        <v>1</v>
      </c>
    </row>
    <row r="87" customFormat="false" ht="30" hidden="false" customHeight="true" outlineLevel="0" collapsed="false">
      <c r="A87" s="31" t="n">
        <v>79</v>
      </c>
      <c r="B87" s="42" t="s">
        <v>483</v>
      </c>
      <c r="C87" s="42" t="s">
        <v>1608</v>
      </c>
      <c r="D87" s="42" t="s">
        <v>485</v>
      </c>
      <c r="E87" s="34" t="s">
        <v>459</v>
      </c>
      <c r="F87" s="43" t="s">
        <v>459</v>
      </c>
      <c r="G87" s="31" t="s">
        <v>110</v>
      </c>
      <c r="H87" s="44" t="s">
        <v>461</v>
      </c>
      <c r="I87" s="42" t="s">
        <v>1592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486</v>
      </c>
      <c r="C88" s="42" t="s">
        <v>1608</v>
      </c>
      <c r="D88" s="42" t="s">
        <v>495</v>
      </c>
      <c r="E88" s="34" t="s">
        <v>459</v>
      </c>
      <c r="F88" s="43" t="s">
        <v>459</v>
      </c>
      <c r="G88" s="31" t="s">
        <v>110</v>
      </c>
      <c r="H88" s="44" t="s">
        <v>461</v>
      </c>
      <c r="I88" s="42" t="s">
        <v>1592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505</v>
      </c>
      <c r="C89" s="42" t="s">
        <v>506</v>
      </c>
      <c r="D89" s="42" t="s">
        <v>905</v>
      </c>
      <c r="E89" s="34" t="s">
        <v>459</v>
      </c>
      <c r="F89" s="43" t="s">
        <v>459</v>
      </c>
      <c r="G89" s="31" t="s">
        <v>110</v>
      </c>
      <c r="H89" s="44" t="s">
        <v>461</v>
      </c>
      <c r="I89" s="42" t="s">
        <v>1610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511</v>
      </c>
      <c r="C90" s="42" t="s">
        <v>506</v>
      </c>
      <c r="D90" s="42" t="s">
        <v>512</v>
      </c>
      <c r="E90" s="34" t="s">
        <v>459</v>
      </c>
      <c r="F90" s="43" t="s">
        <v>459</v>
      </c>
      <c r="G90" s="31" t="s">
        <v>110</v>
      </c>
      <c r="H90" s="44" t="s">
        <v>461</v>
      </c>
      <c r="I90" s="42" t="s">
        <v>1592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511</v>
      </c>
      <c r="C91" s="42" t="s">
        <v>506</v>
      </c>
      <c r="D91" s="42" t="s">
        <v>965</v>
      </c>
      <c r="E91" s="34" t="s">
        <v>459</v>
      </c>
      <c r="F91" s="43" t="s">
        <v>459</v>
      </c>
      <c r="G91" s="31" t="s">
        <v>110</v>
      </c>
      <c r="H91" s="44" t="s">
        <v>461</v>
      </c>
      <c r="I91" s="42" t="s">
        <v>1592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511</v>
      </c>
      <c r="C92" s="42" t="s">
        <v>506</v>
      </c>
      <c r="D92" s="42" t="s">
        <v>513</v>
      </c>
      <c r="E92" s="34" t="s">
        <v>459</v>
      </c>
      <c r="F92" s="43" t="s">
        <v>459</v>
      </c>
      <c r="G92" s="31" t="s">
        <v>110</v>
      </c>
      <c r="H92" s="44" t="s">
        <v>461</v>
      </c>
      <c r="I92" s="42" t="s">
        <v>1592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511</v>
      </c>
      <c r="C93" s="42" t="s">
        <v>506</v>
      </c>
      <c r="D93" s="42" t="s">
        <v>966</v>
      </c>
      <c r="E93" s="34" t="s">
        <v>459</v>
      </c>
      <c r="F93" s="43" t="s">
        <v>459</v>
      </c>
      <c r="G93" s="31" t="s">
        <v>110</v>
      </c>
      <c r="H93" s="44" t="s">
        <v>461</v>
      </c>
      <c r="I93" s="42" t="s">
        <v>1592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511</v>
      </c>
      <c r="C94" s="42" t="s">
        <v>506</v>
      </c>
      <c r="D94" s="42" t="s">
        <v>1611</v>
      </c>
      <c r="E94" s="34" t="s">
        <v>459</v>
      </c>
      <c r="F94" s="43" t="s">
        <v>459</v>
      </c>
      <c r="G94" s="31" t="s">
        <v>110</v>
      </c>
      <c r="H94" s="44" t="s">
        <v>461</v>
      </c>
      <c r="I94" s="42" t="s">
        <v>1592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511</v>
      </c>
      <c r="C95" s="42" t="s">
        <v>506</v>
      </c>
      <c r="D95" s="42" t="s">
        <v>514</v>
      </c>
      <c r="E95" s="34" t="s">
        <v>459</v>
      </c>
      <c r="F95" s="43" t="s">
        <v>459</v>
      </c>
      <c r="G95" s="31" t="s">
        <v>110</v>
      </c>
      <c r="H95" s="44" t="s">
        <v>461</v>
      </c>
      <c r="I95" s="42" t="s">
        <v>1592</v>
      </c>
      <c r="J95" s="42"/>
      <c r="K95" s="45" t="n">
        <f aca="false">IF(AND(E95="yes",F95="yes",H95="covered"),1,IF(H95="partial",0.5,0))</f>
        <v>1</v>
      </c>
    </row>
    <row r="96" customFormat="false" ht="30" hidden="false" customHeight="true" outlineLevel="0" collapsed="false">
      <c r="A96" s="31" t="n">
        <v>88</v>
      </c>
      <c r="B96" s="42" t="s">
        <v>483</v>
      </c>
      <c r="C96" s="42" t="s">
        <v>36</v>
      </c>
      <c r="D96" s="42" t="s">
        <v>516</v>
      </c>
      <c r="E96" s="34" t="s">
        <v>459</v>
      </c>
      <c r="F96" s="43" t="s">
        <v>459</v>
      </c>
      <c r="G96" s="31" t="s">
        <v>110</v>
      </c>
      <c r="H96" s="44" t="s">
        <v>461</v>
      </c>
      <c r="I96" s="42" t="s">
        <v>1592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483</v>
      </c>
      <c r="C97" s="42" t="s">
        <v>36</v>
      </c>
      <c r="D97" s="42" t="s">
        <v>517</v>
      </c>
      <c r="E97" s="34" t="s">
        <v>459</v>
      </c>
      <c r="F97" s="43" t="s">
        <v>459</v>
      </c>
      <c r="G97" s="31" t="s">
        <v>110</v>
      </c>
      <c r="H97" s="44" t="s">
        <v>461</v>
      </c>
      <c r="I97" s="42" t="s">
        <v>1592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483</v>
      </c>
      <c r="C98" s="42" t="s">
        <v>36</v>
      </c>
      <c r="D98" s="42" t="s">
        <v>518</v>
      </c>
      <c r="E98" s="34" t="s">
        <v>459</v>
      </c>
      <c r="F98" s="43" t="s">
        <v>459</v>
      </c>
      <c r="G98" s="31" t="s">
        <v>110</v>
      </c>
      <c r="H98" s="44" t="s">
        <v>461</v>
      </c>
      <c r="I98" s="42" t="s">
        <v>1592</v>
      </c>
      <c r="J98" s="42"/>
      <c r="K98" s="45" t="n">
        <f aca="false">IF(AND(E98="yes",F98="yes",H98="covered"),1,IF(H98="partial",0.5,0))</f>
        <v>1</v>
      </c>
    </row>
    <row r="99" customFormat="false" ht="30" hidden="false" customHeight="true" outlineLevel="0" collapsed="false">
      <c r="A99" s="31" t="n">
        <v>91</v>
      </c>
      <c r="B99" s="42" t="s">
        <v>483</v>
      </c>
      <c r="C99" s="42" t="s">
        <v>36</v>
      </c>
      <c r="D99" s="42" t="s">
        <v>519</v>
      </c>
      <c r="E99" s="34" t="s">
        <v>459</v>
      </c>
      <c r="F99" s="43" t="s">
        <v>459</v>
      </c>
      <c r="G99" s="31" t="s">
        <v>110</v>
      </c>
      <c r="H99" s="44" t="s">
        <v>461</v>
      </c>
      <c r="I99" s="42" t="s">
        <v>1592</v>
      </c>
      <c r="J99" s="42"/>
      <c r="K99" s="45" t="n">
        <f aca="false">IF(AND(E99="yes",F99="yes",H99="covered"),1,IF(H99="partial",0.5,0))</f>
        <v>1</v>
      </c>
    </row>
    <row r="100" customFormat="false" ht="30" hidden="false" customHeight="true" outlineLevel="0" collapsed="false">
      <c r="A100" s="31" t="n">
        <v>92</v>
      </c>
      <c r="B100" s="42" t="s">
        <v>483</v>
      </c>
      <c r="C100" s="42" t="s">
        <v>36</v>
      </c>
      <c r="D100" s="42" t="s">
        <v>520</v>
      </c>
      <c r="E100" s="34" t="s">
        <v>459</v>
      </c>
      <c r="F100" s="43" t="s">
        <v>459</v>
      </c>
      <c r="G100" s="31" t="s">
        <v>110</v>
      </c>
      <c r="H100" s="44" t="s">
        <v>461</v>
      </c>
      <c r="I100" s="42" t="s">
        <v>1592</v>
      </c>
      <c r="J100" s="42"/>
      <c r="K100" s="45" t="n">
        <f aca="false">IF(AND(E100="yes",F100="yes",H100="covered"),1,IF(H100="partial",0.5,0))</f>
        <v>1</v>
      </c>
    </row>
    <row r="101" customFormat="false" ht="30" hidden="false" customHeight="true" outlineLevel="0" collapsed="false">
      <c r="A101" s="31" t="n">
        <v>93</v>
      </c>
      <c r="B101" s="42" t="s">
        <v>488</v>
      </c>
      <c r="C101" s="42" t="s">
        <v>36</v>
      </c>
      <c r="D101" s="42" t="s">
        <v>968</v>
      </c>
      <c r="E101" s="34" t="s">
        <v>459</v>
      </c>
      <c r="F101" s="43" t="s">
        <v>459</v>
      </c>
      <c r="G101" s="31" t="s">
        <v>110</v>
      </c>
      <c r="H101" s="44" t="s">
        <v>461</v>
      </c>
      <c r="I101" s="42" t="s">
        <v>1592</v>
      </c>
      <c r="J101" s="42"/>
      <c r="K101" s="45" t="n">
        <f aca="false">IF(AND(E101="yes",F101="yes",H101="covered"),1,IF(H101="partial",0.5,0))</f>
        <v>1</v>
      </c>
    </row>
    <row r="102" customFormat="false" ht="30" hidden="false" customHeight="true" outlineLevel="0" collapsed="false">
      <c r="A102" s="31" t="n">
        <v>94</v>
      </c>
      <c r="B102" s="42" t="s">
        <v>488</v>
      </c>
      <c r="C102" s="42" t="s">
        <v>36</v>
      </c>
      <c r="D102" s="42" t="s">
        <v>969</v>
      </c>
      <c r="E102" s="34" t="s">
        <v>459</v>
      </c>
      <c r="F102" s="43" t="s">
        <v>459</v>
      </c>
      <c r="G102" s="31" t="s">
        <v>110</v>
      </c>
      <c r="H102" s="44" t="s">
        <v>461</v>
      </c>
      <c r="I102" s="42" t="s">
        <v>1592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488</v>
      </c>
      <c r="C103" s="42" t="s">
        <v>36</v>
      </c>
      <c r="D103" s="42" t="s">
        <v>970</v>
      </c>
      <c r="E103" s="34" t="s">
        <v>459</v>
      </c>
      <c r="F103" s="43" t="s">
        <v>459</v>
      </c>
      <c r="G103" s="31" t="s">
        <v>110</v>
      </c>
      <c r="H103" s="44" t="s">
        <v>461</v>
      </c>
      <c r="I103" s="42" t="s">
        <v>1592</v>
      </c>
      <c r="J103" s="42"/>
      <c r="K103" s="45" t="n">
        <f aca="false">IF(AND(E103="yes",F103="yes",H103="covered"),1,IF(H103="partial",0.5,0))</f>
        <v>1</v>
      </c>
    </row>
    <row r="104" customFormat="false" ht="30" hidden="false" customHeight="true" outlineLevel="0" collapsed="false">
      <c r="A104" s="31" t="n">
        <v>96</v>
      </c>
      <c r="B104" s="42" t="s">
        <v>488</v>
      </c>
      <c r="C104" s="42" t="s">
        <v>36</v>
      </c>
      <c r="D104" s="42" t="s">
        <v>971</v>
      </c>
      <c r="E104" s="34" t="s">
        <v>459</v>
      </c>
      <c r="F104" s="43" t="s">
        <v>459</v>
      </c>
      <c r="G104" s="31" t="s">
        <v>110</v>
      </c>
      <c r="H104" s="44" t="s">
        <v>461</v>
      </c>
      <c r="I104" s="42" t="s">
        <v>1592</v>
      </c>
      <c r="J104" s="42"/>
      <c r="K104" s="45" t="n">
        <f aca="false">IF(AND(E104="yes",F104="yes",H104="covered"),1,IF(H104="partial",0.5,0))</f>
        <v>1</v>
      </c>
    </row>
    <row r="105" customFormat="false" ht="30" hidden="false" customHeight="true" outlineLevel="0" collapsed="false">
      <c r="A105" s="31" t="n">
        <v>97</v>
      </c>
      <c r="B105" s="42" t="s">
        <v>933</v>
      </c>
      <c r="C105" s="42" t="s">
        <v>36</v>
      </c>
      <c r="D105" s="42" t="s">
        <v>972</v>
      </c>
      <c r="E105" s="34" t="s">
        <v>459</v>
      </c>
      <c r="F105" s="43" t="s">
        <v>459</v>
      </c>
      <c r="G105" s="31" t="s">
        <v>110</v>
      </c>
      <c r="H105" s="44" t="s">
        <v>461</v>
      </c>
      <c r="I105" s="42" t="s">
        <v>1592</v>
      </c>
      <c r="J105" s="42"/>
      <c r="K105" s="45" t="n">
        <f aca="false">IF(AND(E105="yes",F105="yes",H105="covered"),1,IF(H105="partial",0.5,0))</f>
        <v>1</v>
      </c>
    </row>
    <row r="106" customFormat="false" ht="30" hidden="false" customHeight="true" outlineLevel="0" collapsed="false">
      <c r="A106" s="31" t="n">
        <v>98</v>
      </c>
      <c r="B106" s="42" t="s">
        <v>933</v>
      </c>
      <c r="C106" s="42" t="s">
        <v>36</v>
      </c>
      <c r="D106" s="42" t="s">
        <v>973</v>
      </c>
      <c r="E106" s="34" t="s">
        <v>459</v>
      </c>
      <c r="F106" s="43" t="s">
        <v>459</v>
      </c>
      <c r="G106" s="31" t="s">
        <v>110</v>
      </c>
      <c r="H106" s="44" t="s">
        <v>461</v>
      </c>
      <c r="I106" s="42" t="s">
        <v>1592</v>
      </c>
      <c r="J106" s="42"/>
      <c r="K106" s="45" t="n">
        <f aca="false">IF(AND(E106="yes",F106="yes",H106="covered"),1,IF(H106="partial",0.5,0))</f>
        <v>1</v>
      </c>
    </row>
    <row r="107" customFormat="false" ht="13.5" hidden="false" customHeight="true" outlineLevel="0" collapsed="false">
      <c r="A107" s="1" t="n">
        <v>99</v>
      </c>
      <c r="B107" s="1" t="s">
        <v>1612</v>
      </c>
      <c r="C107" s="1" t="s">
        <v>1613</v>
      </c>
      <c r="D107" s="1" t="s">
        <v>1614</v>
      </c>
      <c r="E107" s="1" t="s">
        <v>459</v>
      </c>
      <c r="F107" s="1" t="s">
        <v>459</v>
      </c>
      <c r="G107" s="1" t="s">
        <v>1615</v>
      </c>
      <c r="H107" s="1" t="s">
        <v>461</v>
      </c>
      <c r="I107" s="1" t="s">
        <v>1616</v>
      </c>
      <c r="K107" s="1" t="n">
        <f aca="false">IF(AND(E107="yes",F107="yes",H107="covered"),1,IF(H107="partial",0.5,0))</f>
        <v>1</v>
      </c>
    </row>
    <row r="108" customFormat="false" ht="13.5" hidden="false" customHeight="true" outlineLevel="0" collapsed="false">
      <c r="A108" s="1" t="n">
        <v>100</v>
      </c>
      <c r="B108" s="1" t="s">
        <v>1612</v>
      </c>
      <c r="C108" s="1" t="s">
        <v>1617</v>
      </c>
      <c r="D108" s="1" t="s">
        <v>1618</v>
      </c>
      <c r="E108" s="1" t="s">
        <v>459</v>
      </c>
      <c r="F108" s="1" t="s">
        <v>459</v>
      </c>
      <c r="G108" s="1" t="s">
        <v>1615</v>
      </c>
      <c r="H108" s="1" t="s">
        <v>461</v>
      </c>
      <c r="I108" s="1" t="s">
        <v>1619</v>
      </c>
      <c r="K108" s="1" t="n">
        <f aca="false">IF(AND(E108="yes",F108="yes",H108="covered"),1,IF(H108="partial",0.5,0))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1620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73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47" t="n">
        <v>1</v>
      </c>
      <c r="B9" s="48" t="s">
        <v>456</v>
      </c>
      <c r="C9" s="48" t="s">
        <v>457</v>
      </c>
      <c r="D9" s="48" t="s">
        <v>458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1621</v>
      </c>
      <c r="J9" s="48"/>
      <c r="K9" s="49" t="n">
        <f aca="false">IF(H9="covered",1,IF(H9="partial",0.5,0))</f>
        <v>1</v>
      </c>
    </row>
    <row r="10" customFormat="false" ht="15" hidden="false" customHeight="true" outlineLevel="0" collapsed="false">
      <c r="A10" s="47" t="n">
        <v>2</v>
      </c>
      <c r="B10" s="48" t="s">
        <v>456</v>
      </c>
      <c r="C10" s="48" t="s">
        <v>457</v>
      </c>
      <c r="D10" s="48" t="s">
        <v>463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1621</v>
      </c>
      <c r="J10" s="48"/>
      <c r="K10" s="49" t="n">
        <f aca="false">IF(H10="covered",1,IF(H10="partial",0.5,0))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37</v>
      </c>
      <c r="D11" s="42" t="s">
        <v>464</v>
      </c>
      <c r="E11" s="34" t="s">
        <v>459</v>
      </c>
      <c r="F11" s="43" t="s">
        <v>459</v>
      </c>
      <c r="G11" s="31" t="s">
        <v>110</v>
      </c>
      <c r="H11" s="44" t="s">
        <v>461</v>
      </c>
      <c r="I11" s="42" t="s">
        <v>1622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37</v>
      </c>
      <c r="D12" s="42" t="s">
        <v>465</v>
      </c>
      <c r="E12" s="34" t="s">
        <v>459</v>
      </c>
      <c r="F12" s="43" t="s">
        <v>459</v>
      </c>
      <c r="G12" s="31" t="s">
        <v>110</v>
      </c>
      <c r="H12" s="44" t="s">
        <v>461</v>
      </c>
      <c r="I12" s="42" t="s">
        <v>1622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37</v>
      </c>
      <c r="D13" s="42" t="s">
        <v>466</v>
      </c>
      <c r="E13" s="34" t="s">
        <v>459</v>
      </c>
      <c r="F13" s="43" t="s">
        <v>459</v>
      </c>
      <c r="G13" s="31" t="s">
        <v>110</v>
      </c>
      <c r="H13" s="44" t="s">
        <v>461</v>
      </c>
      <c r="I13" s="42" t="s">
        <v>1622</v>
      </c>
      <c r="J13" s="42"/>
      <c r="K13" s="45" t="n">
        <f aca="false">IF(AND(E13="yes",F13="yes",H13="covered"),1,IF(H13="partial",0.5,0))</f>
        <v>1</v>
      </c>
    </row>
    <row r="14" customFormat="false" ht="30" hidden="false" customHeight="true" outlineLevel="0" collapsed="false">
      <c r="A14" s="31" t="n">
        <v>6</v>
      </c>
      <c r="B14" s="42" t="s">
        <v>456</v>
      </c>
      <c r="C14" s="42" t="s">
        <v>37</v>
      </c>
      <c r="D14" s="42" t="s">
        <v>467</v>
      </c>
      <c r="E14" s="34" t="s">
        <v>459</v>
      </c>
      <c r="F14" s="43" t="s">
        <v>459</v>
      </c>
      <c r="G14" s="31" t="s">
        <v>110</v>
      </c>
      <c r="H14" s="44" t="s">
        <v>461</v>
      </c>
      <c r="I14" s="42" t="s">
        <v>1622</v>
      </c>
      <c r="J14" s="42"/>
      <c r="K14" s="45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37</v>
      </c>
      <c r="D15" s="42" t="s">
        <v>1623</v>
      </c>
      <c r="E15" s="34" t="s">
        <v>459</v>
      </c>
      <c r="F15" s="43" t="s">
        <v>459</v>
      </c>
      <c r="G15" s="31" t="s">
        <v>110</v>
      </c>
      <c r="H15" s="44" t="s">
        <v>461</v>
      </c>
      <c r="I15" s="42" t="s">
        <v>1622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37</v>
      </c>
      <c r="D16" s="42" t="s">
        <v>1624</v>
      </c>
      <c r="E16" s="34" t="s">
        <v>459</v>
      </c>
      <c r="F16" s="43" t="s">
        <v>459</v>
      </c>
      <c r="G16" s="31" t="s">
        <v>110</v>
      </c>
      <c r="H16" s="44" t="s">
        <v>461</v>
      </c>
      <c r="I16" s="42" t="s">
        <v>1622</v>
      </c>
      <c r="J16" s="42"/>
      <c r="K16" s="45" t="n">
        <f aca="false">IF(AND(E16="yes",F16="yes",H16="covered"),1,IF(H16="partial",0.5,0))</f>
        <v>1</v>
      </c>
    </row>
    <row r="17" customFormat="false" ht="45" hidden="false" customHeight="true" outlineLevel="0" collapsed="false">
      <c r="A17" s="31" t="n">
        <v>9</v>
      </c>
      <c r="B17" s="42" t="s">
        <v>468</v>
      </c>
      <c r="C17" s="42" t="s">
        <v>37</v>
      </c>
      <c r="D17" s="42" t="s">
        <v>1625</v>
      </c>
      <c r="E17" s="34" t="s">
        <v>459</v>
      </c>
      <c r="F17" s="43" t="s">
        <v>459</v>
      </c>
      <c r="G17" s="31" t="s">
        <v>110</v>
      </c>
      <c r="H17" s="44" t="s">
        <v>461</v>
      </c>
      <c r="I17" s="42" t="s">
        <v>1622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37</v>
      </c>
      <c r="D18" s="42" t="s">
        <v>1626</v>
      </c>
      <c r="E18" s="34" t="s">
        <v>459</v>
      </c>
      <c r="F18" s="43" t="s">
        <v>459</v>
      </c>
      <c r="G18" s="31" t="s">
        <v>110</v>
      </c>
      <c r="H18" s="44" t="s">
        <v>461</v>
      </c>
      <c r="I18" s="42" t="s">
        <v>1622</v>
      </c>
      <c r="J18" s="42"/>
      <c r="K18" s="45" t="n">
        <f aca="false">IF(AND(E18="yes",F18="yes",H18="covered"),1,IF(H18="partial",0.5,0))</f>
        <v>1</v>
      </c>
    </row>
    <row r="19" customFormat="false" ht="45" hidden="false" customHeight="true" outlineLevel="0" collapsed="false">
      <c r="A19" s="31" t="n">
        <v>11</v>
      </c>
      <c r="B19" s="42" t="s">
        <v>468</v>
      </c>
      <c r="C19" s="42" t="s">
        <v>37</v>
      </c>
      <c r="D19" s="42" t="s">
        <v>1627</v>
      </c>
      <c r="E19" s="34" t="s">
        <v>459</v>
      </c>
      <c r="F19" s="43" t="s">
        <v>459</v>
      </c>
      <c r="G19" s="31" t="s">
        <v>110</v>
      </c>
      <c r="H19" s="44" t="s">
        <v>461</v>
      </c>
      <c r="I19" s="42" t="s">
        <v>1628</v>
      </c>
      <c r="J19" s="42"/>
      <c r="K19" s="45" t="n">
        <f aca="false">IF(AND(E19="yes",F19="yes",H19="covered"),1,IF(H19="partial",0.5,0))</f>
        <v>1</v>
      </c>
    </row>
    <row r="20" customFormat="false" ht="4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477</v>
      </c>
      <c r="E20" s="34" t="s">
        <v>459</v>
      </c>
      <c r="F20" s="43" t="s">
        <v>459</v>
      </c>
      <c r="G20" s="31" t="s">
        <v>110</v>
      </c>
      <c r="H20" s="44" t="s">
        <v>461</v>
      </c>
      <c r="I20" s="42" t="s">
        <v>1622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478</v>
      </c>
      <c r="E21" s="34" t="s">
        <v>459</v>
      </c>
      <c r="F21" s="43" t="s">
        <v>459</v>
      </c>
      <c r="G21" s="31" t="s">
        <v>110</v>
      </c>
      <c r="H21" s="44" t="s">
        <v>461</v>
      </c>
      <c r="I21" s="42" t="s">
        <v>1628</v>
      </c>
      <c r="J21" s="42"/>
      <c r="K21" s="45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480</v>
      </c>
      <c r="E22" s="34" t="s">
        <v>459</v>
      </c>
      <c r="F22" s="43" t="s">
        <v>459</v>
      </c>
      <c r="G22" s="31" t="s">
        <v>110</v>
      </c>
      <c r="H22" s="44" t="s">
        <v>461</v>
      </c>
      <c r="I22" s="42" t="s">
        <v>1629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481</v>
      </c>
      <c r="E23" s="34" t="s">
        <v>459</v>
      </c>
      <c r="F23" s="43" t="s">
        <v>459</v>
      </c>
      <c r="G23" s="31" t="s">
        <v>110</v>
      </c>
      <c r="H23" s="44" t="s">
        <v>461</v>
      </c>
      <c r="I23" s="42" t="s">
        <v>1622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457</v>
      </c>
      <c r="C24" s="42" t="s">
        <v>476</v>
      </c>
      <c r="D24" s="42" t="s">
        <v>482</v>
      </c>
      <c r="E24" s="34" t="s">
        <v>459</v>
      </c>
      <c r="F24" s="43" t="s">
        <v>459</v>
      </c>
      <c r="G24" s="31" t="s">
        <v>110</v>
      </c>
      <c r="H24" s="44" t="s">
        <v>461</v>
      </c>
      <c r="I24" s="42" t="s">
        <v>1622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774</v>
      </c>
      <c r="C25" s="42" t="s">
        <v>476</v>
      </c>
      <c r="D25" s="42" t="s">
        <v>775</v>
      </c>
      <c r="E25" s="34" t="s">
        <v>459</v>
      </c>
      <c r="F25" s="43" t="s">
        <v>459</v>
      </c>
      <c r="G25" s="31" t="s">
        <v>110</v>
      </c>
      <c r="H25" s="44" t="s">
        <v>461</v>
      </c>
      <c r="I25" s="42" t="s">
        <v>1622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488</v>
      </c>
      <c r="C26" s="42" t="s">
        <v>476</v>
      </c>
      <c r="D26" s="42" t="s">
        <v>493</v>
      </c>
      <c r="E26" s="34" t="s">
        <v>459</v>
      </c>
      <c r="F26" s="43" t="s">
        <v>459</v>
      </c>
      <c r="G26" s="31" t="s">
        <v>110</v>
      </c>
      <c r="H26" s="44" t="s">
        <v>461</v>
      </c>
      <c r="I26" s="42" t="s">
        <v>1622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953</v>
      </c>
      <c r="E27" s="34" t="s">
        <v>459</v>
      </c>
      <c r="F27" s="43" t="s">
        <v>459</v>
      </c>
      <c r="G27" s="31" t="s">
        <v>110</v>
      </c>
      <c r="H27" s="44" t="s">
        <v>461</v>
      </c>
      <c r="I27" s="42" t="s">
        <v>1622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952</v>
      </c>
      <c r="E28" s="34" t="s">
        <v>459</v>
      </c>
      <c r="F28" s="43" t="s">
        <v>459</v>
      </c>
      <c r="G28" s="31" t="s">
        <v>110</v>
      </c>
      <c r="H28" s="44" t="s">
        <v>461</v>
      </c>
      <c r="I28" s="42" t="s">
        <v>1622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483</v>
      </c>
      <c r="C29" s="42" t="s">
        <v>476</v>
      </c>
      <c r="D29" s="42" t="s">
        <v>484</v>
      </c>
      <c r="E29" s="34" t="s">
        <v>459</v>
      </c>
      <c r="F29" s="43" t="s">
        <v>459</v>
      </c>
      <c r="G29" s="31" t="s">
        <v>110</v>
      </c>
      <c r="H29" s="44" t="s">
        <v>461</v>
      </c>
      <c r="I29" s="42" t="s">
        <v>1622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483</v>
      </c>
      <c r="C30" s="42" t="s">
        <v>476</v>
      </c>
      <c r="D30" s="42" t="s">
        <v>485</v>
      </c>
      <c r="E30" s="34" t="s">
        <v>459</v>
      </c>
      <c r="F30" s="43" t="s">
        <v>459</v>
      </c>
      <c r="G30" s="31" t="s">
        <v>110</v>
      </c>
      <c r="H30" s="44" t="s">
        <v>461</v>
      </c>
      <c r="I30" s="42" t="s">
        <v>1622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495</v>
      </c>
      <c r="E31" s="34" t="s">
        <v>459</v>
      </c>
      <c r="F31" s="43" t="s">
        <v>459</v>
      </c>
      <c r="G31" s="31" t="s">
        <v>110</v>
      </c>
      <c r="H31" s="44" t="s">
        <v>461</v>
      </c>
      <c r="I31" s="42" t="s">
        <v>1622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497</v>
      </c>
      <c r="E32" s="34" t="s">
        <v>459</v>
      </c>
      <c r="F32" s="43" t="s">
        <v>459</v>
      </c>
      <c r="G32" s="31" t="s">
        <v>110</v>
      </c>
      <c r="H32" s="44" t="s">
        <v>461</v>
      </c>
      <c r="I32" s="42" t="s">
        <v>1622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488</v>
      </c>
      <c r="C33" s="42" t="s">
        <v>476</v>
      </c>
      <c r="D33" s="42" t="s">
        <v>1602</v>
      </c>
      <c r="E33" s="34" t="s">
        <v>459</v>
      </c>
      <c r="F33" s="43" t="s">
        <v>459</v>
      </c>
      <c r="G33" s="31" t="s">
        <v>110</v>
      </c>
      <c r="H33" s="44" t="s">
        <v>461</v>
      </c>
      <c r="I33" s="42" t="s">
        <v>1622</v>
      </c>
      <c r="J33" s="42"/>
      <c r="K33" s="45" t="n">
        <f aca="false">IF(AND(E33="yes",F33="yes",H33="covered"),1,IF(H33="partial",0.5,0))</f>
        <v>1</v>
      </c>
    </row>
    <row r="34" customFormat="false" ht="45" hidden="false" customHeight="true" outlineLevel="0" collapsed="false">
      <c r="A34" s="31" t="n">
        <v>26</v>
      </c>
      <c r="B34" s="42" t="s">
        <v>488</v>
      </c>
      <c r="C34" s="42" t="s">
        <v>476</v>
      </c>
      <c r="D34" s="42" t="s">
        <v>958</v>
      </c>
      <c r="E34" s="34" t="s">
        <v>459</v>
      </c>
      <c r="F34" s="43" t="s">
        <v>459</v>
      </c>
      <c r="G34" s="31" t="s">
        <v>110</v>
      </c>
      <c r="H34" s="44" t="s">
        <v>461</v>
      </c>
      <c r="I34" s="42" t="s">
        <v>1622</v>
      </c>
      <c r="J34" s="42"/>
      <c r="K34" s="45" t="n">
        <f aca="false">IF(AND(E34="yes",F34="yes",H34="covered"),1,IF(H34="partial",0.5,0))</f>
        <v>1</v>
      </c>
    </row>
    <row r="35" customFormat="false" ht="45" hidden="false" customHeight="true" outlineLevel="0" collapsed="false">
      <c r="A35" s="31" t="n">
        <v>27</v>
      </c>
      <c r="B35" s="42" t="s">
        <v>475</v>
      </c>
      <c r="C35" s="42" t="s">
        <v>686</v>
      </c>
      <c r="D35" s="42" t="s">
        <v>477</v>
      </c>
      <c r="E35" s="34" t="s">
        <v>459</v>
      </c>
      <c r="F35" s="43" t="s">
        <v>459</v>
      </c>
      <c r="G35" s="31" t="s">
        <v>110</v>
      </c>
      <c r="H35" s="44" t="s">
        <v>461</v>
      </c>
      <c r="I35" s="42" t="s">
        <v>1622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475</v>
      </c>
      <c r="C36" s="42" t="s">
        <v>686</v>
      </c>
      <c r="D36" s="42" t="s">
        <v>478</v>
      </c>
      <c r="E36" s="34" t="s">
        <v>459</v>
      </c>
      <c r="F36" s="43" t="s">
        <v>459</v>
      </c>
      <c r="G36" s="31" t="s">
        <v>110</v>
      </c>
      <c r="H36" s="44" t="s">
        <v>461</v>
      </c>
      <c r="I36" s="42" t="s">
        <v>1628</v>
      </c>
      <c r="J36" s="42"/>
      <c r="K36" s="45" t="n">
        <f aca="false">IF(AND(E36="yes",F36="yes",H36="covered"),1,IF(H36="partial",0.5,0))</f>
        <v>1</v>
      </c>
    </row>
    <row r="37" customFormat="false" ht="30" hidden="false" customHeight="true" outlineLevel="0" collapsed="false">
      <c r="A37" s="31" t="n">
        <v>29</v>
      </c>
      <c r="B37" s="42" t="s">
        <v>479</v>
      </c>
      <c r="C37" s="42" t="s">
        <v>686</v>
      </c>
      <c r="D37" s="42" t="s">
        <v>480</v>
      </c>
      <c r="E37" s="34" t="s">
        <v>459</v>
      </c>
      <c r="F37" s="43" t="s">
        <v>459</v>
      </c>
      <c r="G37" s="31" t="s">
        <v>110</v>
      </c>
      <c r="H37" s="44" t="s">
        <v>461</v>
      </c>
      <c r="I37" s="42" t="s">
        <v>1628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479</v>
      </c>
      <c r="C38" s="42" t="s">
        <v>686</v>
      </c>
      <c r="D38" s="42" t="s">
        <v>481</v>
      </c>
      <c r="E38" s="34" t="s">
        <v>459</v>
      </c>
      <c r="F38" s="43" t="s">
        <v>459</v>
      </c>
      <c r="G38" s="31" t="s">
        <v>110</v>
      </c>
      <c r="H38" s="44" t="s">
        <v>461</v>
      </c>
      <c r="I38" s="42" t="s">
        <v>1622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457</v>
      </c>
      <c r="C39" s="42" t="s">
        <v>686</v>
      </c>
      <c r="D39" s="42" t="s">
        <v>482</v>
      </c>
      <c r="E39" s="34" t="s">
        <v>459</v>
      </c>
      <c r="F39" s="43" t="s">
        <v>459</v>
      </c>
      <c r="G39" s="31" t="s">
        <v>110</v>
      </c>
      <c r="H39" s="44" t="s">
        <v>461</v>
      </c>
      <c r="I39" s="42" t="s">
        <v>1622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774</v>
      </c>
      <c r="C40" s="42" t="s">
        <v>686</v>
      </c>
      <c r="D40" s="42" t="s">
        <v>775</v>
      </c>
      <c r="E40" s="34" t="s">
        <v>459</v>
      </c>
      <c r="F40" s="43" t="s">
        <v>459</v>
      </c>
      <c r="G40" s="31" t="s">
        <v>110</v>
      </c>
      <c r="H40" s="44" t="s">
        <v>461</v>
      </c>
      <c r="I40" s="42" t="s">
        <v>1622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483</v>
      </c>
      <c r="C41" s="42" t="s">
        <v>686</v>
      </c>
      <c r="D41" s="42" t="s">
        <v>484</v>
      </c>
      <c r="E41" s="34" t="s">
        <v>459</v>
      </c>
      <c r="F41" s="43" t="s">
        <v>459</v>
      </c>
      <c r="G41" s="31" t="s">
        <v>110</v>
      </c>
      <c r="H41" s="44" t="s">
        <v>461</v>
      </c>
      <c r="I41" s="42" t="s">
        <v>1622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483</v>
      </c>
      <c r="C42" s="42" t="s">
        <v>686</v>
      </c>
      <c r="D42" s="42" t="s">
        <v>485</v>
      </c>
      <c r="E42" s="34" t="s">
        <v>459</v>
      </c>
      <c r="F42" s="43" t="s">
        <v>459</v>
      </c>
      <c r="G42" s="31" t="s">
        <v>110</v>
      </c>
      <c r="H42" s="44" t="s">
        <v>461</v>
      </c>
      <c r="I42" s="42" t="s">
        <v>1622</v>
      </c>
      <c r="J42" s="42"/>
      <c r="K42" s="45" t="n">
        <f aca="false">IF(AND(E42="yes",F42="yes",H42="covered"),1,IF(H42="partial",0.5,0))</f>
        <v>1</v>
      </c>
    </row>
    <row r="43" customFormat="false" ht="45" hidden="false" customHeight="true" outlineLevel="0" collapsed="false">
      <c r="A43" s="31" t="n">
        <v>35</v>
      </c>
      <c r="B43" s="42" t="s">
        <v>486</v>
      </c>
      <c r="C43" s="42" t="s">
        <v>686</v>
      </c>
      <c r="D43" s="42" t="s">
        <v>495</v>
      </c>
      <c r="E43" s="34" t="s">
        <v>459</v>
      </c>
      <c r="F43" s="43" t="s">
        <v>459</v>
      </c>
      <c r="G43" s="31" t="s">
        <v>110</v>
      </c>
      <c r="H43" s="44" t="s">
        <v>461</v>
      </c>
      <c r="I43" s="42" t="s">
        <v>1622</v>
      </c>
      <c r="J43" s="42"/>
      <c r="K43" s="45" t="n">
        <f aca="false">IF(AND(E43="yes",F43="yes",H43="covered"),1,IF(H43="partial",0.5,0))</f>
        <v>1</v>
      </c>
    </row>
    <row r="44" customFormat="false" ht="45" hidden="false" customHeight="true" outlineLevel="0" collapsed="false">
      <c r="A44" s="31" t="n">
        <v>36</v>
      </c>
      <c r="B44" s="42" t="s">
        <v>475</v>
      </c>
      <c r="C44" s="42" t="s">
        <v>1605</v>
      </c>
      <c r="D44" s="42" t="s">
        <v>477</v>
      </c>
      <c r="E44" s="34" t="s">
        <v>459</v>
      </c>
      <c r="F44" s="43" t="s">
        <v>459</v>
      </c>
      <c r="G44" s="31" t="s">
        <v>110</v>
      </c>
      <c r="H44" s="44" t="s">
        <v>461</v>
      </c>
      <c r="I44" s="42" t="s">
        <v>1622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475</v>
      </c>
      <c r="C45" s="42" t="s">
        <v>1605</v>
      </c>
      <c r="D45" s="42" t="s">
        <v>478</v>
      </c>
      <c r="E45" s="34" t="s">
        <v>459</v>
      </c>
      <c r="F45" s="43" t="s">
        <v>459</v>
      </c>
      <c r="G45" s="31" t="s">
        <v>110</v>
      </c>
      <c r="H45" s="44" t="s">
        <v>461</v>
      </c>
      <c r="I45" s="42" t="s">
        <v>1628</v>
      </c>
      <c r="J45" s="42"/>
      <c r="K45" s="45" t="n">
        <f aca="false">IF(AND(E45="yes",F45="yes",H45="covered"),1,IF(H45="partial",0.5,0))</f>
        <v>1</v>
      </c>
    </row>
    <row r="46" customFormat="false" ht="30" hidden="false" customHeight="true" outlineLevel="0" collapsed="false">
      <c r="A46" s="31" t="n">
        <v>38</v>
      </c>
      <c r="B46" s="42" t="s">
        <v>479</v>
      </c>
      <c r="C46" s="42" t="s">
        <v>1605</v>
      </c>
      <c r="D46" s="42" t="s">
        <v>480</v>
      </c>
      <c r="E46" s="34" t="s">
        <v>459</v>
      </c>
      <c r="F46" s="43" t="s">
        <v>459</v>
      </c>
      <c r="G46" s="31" t="s">
        <v>110</v>
      </c>
      <c r="H46" s="44" t="s">
        <v>461</v>
      </c>
      <c r="I46" s="42" t="s">
        <v>1628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479</v>
      </c>
      <c r="C47" s="42" t="s">
        <v>1605</v>
      </c>
      <c r="D47" s="42" t="s">
        <v>481</v>
      </c>
      <c r="E47" s="34" t="s">
        <v>459</v>
      </c>
      <c r="F47" s="43" t="s">
        <v>459</v>
      </c>
      <c r="G47" s="31" t="s">
        <v>110</v>
      </c>
      <c r="H47" s="44" t="s">
        <v>461</v>
      </c>
      <c r="I47" s="42" t="s">
        <v>1622</v>
      </c>
      <c r="J47" s="42"/>
      <c r="K47" s="45" t="n">
        <f aca="false">IF(AND(E47="yes",F47="yes",H47="covered"),1,IF(H47="partial",0.5,0))</f>
        <v>1</v>
      </c>
    </row>
    <row r="48" customFormat="false" ht="45" hidden="false" customHeight="true" outlineLevel="0" collapsed="false">
      <c r="A48" s="31" t="n">
        <v>40</v>
      </c>
      <c r="B48" s="42" t="s">
        <v>457</v>
      </c>
      <c r="C48" s="42" t="s">
        <v>1605</v>
      </c>
      <c r="D48" s="42" t="s">
        <v>482</v>
      </c>
      <c r="E48" s="34" t="s">
        <v>459</v>
      </c>
      <c r="F48" s="43" t="s">
        <v>459</v>
      </c>
      <c r="G48" s="31" t="s">
        <v>110</v>
      </c>
      <c r="H48" s="44" t="s">
        <v>461</v>
      </c>
      <c r="I48" s="42" t="s">
        <v>1622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774</v>
      </c>
      <c r="C49" s="42" t="s">
        <v>1605</v>
      </c>
      <c r="D49" s="42" t="s">
        <v>775</v>
      </c>
      <c r="E49" s="34" t="s">
        <v>459</v>
      </c>
      <c r="F49" s="43" t="s">
        <v>459</v>
      </c>
      <c r="G49" s="31" t="s">
        <v>110</v>
      </c>
      <c r="H49" s="44" t="s">
        <v>461</v>
      </c>
      <c r="I49" s="42" t="s">
        <v>1622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486</v>
      </c>
      <c r="C50" s="42" t="s">
        <v>1605</v>
      </c>
      <c r="D50" s="42" t="s">
        <v>1607</v>
      </c>
      <c r="E50" s="34" t="s">
        <v>459</v>
      </c>
      <c r="F50" s="43" t="s">
        <v>459</v>
      </c>
      <c r="G50" s="31" t="s">
        <v>110</v>
      </c>
      <c r="H50" s="44" t="s">
        <v>461</v>
      </c>
      <c r="I50" s="42" t="s">
        <v>1628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483</v>
      </c>
      <c r="C51" s="42" t="s">
        <v>1605</v>
      </c>
      <c r="D51" s="42" t="s">
        <v>484</v>
      </c>
      <c r="E51" s="34" t="s">
        <v>459</v>
      </c>
      <c r="F51" s="43" t="s">
        <v>459</v>
      </c>
      <c r="G51" s="31" t="s">
        <v>110</v>
      </c>
      <c r="H51" s="44" t="s">
        <v>461</v>
      </c>
      <c r="I51" s="42" t="s">
        <v>1622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483</v>
      </c>
      <c r="C52" s="42" t="s">
        <v>1605</v>
      </c>
      <c r="D52" s="42" t="s">
        <v>485</v>
      </c>
      <c r="E52" s="34" t="s">
        <v>459</v>
      </c>
      <c r="F52" s="43" t="s">
        <v>459</v>
      </c>
      <c r="G52" s="31" t="s">
        <v>110</v>
      </c>
      <c r="H52" s="44" t="s">
        <v>461</v>
      </c>
      <c r="I52" s="42" t="s">
        <v>1622</v>
      </c>
      <c r="J52" s="42"/>
      <c r="K52" s="45" t="n">
        <f aca="false">IF(AND(E52="yes",F52="yes",H52="covered"),1,IF(H52="partial",0.5,0))</f>
        <v>1</v>
      </c>
    </row>
    <row r="53" customFormat="false" ht="45" hidden="false" customHeight="true" outlineLevel="0" collapsed="false">
      <c r="A53" s="31" t="n">
        <v>45</v>
      </c>
      <c r="B53" s="42" t="s">
        <v>486</v>
      </c>
      <c r="C53" s="42" t="s">
        <v>1605</v>
      </c>
      <c r="D53" s="42" t="s">
        <v>495</v>
      </c>
      <c r="E53" s="34" t="s">
        <v>459</v>
      </c>
      <c r="F53" s="43" t="s">
        <v>459</v>
      </c>
      <c r="G53" s="31" t="s">
        <v>110</v>
      </c>
      <c r="H53" s="44" t="s">
        <v>461</v>
      </c>
      <c r="I53" s="42" t="s">
        <v>1622</v>
      </c>
      <c r="J53" s="42"/>
      <c r="K53" s="45" t="n">
        <f aca="false">IF(AND(E53="yes",F53="yes",H53="covered"),1,IF(H53="partial",0.5,0))</f>
        <v>1</v>
      </c>
    </row>
    <row r="54" customFormat="false" ht="45" hidden="false" customHeight="true" outlineLevel="0" collapsed="false">
      <c r="A54" s="31" t="n">
        <v>46</v>
      </c>
      <c r="B54" s="42" t="s">
        <v>475</v>
      </c>
      <c r="C54" s="42" t="s">
        <v>1630</v>
      </c>
      <c r="D54" s="42" t="s">
        <v>477</v>
      </c>
      <c r="E54" s="34" t="s">
        <v>459</v>
      </c>
      <c r="F54" s="43" t="s">
        <v>459</v>
      </c>
      <c r="G54" s="31" t="s">
        <v>110</v>
      </c>
      <c r="H54" s="44" t="s">
        <v>461</v>
      </c>
      <c r="I54" s="42" t="s">
        <v>1622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475</v>
      </c>
      <c r="C55" s="42" t="s">
        <v>1630</v>
      </c>
      <c r="D55" s="42" t="s">
        <v>478</v>
      </c>
      <c r="E55" s="34" t="s">
        <v>459</v>
      </c>
      <c r="F55" s="43" t="s">
        <v>459</v>
      </c>
      <c r="G55" s="31" t="s">
        <v>110</v>
      </c>
      <c r="H55" s="44" t="s">
        <v>461</v>
      </c>
      <c r="I55" s="42" t="s">
        <v>1628</v>
      </c>
      <c r="J55" s="42"/>
      <c r="K55" s="45" t="n">
        <f aca="false">IF(AND(E55="yes",F55="yes",H55="covered"),1,IF(H55="partial",0.5,0))</f>
        <v>1</v>
      </c>
    </row>
    <row r="56" customFormat="false" ht="30" hidden="false" customHeight="true" outlineLevel="0" collapsed="false">
      <c r="A56" s="31" t="n">
        <v>48</v>
      </c>
      <c r="B56" s="42" t="s">
        <v>479</v>
      </c>
      <c r="C56" s="42" t="s">
        <v>1630</v>
      </c>
      <c r="D56" s="42" t="s">
        <v>480</v>
      </c>
      <c r="E56" s="34" t="s">
        <v>459</v>
      </c>
      <c r="F56" s="43" t="s">
        <v>459</v>
      </c>
      <c r="G56" s="31" t="s">
        <v>110</v>
      </c>
      <c r="H56" s="44" t="s">
        <v>461</v>
      </c>
      <c r="I56" s="42" t="s">
        <v>1628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479</v>
      </c>
      <c r="C57" s="42" t="s">
        <v>1630</v>
      </c>
      <c r="D57" s="42" t="s">
        <v>481</v>
      </c>
      <c r="E57" s="34" t="s">
        <v>459</v>
      </c>
      <c r="F57" s="43" t="s">
        <v>459</v>
      </c>
      <c r="G57" s="31" t="s">
        <v>110</v>
      </c>
      <c r="H57" s="44" t="s">
        <v>461</v>
      </c>
      <c r="I57" s="42" t="s">
        <v>1622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457</v>
      </c>
      <c r="C58" s="42" t="s">
        <v>1630</v>
      </c>
      <c r="D58" s="42" t="s">
        <v>482</v>
      </c>
      <c r="E58" s="34" t="s">
        <v>459</v>
      </c>
      <c r="F58" s="43" t="s">
        <v>459</v>
      </c>
      <c r="G58" s="31" t="s">
        <v>110</v>
      </c>
      <c r="H58" s="44" t="s">
        <v>461</v>
      </c>
      <c r="I58" s="42" t="s">
        <v>1622</v>
      </c>
      <c r="J58" s="42"/>
      <c r="K58" s="45" t="n">
        <f aca="false">IF(AND(E58="yes",F58="yes",H58="covered"),1,IF(H58="partial",0.5,0))</f>
        <v>1</v>
      </c>
    </row>
    <row r="59" customFormat="false" ht="45" hidden="false" customHeight="true" outlineLevel="0" collapsed="false">
      <c r="A59" s="31" t="n">
        <v>51</v>
      </c>
      <c r="B59" s="42" t="s">
        <v>774</v>
      </c>
      <c r="C59" s="42" t="s">
        <v>1630</v>
      </c>
      <c r="D59" s="42" t="s">
        <v>775</v>
      </c>
      <c r="E59" s="34" t="s">
        <v>459</v>
      </c>
      <c r="F59" s="43" t="s">
        <v>459</v>
      </c>
      <c r="G59" s="31" t="s">
        <v>110</v>
      </c>
      <c r="H59" s="44" t="s">
        <v>461</v>
      </c>
      <c r="I59" s="42" t="s">
        <v>1622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488</v>
      </c>
      <c r="C60" s="42" t="s">
        <v>1630</v>
      </c>
      <c r="D60" s="42" t="s">
        <v>1603</v>
      </c>
      <c r="E60" s="34" t="s">
        <v>459</v>
      </c>
      <c r="F60" s="43" t="s">
        <v>459</v>
      </c>
      <c r="G60" s="31" t="s">
        <v>110</v>
      </c>
      <c r="H60" s="44" t="s">
        <v>461</v>
      </c>
      <c r="I60" s="42" t="s">
        <v>1622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486</v>
      </c>
      <c r="C61" s="42" t="s">
        <v>1630</v>
      </c>
      <c r="D61" s="42" t="s">
        <v>1604</v>
      </c>
      <c r="E61" s="34" t="s">
        <v>459</v>
      </c>
      <c r="F61" s="43" t="s">
        <v>459</v>
      </c>
      <c r="G61" s="31" t="s">
        <v>110</v>
      </c>
      <c r="H61" s="44" t="s">
        <v>461</v>
      </c>
      <c r="I61" s="42" t="s">
        <v>1628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483</v>
      </c>
      <c r="C62" s="42" t="s">
        <v>1630</v>
      </c>
      <c r="D62" s="42" t="s">
        <v>484</v>
      </c>
      <c r="E62" s="34" t="s">
        <v>459</v>
      </c>
      <c r="F62" s="43" t="s">
        <v>459</v>
      </c>
      <c r="G62" s="31" t="s">
        <v>110</v>
      </c>
      <c r="H62" s="44" t="s">
        <v>461</v>
      </c>
      <c r="I62" s="42" t="s">
        <v>1622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483</v>
      </c>
      <c r="C63" s="42" t="s">
        <v>1630</v>
      </c>
      <c r="D63" s="42" t="s">
        <v>485</v>
      </c>
      <c r="E63" s="34" t="s">
        <v>459</v>
      </c>
      <c r="F63" s="43" t="s">
        <v>459</v>
      </c>
      <c r="G63" s="31" t="s">
        <v>110</v>
      </c>
      <c r="H63" s="44" t="s">
        <v>461</v>
      </c>
      <c r="I63" s="42" t="s">
        <v>1622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486</v>
      </c>
      <c r="C64" s="42" t="s">
        <v>1630</v>
      </c>
      <c r="D64" s="42" t="s">
        <v>495</v>
      </c>
      <c r="E64" s="34" t="s">
        <v>459</v>
      </c>
      <c r="F64" s="43" t="s">
        <v>459</v>
      </c>
      <c r="G64" s="31" t="s">
        <v>110</v>
      </c>
      <c r="H64" s="44" t="s">
        <v>461</v>
      </c>
      <c r="I64" s="42" t="s">
        <v>1622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488</v>
      </c>
      <c r="C65" s="42" t="s">
        <v>1630</v>
      </c>
      <c r="D65" s="42" t="s">
        <v>497</v>
      </c>
      <c r="E65" s="34" t="s">
        <v>459</v>
      </c>
      <c r="F65" s="43" t="s">
        <v>459</v>
      </c>
      <c r="G65" s="31" t="s">
        <v>110</v>
      </c>
      <c r="H65" s="44" t="s">
        <v>461</v>
      </c>
      <c r="I65" s="42" t="s">
        <v>1622</v>
      </c>
      <c r="J65" s="42"/>
      <c r="K65" s="45" t="n">
        <f aca="false">IF(AND(E65="yes",F65="yes",H65="covered"),1,IF(H65="partial",0.5,0))</f>
        <v>1</v>
      </c>
    </row>
    <row r="66" customFormat="false" ht="30" hidden="false" customHeight="true" outlineLevel="0" collapsed="false">
      <c r="A66" s="31" t="n">
        <v>58</v>
      </c>
      <c r="B66" s="42" t="s">
        <v>488</v>
      </c>
      <c r="C66" s="42" t="s">
        <v>1630</v>
      </c>
      <c r="D66" s="42" t="s">
        <v>1602</v>
      </c>
      <c r="E66" s="34" t="s">
        <v>459</v>
      </c>
      <c r="F66" s="43" t="s">
        <v>459</v>
      </c>
      <c r="G66" s="31" t="s">
        <v>110</v>
      </c>
      <c r="H66" s="44" t="s">
        <v>461</v>
      </c>
      <c r="I66" s="42" t="s">
        <v>1622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505</v>
      </c>
      <c r="C67" s="42" t="s">
        <v>506</v>
      </c>
      <c r="D67" s="42" t="s">
        <v>1631</v>
      </c>
      <c r="E67" s="34" t="s">
        <v>459</v>
      </c>
      <c r="F67" s="43" t="s">
        <v>459</v>
      </c>
      <c r="G67" s="31" t="s">
        <v>110</v>
      </c>
      <c r="H67" s="44" t="s">
        <v>461</v>
      </c>
      <c r="I67" s="42" t="s">
        <v>1622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505</v>
      </c>
      <c r="C68" s="42" t="s">
        <v>506</v>
      </c>
      <c r="D68" s="42" t="s">
        <v>905</v>
      </c>
      <c r="E68" s="34" t="s">
        <v>459</v>
      </c>
      <c r="F68" s="43" t="s">
        <v>459</v>
      </c>
      <c r="G68" s="31" t="s">
        <v>110</v>
      </c>
      <c r="H68" s="44" t="s">
        <v>461</v>
      </c>
      <c r="I68" s="42" t="s">
        <v>1632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505</v>
      </c>
      <c r="C69" s="42" t="s">
        <v>506</v>
      </c>
      <c r="D69" s="42" t="s">
        <v>962</v>
      </c>
      <c r="E69" s="34" t="s">
        <v>459</v>
      </c>
      <c r="F69" s="43" t="s">
        <v>459</v>
      </c>
      <c r="G69" s="31" t="s">
        <v>110</v>
      </c>
      <c r="H69" s="44" t="s">
        <v>461</v>
      </c>
      <c r="I69" s="42" t="s">
        <v>1622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505</v>
      </c>
      <c r="C70" s="42" t="s">
        <v>506</v>
      </c>
      <c r="D70" s="42" t="s">
        <v>1633</v>
      </c>
      <c r="E70" s="34" t="s">
        <v>459</v>
      </c>
      <c r="F70" s="43" t="s">
        <v>459</v>
      </c>
      <c r="G70" s="31" t="s">
        <v>110</v>
      </c>
      <c r="H70" s="44" t="s">
        <v>461</v>
      </c>
      <c r="I70" s="42" t="s">
        <v>1634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511</v>
      </c>
      <c r="C71" s="42" t="s">
        <v>506</v>
      </c>
      <c r="D71" s="42" t="s">
        <v>512</v>
      </c>
      <c r="E71" s="34" t="s">
        <v>459</v>
      </c>
      <c r="F71" s="43" t="s">
        <v>459</v>
      </c>
      <c r="G71" s="31" t="s">
        <v>110</v>
      </c>
      <c r="H71" s="44" t="s">
        <v>461</v>
      </c>
      <c r="I71" s="42" t="s">
        <v>1622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511</v>
      </c>
      <c r="C72" s="42" t="s">
        <v>506</v>
      </c>
      <c r="D72" s="42" t="s">
        <v>965</v>
      </c>
      <c r="E72" s="34" t="s">
        <v>459</v>
      </c>
      <c r="F72" s="43" t="s">
        <v>459</v>
      </c>
      <c r="G72" s="31" t="s">
        <v>110</v>
      </c>
      <c r="H72" s="44" t="s">
        <v>461</v>
      </c>
      <c r="I72" s="42" t="s">
        <v>1622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511</v>
      </c>
      <c r="C73" s="42" t="s">
        <v>506</v>
      </c>
      <c r="D73" s="42" t="s">
        <v>1611</v>
      </c>
      <c r="E73" s="34" t="s">
        <v>459</v>
      </c>
      <c r="F73" s="43" t="s">
        <v>459</v>
      </c>
      <c r="G73" s="31" t="s">
        <v>110</v>
      </c>
      <c r="H73" s="44" t="s">
        <v>461</v>
      </c>
      <c r="I73" s="42" t="s">
        <v>1622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511</v>
      </c>
      <c r="C74" s="42" t="s">
        <v>506</v>
      </c>
      <c r="D74" s="42" t="s">
        <v>514</v>
      </c>
      <c r="E74" s="34" t="s">
        <v>459</v>
      </c>
      <c r="F74" s="43" t="s">
        <v>459</v>
      </c>
      <c r="G74" s="31" t="s">
        <v>110</v>
      </c>
      <c r="H74" s="44" t="s">
        <v>461</v>
      </c>
      <c r="I74" s="42" t="s">
        <v>1622</v>
      </c>
      <c r="J74" s="42"/>
      <c r="K74" s="45" t="n">
        <f aca="false">IF(AND(E74="yes",F74="yes",H74="covered"),1,IF(H74="partial",0.5,0))</f>
        <v>1</v>
      </c>
    </row>
    <row r="75" customFormat="false" ht="30" hidden="false" customHeight="true" outlineLevel="0" collapsed="false">
      <c r="A75" s="31" t="n">
        <v>67</v>
      </c>
      <c r="B75" s="42" t="s">
        <v>483</v>
      </c>
      <c r="C75" s="42" t="s">
        <v>37</v>
      </c>
      <c r="D75" s="42" t="s">
        <v>516</v>
      </c>
      <c r="E75" s="34" t="s">
        <v>459</v>
      </c>
      <c r="F75" s="43" t="s">
        <v>459</v>
      </c>
      <c r="G75" s="31" t="s">
        <v>110</v>
      </c>
      <c r="H75" s="44" t="s">
        <v>461</v>
      </c>
      <c r="I75" s="42" t="s">
        <v>1622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483</v>
      </c>
      <c r="C76" s="42" t="s">
        <v>37</v>
      </c>
      <c r="D76" s="42" t="s">
        <v>517</v>
      </c>
      <c r="E76" s="34" t="s">
        <v>459</v>
      </c>
      <c r="F76" s="43" t="s">
        <v>459</v>
      </c>
      <c r="G76" s="31" t="s">
        <v>110</v>
      </c>
      <c r="H76" s="44" t="s">
        <v>461</v>
      </c>
      <c r="I76" s="42" t="s">
        <v>1622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483</v>
      </c>
      <c r="C77" s="42" t="s">
        <v>37</v>
      </c>
      <c r="D77" s="42" t="s">
        <v>519</v>
      </c>
      <c r="E77" s="34" t="s">
        <v>459</v>
      </c>
      <c r="F77" s="43" t="s">
        <v>459</v>
      </c>
      <c r="G77" s="31" t="s">
        <v>110</v>
      </c>
      <c r="H77" s="44" t="s">
        <v>461</v>
      </c>
      <c r="I77" s="42" t="s">
        <v>1622</v>
      </c>
      <c r="J77" s="42"/>
      <c r="K77" s="45" t="n">
        <f aca="false">IF(AND(E77="yes",F77="yes",H77="covered"),1,IF(H77="partial",0.5,0))</f>
        <v>1</v>
      </c>
    </row>
    <row r="78" customFormat="false" ht="30" hidden="false" customHeight="true" outlineLevel="0" collapsed="false">
      <c r="A78" s="31" t="n">
        <v>70</v>
      </c>
      <c r="B78" s="42" t="s">
        <v>483</v>
      </c>
      <c r="C78" s="42" t="s">
        <v>37</v>
      </c>
      <c r="D78" s="42" t="s">
        <v>520</v>
      </c>
      <c r="E78" s="34" t="s">
        <v>459</v>
      </c>
      <c r="F78" s="43" t="s">
        <v>459</v>
      </c>
      <c r="G78" s="31" t="s">
        <v>110</v>
      </c>
      <c r="H78" s="44" t="s">
        <v>461</v>
      </c>
      <c r="I78" s="42" t="s">
        <v>1622</v>
      </c>
      <c r="J78" s="42"/>
      <c r="K78" s="45" t="n">
        <f aca="false">IF(AND(E78="yes",F78="yes",H78="covered"),1,IF(H78="partial",0.5,0))</f>
        <v>1</v>
      </c>
    </row>
    <row r="79" customFormat="false" ht="30" hidden="false" customHeight="true" outlineLevel="0" collapsed="false">
      <c r="A79" s="31" t="n">
        <v>71</v>
      </c>
      <c r="B79" s="42" t="s">
        <v>1612</v>
      </c>
      <c r="C79" s="42" t="s">
        <v>1635</v>
      </c>
      <c r="D79" s="42" t="s">
        <v>1636</v>
      </c>
      <c r="E79" s="34" t="s">
        <v>459</v>
      </c>
      <c r="F79" s="43" t="s">
        <v>459</v>
      </c>
      <c r="G79" s="31" t="s">
        <v>110</v>
      </c>
      <c r="H79" s="44" t="s">
        <v>461</v>
      </c>
      <c r="I79" s="42" t="s">
        <v>1637</v>
      </c>
      <c r="J79" s="42"/>
      <c r="K79" s="45" t="n">
        <f aca="false">IF(AND(E79="yes",F79="yes",H79="covered"),1,IF(H79="partial",0.5,0))</f>
        <v>1</v>
      </c>
    </row>
    <row r="80" customFormat="false" ht="30" hidden="false" customHeight="true" outlineLevel="0" collapsed="false">
      <c r="A80" s="31" t="n">
        <v>72</v>
      </c>
      <c r="B80" s="42" t="s">
        <v>1612</v>
      </c>
      <c r="C80" s="42" t="s">
        <v>1638</v>
      </c>
      <c r="D80" s="42" t="s">
        <v>1639</v>
      </c>
      <c r="E80" s="34" t="s">
        <v>459</v>
      </c>
      <c r="F80" s="43" t="s">
        <v>459</v>
      </c>
      <c r="G80" s="31" t="s">
        <v>110</v>
      </c>
      <c r="H80" s="44" t="s">
        <v>461</v>
      </c>
      <c r="I80" s="42" t="s">
        <v>1640</v>
      </c>
      <c r="J80" s="42"/>
      <c r="K80" s="45" t="n">
        <f aca="false">IF(AND(E80="yes",F80="yes",H80="covered"),1,IF(H80="partial",0.5,0))</f>
        <v>1</v>
      </c>
    </row>
    <row r="81" customFormat="false" ht="30" hidden="false" customHeight="true" outlineLevel="0" collapsed="false">
      <c r="A81" s="31" t="n">
        <v>73</v>
      </c>
      <c r="B81" s="42" t="s">
        <v>488</v>
      </c>
      <c r="C81" s="42" t="s">
        <v>37</v>
      </c>
      <c r="D81" s="42" t="s">
        <v>971</v>
      </c>
      <c r="E81" s="34" t="s">
        <v>459</v>
      </c>
      <c r="F81" s="43" t="s">
        <v>459</v>
      </c>
      <c r="G81" s="31" t="s">
        <v>110</v>
      </c>
      <c r="H81" s="44" t="s">
        <v>461</v>
      </c>
      <c r="I81" s="42" t="s">
        <v>1622</v>
      </c>
      <c r="J81" s="42"/>
      <c r="K81" s="45" t="n">
        <f aca="false">IF(AND(E81="yes",F81="yes",H81="covered"),1,IF(H81="partial",0.5,0))</f>
        <v>1</v>
      </c>
    </row>
    <row r="82" customFormat="false" ht="30" hidden="false" customHeight="true" outlineLevel="0" collapsed="false"/>
    <row r="83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1641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176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110</v>
      </c>
      <c r="H9" s="44" t="s">
        <v>461</v>
      </c>
      <c r="I9" s="42" t="s">
        <v>1642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110</v>
      </c>
      <c r="H10" s="44" t="s">
        <v>461</v>
      </c>
      <c r="I10" s="42" t="s">
        <v>1642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38</v>
      </c>
      <c r="D11" s="42" t="s">
        <v>464</v>
      </c>
      <c r="E11" s="34" t="s">
        <v>459</v>
      </c>
      <c r="F11" s="43" t="s">
        <v>459</v>
      </c>
      <c r="G11" s="31" t="s">
        <v>110</v>
      </c>
      <c r="H11" s="44" t="s">
        <v>461</v>
      </c>
      <c r="I11" s="42" t="s">
        <v>1642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38</v>
      </c>
      <c r="D12" s="42" t="s">
        <v>465</v>
      </c>
      <c r="E12" s="34" t="s">
        <v>459</v>
      </c>
      <c r="F12" s="43" t="s">
        <v>459</v>
      </c>
      <c r="G12" s="31" t="s">
        <v>110</v>
      </c>
      <c r="H12" s="44" t="s">
        <v>461</v>
      </c>
      <c r="I12" s="42" t="s">
        <v>1642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38</v>
      </c>
      <c r="D13" s="42" t="s">
        <v>466</v>
      </c>
      <c r="E13" s="34" t="s">
        <v>459</v>
      </c>
      <c r="F13" s="43" t="s">
        <v>459</v>
      </c>
      <c r="G13" s="31" t="s">
        <v>110</v>
      </c>
      <c r="H13" s="44" t="s">
        <v>461</v>
      </c>
      <c r="I13" s="42" t="s">
        <v>1642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38</v>
      </c>
      <c r="D14" s="42" t="s">
        <v>467</v>
      </c>
      <c r="E14" s="34" t="s">
        <v>459</v>
      </c>
      <c r="F14" s="43" t="s">
        <v>459</v>
      </c>
      <c r="G14" s="31" t="s">
        <v>110</v>
      </c>
      <c r="H14" s="44" t="s">
        <v>461</v>
      </c>
      <c r="I14" s="42" t="s">
        <v>1642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38</v>
      </c>
      <c r="D15" s="42" t="s">
        <v>1643</v>
      </c>
      <c r="E15" s="34" t="s">
        <v>459</v>
      </c>
      <c r="F15" s="43" t="s">
        <v>459</v>
      </c>
      <c r="G15" s="31" t="s">
        <v>110</v>
      </c>
      <c r="H15" s="44" t="s">
        <v>461</v>
      </c>
      <c r="I15" s="42" t="s">
        <v>1642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38</v>
      </c>
      <c r="D16" s="42" t="s">
        <v>1644</v>
      </c>
      <c r="E16" s="34" t="s">
        <v>459</v>
      </c>
      <c r="F16" s="43" t="s">
        <v>459</v>
      </c>
      <c r="G16" s="31" t="s">
        <v>110</v>
      </c>
      <c r="H16" s="44" t="s">
        <v>461</v>
      </c>
      <c r="I16" s="42" t="s">
        <v>1642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38</v>
      </c>
      <c r="D17" s="42" t="s">
        <v>1645</v>
      </c>
      <c r="E17" s="34" t="s">
        <v>459</v>
      </c>
      <c r="F17" s="43" t="s">
        <v>459</v>
      </c>
      <c r="G17" s="31" t="s">
        <v>110</v>
      </c>
      <c r="H17" s="44" t="s">
        <v>461</v>
      </c>
      <c r="I17" s="42" t="s">
        <v>1642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38</v>
      </c>
      <c r="D18" s="42" t="s">
        <v>1646</v>
      </c>
      <c r="E18" s="34" t="s">
        <v>459</v>
      </c>
      <c r="F18" s="43" t="s">
        <v>459</v>
      </c>
      <c r="G18" s="31" t="s">
        <v>110</v>
      </c>
      <c r="H18" s="44" t="s">
        <v>461</v>
      </c>
      <c r="I18" s="42" t="s">
        <v>1642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38</v>
      </c>
      <c r="D19" s="42" t="s">
        <v>1647</v>
      </c>
      <c r="E19" s="34" t="s">
        <v>459</v>
      </c>
      <c r="F19" s="43" t="s">
        <v>459</v>
      </c>
      <c r="G19" s="31" t="s">
        <v>110</v>
      </c>
      <c r="H19" s="44" t="s">
        <v>461</v>
      </c>
      <c r="I19" s="42" t="s">
        <v>1642</v>
      </c>
      <c r="J19" s="42"/>
      <c r="K19" s="45" t="n">
        <f aca="false">IF(AND(E19="yes",F19="yes",H19="covered"),1,IF(H19="partial",0.5,0))</f>
        <v>1</v>
      </c>
    </row>
    <row r="20" customFormat="false" ht="30" hidden="false" customHeight="true" outlineLevel="0" collapsed="false">
      <c r="A20" s="31" t="n">
        <v>12</v>
      </c>
      <c r="B20" s="42" t="s">
        <v>468</v>
      </c>
      <c r="C20" s="42" t="s">
        <v>38</v>
      </c>
      <c r="D20" s="42" t="s">
        <v>1648</v>
      </c>
      <c r="E20" s="34" t="s">
        <v>459</v>
      </c>
      <c r="F20" s="43" t="s">
        <v>459</v>
      </c>
      <c r="G20" s="31" t="s">
        <v>110</v>
      </c>
      <c r="H20" s="44" t="s">
        <v>461</v>
      </c>
      <c r="I20" s="42" t="s">
        <v>1642</v>
      </c>
      <c r="J20" s="42"/>
      <c r="K20" s="45" t="n">
        <f aca="false">IF(AND(E20="yes",F20="yes",H20="covered"),1,IF(H20="partial",0.5,0))</f>
        <v>1</v>
      </c>
    </row>
    <row r="21" customFormat="false" ht="30" hidden="false" customHeight="true" outlineLevel="0" collapsed="false">
      <c r="A21" s="31" t="n">
        <v>13</v>
      </c>
      <c r="B21" s="42" t="s">
        <v>468</v>
      </c>
      <c r="C21" s="42" t="s">
        <v>38</v>
      </c>
      <c r="D21" s="42" t="s">
        <v>1649</v>
      </c>
      <c r="E21" s="34" t="s">
        <v>459</v>
      </c>
      <c r="F21" s="43" t="s">
        <v>459</v>
      </c>
      <c r="G21" s="31" t="s">
        <v>110</v>
      </c>
      <c r="H21" s="44" t="s">
        <v>461</v>
      </c>
      <c r="I21" s="42" t="s">
        <v>1642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468</v>
      </c>
      <c r="C22" s="42" t="s">
        <v>38</v>
      </c>
      <c r="D22" s="42" t="s">
        <v>1650</v>
      </c>
      <c r="E22" s="34" t="s">
        <v>459</v>
      </c>
      <c r="F22" s="43" t="s">
        <v>459</v>
      </c>
      <c r="G22" s="31" t="s">
        <v>110</v>
      </c>
      <c r="H22" s="44" t="s">
        <v>461</v>
      </c>
      <c r="I22" s="42" t="s">
        <v>1642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468</v>
      </c>
      <c r="C23" s="42" t="s">
        <v>38</v>
      </c>
      <c r="D23" s="42" t="s">
        <v>1651</v>
      </c>
      <c r="E23" s="34" t="s">
        <v>459</v>
      </c>
      <c r="F23" s="43" t="s">
        <v>459</v>
      </c>
      <c r="G23" s="31" t="s">
        <v>110</v>
      </c>
      <c r="H23" s="44" t="s">
        <v>461</v>
      </c>
      <c r="I23" s="42" t="s">
        <v>1642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475</v>
      </c>
      <c r="C24" s="42" t="s">
        <v>476</v>
      </c>
      <c r="D24" s="42" t="s">
        <v>477</v>
      </c>
      <c r="E24" s="34" t="s">
        <v>459</v>
      </c>
      <c r="F24" s="43" t="s">
        <v>459</v>
      </c>
      <c r="G24" s="31" t="s">
        <v>110</v>
      </c>
      <c r="H24" s="44" t="s">
        <v>461</v>
      </c>
      <c r="I24" s="42" t="s">
        <v>1642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475</v>
      </c>
      <c r="C25" s="42" t="s">
        <v>476</v>
      </c>
      <c r="D25" s="42" t="s">
        <v>478</v>
      </c>
      <c r="E25" s="34" t="s">
        <v>459</v>
      </c>
      <c r="F25" s="43" t="s">
        <v>459</v>
      </c>
      <c r="G25" s="31" t="s">
        <v>110</v>
      </c>
      <c r="H25" s="44" t="s">
        <v>461</v>
      </c>
      <c r="I25" s="42" t="s">
        <v>1642</v>
      </c>
      <c r="J25" s="42"/>
      <c r="K25" s="45" t="n">
        <f aca="false">IF(AND(E25="yes",F25="yes",H25="covered"),1,IF(H25="partial",0.5,0))</f>
        <v>1</v>
      </c>
    </row>
    <row r="26" customFormat="false" ht="30" hidden="false" customHeight="true" outlineLevel="0" collapsed="false">
      <c r="A26" s="31" t="n">
        <v>18</v>
      </c>
      <c r="B26" s="42" t="s">
        <v>479</v>
      </c>
      <c r="C26" s="42" t="s">
        <v>476</v>
      </c>
      <c r="D26" s="42" t="s">
        <v>480</v>
      </c>
      <c r="E26" s="34" t="s">
        <v>459</v>
      </c>
      <c r="F26" s="43" t="s">
        <v>459</v>
      </c>
      <c r="G26" s="31" t="s">
        <v>110</v>
      </c>
      <c r="H26" s="44" t="s">
        <v>461</v>
      </c>
      <c r="I26" s="42" t="s">
        <v>1642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479</v>
      </c>
      <c r="C27" s="42" t="s">
        <v>476</v>
      </c>
      <c r="D27" s="42" t="s">
        <v>481</v>
      </c>
      <c r="E27" s="34" t="s">
        <v>459</v>
      </c>
      <c r="F27" s="43" t="s">
        <v>459</v>
      </c>
      <c r="G27" s="31" t="s">
        <v>110</v>
      </c>
      <c r="H27" s="44" t="s">
        <v>461</v>
      </c>
      <c r="I27" s="42" t="s">
        <v>1642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457</v>
      </c>
      <c r="C28" s="42" t="s">
        <v>476</v>
      </c>
      <c r="D28" s="42" t="s">
        <v>482</v>
      </c>
      <c r="E28" s="34" t="s">
        <v>459</v>
      </c>
      <c r="F28" s="43" t="s">
        <v>459</v>
      </c>
      <c r="G28" s="31" t="s">
        <v>110</v>
      </c>
      <c r="H28" s="44" t="s">
        <v>461</v>
      </c>
      <c r="I28" s="42" t="s">
        <v>1642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774</v>
      </c>
      <c r="C29" s="42" t="s">
        <v>476</v>
      </c>
      <c r="D29" s="42" t="s">
        <v>775</v>
      </c>
      <c r="E29" s="34" t="s">
        <v>459</v>
      </c>
      <c r="F29" s="43" t="s">
        <v>459</v>
      </c>
      <c r="G29" s="31" t="s">
        <v>110</v>
      </c>
      <c r="H29" s="44" t="s">
        <v>461</v>
      </c>
      <c r="I29" s="42" t="s">
        <v>1642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1652</v>
      </c>
      <c r="E30" s="34" t="s">
        <v>459</v>
      </c>
      <c r="F30" s="43" t="s">
        <v>459</v>
      </c>
      <c r="G30" s="31" t="s">
        <v>110</v>
      </c>
      <c r="H30" s="44" t="s">
        <v>461</v>
      </c>
      <c r="I30" s="42" t="s">
        <v>1642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1653</v>
      </c>
      <c r="E31" s="34" t="s">
        <v>459</v>
      </c>
      <c r="F31" s="43" t="s">
        <v>459</v>
      </c>
      <c r="G31" s="31" t="s">
        <v>110</v>
      </c>
      <c r="H31" s="44" t="s">
        <v>461</v>
      </c>
      <c r="I31" s="42" t="s">
        <v>1642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1654</v>
      </c>
      <c r="E32" s="34" t="s">
        <v>459</v>
      </c>
      <c r="F32" s="43" t="s">
        <v>459</v>
      </c>
      <c r="G32" s="31" t="s">
        <v>110</v>
      </c>
      <c r="H32" s="44" t="s">
        <v>461</v>
      </c>
      <c r="I32" s="42" t="s">
        <v>1642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488</v>
      </c>
      <c r="C33" s="42" t="s">
        <v>476</v>
      </c>
      <c r="D33" s="42" t="s">
        <v>1655</v>
      </c>
      <c r="E33" s="34" t="s">
        <v>459</v>
      </c>
      <c r="F33" s="43" t="s">
        <v>459</v>
      </c>
      <c r="G33" s="31" t="s">
        <v>110</v>
      </c>
      <c r="H33" s="44" t="s">
        <v>461</v>
      </c>
      <c r="I33" s="42" t="s">
        <v>1642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476</v>
      </c>
      <c r="D34" s="42" t="s">
        <v>1656</v>
      </c>
      <c r="E34" s="34" t="s">
        <v>459</v>
      </c>
      <c r="F34" s="43" t="s">
        <v>459</v>
      </c>
      <c r="G34" s="31" t="s">
        <v>110</v>
      </c>
      <c r="H34" s="44" t="s">
        <v>461</v>
      </c>
      <c r="I34" s="42" t="s">
        <v>1642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1657</v>
      </c>
      <c r="E35" s="34" t="s">
        <v>459</v>
      </c>
      <c r="F35" s="43" t="s">
        <v>459</v>
      </c>
      <c r="G35" s="31" t="s">
        <v>110</v>
      </c>
      <c r="H35" s="44" t="s">
        <v>461</v>
      </c>
      <c r="I35" s="42" t="s">
        <v>1642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1658</v>
      </c>
      <c r="E36" s="34" t="s">
        <v>459</v>
      </c>
      <c r="F36" s="43" t="s">
        <v>459</v>
      </c>
      <c r="G36" s="31" t="s">
        <v>110</v>
      </c>
      <c r="H36" s="44" t="s">
        <v>461</v>
      </c>
      <c r="I36" s="42" t="s">
        <v>1642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486</v>
      </c>
      <c r="C37" s="42" t="s">
        <v>476</v>
      </c>
      <c r="D37" s="42" t="s">
        <v>1659</v>
      </c>
      <c r="E37" s="34" t="s">
        <v>459</v>
      </c>
      <c r="F37" s="43" t="s">
        <v>459</v>
      </c>
      <c r="G37" s="31" t="s">
        <v>110</v>
      </c>
      <c r="H37" s="44" t="s">
        <v>461</v>
      </c>
      <c r="I37" s="42" t="s">
        <v>1642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476</v>
      </c>
      <c r="D38" s="42" t="s">
        <v>1660</v>
      </c>
      <c r="E38" s="34" t="s">
        <v>459</v>
      </c>
      <c r="F38" s="43" t="s">
        <v>459</v>
      </c>
      <c r="G38" s="31" t="s">
        <v>110</v>
      </c>
      <c r="H38" s="44" t="s">
        <v>461</v>
      </c>
      <c r="I38" s="42" t="s">
        <v>1642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476</v>
      </c>
      <c r="D39" s="42" t="s">
        <v>1661</v>
      </c>
      <c r="E39" s="34" t="s">
        <v>459</v>
      </c>
      <c r="F39" s="43" t="s">
        <v>459</v>
      </c>
      <c r="G39" s="31" t="s">
        <v>110</v>
      </c>
      <c r="H39" s="44" t="s">
        <v>461</v>
      </c>
      <c r="I39" s="42" t="s">
        <v>1642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476</v>
      </c>
      <c r="D40" s="42" t="s">
        <v>954</v>
      </c>
      <c r="E40" s="34" t="s">
        <v>459</v>
      </c>
      <c r="F40" s="43" t="s">
        <v>459</v>
      </c>
      <c r="G40" s="31" t="s">
        <v>110</v>
      </c>
      <c r="H40" s="44" t="s">
        <v>461</v>
      </c>
      <c r="I40" s="42" t="s">
        <v>1642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486</v>
      </c>
      <c r="C41" s="42" t="s">
        <v>476</v>
      </c>
      <c r="D41" s="42" t="s">
        <v>955</v>
      </c>
      <c r="E41" s="34" t="s">
        <v>459</v>
      </c>
      <c r="F41" s="43" t="s">
        <v>459</v>
      </c>
      <c r="G41" s="31" t="s">
        <v>110</v>
      </c>
      <c r="H41" s="44" t="s">
        <v>461</v>
      </c>
      <c r="I41" s="42" t="s">
        <v>1642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488</v>
      </c>
      <c r="C42" s="42" t="s">
        <v>476</v>
      </c>
      <c r="D42" s="42" t="s">
        <v>493</v>
      </c>
      <c r="E42" s="34" t="s">
        <v>459</v>
      </c>
      <c r="F42" s="43" t="s">
        <v>459</v>
      </c>
      <c r="G42" s="31" t="s">
        <v>110</v>
      </c>
      <c r="H42" s="44" t="s">
        <v>461</v>
      </c>
      <c r="I42" s="42" t="s">
        <v>1642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488</v>
      </c>
      <c r="C43" s="42" t="s">
        <v>476</v>
      </c>
      <c r="D43" s="42" t="s">
        <v>953</v>
      </c>
      <c r="E43" s="34" t="s">
        <v>459</v>
      </c>
      <c r="F43" s="43" t="s">
        <v>459</v>
      </c>
      <c r="G43" s="31" t="s">
        <v>110</v>
      </c>
      <c r="H43" s="44" t="s">
        <v>461</v>
      </c>
      <c r="I43" s="42" t="s">
        <v>1642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488</v>
      </c>
      <c r="C44" s="42" t="s">
        <v>476</v>
      </c>
      <c r="D44" s="42" t="s">
        <v>951</v>
      </c>
      <c r="E44" s="34" t="s">
        <v>459</v>
      </c>
      <c r="F44" s="43" t="s">
        <v>459</v>
      </c>
      <c r="G44" s="31" t="s">
        <v>110</v>
      </c>
      <c r="H44" s="44" t="s">
        <v>461</v>
      </c>
      <c r="I44" s="42" t="s">
        <v>1642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488</v>
      </c>
      <c r="C45" s="42" t="s">
        <v>476</v>
      </c>
      <c r="D45" s="42" t="s">
        <v>952</v>
      </c>
      <c r="E45" s="34" t="s">
        <v>459</v>
      </c>
      <c r="F45" s="43" t="s">
        <v>459</v>
      </c>
      <c r="G45" s="31" t="s">
        <v>110</v>
      </c>
      <c r="H45" s="44" t="s">
        <v>461</v>
      </c>
      <c r="I45" s="42" t="s">
        <v>1642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483</v>
      </c>
      <c r="C46" s="42" t="s">
        <v>476</v>
      </c>
      <c r="D46" s="42" t="s">
        <v>484</v>
      </c>
      <c r="E46" s="34" t="s">
        <v>459</v>
      </c>
      <c r="F46" s="43" t="s">
        <v>459</v>
      </c>
      <c r="G46" s="31" t="s">
        <v>110</v>
      </c>
      <c r="H46" s="44" t="s">
        <v>461</v>
      </c>
      <c r="I46" s="42" t="s">
        <v>1642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483</v>
      </c>
      <c r="C47" s="42" t="s">
        <v>476</v>
      </c>
      <c r="D47" s="42" t="s">
        <v>485</v>
      </c>
      <c r="E47" s="34" t="s">
        <v>459</v>
      </c>
      <c r="F47" s="43" t="s">
        <v>459</v>
      </c>
      <c r="G47" s="31" t="s">
        <v>110</v>
      </c>
      <c r="H47" s="44" t="s">
        <v>461</v>
      </c>
      <c r="I47" s="42" t="s">
        <v>1642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486</v>
      </c>
      <c r="C48" s="42" t="s">
        <v>476</v>
      </c>
      <c r="D48" s="42" t="s">
        <v>1062</v>
      </c>
      <c r="E48" s="34" t="s">
        <v>459</v>
      </c>
      <c r="F48" s="43" t="s">
        <v>459</v>
      </c>
      <c r="G48" s="31" t="s">
        <v>110</v>
      </c>
      <c r="H48" s="44" t="s">
        <v>461</v>
      </c>
      <c r="I48" s="42" t="s">
        <v>1642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486</v>
      </c>
      <c r="C49" s="42" t="s">
        <v>476</v>
      </c>
      <c r="D49" s="42" t="s">
        <v>495</v>
      </c>
      <c r="E49" s="34" t="s">
        <v>459</v>
      </c>
      <c r="F49" s="43" t="s">
        <v>459</v>
      </c>
      <c r="G49" s="31" t="s">
        <v>110</v>
      </c>
      <c r="H49" s="44" t="s">
        <v>461</v>
      </c>
      <c r="I49" s="42" t="s">
        <v>1642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486</v>
      </c>
      <c r="C50" s="42" t="s">
        <v>476</v>
      </c>
      <c r="D50" s="42" t="s">
        <v>499</v>
      </c>
      <c r="E50" s="34" t="s">
        <v>459</v>
      </c>
      <c r="F50" s="43" t="s">
        <v>459</v>
      </c>
      <c r="G50" s="31" t="s">
        <v>110</v>
      </c>
      <c r="H50" s="44" t="s">
        <v>461</v>
      </c>
      <c r="I50" s="42" t="s">
        <v>1642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486</v>
      </c>
      <c r="C51" s="42" t="s">
        <v>476</v>
      </c>
      <c r="D51" s="42" t="s">
        <v>1662</v>
      </c>
      <c r="E51" s="34" t="s">
        <v>459</v>
      </c>
      <c r="F51" s="43" t="s">
        <v>459</v>
      </c>
      <c r="G51" s="31" t="s">
        <v>110</v>
      </c>
      <c r="H51" s="44" t="s">
        <v>461</v>
      </c>
      <c r="I51" s="42" t="s">
        <v>1642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486</v>
      </c>
      <c r="C52" s="42" t="s">
        <v>476</v>
      </c>
      <c r="D52" s="42" t="s">
        <v>1065</v>
      </c>
      <c r="E52" s="34" t="s">
        <v>459</v>
      </c>
      <c r="F52" s="43" t="s">
        <v>459</v>
      </c>
      <c r="G52" s="31" t="s">
        <v>110</v>
      </c>
      <c r="H52" s="44" t="s">
        <v>461</v>
      </c>
      <c r="I52" s="42" t="s">
        <v>1642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486</v>
      </c>
      <c r="C53" s="42" t="s">
        <v>476</v>
      </c>
      <c r="D53" s="42" t="s">
        <v>1663</v>
      </c>
      <c r="E53" s="34" t="s">
        <v>459</v>
      </c>
      <c r="F53" s="43" t="s">
        <v>459</v>
      </c>
      <c r="G53" s="31" t="s">
        <v>110</v>
      </c>
      <c r="H53" s="44" t="s">
        <v>461</v>
      </c>
      <c r="I53" s="42" t="s">
        <v>1642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488</v>
      </c>
      <c r="C54" s="42" t="s">
        <v>476</v>
      </c>
      <c r="D54" s="42" t="s">
        <v>497</v>
      </c>
      <c r="E54" s="34" t="s">
        <v>459</v>
      </c>
      <c r="F54" s="43" t="s">
        <v>459</v>
      </c>
      <c r="G54" s="31" t="s">
        <v>110</v>
      </c>
      <c r="H54" s="44" t="s">
        <v>461</v>
      </c>
      <c r="I54" s="42" t="s">
        <v>1642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488</v>
      </c>
      <c r="C55" s="42" t="s">
        <v>476</v>
      </c>
      <c r="D55" s="42" t="s">
        <v>957</v>
      </c>
      <c r="E55" s="34" t="s">
        <v>459</v>
      </c>
      <c r="F55" s="43" t="s">
        <v>459</v>
      </c>
      <c r="G55" s="31" t="s">
        <v>110</v>
      </c>
      <c r="H55" s="44" t="s">
        <v>461</v>
      </c>
      <c r="I55" s="42" t="s">
        <v>1642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488</v>
      </c>
      <c r="C56" s="42" t="s">
        <v>476</v>
      </c>
      <c r="D56" s="42" t="s">
        <v>1602</v>
      </c>
      <c r="E56" s="34" t="s">
        <v>459</v>
      </c>
      <c r="F56" s="43" t="s">
        <v>459</v>
      </c>
      <c r="G56" s="31" t="s">
        <v>110</v>
      </c>
      <c r="H56" s="44" t="s">
        <v>461</v>
      </c>
      <c r="I56" s="42" t="s">
        <v>1642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488</v>
      </c>
      <c r="C57" s="42" t="s">
        <v>476</v>
      </c>
      <c r="D57" s="42" t="s">
        <v>958</v>
      </c>
      <c r="E57" s="34" t="s">
        <v>459</v>
      </c>
      <c r="F57" s="43" t="s">
        <v>459</v>
      </c>
      <c r="G57" s="31" t="s">
        <v>110</v>
      </c>
      <c r="H57" s="44" t="s">
        <v>461</v>
      </c>
      <c r="I57" s="42" t="s">
        <v>1642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475</v>
      </c>
      <c r="C58" s="42" t="s">
        <v>498</v>
      </c>
      <c r="D58" s="42" t="s">
        <v>477</v>
      </c>
      <c r="E58" s="34" t="s">
        <v>459</v>
      </c>
      <c r="F58" s="43" t="s">
        <v>459</v>
      </c>
      <c r="G58" s="31" t="s">
        <v>110</v>
      </c>
      <c r="H58" s="44" t="s">
        <v>461</v>
      </c>
      <c r="I58" s="42" t="s">
        <v>1642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475</v>
      </c>
      <c r="C59" s="42" t="s">
        <v>498</v>
      </c>
      <c r="D59" s="42" t="s">
        <v>478</v>
      </c>
      <c r="E59" s="34" t="s">
        <v>459</v>
      </c>
      <c r="F59" s="43" t="s">
        <v>459</v>
      </c>
      <c r="G59" s="31" t="s">
        <v>110</v>
      </c>
      <c r="H59" s="44" t="s">
        <v>461</v>
      </c>
      <c r="I59" s="42" t="s">
        <v>1642</v>
      </c>
      <c r="J59" s="42"/>
      <c r="K59" s="45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31" t="n">
        <v>52</v>
      </c>
      <c r="B60" s="42" t="s">
        <v>479</v>
      </c>
      <c r="C60" s="42" t="s">
        <v>498</v>
      </c>
      <c r="D60" s="42" t="s">
        <v>480</v>
      </c>
      <c r="E60" s="34" t="s">
        <v>459</v>
      </c>
      <c r="F60" s="43" t="s">
        <v>459</v>
      </c>
      <c r="G60" s="31" t="s">
        <v>110</v>
      </c>
      <c r="H60" s="44" t="s">
        <v>461</v>
      </c>
      <c r="I60" s="42" t="s">
        <v>1642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479</v>
      </c>
      <c r="C61" s="42" t="s">
        <v>498</v>
      </c>
      <c r="D61" s="42" t="s">
        <v>481</v>
      </c>
      <c r="E61" s="34" t="s">
        <v>459</v>
      </c>
      <c r="F61" s="43" t="s">
        <v>459</v>
      </c>
      <c r="G61" s="31" t="s">
        <v>110</v>
      </c>
      <c r="H61" s="44" t="s">
        <v>461</v>
      </c>
      <c r="I61" s="42" t="s">
        <v>1642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457</v>
      </c>
      <c r="C62" s="42" t="s">
        <v>498</v>
      </c>
      <c r="D62" s="42" t="s">
        <v>482</v>
      </c>
      <c r="E62" s="34" t="s">
        <v>459</v>
      </c>
      <c r="F62" s="43" t="s">
        <v>459</v>
      </c>
      <c r="G62" s="31" t="s">
        <v>110</v>
      </c>
      <c r="H62" s="44" t="s">
        <v>461</v>
      </c>
      <c r="I62" s="42" t="s">
        <v>1642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774</v>
      </c>
      <c r="C63" s="42" t="s">
        <v>498</v>
      </c>
      <c r="D63" s="42" t="s">
        <v>775</v>
      </c>
      <c r="E63" s="34" t="s">
        <v>459</v>
      </c>
      <c r="F63" s="43" t="s">
        <v>459</v>
      </c>
      <c r="G63" s="31" t="s">
        <v>110</v>
      </c>
      <c r="H63" s="44" t="s">
        <v>461</v>
      </c>
      <c r="I63" s="42" t="s">
        <v>1642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483</v>
      </c>
      <c r="C64" s="42" t="s">
        <v>498</v>
      </c>
      <c r="D64" s="42" t="s">
        <v>484</v>
      </c>
      <c r="E64" s="34" t="s">
        <v>459</v>
      </c>
      <c r="F64" s="43" t="s">
        <v>459</v>
      </c>
      <c r="G64" s="31" t="s">
        <v>110</v>
      </c>
      <c r="H64" s="44" t="s">
        <v>461</v>
      </c>
      <c r="I64" s="42" t="s">
        <v>1642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483</v>
      </c>
      <c r="C65" s="42" t="s">
        <v>498</v>
      </c>
      <c r="D65" s="42" t="s">
        <v>485</v>
      </c>
      <c r="E65" s="34" t="s">
        <v>459</v>
      </c>
      <c r="F65" s="43" t="s">
        <v>459</v>
      </c>
      <c r="G65" s="31" t="s">
        <v>110</v>
      </c>
      <c r="H65" s="44" t="s">
        <v>461</v>
      </c>
      <c r="I65" s="42" t="s">
        <v>1642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486</v>
      </c>
      <c r="C66" s="42" t="s">
        <v>498</v>
      </c>
      <c r="D66" s="42" t="s">
        <v>1062</v>
      </c>
      <c r="E66" s="34" t="s">
        <v>459</v>
      </c>
      <c r="F66" s="43" t="s">
        <v>459</v>
      </c>
      <c r="G66" s="31" t="s">
        <v>110</v>
      </c>
      <c r="H66" s="44" t="s">
        <v>461</v>
      </c>
      <c r="I66" s="42" t="s">
        <v>1642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486</v>
      </c>
      <c r="C67" s="42" t="s">
        <v>498</v>
      </c>
      <c r="D67" s="42" t="s">
        <v>495</v>
      </c>
      <c r="E67" s="34" t="s">
        <v>459</v>
      </c>
      <c r="F67" s="43" t="s">
        <v>459</v>
      </c>
      <c r="G67" s="31" t="s">
        <v>110</v>
      </c>
      <c r="H67" s="44" t="s">
        <v>461</v>
      </c>
      <c r="I67" s="42" t="s">
        <v>1642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488</v>
      </c>
      <c r="C68" s="42" t="s">
        <v>498</v>
      </c>
      <c r="D68" s="42" t="s">
        <v>497</v>
      </c>
      <c r="E68" s="34" t="s">
        <v>459</v>
      </c>
      <c r="F68" s="43" t="s">
        <v>459</v>
      </c>
      <c r="G68" s="31" t="s">
        <v>110</v>
      </c>
      <c r="H68" s="44" t="s">
        <v>461</v>
      </c>
      <c r="I68" s="42" t="s">
        <v>1642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488</v>
      </c>
      <c r="C69" s="42" t="s">
        <v>498</v>
      </c>
      <c r="D69" s="42" t="s">
        <v>957</v>
      </c>
      <c r="E69" s="34" t="s">
        <v>459</v>
      </c>
      <c r="F69" s="43" t="s">
        <v>459</v>
      </c>
      <c r="G69" s="31" t="s">
        <v>110</v>
      </c>
      <c r="H69" s="44" t="s">
        <v>461</v>
      </c>
      <c r="I69" s="42" t="s">
        <v>1642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500</v>
      </c>
      <c r="C70" s="42" t="s">
        <v>498</v>
      </c>
      <c r="D70" s="42" t="s">
        <v>1664</v>
      </c>
      <c r="E70" s="34" t="s">
        <v>459</v>
      </c>
      <c r="F70" s="43" t="s">
        <v>459</v>
      </c>
      <c r="G70" s="31" t="s">
        <v>110</v>
      </c>
      <c r="H70" s="44" t="s">
        <v>461</v>
      </c>
      <c r="I70" s="42" t="s">
        <v>1642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475</v>
      </c>
      <c r="C71" s="42" t="s">
        <v>502</v>
      </c>
      <c r="D71" s="42" t="s">
        <v>477</v>
      </c>
      <c r="E71" s="34" t="s">
        <v>459</v>
      </c>
      <c r="F71" s="43" t="s">
        <v>459</v>
      </c>
      <c r="G71" s="31" t="s">
        <v>110</v>
      </c>
      <c r="H71" s="44" t="s">
        <v>461</v>
      </c>
      <c r="I71" s="42" t="s">
        <v>1642</v>
      </c>
      <c r="J71" s="42"/>
      <c r="K71" s="45" t="n">
        <f aca="false">IF(AND(E71="yes",F71="yes",H71="covered"),1,IF(H71="partial",0.5,0))</f>
        <v>1</v>
      </c>
    </row>
    <row r="72" customFormat="false" ht="30" hidden="false" customHeight="true" outlineLevel="0" collapsed="false">
      <c r="A72" s="31" t="n">
        <v>64</v>
      </c>
      <c r="B72" s="42" t="s">
        <v>475</v>
      </c>
      <c r="C72" s="42" t="s">
        <v>502</v>
      </c>
      <c r="D72" s="42" t="s">
        <v>478</v>
      </c>
      <c r="E72" s="34" t="s">
        <v>459</v>
      </c>
      <c r="F72" s="43" t="s">
        <v>459</v>
      </c>
      <c r="G72" s="31" t="s">
        <v>110</v>
      </c>
      <c r="H72" s="44" t="s">
        <v>461</v>
      </c>
      <c r="I72" s="42" t="s">
        <v>1642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479</v>
      </c>
      <c r="C73" s="42" t="s">
        <v>502</v>
      </c>
      <c r="D73" s="42" t="s">
        <v>480</v>
      </c>
      <c r="E73" s="34" t="s">
        <v>459</v>
      </c>
      <c r="F73" s="43" t="s">
        <v>459</v>
      </c>
      <c r="G73" s="31" t="s">
        <v>110</v>
      </c>
      <c r="H73" s="44" t="s">
        <v>461</v>
      </c>
      <c r="I73" s="42" t="s">
        <v>1642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479</v>
      </c>
      <c r="C74" s="42" t="s">
        <v>502</v>
      </c>
      <c r="D74" s="42" t="s">
        <v>481</v>
      </c>
      <c r="E74" s="34" t="s">
        <v>459</v>
      </c>
      <c r="F74" s="43" t="s">
        <v>459</v>
      </c>
      <c r="G74" s="31" t="s">
        <v>110</v>
      </c>
      <c r="H74" s="44" t="s">
        <v>461</v>
      </c>
      <c r="I74" s="42" t="s">
        <v>1642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457</v>
      </c>
      <c r="C75" s="42" t="s">
        <v>502</v>
      </c>
      <c r="D75" s="42" t="s">
        <v>482</v>
      </c>
      <c r="E75" s="34" t="s">
        <v>459</v>
      </c>
      <c r="F75" s="43" t="s">
        <v>459</v>
      </c>
      <c r="G75" s="31" t="s">
        <v>110</v>
      </c>
      <c r="H75" s="44" t="s">
        <v>461</v>
      </c>
      <c r="I75" s="42" t="s">
        <v>1642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774</v>
      </c>
      <c r="C76" s="42" t="s">
        <v>502</v>
      </c>
      <c r="D76" s="42" t="s">
        <v>775</v>
      </c>
      <c r="E76" s="34" t="s">
        <v>459</v>
      </c>
      <c r="F76" s="43" t="s">
        <v>459</v>
      </c>
      <c r="G76" s="31" t="s">
        <v>110</v>
      </c>
      <c r="H76" s="44" t="s">
        <v>461</v>
      </c>
      <c r="I76" s="42" t="s">
        <v>1642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486</v>
      </c>
      <c r="C77" s="42" t="s">
        <v>502</v>
      </c>
      <c r="D77" s="42" t="s">
        <v>1665</v>
      </c>
      <c r="E77" s="34" t="s">
        <v>459</v>
      </c>
      <c r="F77" s="43" t="s">
        <v>459</v>
      </c>
      <c r="G77" s="31" t="s">
        <v>110</v>
      </c>
      <c r="H77" s="44" t="s">
        <v>461</v>
      </c>
      <c r="I77" s="42" t="s">
        <v>1642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483</v>
      </c>
      <c r="C78" s="42" t="s">
        <v>502</v>
      </c>
      <c r="D78" s="42" t="s">
        <v>484</v>
      </c>
      <c r="E78" s="34" t="s">
        <v>459</v>
      </c>
      <c r="F78" s="43" t="s">
        <v>459</v>
      </c>
      <c r="G78" s="31" t="s">
        <v>110</v>
      </c>
      <c r="H78" s="44" t="s">
        <v>461</v>
      </c>
      <c r="I78" s="42" t="s">
        <v>1642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483</v>
      </c>
      <c r="C79" s="42" t="s">
        <v>502</v>
      </c>
      <c r="D79" s="42" t="s">
        <v>485</v>
      </c>
      <c r="E79" s="34" t="s">
        <v>459</v>
      </c>
      <c r="F79" s="43" t="s">
        <v>459</v>
      </c>
      <c r="G79" s="31" t="s">
        <v>110</v>
      </c>
      <c r="H79" s="44" t="s">
        <v>461</v>
      </c>
      <c r="I79" s="42" t="s">
        <v>1642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486</v>
      </c>
      <c r="C80" s="42" t="s">
        <v>502</v>
      </c>
      <c r="D80" s="42" t="s">
        <v>1062</v>
      </c>
      <c r="E80" s="34" t="s">
        <v>459</v>
      </c>
      <c r="F80" s="43" t="s">
        <v>459</v>
      </c>
      <c r="G80" s="31" t="s">
        <v>110</v>
      </c>
      <c r="H80" s="44" t="s">
        <v>461</v>
      </c>
      <c r="I80" s="42" t="s">
        <v>1642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486</v>
      </c>
      <c r="C81" s="42" t="s">
        <v>502</v>
      </c>
      <c r="D81" s="42" t="s">
        <v>495</v>
      </c>
      <c r="E81" s="34" t="s">
        <v>459</v>
      </c>
      <c r="F81" s="43" t="s">
        <v>459</v>
      </c>
      <c r="G81" s="31" t="s">
        <v>110</v>
      </c>
      <c r="H81" s="44" t="s">
        <v>461</v>
      </c>
      <c r="I81" s="42" t="s">
        <v>1642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486</v>
      </c>
      <c r="C82" s="42" t="s">
        <v>502</v>
      </c>
      <c r="D82" s="42" t="s">
        <v>1666</v>
      </c>
      <c r="E82" s="34" t="s">
        <v>459</v>
      </c>
      <c r="F82" s="43" t="s">
        <v>459</v>
      </c>
      <c r="G82" s="31" t="s">
        <v>110</v>
      </c>
      <c r="H82" s="44" t="s">
        <v>461</v>
      </c>
      <c r="I82" s="42" t="s">
        <v>1642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486</v>
      </c>
      <c r="C83" s="42" t="s">
        <v>502</v>
      </c>
      <c r="D83" s="42" t="s">
        <v>1667</v>
      </c>
      <c r="E83" s="34" t="s">
        <v>459</v>
      </c>
      <c r="F83" s="43" t="s">
        <v>459</v>
      </c>
      <c r="G83" s="31" t="s">
        <v>110</v>
      </c>
      <c r="H83" s="44" t="s">
        <v>461</v>
      </c>
      <c r="I83" s="42" t="s">
        <v>1642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475</v>
      </c>
      <c r="C84" s="42" t="s">
        <v>1668</v>
      </c>
      <c r="D84" s="42" t="s">
        <v>477</v>
      </c>
      <c r="E84" s="34" t="s">
        <v>459</v>
      </c>
      <c r="F84" s="43" t="s">
        <v>459</v>
      </c>
      <c r="G84" s="31" t="s">
        <v>110</v>
      </c>
      <c r="H84" s="44" t="s">
        <v>461</v>
      </c>
      <c r="I84" s="42" t="s">
        <v>1642</v>
      </c>
      <c r="J84" s="42"/>
      <c r="K84" s="45" t="n">
        <f aca="false">IF(AND(E84="yes",F84="yes",H84="covered"),1,IF(H84="partial",0.5,0))</f>
        <v>1</v>
      </c>
    </row>
    <row r="85" customFormat="false" ht="30" hidden="false" customHeight="true" outlineLevel="0" collapsed="false">
      <c r="A85" s="31" t="n">
        <v>77</v>
      </c>
      <c r="B85" s="42" t="s">
        <v>475</v>
      </c>
      <c r="C85" s="42" t="s">
        <v>1668</v>
      </c>
      <c r="D85" s="42" t="s">
        <v>478</v>
      </c>
      <c r="E85" s="34" t="s">
        <v>459</v>
      </c>
      <c r="F85" s="43" t="s">
        <v>459</v>
      </c>
      <c r="G85" s="31" t="s">
        <v>110</v>
      </c>
      <c r="H85" s="44" t="s">
        <v>461</v>
      </c>
      <c r="I85" s="42" t="s">
        <v>1642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479</v>
      </c>
      <c r="C86" s="42" t="s">
        <v>1668</v>
      </c>
      <c r="D86" s="42" t="s">
        <v>480</v>
      </c>
      <c r="E86" s="34" t="s">
        <v>459</v>
      </c>
      <c r="F86" s="43" t="s">
        <v>459</v>
      </c>
      <c r="G86" s="31" t="s">
        <v>110</v>
      </c>
      <c r="H86" s="44" t="s">
        <v>461</v>
      </c>
      <c r="I86" s="42" t="s">
        <v>1642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479</v>
      </c>
      <c r="C87" s="42" t="s">
        <v>1668</v>
      </c>
      <c r="D87" s="42" t="s">
        <v>481</v>
      </c>
      <c r="E87" s="34" t="s">
        <v>459</v>
      </c>
      <c r="F87" s="43" t="s">
        <v>459</v>
      </c>
      <c r="G87" s="31" t="s">
        <v>110</v>
      </c>
      <c r="H87" s="44" t="s">
        <v>461</v>
      </c>
      <c r="I87" s="42" t="s">
        <v>1642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457</v>
      </c>
      <c r="C88" s="42" t="s">
        <v>1668</v>
      </c>
      <c r="D88" s="42" t="s">
        <v>482</v>
      </c>
      <c r="E88" s="34" t="s">
        <v>459</v>
      </c>
      <c r="F88" s="43" t="s">
        <v>459</v>
      </c>
      <c r="G88" s="31" t="s">
        <v>110</v>
      </c>
      <c r="H88" s="44" t="s">
        <v>461</v>
      </c>
      <c r="I88" s="42" t="s">
        <v>1642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774</v>
      </c>
      <c r="C89" s="42" t="s">
        <v>1668</v>
      </c>
      <c r="D89" s="42" t="s">
        <v>775</v>
      </c>
      <c r="E89" s="34" t="s">
        <v>459</v>
      </c>
      <c r="F89" s="43" t="s">
        <v>459</v>
      </c>
      <c r="G89" s="31" t="s">
        <v>110</v>
      </c>
      <c r="H89" s="44" t="s">
        <v>461</v>
      </c>
      <c r="I89" s="42" t="s">
        <v>1642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500</v>
      </c>
      <c r="C90" s="42" t="s">
        <v>1668</v>
      </c>
      <c r="D90" s="42" t="s">
        <v>1669</v>
      </c>
      <c r="E90" s="34" t="s">
        <v>459</v>
      </c>
      <c r="F90" s="43" t="s">
        <v>459</v>
      </c>
      <c r="G90" s="31" t="s">
        <v>110</v>
      </c>
      <c r="H90" s="44" t="s">
        <v>461</v>
      </c>
      <c r="I90" s="42" t="s">
        <v>1642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486</v>
      </c>
      <c r="C91" s="42" t="s">
        <v>1668</v>
      </c>
      <c r="D91" s="42" t="s">
        <v>1670</v>
      </c>
      <c r="E91" s="34" t="s">
        <v>459</v>
      </c>
      <c r="F91" s="43" t="s">
        <v>459</v>
      </c>
      <c r="G91" s="31" t="s">
        <v>110</v>
      </c>
      <c r="H91" s="44" t="s">
        <v>461</v>
      </c>
      <c r="I91" s="42" t="s">
        <v>1642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486</v>
      </c>
      <c r="C92" s="42" t="s">
        <v>1668</v>
      </c>
      <c r="D92" s="42" t="s">
        <v>1671</v>
      </c>
      <c r="E92" s="34" t="s">
        <v>459</v>
      </c>
      <c r="F92" s="43" t="s">
        <v>459</v>
      </c>
      <c r="G92" s="31" t="s">
        <v>110</v>
      </c>
      <c r="H92" s="44" t="s">
        <v>461</v>
      </c>
      <c r="I92" s="42" t="s">
        <v>1642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486</v>
      </c>
      <c r="C93" s="42" t="s">
        <v>1668</v>
      </c>
      <c r="D93" s="42" t="s">
        <v>1672</v>
      </c>
      <c r="E93" s="34" t="s">
        <v>459</v>
      </c>
      <c r="F93" s="43" t="s">
        <v>459</v>
      </c>
      <c r="G93" s="31" t="s">
        <v>110</v>
      </c>
      <c r="H93" s="44" t="s">
        <v>461</v>
      </c>
      <c r="I93" s="42" t="s">
        <v>1642</v>
      </c>
      <c r="J93" s="42"/>
      <c r="K93" s="45" t="n">
        <f aca="false">IF(AND(E93="yes",F93="yes",H93="covered"),1,IF(H93="partial",0.5,0))</f>
        <v>1</v>
      </c>
    </row>
    <row r="94" customFormat="false" ht="30" hidden="false" customHeight="true" outlineLevel="0" collapsed="false">
      <c r="A94" s="31" t="n">
        <v>86</v>
      </c>
      <c r="B94" s="42" t="s">
        <v>475</v>
      </c>
      <c r="C94" s="42" t="s">
        <v>1673</v>
      </c>
      <c r="D94" s="42" t="s">
        <v>477</v>
      </c>
      <c r="E94" s="34" t="s">
        <v>459</v>
      </c>
      <c r="F94" s="43" t="s">
        <v>459</v>
      </c>
      <c r="G94" s="31" t="s">
        <v>110</v>
      </c>
      <c r="H94" s="44" t="s">
        <v>461</v>
      </c>
      <c r="I94" s="42" t="s">
        <v>1642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475</v>
      </c>
      <c r="C95" s="42" t="s">
        <v>1673</v>
      </c>
      <c r="D95" s="42" t="s">
        <v>478</v>
      </c>
      <c r="E95" s="34" t="s">
        <v>459</v>
      </c>
      <c r="F95" s="43" t="s">
        <v>459</v>
      </c>
      <c r="G95" s="31" t="s">
        <v>110</v>
      </c>
      <c r="H95" s="44" t="s">
        <v>461</v>
      </c>
      <c r="I95" s="42" t="s">
        <v>1642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479</v>
      </c>
      <c r="C96" s="42" t="s">
        <v>1673</v>
      </c>
      <c r="D96" s="42" t="s">
        <v>480</v>
      </c>
      <c r="E96" s="34" t="s">
        <v>459</v>
      </c>
      <c r="F96" s="43" t="s">
        <v>459</v>
      </c>
      <c r="G96" s="31" t="s">
        <v>110</v>
      </c>
      <c r="H96" s="44" t="s">
        <v>461</v>
      </c>
      <c r="I96" s="42" t="s">
        <v>1642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479</v>
      </c>
      <c r="C97" s="42" t="s">
        <v>1673</v>
      </c>
      <c r="D97" s="42" t="s">
        <v>481</v>
      </c>
      <c r="E97" s="34" t="s">
        <v>459</v>
      </c>
      <c r="F97" s="43" t="s">
        <v>459</v>
      </c>
      <c r="G97" s="31" t="s">
        <v>110</v>
      </c>
      <c r="H97" s="44" t="s">
        <v>461</v>
      </c>
      <c r="I97" s="42" t="s">
        <v>1642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457</v>
      </c>
      <c r="C98" s="42" t="s">
        <v>1673</v>
      </c>
      <c r="D98" s="42" t="s">
        <v>482</v>
      </c>
      <c r="E98" s="34" t="s">
        <v>459</v>
      </c>
      <c r="F98" s="43" t="s">
        <v>459</v>
      </c>
      <c r="G98" s="31" t="s">
        <v>110</v>
      </c>
      <c r="H98" s="44" t="s">
        <v>461</v>
      </c>
      <c r="I98" s="42" t="s">
        <v>1642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774</v>
      </c>
      <c r="C99" s="42" t="s">
        <v>1673</v>
      </c>
      <c r="D99" s="42" t="s">
        <v>775</v>
      </c>
      <c r="E99" s="34" t="s">
        <v>459</v>
      </c>
      <c r="F99" s="43" t="s">
        <v>459</v>
      </c>
      <c r="G99" s="31" t="s">
        <v>110</v>
      </c>
      <c r="H99" s="44" t="s">
        <v>461</v>
      </c>
      <c r="I99" s="42" t="s">
        <v>1642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1674</v>
      </c>
      <c r="C100" s="42" t="s">
        <v>1673</v>
      </c>
      <c r="D100" s="42" t="s">
        <v>1675</v>
      </c>
      <c r="E100" s="34" t="s">
        <v>459</v>
      </c>
      <c r="F100" s="43" t="s">
        <v>459</v>
      </c>
      <c r="G100" s="31" t="s">
        <v>110</v>
      </c>
      <c r="H100" s="44" t="s">
        <v>461</v>
      </c>
      <c r="I100" s="42" t="s">
        <v>1642</v>
      </c>
      <c r="J100" s="42"/>
      <c r="K100" s="45" t="n">
        <f aca="false">IF(AND(E100="yes",F100="yes",H100="covered"),1,IF(H100="partial",0.5,0))</f>
        <v>1</v>
      </c>
    </row>
    <row r="101" customFormat="false" ht="30" hidden="false" customHeight="true" outlineLevel="0" collapsed="false">
      <c r="A101" s="31" t="n">
        <v>93</v>
      </c>
      <c r="B101" s="42" t="s">
        <v>1674</v>
      </c>
      <c r="C101" s="42" t="s">
        <v>1673</v>
      </c>
      <c r="D101" s="42" t="s">
        <v>1676</v>
      </c>
      <c r="E101" s="34" t="s">
        <v>459</v>
      </c>
      <c r="F101" s="43" t="s">
        <v>459</v>
      </c>
      <c r="G101" s="31" t="s">
        <v>110</v>
      </c>
      <c r="H101" s="44" t="s">
        <v>461</v>
      </c>
      <c r="I101" s="42" t="s">
        <v>1642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1674</v>
      </c>
      <c r="C102" s="42" t="s">
        <v>1673</v>
      </c>
      <c r="D102" s="42" t="s">
        <v>1677</v>
      </c>
      <c r="E102" s="34" t="s">
        <v>459</v>
      </c>
      <c r="F102" s="43" t="s">
        <v>459</v>
      </c>
      <c r="G102" s="31" t="s">
        <v>110</v>
      </c>
      <c r="H102" s="44" t="s">
        <v>461</v>
      </c>
      <c r="I102" s="42" t="s">
        <v>1642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1674</v>
      </c>
      <c r="C103" s="42" t="s">
        <v>1673</v>
      </c>
      <c r="D103" s="42" t="s">
        <v>1678</v>
      </c>
      <c r="E103" s="34" t="s">
        <v>459</v>
      </c>
      <c r="F103" s="43" t="s">
        <v>459</v>
      </c>
      <c r="G103" s="31" t="s">
        <v>110</v>
      </c>
      <c r="H103" s="44" t="s">
        <v>461</v>
      </c>
      <c r="I103" s="42" t="s">
        <v>1642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1674</v>
      </c>
      <c r="C104" s="42" t="s">
        <v>1673</v>
      </c>
      <c r="D104" s="42" t="s">
        <v>1679</v>
      </c>
      <c r="E104" s="34" t="s">
        <v>459</v>
      </c>
      <c r="F104" s="43" t="s">
        <v>459</v>
      </c>
      <c r="G104" s="31" t="s">
        <v>110</v>
      </c>
      <c r="H104" s="44" t="s">
        <v>461</v>
      </c>
      <c r="I104" s="42" t="s">
        <v>1642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1674</v>
      </c>
      <c r="C105" s="42" t="s">
        <v>1673</v>
      </c>
      <c r="D105" s="42" t="s">
        <v>1680</v>
      </c>
      <c r="E105" s="34" t="s">
        <v>459</v>
      </c>
      <c r="F105" s="43" t="s">
        <v>459</v>
      </c>
      <c r="G105" s="31" t="s">
        <v>110</v>
      </c>
      <c r="H105" s="44" t="s">
        <v>461</v>
      </c>
      <c r="I105" s="42" t="s">
        <v>1642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505</v>
      </c>
      <c r="C106" s="42" t="s">
        <v>1673</v>
      </c>
      <c r="D106" s="42" t="s">
        <v>1681</v>
      </c>
      <c r="E106" s="34" t="s">
        <v>459</v>
      </c>
      <c r="F106" s="43" t="s">
        <v>459</v>
      </c>
      <c r="G106" s="31" t="s">
        <v>110</v>
      </c>
      <c r="H106" s="44" t="s">
        <v>461</v>
      </c>
      <c r="I106" s="42" t="s">
        <v>1642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505</v>
      </c>
      <c r="C107" s="42" t="s">
        <v>1673</v>
      </c>
      <c r="D107" s="42" t="s">
        <v>1682</v>
      </c>
      <c r="E107" s="34" t="s">
        <v>459</v>
      </c>
      <c r="F107" s="43" t="s">
        <v>459</v>
      </c>
      <c r="G107" s="31" t="s">
        <v>110</v>
      </c>
      <c r="H107" s="44" t="s">
        <v>461</v>
      </c>
      <c r="I107" s="42" t="s">
        <v>1642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486</v>
      </c>
      <c r="C108" s="42" t="s">
        <v>1673</v>
      </c>
      <c r="D108" s="42" t="s">
        <v>1062</v>
      </c>
      <c r="E108" s="34" t="s">
        <v>459</v>
      </c>
      <c r="F108" s="43" t="s">
        <v>459</v>
      </c>
      <c r="G108" s="31" t="s">
        <v>110</v>
      </c>
      <c r="H108" s="44" t="s">
        <v>461</v>
      </c>
      <c r="I108" s="42" t="s">
        <v>1642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475</v>
      </c>
      <c r="C109" s="42" t="s">
        <v>1683</v>
      </c>
      <c r="D109" s="42" t="s">
        <v>477</v>
      </c>
      <c r="E109" s="34" t="s">
        <v>459</v>
      </c>
      <c r="F109" s="43" t="s">
        <v>459</v>
      </c>
      <c r="G109" s="31" t="s">
        <v>110</v>
      </c>
      <c r="H109" s="44" t="s">
        <v>461</v>
      </c>
      <c r="I109" s="42" t="s">
        <v>1642</v>
      </c>
      <c r="J109" s="42"/>
      <c r="K109" s="45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2" t="s">
        <v>475</v>
      </c>
      <c r="C110" s="42" t="s">
        <v>1683</v>
      </c>
      <c r="D110" s="42" t="s">
        <v>478</v>
      </c>
      <c r="E110" s="34" t="s">
        <v>459</v>
      </c>
      <c r="F110" s="43" t="s">
        <v>459</v>
      </c>
      <c r="G110" s="31" t="s">
        <v>110</v>
      </c>
      <c r="H110" s="44" t="s">
        <v>461</v>
      </c>
      <c r="I110" s="42" t="s">
        <v>1642</v>
      </c>
      <c r="J110" s="42"/>
      <c r="K110" s="45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2" t="s">
        <v>479</v>
      </c>
      <c r="C111" s="42" t="s">
        <v>1683</v>
      </c>
      <c r="D111" s="42" t="s">
        <v>480</v>
      </c>
      <c r="E111" s="34" t="s">
        <v>459</v>
      </c>
      <c r="F111" s="43" t="s">
        <v>459</v>
      </c>
      <c r="G111" s="31" t="s">
        <v>110</v>
      </c>
      <c r="H111" s="44" t="s">
        <v>461</v>
      </c>
      <c r="I111" s="42" t="s">
        <v>1642</v>
      </c>
      <c r="J111" s="42"/>
      <c r="K111" s="45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2" t="s">
        <v>479</v>
      </c>
      <c r="C112" s="42" t="s">
        <v>1683</v>
      </c>
      <c r="D112" s="42" t="s">
        <v>481</v>
      </c>
      <c r="E112" s="34" t="s">
        <v>459</v>
      </c>
      <c r="F112" s="43" t="s">
        <v>459</v>
      </c>
      <c r="G112" s="31" t="s">
        <v>110</v>
      </c>
      <c r="H112" s="44" t="s">
        <v>461</v>
      </c>
      <c r="I112" s="42" t="s">
        <v>1642</v>
      </c>
      <c r="J112" s="42"/>
      <c r="K112" s="45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2" t="s">
        <v>457</v>
      </c>
      <c r="C113" s="42" t="s">
        <v>1683</v>
      </c>
      <c r="D113" s="42" t="s">
        <v>482</v>
      </c>
      <c r="E113" s="34" t="s">
        <v>459</v>
      </c>
      <c r="F113" s="43" t="s">
        <v>459</v>
      </c>
      <c r="G113" s="31" t="s">
        <v>110</v>
      </c>
      <c r="H113" s="44" t="s">
        <v>461</v>
      </c>
      <c r="I113" s="42" t="s">
        <v>1642</v>
      </c>
      <c r="J113" s="42"/>
      <c r="K113" s="45" t="n">
        <f aca="false">IF(AND(E113="yes",F113="yes",H113="covered"),1,IF(H113="partial",0.5,0))</f>
        <v>1</v>
      </c>
    </row>
    <row r="114" customFormat="false" ht="30" hidden="false" customHeight="true" outlineLevel="0" collapsed="false">
      <c r="A114" s="31" t="n">
        <v>106</v>
      </c>
      <c r="B114" s="42" t="s">
        <v>774</v>
      </c>
      <c r="C114" s="42" t="s">
        <v>1683</v>
      </c>
      <c r="D114" s="42" t="s">
        <v>775</v>
      </c>
      <c r="E114" s="34" t="s">
        <v>459</v>
      </c>
      <c r="F114" s="43" t="s">
        <v>459</v>
      </c>
      <c r="G114" s="31" t="s">
        <v>110</v>
      </c>
      <c r="H114" s="44" t="s">
        <v>461</v>
      </c>
      <c r="I114" s="42" t="s">
        <v>1642</v>
      </c>
      <c r="J114" s="42"/>
      <c r="K114" s="45" t="n">
        <f aca="false">IF(AND(E114="yes",F114="yes",H114="covered"),1,IF(H114="partial",0.5,0))</f>
        <v>1</v>
      </c>
    </row>
    <row r="115" customFormat="false" ht="15" hidden="false" customHeight="true" outlineLevel="0" collapsed="false">
      <c r="A115" s="31" t="n">
        <v>107</v>
      </c>
      <c r="B115" s="42" t="s">
        <v>483</v>
      </c>
      <c r="C115" s="42" t="s">
        <v>1683</v>
      </c>
      <c r="D115" s="42" t="s">
        <v>484</v>
      </c>
      <c r="E115" s="34" t="s">
        <v>459</v>
      </c>
      <c r="F115" s="43" t="s">
        <v>459</v>
      </c>
      <c r="G115" s="31" t="s">
        <v>110</v>
      </c>
      <c r="H115" s="44" t="s">
        <v>461</v>
      </c>
      <c r="I115" s="42" t="s">
        <v>1642</v>
      </c>
      <c r="J115" s="42"/>
      <c r="K115" s="45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2" t="s">
        <v>483</v>
      </c>
      <c r="C116" s="42" t="s">
        <v>1683</v>
      </c>
      <c r="D116" s="42" t="s">
        <v>485</v>
      </c>
      <c r="E116" s="34" t="s">
        <v>459</v>
      </c>
      <c r="F116" s="43" t="s">
        <v>459</v>
      </c>
      <c r="G116" s="31" t="s">
        <v>110</v>
      </c>
      <c r="H116" s="44" t="s">
        <v>461</v>
      </c>
      <c r="I116" s="42" t="s">
        <v>1642</v>
      </c>
      <c r="J116" s="42"/>
      <c r="K116" s="45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2" t="s">
        <v>882</v>
      </c>
      <c r="C117" s="42" t="s">
        <v>1683</v>
      </c>
      <c r="D117" s="42" t="s">
        <v>883</v>
      </c>
      <c r="E117" s="34" t="s">
        <v>459</v>
      </c>
      <c r="F117" s="43" t="s">
        <v>459</v>
      </c>
      <c r="G117" s="31" t="s">
        <v>110</v>
      </c>
      <c r="H117" s="44" t="s">
        <v>461</v>
      </c>
      <c r="I117" s="42" t="s">
        <v>1642</v>
      </c>
      <c r="J117" s="42"/>
      <c r="K117" s="45" t="n">
        <f aca="false">IF(AND(E117="yes",F117="yes",H117="covered"),1,IF(H117="partial",0.5,0))</f>
        <v>1</v>
      </c>
    </row>
    <row r="118" customFormat="false" ht="15" hidden="false" customHeight="true" outlineLevel="0" collapsed="false">
      <c r="A118" s="31" t="n">
        <v>110</v>
      </c>
      <c r="B118" s="42" t="s">
        <v>486</v>
      </c>
      <c r="C118" s="42" t="s">
        <v>1683</v>
      </c>
      <c r="D118" s="42" t="s">
        <v>1062</v>
      </c>
      <c r="E118" s="34" t="s">
        <v>459</v>
      </c>
      <c r="F118" s="43" t="s">
        <v>459</v>
      </c>
      <c r="G118" s="31" t="s">
        <v>110</v>
      </c>
      <c r="H118" s="44" t="s">
        <v>461</v>
      </c>
      <c r="I118" s="42" t="s">
        <v>1642</v>
      </c>
      <c r="J118" s="42"/>
      <c r="K118" s="45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31" t="n">
        <v>111</v>
      </c>
      <c r="B119" s="42" t="s">
        <v>486</v>
      </c>
      <c r="C119" s="42" t="s">
        <v>1683</v>
      </c>
      <c r="D119" s="42" t="s">
        <v>495</v>
      </c>
      <c r="E119" s="34" t="s">
        <v>459</v>
      </c>
      <c r="F119" s="43" t="s">
        <v>459</v>
      </c>
      <c r="G119" s="31" t="s">
        <v>110</v>
      </c>
      <c r="H119" s="44" t="s">
        <v>461</v>
      </c>
      <c r="I119" s="42" t="s">
        <v>1642</v>
      </c>
      <c r="J119" s="42"/>
      <c r="K119" s="45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31" t="n">
        <v>112</v>
      </c>
      <c r="B120" s="42" t="s">
        <v>488</v>
      </c>
      <c r="C120" s="42" t="s">
        <v>1683</v>
      </c>
      <c r="D120" s="42" t="s">
        <v>497</v>
      </c>
      <c r="E120" s="34" t="s">
        <v>459</v>
      </c>
      <c r="F120" s="43" t="s">
        <v>459</v>
      </c>
      <c r="G120" s="31" t="s">
        <v>110</v>
      </c>
      <c r="H120" s="44" t="s">
        <v>461</v>
      </c>
      <c r="I120" s="42" t="s">
        <v>1642</v>
      </c>
      <c r="J120" s="42"/>
      <c r="K120" s="45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31" t="n">
        <v>113</v>
      </c>
      <c r="B121" s="42" t="s">
        <v>488</v>
      </c>
      <c r="C121" s="42" t="s">
        <v>1683</v>
      </c>
      <c r="D121" s="42" t="s">
        <v>957</v>
      </c>
      <c r="E121" s="34" t="s">
        <v>459</v>
      </c>
      <c r="F121" s="43" t="s">
        <v>459</v>
      </c>
      <c r="G121" s="31" t="s">
        <v>110</v>
      </c>
      <c r="H121" s="44" t="s">
        <v>461</v>
      </c>
      <c r="I121" s="42" t="s">
        <v>1642</v>
      </c>
      <c r="J121" s="42"/>
      <c r="K121" s="45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31" t="n">
        <v>114</v>
      </c>
      <c r="B122" s="42" t="s">
        <v>500</v>
      </c>
      <c r="C122" s="42" t="s">
        <v>1683</v>
      </c>
      <c r="D122" s="42" t="s">
        <v>1684</v>
      </c>
      <c r="E122" s="34" t="s">
        <v>459</v>
      </c>
      <c r="F122" s="43" t="s">
        <v>459</v>
      </c>
      <c r="G122" s="31" t="s">
        <v>110</v>
      </c>
      <c r="H122" s="44" t="s">
        <v>461</v>
      </c>
      <c r="I122" s="42" t="s">
        <v>1642</v>
      </c>
      <c r="J122" s="42"/>
      <c r="K122" s="45" t="n">
        <f aca="false">IF(AND(E122="yes",F122="yes",H122="covered"),1,IF(H122="partial",0.5,0))</f>
        <v>1</v>
      </c>
    </row>
    <row r="123" customFormat="false" ht="15" hidden="false" customHeight="true" outlineLevel="0" collapsed="false">
      <c r="A123" s="31" t="n">
        <v>115</v>
      </c>
      <c r="B123" s="42" t="s">
        <v>475</v>
      </c>
      <c r="C123" s="42" t="s">
        <v>1685</v>
      </c>
      <c r="D123" s="42" t="s">
        <v>477</v>
      </c>
      <c r="E123" s="34" t="s">
        <v>459</v>
      </c>
      <c r="F123" s="43" t="s">
        <v>459</v>
      </c>
      <c r="G123" s="31" t="s">
        <v>110</v>
      </c>
      <c r="H123" s="44" t="s">
        <v>461</v>
      </c>
      <c r="I123" s="42" t="s">
        <v>1642</v>
      </c>
      <c r="J123" s="42"/>
      <c r="K123" s="45" t="n">
        <f aca="false">IF(AND(E123="yes",F123="yes",H123="covered"),1,IF(H123="partial",0.5,0))</f>
        <v>1</v>
      </c>
    </row>
    <row r="124" customFormat="false" ht="15" hidden="false" customHeight="true" outlineLevel="0" collapsed="false">
      <c r="A124" s="31" t="n">
        <v>116</v>
      </c>
      <c r="B124" s="42" t="s">
        <v>475</v>
      </c>
      <c r="C124" s="42" t="s">
        <v>1685</v>
      </c>
      <c r="D124" s="42" t="s">
        <v>478</v>
      </c>
      <c r="E124" s="34" t="s">
        <v>459</v>
      </c>
      <c r="F124" s="43" t="s">
        <v>459</v>
      </c>
      <c r="G124" s="31" t="s">
        <v>110</v>
      </c>
      <c r="H124" s="44" t="s">
        <v>461</v>
      </c>
      <c r="I124" s="42" t="s">
        <v>1642</v>
      </c>
      <c r="J124" s="42"/>
      <c r="K124" s="45" t="n">
        <f aca="false">IF(AND(E124="yes",F124="yes",H124="covered"),1,IF(H124="partial",0.5,0))</f>
        <v>1</v>
      </c>
    </row>
    <row r="125" customFormat="false" ht="30" hidden="false" customHeight="true" outlineLevel="0" collapsed="false">
      <c r="A125" s="31" t="n">
        <v>117</v>
      </c>
      <c r="B125" s="42" t="s">
        <v>479</v>
      </c>
      <c r="C125" s="42" t="s">
        <v>1685</v>
      </c>
      <c r="D125" s="42" t="s">
        <v>480</v>
      </c>
      <c r="E125" s="34" t="s">
        <v>459</v>
      </c>
      <c r="F125" s="43" t="s">
        <v>459</v>
      </c>
      <c r="G125" s="31" t="s">
        <v>110</v>
      </c>
      <c r="H125" s="44" t="s">
        <v>461</v>
      </c>
      <c r="I125" s="42" t="s">
        <v>1642</v>
      </c>
      <c r="J125" s="42"/>
      <c r="K125" s="45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31" t="n">
        <v>118</v>
      </c>
      <c r="B126" s="42" t="s">
        <v>479</v>
      </c>
      <c r="C126" s="42" t="s">
        <v>1685</v>
      </c>
      <c r="D126" s="42" t="s">
        <v>481</v>
      </c>
      <c r="E126" s="34" t="s">
        <v>459</v>
      </c>
      <c r="F126" s="43" t="s">
        <v>459</v>
      </c>
      <c r="G126" s="31" t="s">
        <v>110</v>
      </c>
      <c r="H126" s="44" t="s">
        <v>461</v>
      </c>
      <c r="I126" s="42" t="s">
        <v>1642</v>
      </c>
      <c r="J126" s="42"/>
      <c r="K126" s="45" t="n">
        <f aca="false">IF(AND(E126="yes",F126="yes",H126="covered"),1,IF(H126="partial",0.5,0))</f>
        <v>1</v>
      </c>
    </row>
    <row r="127" customFormat="false" ht="15" hidden="false" customHeight="true" outlineLevel="0" collapsed="false">
      <c r="A127" s="31" t="n">
        <v>119</v>
      </c>
      <c r="B127" s="42" t="s">
        <v>457</v>
      </c>
      <c r="C127" s="42" t="s">
        <v>1685</v>
      </c>
      <c r="D127" s="42" t="s">
        <v>482</v>
      </c>
      <c r="E127" s="34" t="s">
        <v>459</v>
      </c>
      <c r="F127" s="43" t="s">
        <v>459</v>
      </c>
      <c r="G127" s="31" t="s">
        <v>110</v>
      </c>
      <c r="H127" s="44" t="s">
        <v>461</v>
      </c>
      <c r="I127" s="42" t="s">
        <v>1642</v>
      </c>
      <c r="J127" s="42"/>
      <c r="K127" s="45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31" t="n">
        <v>120</v>
      </c>
      <c r="B128" s="42" t="s">
        <v>774</v>
      </c>
      <c r="C128" s="42" t="s">
        <v>1685</v>
      </c>
      <c r="D128" s="42" t="s">
        <v>775</v>
      </c>
      <c r="E128" s="34" t="s">
        <v>459</v>
      </c>
      <c r="F128" s="43" t="s">
        <v>459</v>
      </c>
      <c r="G128" s="31" t="s">
        <v>110</v>
      </c>
      <c r="H128" s="44" t="s">
        <v>461</v>
      </c>
      <c r="I128" s="42" t="s">
        <v>1642</v>
      </c>
      <c r="J128" s="42"/>
      <c r="K128" s="45" t="n">
        <f aca="false">IF(AND(E128="yes",F128="yes",H128="covered"),1,IF(H128="partial",0.5,0))</f>
        <v>1</v>
      </c>
    </row>
    <row r="129" customFormat="false" ht="15" hidden="false" customHeight="true" outlineLevel="0" collapsed="false">
      <c r="A129" s="31" t="n">
        <v>121</v>
      </c>
      <c r="B129" s="42" t="s">
        <v>483</v>
      </c>
      <c r="C129" s="42" t="s">
        <v>1685</v>
      </c>
      <c r="D129" s="42" t="s">
        <v>484</v>
      </c>
      <c r="E129" s="34" t="s">
        <v>459</v>
      </c>
      <c r="F129" s="43" t="s">
        <v>459</v>
      </c>
      <c r="G129" s="31" t="s">
        <v>110</v>
      </c>
      <c r="H129" s="44" t="s">
        <v>461</v>
      </c>
      <c r="I129" s="42" t="s">
        <v>1642</v>
      </c>
      <c r="J129" s="42"/>
      <c r="K129" s="45" t="n">
        <f aca="false">IF(AND(E129="yes",F129="yes",H129="covered"),1,IF(H129="partial",0.5,0))</f>
        <v>1</v>
      </c>
    </row>
    <row r="130" customFormat="false" ht="15" hidden="false" customHeight="true" outlineLevel="0" collapsed="false">
      <c r="A130" s="31" t="n">
        <v>122</v>
      </c>
      <c r="B130" s="42" t="s">
        <v>483</v>
      </c>
      <c r="C130" s="42" t="s">
        <v>1685</v>
      </c>
      <c r="D130" s="42" t="s">
        <v>485</v>
      </c>
      <c r="E130" s="34" t="s">
        <v>459</v>
      </c>
      <c r="F130" s="43" t="s">
        <v>459</v>
      </c>
      <c r="G130" s="31" t="s">
        <v>110</v>
      </c>
      <c r="H130" s="44" t="s">
        <v>461</v>
      </c>
      <c r="I130" s="42" t="s">
        <v>1642</v>
      </c>
      <c r="J130" s="42"/>
      <c r="K130" s="45" t="n">
        <f aca="false">IF(AND(E130="yes",F130="yes",H130="covered"),1,IF(H130="partial",0.5,0))</f>
        <v>1</v>
      </c>
    </row>
    <row r="131" customFormat="false" ht="15" hidden="false" customHeight="true" outlineLevel="0" collapsed="false">
      <c r="A131" s="31" t="n">
        <v>123</v>
      </c>
      <c r="B131" s="42" t="s">
        <v>486</v>
      </c>
      <c r="C131" s="42" t="s">
        <v>1685</v>
      </c>
      <c r="D131" s="42" t="s">
        <v>1062</v>
      </c>
      <c r="E131" s="34" t="s">
        <v>459</v>
      </c>
      <c r="F131" s="43" t="s">
        <v>459</v>
      </c>
      <c r="G131" s="31" t="s">
        <v>110</v>
      </c>
      <c r="H131" s="44" t="s">
        <v>461</v>
      </c>
      <c r="I131" s="42" t="s">
        <v>1642</v>
      </c>
      <c r="J131" s="42"/>
      <c r="K131" s="45" t="n">
        <f aca="false">IF(AND(E131="yes",F131="yes",H131="covered"),1,IF(H131="partial",0.5,0))</f>
        <v>1</v>
      </c>
    </row>
    <row r="132" customFormat="false" ht="30" hidden="false" customHeight="true" outlineLevel="0" collapsed="false">
      <c r="A132" s="31" t="n">
        <v>124</v>
      </c>
      <c r="B132" s="42" t="s">
        <v>486</v>
      </c>
      <c r="C132" s="42" t="s">
        <v>1685</v>
      </c>
      <c r="D132" s="42" t="s">
        <v>495</v>
      </c>
      <c r="E132" s="34" t="s">
        <v>459</v>
      </c>
      <c r="F132" s="43" t="s">
        <v>459</v>
      </c>
      <c r="G132" s="31" t="s">
        <v>110</v>
      </c>
      <c r="H132" s="44" t="s">
        <v>461</v>
      </c>
      <c r="I132" s="42" t="s">
        <v>1642</v>
      </c>
      <c r="J132" s="42"/>
      <c r="K132" s="45" t="n">
        <f aca="false">IF(AND(E132="yes",F132="yes",H132="covered"),1,IF(H132="partial",0.5,0))</f>
        <v>1</v>
      </c>
    </row>
    <row r="133" customFormat="false" ht="15" hidden="false" customHeight="true" outlineLevel="0" collapsed="false">
      <c r="A133" s="31" t="n">
        <v>125</v>
      </c>
      <c r="B133" s="42" t="s">
        <v>486</v>
      </c>
      <c r="C133" s="42" t="s">
        <v>1685</v>
      </c>
      <c r="D133" s="42" t="s">
        <v>1686</v>
      </c>
      <c r="E133" s="34" t="s">
        <v>459</v>
      </c>
      <c r="F133" s="43" t="s">
        <v>459</v>
      </c>
      <c r="G133" s="31" t="s">
        <v>110</v>
      </c>
      <c r="H133" s="44" t="s">
        <v>461</v>
      </c>
      <c r="I133" s="42" t="s">
        <v>1642</v>
      </c>
      <c r="J133" s="42"/>
      <c r="K133" s="45" t="n">
        <f aca="false">IF(AND(E133="yes",F133="yes",H133="covered"),1,IF(H133="partial",0.5,0))</f>
        <v>1</v>
      </c>
    </row>
    <row r="134" customFormat="false" ht="15" hidden="false" customHeight="true" outlineLevel="0" collapsed="false">
      <c r="A134" s="31" t="n">
        <v>126</v>
      </c>
      <c r="B134" s="42" t="s">
        <v>475</v>
      </c>
      <c r="C134" s="42" t="s">
        <v>1687</v>
      </c>
      <c r="D134" s="42" t="s">
        <v>477</v>
      </c>
      <c r="E134" s="34" t="s">
        <v>459</v>
      </c>
      <c r="F134" s="43" t="s">
        <v>459</v>
      </c>
      <c r="G134" s="31" t="s">
        <v>110</v>
      </c>
      <c r="H134" s="44" t="s">
        <v>461</v>
      </c>
      <c r="I134" s="42" t="s">
        <v>1642</v>
      </c>
      <c r="J134" s="42"/>
      <c r="K134" s="45" t="n">
        <f aca="false">IF(AND(E134="yes",F134="yes",H134="covered"),1,IF(H134="partial",0.5,0))</f>
        <v>1</v>
      </c>
    </row>
    <row r="135" customFormat="false" ht="15" hidden="false" customHeight="true" outlineLevel="0" collapsed="false">
      <c r="A135" s="31" t="n">
        <v>127</v>
      </c>
      <c r="B135" s="42" t="s">
        <v>475</v>
      </c>
      <c r="C135" s="42" t="s">
        <v>1687</v>
      </c>
      <c r="D135" s="42" t="s">
        <v>478</v>
      </c>
      <c r="E135" s="34" t="s">
        <v>459</v>
      </c>
      <c r="F135" s="43" t="s">
        <v>459</v>
      </c>
      <c r="G135" s="31" t="s">
        <v>110</v>
      </c>
      <c r="H135" s="44" t="s">
        <v>461</v>
      </c>
      <c r="I135" s="42" t="s">
        <v>1642</v>
      </c>
      <c r="J135" s="42"/>
      <c r="K135" s="45" t="n">
        <f aca="false">IF(AND(E135="yes",F135="yes",H135="covered"),1,IF(H135="partial",0.5,0))</f>
        <v>1</v>
      </c>
    </row>
    <row r="136" customFormat="false" ht="15" hidden="false" customHeight="true" outlineLevel="0" collapsed="false">
      <c r="A136" s="31" t="n">
        <v>128</v>
      </c>
      <c r="B136" s="42" t="s">
        <v>479</v>
      </c>
      <c r="C136" s="42" t="s">
        <v>1687</v>
      </c>
      <c r="D136" s="42" t="s">
        <v>480</v>
      </c>
      <c r="E136" s="34" t="s">
        <v>459</v>
      </c>
      <c r="F136" s="43" t="s">
        <v>459</v>
      </c>
      <c r="G136" s="31" t="s">
        <v>110</v>
      </c>
      <c r="H136" s="44" t="s">
        <v>461</v>
      </c>
      <c r="I136" s="42" t="s">
        <v>1642</v>
      </c>
      <c r="J136" s="42"/>
      <c r="K136" s="45" t="n">
        <f aca="false">IF(AND(E136="yes",F136="yes",H136="covered"),1,IF(H136="partial",0.5,0))</f>
        <v>1</v>
      </c>
    </row>
    <row r="137" customFormat="false" ht="15" hidden="false" customHeight="true" outlineLevel="0" collapsed="false">
      <c r="A137" s="31" t="n">
        <v>129</v>
      </c>
      <c r="B137" s="42" t="s">
        <v>479</v>
      </c>
      <c r="C137" s="42" t="s">
        <v>1687</v>
      </c>
      <c r="D137" s="42" t="s">
        <v>481</v>
      </c>
      <c r="E137" s="34" t="s">
        <v>459</v>
      </c>
      <c r="F137" s="43" t="s">
        <v>459</v>
      </c>
      <c r="G137" s="31" t="s">
        <v>110</v>
      </c>
      <c r="H137" s="44" t="s">
        <v>461</v>
      </c>
      <c r="I137" s="42" t="s">
        <v>1642</v>
      </c>
      <c r="J137" s="42"/>
      <c r="K137" s="45" t="n">
        <f aca="false">IF(AND(E137="yes",F137="yes",H137="covered"),1,IF(H137="partial",0.5,0))</f>
        <v>1</v>
      </c>
    </row>
    <row r="138" customFormat="false" ht="15" hidden="false" customHeight="true" outlineLevel="0" collapsed="false">
      <c r="A138" s="31" t="n">
        <v>130</v>
      </c>
      <c r="B138" s="42" t="s">
        <v>457</v>
      </c>
      <c r="C138" s="42" t="s">
        <v>1687</v>
      </c>
      <c r="D138" s="42" t="s">
        <v>482</v>
      </c>
      <c r="E138" s="34" t="s">
        <v>459</v>
      </c>
      <c r="F138" s="43" t="s">
        <v>459</v>
      </c>
      <c r="G138" s="31" t="s">
        <v>110</v>
      </c>
      <c r="H138" s="44" t="s">
        <v>461</v>
      </c>
      <c r="I138" s="42" t="s">
        <v>1642</v>
      </c>
      <c r="J138" s="42"/>
      <c r="K138" s="45" t="n">
        <f aca="false">IF(AND(E138="yes",F138="yes",H138="covered"),1,IF(H138="partial",0.5,0))</f>
        <v>1</v>
      </c>
    </row>
    <row r="139" customFormat="false" ht="30" hidden="false" customHeight="true" outlineLevel="0" collapsed="false">
      <c r="A139" s="31" t="n">
        <v>131</v>
      </c>
      <c r="B139" s="42" t="s">
        <v>774</v>
      </c>
      <c r="C139" s="42" t="s">
        <v>1687</v>
      </c>
      <c r="D139" s="42" t="s">
        <v>775</v>
      </c>
      <c r="E139" s="34" t="s">
        <v>459</v>
      </c>
      <c r="F139" s="43" t="s">
        <v>459</v>
      </c>
      <c r="G139" s="31" t="s">
        <v>110</v>
      </c>
      <c r="H139" s="44" t="s">
        <v>461</v>
      </c>
      <c r="I139" s="42" t="s">
        <v>1642</v>
      </c>
      <c r="J139" s="42"/>
      <c r="K139" s="45" t="n">
        <f aca="false">IF(AND(E139="yes",F139="yes",H139="covered"),1,IF(H139="partial",0.5,0))</f>
        <v>1</v>
      </c>
    </row>
    <row r="140" customFormat="false" ht="15" hidden="false" customHeight="true" outlineLevel="0" collapsed="false">
      <c r="A140" s="31" t="n">
        <v>132</v>
      </c>
      <c r="B140" s="42" t="s">
        <v>486</v>
      </c>
      <c r="C140" s="42" t="s">
        <v>1687</v>
      </c>
      <c r="D140" s="42" t="s">
        <v>495</v>
      </c>
      <c r="E140" s="34" t="s">
        <v>459</v>
      </c>
      <c r="F140" s="43" t="s">
        <v>459</v>
      </c>
      <c r="G140" s="31" t="s">
        <v>110</v>
      </c>
      <c r="H140" s="44" t="s">
        <v>461</v>
      </c>
      <c r="I140" s="42" t="s">
        <v>1642</v>
      </c>
      <c r="J140" s="42"/>
      <c r="K140" s="45" t="n">
        <f aca="false">IF(AND(E140="yes",F140="yes",H140="covered"),1,IF(H140="partial",0.5,0))</f>
        <v>1</v>
      </c>
    </row>
    <row r="141" customFormat="false" ht="15" hidden="false" customHeight="true" outlineLevel="0" collapsed="false">
      <c r="A141" s="31" t="n">
        <v>133</v>
      </c>
      <c r="B141" s="42" t="s">
        <v>475</v>
      </c>
      <c r="C141" s="42" t="s">
        <v>1688</v>
      </c>
      <c r="D141" s="42" t="s">
        <v>477</v>
      </c>
      <c r="E141" s="34" t="s">
        <v>459</v>
      </c>
      <c r="F141" s="43" t="s">
        <v>459</v>
      </c>
      <c r="G141" s="31" t="s">
        <v>110</v>
      </c>
      <c r="H141" s="44" t="s">
        <v>461</v>
      </c>
      <c r="I141" s="42" t="s">
        <v>1642</v>
      </c>
      <c r="J141" s="42"/>
      <c r="K141" s="45" t="n">
        <f aca="false">IF(AND(E141="yes",F141="yes",H141="covered"),1,IF(H141="partial",0.5,0))</f>
        <v>1</v>
      </c>
    </row>
    <row r="142" customFormat="false" ht="15" hidden="false" customHeight="true" outlineLevel="0" collapsed="false">
      <c r="A142" s="31" t="n">
        <v>134</v>
      </c>
      <c r="B142" s="42" t="s">
        <v>475</v>
      </c>
      <c r="C142" s="42" t="s">
        <v>1688</v>
      </c>
      <c r="D142" s="42" t="s">
        <v>478</v>
      </c>
      <c r="E142" s="34" t="s">
        <v>459</v>
      </c>
      <c r="F142" s="43" t="s">
        <v>459</v>
      </c>
      <c r="G142" s="31" t="s">
        <v>110</v>
      </c>
      <c r="H142" s="44" t="s">
        <v>461</v>
      </c>
      <c r="I142" s="42" t="s">
        <v>1642</v>
      </c>
      <c r="J142" s="42"/>
      <c r="K142" s="45" t="n">
        <f aca="false">IF(AND(E142="yes",F142="yes",H142="covered"),1,IF(H142="partial",0.5,0))</f>
        <v>1</v>
      </c>
    </row>
    <row r="143" customFormat="false" ht="15" hidden="false" customHeight="true" outlineLevel="0" collapsed="false">
      <c r="A143" s="31" t="n">
        <v>135</v>
      </c>
      <c r="B143" s="42" t="s">
        <v>479</v>
      </c>
      <c r="C143" s="42" t="s">
        <v>1688</v>
      </c>
      <c r="D143" s="42" t="s">
        <v>480</v>
      </c>
      <c r="E143" s="34" t="s">
        <v>459</v>
      </c>
      <c r="F143" s="43" t="s">
        <v>459</v>
      </c>
      <c r="G143" s="31" t="s">
        <v>110</v>
      </c>
      <c r="H143" s="44" t="s">
        <v>461</v>
      </c>
      <c r="I143" s="42" t="s">
        <v>1642</v>
      </c>
      <c r="J143" s="42"/>
      <c r="K143" s="45" t="n">
        <f aca="false">IF(AND(E143="yes",F143="yes",H143="covered"),1,IF(H143="partial",0.5,0))</f>
        <v>1</v>
      </c>
    </row>
    <row r="144" customFormat="false" ht="15" hidden="false" customHeight="true" outlineLevel="0" collapsed="false">
      <c r="A144" s="31" t="n">
        <v>136</v>
      </c>
      <c r="B144" s="42" t="s">
        <v>479</v>
      </c>
      <c r="C144" s="42" t="s">
        <v>1688</v>
      </c>
      <c r="D144" s="42" t="s">
        <v>481</v>
      </c>
      <c r="E144" s="34" t="s">
        <v>459</v>
      </c>
      <c r="F144" s="43" t="s">
        <v>459</v>
      </c>
      <c r="G144" s="31" t="s">
        <v>110</v>
      </c>
      <c r="H144" s="44" t="s">
        <v>461</v>
      </c>
      <c r="I144" s="42" t="s">
        <v>1642</v>
      </c>
      <c r="J144" s="42"/>
      <c r="K144" s="45" t="n">
        <f aca="false">IF(AND(E144="yes",F144="yes",H144="covered"),1,IF(H144="partial",0.5,0))</f>
        <v>1</v>
      </c>
    </row>
    <row r="145" customFormat="false" ht="30" hidden="false" customHeight="true" outlineLevel="0" collapsed="false">
      <c r="A145" s="31" t="n">
        <v>137</v>
      </c>
      <c r="B145" s="42" t="s">
        <v>457</v>
      </c>
      <c r="C145" s="42" t="s">
        <v>1688</v>
      </c>
      <c r="D145" s="42" t="s">
        <v>482</v>
      </c>
      <c r="E145" s="34" t="s">
        <v>459</v>
      </c>
      <c r="F145" s="43" t="s">
        <v>459</v>
      </c>
      <c r="G145" s="31" t="s">
        <v>110</v>
      </c>
      <c r="H145" s="44" t="s">
        <v>461</v>
      </c>
      <c r="I145" s="42" t="s">
        <v>1642</v>
      </c>
      <c r="J145" s="42"/>
      <c r="K145" s="45" t="n">
        <f aca="false">IF(AND(E145="yes",F145="yes",H145="covered"),1,IF(H145="partial",0.5,0))</f>
        <v>1</v>
      </c>
    </row>
    <row r="146" customFormat="false" ht="15" hidden="false" customHeight="true" outlineLevel="0" collapsed="false">
      <c r="A146" s="31" t="n">
        <v>138</v>
      </c>
      <c r="B146" s="42" t="s">
        <v>774</v>
      </c>
      <c r="C146" s="42" t="s">
        <v>1688</v>
      </c>
      <c r="D146" s="42" t="s">
        <v>775</v>
      </c>
      <c r="E146" s="34" t="s">
        <v>459</v>
      </c>
      <c r="F146" s="43" t="s">
        <v>459</v>
      </c>
      <c r="G146" s="31" t="s">
        <v>110</v>
      </c>
      <c r="H146" s="44" t="s">
        <v>461</v>
      </c>
      <c r="I146" s="42" t="s">
        <v>1642</v>
      </c>
      <c r="J146" s="42"/>
      <c r="K146" s="45" t="n">
        <f aca="false">IF(AND(E146="yes",F146="yes",H146="covered"),1,IF(H146="partial",0.5,0))</f>
        <v>1</v>
      </c>
    </row>
    <row r="147" customFormat="false" ht="15" hidden="false" customHeight="true" outlineLevel="0" collapsed="false">
      <c r="A147" s="31" t="n">
        <v>139</v>
      </c>
      <c r="B147" s="42" t="s">
        <v>486</v>
      </c>
      <c r="C147" s="42" t="s">
        <v>1688</v>
      </c>
      <c r="D147" s="42" t="s">
        <v>495</v>
      </c>
      <c r="E147" s="34" t="s">
        <v>459</v>
      </c>
      <c r="F147" s="43" t="s">
        <v>459</v>
      </c>
      <c r="G147" s="31" t="s">
        <v>110</v>
      </c>
      <c r="H147" s="44" t="s">
        <v>461</v>
      </c>
      <c r="I147" s="42" t="s">
        <v>1642</v>
      </c>
      <c r="J147" s="42"/>
      <c r="K147" s="45" t="n">
        <f aca="false">IF(AND(E147="yes",F147="yes",H147="covered"),1,IF(H147="partial",0.5,0))</f>
        <v>1</v>
      </c>
    </row>
    <row r="148" customFormat="false" ht="15" hidden="false" customHeight="true" outlineLevel="0" collapsed="false">
      <c r="A148" s="31" t="n">
        <v>140</v>
      </c>
      <c r="B148" s="42" t="s">
        <v>505</v>
      </c>
      <c r="C148" s="42" t="s">
        <v>506</v>
      </c>
      <c r="D148" s="42" t="s">
        <v>1631</v>
      </c>
      <c r="E148" s="34" t="s">
        <v>459</v>
      </c>
      <c r="F148" s="43" t="s">
        <v>459</v>
      </c>
      <c r="G148" s="31" t="s">
        <v>110</v>
      </c>
      <c r="H148" s="44" t="s">
        <v>461</v>
      </c>
      <c r="I148" s="42" t="s">
        <v>1642</v>
      </c>
      <c r="J148" s="42"/>
      <c r="K148" s="45" t="n">
        <f aca="false">IF(AND(E148="yes",F148="yes",H148="covered"),1,IF(H148="partial",0.5,0))</f>
        <v>1</v>
      </c>
    </row>
    <row r="149" customFormat="false" ht="15" hidden="false" customHeight="true" outlineLevel="0" collapsed="false">
      <c r="A149" s="31" t="n">
        <v>141</v>
      </c>
      <c r="B149" s="42" t="s">
        <v>505</v>
      </c>
      <c r="C149" s="42" t="s">
        <v>506</v>
      </c>
      <c r="D149" s="42" t="s">
        <v>508</v>
      </c>
      <c r="E149" s="34" t="s">
        <v>459</v>
      </c>
      <c r="F149" s="43" t="s">
        <v>459</v>
      </c>
      <c r="G149" s="31" t="s">
        <v>110</v>
      </c>
      <c r="H149" s="44" t="s">
        <v>461</v>
      </c>
      <c r="I149" s="42" t="s">
        <v>1642</v>
      </c>
      <c r="J149" s="42"/>
      <c r="K149" s="45" t="n">
        <f aca="false">IF(AND(E149="yes",F149="yes",H149="covered"),1,IF(H149="partial",0.5,0))</f>
        <v>1</v>
      </c>
    </row>
    <row r="150" customFormat="false" ht="15" hidden="false" customHeight="true" outlineLevel="0" collapsed="false">
      <c r="A150" s="31" t="n">
        <v>142</v>
      </c>
      <c r="B150" s="42" t="s">
        <v>505</v>
      </c>
      <c r="C150" s="42" t="s">
        <v>506</v>
      </c>
      <c r="D150" s="42" t="s">
        <v>962</v>
      </c>
      <c r="E150" s="34" t="s">
        <v>459</v>
      </c>
      <c r="F150" s="43" t="s">
        <v>459</v>
      </c>
      <c r="G150" s="31" t="s">
        <v>110</v>
      </c>
      <c r="H150" s="44" t="s">
        <v>461</v>
      </c>
      <c r="I150" s="42" t="s">
        <v>1642</v>
      </c>
      <c r="J150" s="42"/>
      <c r="K150" s="45" t="n">
        <f aca="false">IF(AND(E150="yes",F150="yes",H150="covered"),1,IF(H150="partial",0.5,0))</f>
        <v>1</v>
      </c>
    </row>
    <row r="151" customFormat="false" ht="30" hidden="false" customHeight="true" outlineLevel="0" collapsed="false">
      <c r="A151" s="31" t="n">
        <v>143</v>
      </c>
      <c r="B151" s="42" t="s">
        <v>505</v>
      </c>
      <c r="C151" s="42" t="s">
        <v>506</v>
      </c>
      <c r="D151" s="42" t="s">
        <v>783</v>
      </c>
      <c r="E151" s="34" t="s">
        <v>459</v>
      </c>
      <c r="F151" s="43" t="s">
        <v>459</v>
      </c>
      <c r="G151" s="31" t="s">
        <v>110</v>
      </c>
      <c r="H151" s="44" t="s">
        <v>461</v>
      </c>
      <c r="I151" s="42" t="s">
        <v>1642</v>
      </c>
      <c r="J151" s="42"/>
      <c r="K151" s="45" t="n">
        <f aca="false">IF(AND(E151="yes",F151="yes",H151="covered"),1,IF(H151="partial",0.5,0))</f>
        <v>1</v>
      </c>
    </row>
    <row r="152" customFormat="false" ht="15" hidden="false" customHeight="true" outlineLevel="0" collapsed="false">
      <c r="A152" s="31" t="n">
        <v>144</v>
      </c>
      <c r="B152" s="42" t="s">
        <v>511</v>
      </c>
      <c r="C152" s="42" t="s">
        <v>506</v>
      </c>
      <c r="D152" s="42" t="s">
        <v>1689</v>
      </c>
      <c r="E152" s="34" t="s">
        <v>459</v>
      </c>
      <c r="F152" s="43" t="s">
        <v>459</v>
      </c>
      <c r="G152" s="31" t="s">
        <v>110</v>
      </c>
      <c r="H152" s="44" t="s">
        <v>461</v>
      </c>
      <c r="I152" s="42" t="s">
        <v>1642</v>
      </c>
      <c r="J152" s="42"/>
      <c r="K152" s="45" t="n">
        <f aca="false">IF(AND(E152="yes",F152="yes",H152="covered"),1,IF(H152="partial",0.5,0))</f>
        <v>1</v>
      </c>
    </row>
    <row r="153" customFormat="false" ht="15" hidden="false" customHeight="true" outlineLevel="0" collapsed="false">
      <c r="A153" s="31" t="n">
        <v>145</v>
      </c>
      <c r="B153" s="42" t="s">
        <v>511</v>
      </c>
      <c r="C153" s="42" t="s">
        <v>506</v>
      </c>
      <c r="D153" s="42" t="s">
        <v>512</v>
      </c>
      <c r="E153" s="34" t="s">
        <v>459</v>
      </c>
      <c r="F153" s="43" t="s">
        <v>459</v>
      </c>
      <c r="G153" s="31" t="s">
        <v>110</v>
      </c>
      <c r="H153" s="44" t="s">
        <v>461</v>
      </c>
      <c r="I153" s="42" t="s">
        <v>1642</v>
      </c>
      <c r="J153" s="42"/>
      <c r="K153" s="45" t="n">
        <f aca="false">IF(AND(E153="yes",F153="yes",H153="covered"),1,IF(H153="partial",0.5,0))</f>
        <v>1</v>
      </c>
    </row>
    <row r="154" customFormat="false" ht="15" hidden="false" customHeight="true" outlineLevel="0" collapsed="false">
      <c r="A154" s="31" t="n">
        <v>146</v>
      </c>
      <c r="B154" s="42" t="s">
        <v>511</v>
      </c>
      <c r="C154" s="42" t="s">
        <v>506</v>
      </c>
      <c r="D154" s="42" t="s">
        <v>1690</v>
      </c>
      <c r="E154" s="34" t="s">
        <v>459</v>
      </c>
      <c r="F154" s="43" t="s">
        <v>459</v>
      </c>
      <c r="G154" s="31" t="s">
        <v>110</v>
      </c>
      <c r="H154" s="44" t="s">
        <v>461</v>
      </c>
      <c r="I154" s="42" t="s">
        <v>1642</v>
      </c>
      <c r="J154" s="42"/>
      <c r="K154" s="45" t="n">
        <f aca="false">IF(AND(E154="yes",F154="yes",H154="covered"),1,IF(H154="partial",0.5,0))</f>
        <v>1</v>
      </c>
    </row>
    <row r="155" customFormat="false" ht="15" hidden="false" customHeight="true" outlineLevel="0" collapsed="false">
      <c r="A155" s="31" t="n">
        <v>147</v>
      </c>
      <c r="B155" s="42" t="s">
        <v>511</v>
      </c>
      <c r="C155" s="42" t="s">
        <v>506</v>
      </c>
      <c r="D155" s="42" t="s">
        <v>1691</v>
      </c>
      <c r="E155" s="34" t="s">
        <v>459</v>
      </c>
      <c r="F155" s="43" t="s">
        <v>459</v>
      </c>
      <c r="G155" s="31" t="s">
        <v>110</v>
      </c>
      <c r="H155" s="44" t="s">
        <v>461</v>
      </c>
      <c r="I155" s="42" t="s">
        <v>1642</v>
      </c>
      <c r="J155" s="42"/>
      <c r="K155" s="45" t="n">
        <f aca="false">IF(AND(E155="yes",F155="yes",H155="covered"),1,IF(H155="partial",0.5,0))</f>
        <v>1</v>
      </c>
    </row>
    <row r="156" customFormat="false" ht="15" hidden="false" customHeight="true" outlineLevel="0" collapsed="false">
      <c r="A156" s="31" t="n">
        <v>148</v>
      </c>
      <c r="B156" s="42" t="s">
        <v>511</v>
      </c>
      <c r="C156" s="42" t="s">
        <v>506</v>
      </c>
      <c r="D156" s="42" t="s">
        <v>965</v>
      </c>
      <c r="E156" s="34" t="s">
        <v>459</v>
      </c>
      <c r="F156" s="43" t="s">
        <v>459</v>
      </c>
      <c r="G156" s="31" t="s">
        <v>110</v>
      </c>
      <c r="H156" s="44" t="s">
        <v>461</v>
      </c>
      <c r="I156" s="42" t="s">
        <v>1642</v>
      </c>
      <c r="J156" s="42"/>
      <c r="K156" s="45" t="n">
        <f aca="false">IF(AND(E156="yes",F156="yes",H156="covered"),1,IF(H156="partial",0.5,0))</f>
        <v>1</v>
      </c>
    </row>
    <row r="157" customFormat="false" ht="30" hidden="false" customHeight="true" outlineLevel="0" collapsed="false">
      <c r="A157" s="31" t="n">
        <v>149</v>
      </c>
      <c r="B157" s="42" t="s">
        <v>511</v>
      </c>
      <c r="C157" s="42" t="s">
        <v>506</v>
      </c>
      <c r="D157" s="42" t="s">
        <v>1692</v>
      </c>
      <c r="E157" s="34" t="s">
        <v>459</v>
      </c>
      <c r="F157" s="43" t="s">
        <v>459</v>
      </c>
      <c r="G157" s="31" t="s">
        <v>110</v>
      </c>
      <c r="H157" s="44" t="s">
        <v>461</v>
      </c>
      <c r="I157" s="42" t="s">
        <v>1642</v>
      </c>
      <c r="J157" s="42"/>
      <c r="K157" s="45" t="n">
        <f aca="false">IF(AND(E157="yes",F157="yes",H157="covered"),1,IF(H157="partial",0.5,0))</f>
        <v>1</v>
      </c>
    </row>
    <row r="158" customFormat="false" ht="15" hidden="false" customHeight="true" outlineLevel="0" collapsed="false">
      <c r="A158" s="31" t="n">
        <v>150</v>
      </c>
      <c r="B158" s="42" t="s">
        <v>511</v>
      </c>
      <c r="C158" s="42" t="s">
        <v>506</v>
      </c>
      <c r="D158" s="42" t="s">
        <v>966</v>
      </c>
      <c r="E158" s="34" t="s">
        <v>459</v>
      </c>
      <c r="F158" s="43" t="s">
        <v>459</v>
      </c>
      <c r="G158" s="31" t="s">
        <v>110</v>
      </c>
      <c r="H158" s="44" t="s">
        <v>461</v>
      </c>
      <c r="I158" s="42" t="s">
        <v>1642</v>
      </c>
      <c r="J158" s="42"/>
      <c r="K158" s="45" t="n">
        <f aca="false">IF(AND(E158="yes",F158="yes",H158="covered"),1,IF(H158="partial",0.5,0))</f>
        <v>1</v>
      </c>
    </row>
    <row r="159" customFormat="false" ht="15" hidden="false" customHeight="true" outlineLevel="0" collapsed="false">
      <c r="A159" s="31" t="n">
        <v>151</v>
      </c>
      <c r="B159" s="42" t="s">
        <v>511</v>
      </c>
      <c r="C159" s="42" t="s">
        <v>506</v>
      </c>
      <c r="D159" s="42" t="s">
        <v>1693</v>
      </c>
      <c r="E159" s="34" t="s">
        <v>459</v>
      </c>
      <c r="F159" s="43" t="s">
        <v>459</v>
      </c>
      <c r="G159" s="31" t="s">
        <v>110</v>
      </c>
      <c r="H159" s="44" t="s">
        <v>461</v>
      </c>
      <c r="I159" s="42" t="s">
        <v>1642</v>
      </c>
      <c r="J159" s="42"/>
      <c r="K159" s="45" t="n">
        <f aca="false">IF(AND(E159="yes",F159="yes",H159="covered"),1,IF(H159="partial",0.5,0))</f>
        <v>1</v>
      </c>
    </row>
    <row r="160" customFormat="false" ht="15" hidden="false" customHeight="true" outlineLevel="0" collapsed="false">
      <c r="A160" s="31" t="n">
        <v>152</v>
      </c>
      <c r="B160" s="42" t="s">
        <v>511</v>
      </c>
      <c r="C160" s="42" t="s">
        <v>506</v>
      </c>
      <c r="D160" s="42" t="s">
        <v>1611</v>
      </c>
      <c r="E160" s="34" t="s">
        <v>459</v>
      </c>
      <c r="F160" s="43" t="s">
        <v>459</v>
      </c>
      <c r="G160" s="31" t="s">
        <v>110</v>
      </c>
      <c r="H160" s="44" t="s">
        <v>461</v>
      </c>
      <c r="I160" s="42" t="s">
        <v>1642</v>
      </c>
      <c r="J160" s="42"/>
      <c r="K160" s="45" t="n">
        <f aca="false">IF(AND(E160="yes",F160="yes",H160="covered"),1,IF(H160="partial",0.5,0))</f>
        <v>1</v>
      </c>
    </row>
    <row r="161" customFormat="false" ht="15" hidden="false" customHeight="true" outlineLevel="0" collapsed="false">
      <c r="A161" s="31" t="n">
        <v>153</v>
      </c>
      <c r="B161" s="42" t="s">
        <v>511</v>
      </c>
      <c r="C161" s="42" t="s">
        <v>506</v>
      </c>
      <c r="D161" s="42" t="s">
        <v>1694</v>
      </c>
      <c r="E161" s="34" t="s">
        <v>459</v>
      </c>
      <c r="F161" s="43" t="s">
        <v>459</v>
      </c>
      <c r="G161" s="31" t="s">
        <v>110</v>
      </c>
      <c r="H161" s="44" t="s">
        <v>461</v>
      </c>
      <c r="I161" s="42" t="s">
        <v>1642</v>
      </c>
      <c r="J161" s="42"/>
      <c r="K161" s="45" t="n">
        <f aca="false">IF(AND(E161="yes",F161="yes",H161="covered"),1,IF(H161="partial",0.5,0))</f>
        <v>1</v>
      </c>
    </row>
    <row r="162" customFormat="false" ht="15" hidden="false" customHeight="true" outlineLevel="0" collapsed="false">
      <c r="A162" s="31" t="n">
        <v>154</v>
      </c>
      <c r="B162" s="42" t="s">
        <v>511</v>
      </c>
      <c r="C162" s="42" t="s">
        <v>506</v>
      </c>
      <c r="D162" s="42" t="s">
        <v>514</v>
      </c>
      <c r="E162" s="34" t="s">
        <v>459</v>
      </c>
      <c r="F162" s="43" t="s">
        <v>459</v>
      </c>
      <c r="G162" s="31" t="s">
        <v>110</v>
      </c>
      <c r="H162" s="44" t="s">
        <v>461</v>
      </c>
      <c r="I162" s="42" t="s">
        <v>1642</v>
      </c>
      <c r="J162" s="42"/>
      <c r="K162" s="45" t="n">
        <f aca="false">IF(AND(E162="yes",F162="yes",H162="covered"),1,IF(H162="partial",0.5,0))</f>
        <v>1</v>
      </c>
    </row>
    <row r="163" customFormat="false" ht="30" hidden="false" customHeight="true" outlineLevel="0" collapsed="false">
      <c r="A163" s="31" t="n">
        <v>155</v>
      </c>
      <c r="B163" s="42" t="s">
        <v>511</v>
      </c>
      <c r="C163" s="42" t="s">
        <v>506</v>
      </c>
      <c r="D163" s="42" t="s">
        <v>515</v>
      </c>
      <c r="E163" s="34" t="s">
        <v>459</v>
      </c>
      <c r="F163" s="43" t="s">
        <v>459</v>
      </c>
      <c r="G163" s="31" t="s">
        <v>110</v>
      </c>
      <c r="H163" s="44" t="s">
        <v>461</v>
      </c>
      <c r="I163" s="42" t="s">
        <v>1642</v>
      </c>
      <c r="J163" s="42"/>
      <c r="K163" s="45" t="n">
        <f aca="false">IF(AND(E163="yes",F163="yes",H163="covered"),1,IF(H163="partial",0.5,0))</f>
        <v>1</v>
      </c>
    </row>
    <row r="164" customFormat="false" ht="15" hidden="false" customHeight="true" outlineLevel="0" collapsed="false">
      <c r="A164" s="31" t="n">
        <v>156</v>
      </c>
      <c r="B164" s="42" t="s">
        <v>483</v>
      </c>
      <c r="C164" s="42" t="s">
        <v>38</v>
      </c>
      <c r="D164" s="42" t="s">
        <v>516</v>
      </c>
      <c r="E164" s="34" t="s">
        <v>459</v>
      </c>
      <c r="F164" s="43" t="s">
        <v>459</v>
      </c>
      <c r="G164" s="31" t="s">
        <v>110</v>
      </c>
      <c r="H164" s="44" t="s">
        <v>461</v>
      </c>
      <c r="I164" s="42" t="s">
        <v>1642</v>
      </c>
      <c r="J164" s="42"/>
      <c r="K164" s="45" t="n">
        <f aca="false">IF(AND(E164="yes",F164="yes",H164="covered"),1,IF(H164="partial",0.5,0))</f>
        <v>1</v>
      </c>
    </row>
    <row r="165" customFormat="false" ht="15" hidden="false" customHeight="true" outlineLevel="0" collapsed="false">
      <c r="A165" s="31" t="n">
        <v>157</v>
      </c>
      <c r="B165" s="42" t="s">
        <v>483</v>
      </c>
      <c r="C165" s="42" t="s">
        <v>38</v>
      </c>
      <c r="D165" s="42" t="s">
        <v>517</v>
      </c>
      <c r="E165" s="34" t="s">
        <v>459</v>
      </c>
      <c r="F165" s="43" t="s">
        <v>459</v>
      </c>
      <c r="G165" s="31" t="s">
        <v>110</v>
      </c>
      <c r="H165" s="44" t="s">
        <v>461</v>
      </c>
      <c r="I165" s="42" t="s">
        <v>1642</v>
      </c>
      <c r="J165" s="42"/>
      <c r="K165" s="45" t="n">
        <f aca="false">IF(AND(E165="yes",F165="yes",H165="covered"),1,IF(H165="partial",0.5,0))</f>
        <v>1</v>
      </c>
    </row>
    <row r="166" customFormat="false" ht="15" hidden="false" customHeight="true" outlineLevel="0" collapsed="false">
      <c r="A166" s="31" t="n">
        <v>158</v>
      </c>
      <c r="B166" s="42" t="s">
        <v>483</v>
      </c>
      <c r="C166" s="42" t="s">
        <v>38</v>
      </c>
      <c r="D166" s="42" t="s">
        <v>518</v>
      </c>
      <c r="E166" s="34" t="s">
        <v>459</v>
      </c>
      <c r="F166" s="43" t="s">
        <v>459</v>
      </c>
      <c r="G166" s="31" t="s">
        <v>110</v>
      </c>
      <c r="H166" s="44" t="s">
        <v>461</v>
      </c>
      <c r="I166" s="42" t="s">
        <v>1642</v>
      </c>
      <c r="J166" s="42"/>
      <c r="K166" s="45" t="n">
        <f aca="false">IF(AND(E166="yes",F166="yes",H166="covered"),1,IF(H166="partial",0.5,0))</f>
        <v>1</v>
      </c>
    </row>
    <row r="167" customFormat="false" ht="15" hidden="false" customHeight="true" outlineLevel="0" collapsed="false">
      <c r="A167" s="31" t="n">
        <v>159</v>
      </c>
      <c r="B167" s="42" t="s">
        <v>483</v>
      </c>
      <c r="C167" s="42" t="s">
        <v>38</v>
      </c>
      <c r="D167" s="42" t="s">
        <v>519</v>
      </c>
      <c r="E167" s="34" t="s">
        <v>459</v>
      </c>
      <c r="F167" s="43" t="s">
        <v>459</v>
      </c>
      <c r="G167" s="31" t="s">
        <v>110</v>
      </c>
      <c r="H167" s="44" t="s">
        <v>461</v>
      </c>
      <c r="I167" s="42" t="s">
        <v>1642</v>
      </c>
      <c r="J167" s="42"/>
      <c r="K167" s="45" t="n">
        <f aca="false">IF(AND(E167="yes",F167="yes",H167="covered"),1,IF(H167="partial",0.5,0))</f>
        <v>1</v>
      </c>
    </row>
    <row r="168" customFormat="false" ht="15" hidden="false" customHeight="true" outlineLevel="0" collapsed="false">
      <c r="A168" s="31" t="n">
        <v>160</v>
      </c>
      <c r="B168" s="42" t="s">
        <v>483</v>
      </c>
      <c r="C168" s="42" t="s">
        <v>38</v>
      </c>
      <c r="D168" s="42" t="s">
        <v>520</v>
      </c>
      <c r="E168" s="34" t="s">
        <v>459</v>
      </c>
      <c r="F168" s="43" t="s">
        <v>459</v>
      </c>
      <c r="G168" s="31" t="s">
        <v>110</v>
      </c>
      <c r="H168" s="44" t="s">
        <v>461</v>
      </c>
      <c r="I168" s="42" t="s">
        <v>1642</v>
      </c>
      <c r="J168" s="42"/>
      <c r="K168" s="45" t="n">
        <f aca="false">IF(AND(E168="yes",F168="yes",H168="covered"),1,IF(H168="partial",0.5,0))</f>
        <v>1</v>
      </c>
    </row>
    <row r="169" customFormat="false" ht="30" hidden="false" customHeight="true" outlineLevel="0" collapsed="false">
      <c r="A169" s="31" t="n">
        <v>161</v>
      </c>
      <c r="B169" s="42" t="s">
        <v>488</v>
      </c>
      <c r="C169" s="42" t="s">
        <v>476</v>
      </c>
      <c r="D169" s="42" t="s">
        <v>521</v>
      </c>
      <c r="E169" s="34" t="s">
        <v>459</v>
      </c>
      <c r="F169" s="43" t="s">
        <v>459</v>
      </c>
      <c r="G169" s="31" t="s">
        <v>110</v>
      </c>
      <c r="H169" s="44" t="s">
        <v>461</v>
      </c>
      <c r="I169" s="42" t="s">
        <v>1642</v>
      </c>
      <c r="J169" s="42"/>
      <c r="K169" s="45" t="n">
        <f aca="false">IF(AND(E169="yes",F169="yes",H169="covered"),1,IF(H169="partial",0.5,0))</f>
        <v>1</v>
      </c>
    </row>
    <row r="170" customFormat="false" ht="15" hidden="false" customHeight="true" outlineLevel="0" collapsed="false">
      <c r="A170" s="31" t="n">
        <v>162</v>
      </c>
      <c r="B170" s="42" t="s">
        <v>488</v>
      </c>
      <c r="C170" s="42" t="s">
        <v>476</v>
      </c>
      <c r="D170" s="42" t="s">
        <v>522</v>
      </c>
      <c r="E170" s="34" t="s">
        <v>459</v>
      </c>
      <c r="F170" s="43" t="s">
        <v>459</v>
      </c>
      <c r="G170" s="31" t="s">
        <v>110</v>
      </c>
      <c r="H170" s="44" t="s">
        <v>461</v>
      </c>
      <c r="I170" s="42" t="s">
        <v>1642</v>
      </c>
      <c r="J170" s="42"/>
      <c r="K170" s="45" t="n">
        <f aca="false">IF(AND(E170="yes",F170="yes",H170="covered"),1,IF(H170="partial",0.5,0))</f>
        <v>1</v>
      </c>
    </row>
    <row r="171" customFormat="false" ht="15" hidden="false" customHeight="true" outlineLevel="0" collapsed="false">
      <c r="A171" s="31" t="n">
        <v>163</v>
      </c>
      <c r="B171" s="42" t="s">
        <v>488</v>
      </c>
      <c r="C171" s="42" t="s">
        <v>476</v>
      </c>
      <c r="D171" s="42" t="s">
        <v>523</v>
      </c>
      <c r="E171" s="34" t="s">
        <v>459</v>
      </c>
      <c r="F171" s="43" t="s">
        <v>459</v>
      </c>
      <c r="G171" s="31" t="s">
        <v>110</v>
      </c>
      <c r="H171" s="44" t="s">
        <v>461</v>
      </c>
      <c r="I171" s="42" t="s">
        <v>1642</v>
      </c>
      <c r="J171" s="42"/>
      <c r="K171" s="45" t="n">
        <f aca="false">IF(AND(E171="yes",F171="yes",H171="covered"),1,IF(H171="partial",0.5,0))</f>
        <v>1</v>
      </c>
    </row>
    <row r="172" customFormat="false" ht="15" hidden="false" customHeight="true" outlineLevel="0" collapsed="false">
      <c r="A172" s="31" t="n">
        <v>164</v>
      </c>
      <c r="B172" s="42" t="s">
        <v>488</v>
      </c>
      <c r="C172" s="42" t="s">
        <v>38</v>
      </c>
      <c r="D172" s="42" t="s">
        <v>968</v>
      </c>
      <c r="E172" s="34" t="s">
        <v>459</v>
      </c>
      <c r="F172" s="43" t="s">
        <v>459</v>
      </c>
      <c r="G172" s="31" t="s">
        <v>110</v>
      </c>
      <c r="H172" s="44" t="s">
        <v>461</v>
      </c>
      <c r="I172" s="42" t="s">
        <v>1642</v>
      </c>
      <c r="J172" s="42"/>
      <c r="K172" s="45" t="n">
        <f aca="false">IF(AND(E172="yes",F172="yes",H172="covered"),1,IF(H172="partial",0.5,0))</f>
        <v>1</v>
      </c>
    </row>
    <row r="173" customFormat="false" ht="15" hidden="false" customHeight="true" outlineLevel="0" collapsed="false">
      <c r="A173" s="31" t="n">
        <v>165</v>
      </c>
      <c r="B173" s="42" t="s">
        <v>488</v>
      </c>
      <c r="C173" s="42" t="s">
        <v>38</v>
      </c>
      <c r="D173" s="42" t="s">
        <v>969</v>
      </c>
      <c r="E173" s="34" t="s">
        <v>459</v>
      </c>
      <c r="F173" s="43" t="s">
        <v>459</v>
      </c>
      <c r="G173" s="31" t="s">
        <v>110</v>
      </c>
      <c r="H173" s="44" t="s">
        <v>461</v>
      </c>
      <c r="I173" s="42" t="s">
        <v>1642</v>
      </c>
      <c r="J173" s="42"/>
      <c r="K173" s="45" t="n">
        <f aca="false">IF(AND(E173="yes",F173="yes",H173="covered"),1,IF(H173="partial",0.5,0))</f>
        <v>1</v>
      </c>
    </row>
    <row r="174" customFormat="false" ht="15" hidden="false" customHeight="true" outlineLevel="0" collapsed="false">
      <c r="A174" s="31" t="n">
        <v>166</v>
      </c>
      <c r="B174" s="42" t="s">
        <v>488</v>
      </c>
      <c r="C174" s="42" t="s">
        <v>38</v>
      </c>
      <c r="D174" s="42" t="s">
        <v>970</v>
      </c>
      <c r="E174" s="34" t="s">
        <v>459</v>
      </c>
      <c r="F174" s="43" t="s">
        <v>459</v>
      </c>
      <c r="G174" s="31" t="s">
        <v>110</v>
      </c>
      <c r="H174" s="44" t="s">
        <v>461</v>
      </c>
      <c r="I174" s="42" t="s">
        <v>1642</v>
      </c>
      <c r="J174" s="42"/>
      <c r="K174" s="45" t="n">
        <f aca="false">IF(AND(E174="yes",F174="yes",H174="covered"),1,IF(H174="partial",0.5,0))</f>
        <v>1</v>
      </c>
    </row>
    <row r="175" customFormat="false" ht="30" hidden="false" customHeight="true" outlineLevel="0" collapsed="false">
      <c r="A175" s="31" t="n">
        <v>167</v>
      </c>
      <c r="B175" s="42" t="s">
        <v>488</v>
      </c>
      <c r="C175" s="42" t="s">
        <v>38</v>
      </c>
      <c r="D175" s="42" t="s">
        <v>971</v>
      </c>
      <c r="E175" s="34" t="s">
        <v>459</v>
      </c>
      <c r="F175" s="43" t="s">
        <v>459</v>
      </c>
      <c r="G175" s="31" t="s">
        <v>110</v>
      </c>
      <c r="H175" s="44" t="s">
        <v>461</v>
      </c>
      <c r="I175" s="42" t="s">
        <v>1642</v>
      </c>
      <c r="J175" s="42"/>
      <c r="K175" s="45" t="n">
        <f aca="false">IF(AND(E175="yes",F175="yes",H175="covered"),1,IF(H175="partial",0.5,0))</f>
        <v>1</v>
      </c>
    </row>
    <row r="176" customFormat="false" ht="15" hidden="false" customHeight="true" outlineLevel="0" collapsed="false">
      <c r="A176" s="31" t="n">
        <v>168</v>
      </c>
      <c r="B176" s="42" t="s">
        <v>933</v>
      </c>
      <c r="C176" s="42" t="s">
        <v>38</v>
      </c>
      <c r="D176" s="42" t="s">
        <v>972</v>
      </c>
      <c r="E176" s="34" t="s">
        <v>459</v>
      </c>
      <c r="F176" s="43" t="s">
        <v>459</v>
      </c>
      <c r="G176" s="31" t="s">
        <v>110</v>
      </c>
      <c r="H176" s="44" t="s">
        <v>461</v>
      </c>
      <c r="I176" s="42" t="s">
        <v>1642</v>
      </c>
      <c r="J176" s="42"/>
      <c r="K176" s="45" t="n">
        <f aca="false">IF(AND(E176="yes",F176="yes",H176="covered"),1,IF(H176="partial",0.5,0))</f>
        <v>1</v>
      </c>
    </row>
    <row r="177" customFormat="false" ht="15" hidden="false" customHeight="true" outlineLevel="0" collapsed="false">
      <c r="A177" s="31" t="n">
        <v>169</v>
      </c>
      <c r="B177" s="42" t="s">
        <v>933</v>
      </c>
      <c r="C177" s="42" t="s">
        <v>38</v>
      </c>
      <c r="D177" s="42" t="s">
        <v>973</v>
      </c>
      <c r="E177" s="34" t="s">
        <v>459</v>
      </c>
      <c r="F177" s="43" t="s">
        <v>459</v>
      </c>
      <c r="G177" s="31" t="s">
        <v>110</v>
      </c>
      <c r="H177" s="44" t="s">
        <v>461</v>
      </c>
      <c r="I177" s="42" t="s">
        <v>1642</v>
      </c>
      <c r="J177" s="42"/>
      <c r="K177" s="45" t="n">
        <f aca="false">IF(AND(E177="yes",F177="yes",H177="covered"),1,IF(H177="partial",0.5,0))</f>
        <v>1</v>
      </c>
    </row>
    <row r="178" customFormat="false" ht="15" hidden="false" customHeight="true" outlineLevel="0" collapsed="false">
      <c r="A178" s="31" t="n">
        <v>170</v>
      </c>
      <c r="B178" s="42" t="s">
        <v>524</v>
      </c>
      <c r="C178" s="42" t="s">
        <v>498</v>
      </c>
      <c r="D178" s="42" t="s">
        <v>525</v>
      </c>
      <c r="E178" s="34" t="s">
        <v>459</v>
      </c>
      <c r="F178" s="43" t="s">
        <v>459</v>
      </c>
      <c r="G178" s="31" t="s">
        <v>110</v>
      </c>
      <c r="H178" s="44" t="s">
        <v>461</v>
      </c>
      <c r="I178" s="42" t="s">
        <v>1642</v>
      </c>
      <c r="J178" s="42"/>
      <c r="K178" s="45" t="n">
        <f aca="false">IF(AND(E178="yes",F178="yes",H178="covered"),1,IF(H178="partial",0.5,0))</f>
        <v>1</v>
      </c>
    </row>
    <row r="179" customFormat="false" ht="15" hidden="false" customHeight="true" outlineLevel="0" collapsed="false">
      <c r="A179" s="31" t="n">
        <v>171</v>
      </c>
      <c r="B179" s="42" t="s">
        <v>524</v>
      </c>
      <c r="C179" s="42" t="s">
        <v>498</v>
      </c>
      <c r="D179" s="42" t="s">
        <v>526</v>
      </c>
      <c r="E179" s="34" t="s">
        <v>459</v>
      </c>
      <c r="F179" s="43" t="s">
        <v>459</v>
      </c>
      <c r="G179" s="31" t="s">
        <v>110</v>
      </c>
      <c r="H179" s="44" t="s">
        <v>461</v>
      </c>
      <c r="I179" s="42" t="s">
        <v>1642</v>
      </c>
      <c r="J179" s="42"/>
      <c r="K179" s="45" t="n">
        <f aca="false">IF(AND(E179="yes",F179="yes",H179="covered"),1,IF(H179="partial",0.5,0))</f>
        <v>1</v>
      </c>
    </row>
    <row r="180" customFormat="false" ht="15" hidden="false" customHeight="true" outlineLevel="0" collapsed="false">
      <c r="A180" s="31" t="n">
        <v>172</v>
      </c>
      <c r="B180" s="42" t="s">
        <v>524</v>
      </c>
      <c r="C180" s="42" t="s">
        <v>498</v>
      </c>
      <c r="D180" s="42" t="s">
        <v>527</v>
      </c>
      <c r="E180" s="34" t="s">
        <v>459</v>
      </c>
      <c r="F180" s="43" t="s">
        <v>459</v>
      </c>
      <c r="G180" s="31" t="s">
        <v>110</v>
      </c>
      <c r="H180" s="44" t="s">
        <v>461</v>
      </c>
      <c r="I180" s="42" t="s">
        <v>1642</v>
      </c>
      <c r="J180" s="42"/>
      <c r="K180" s="45" t="n">
        <f aca="false">IF(AND(E180="yes",F180="yes",H180="covered"),1,IF(H180="partial",0.5,0))</f>
        <v>1</v>
      </c>
    </row>
    <row r="181" customFormat="false" ht="30" hidden="false" customHeight="true" outlineLevel="0" collapsed="false">
      <c r="A181" s="31" t="n">
        <v>173</v>
      </c>
      <c r="B181" s="42" t="s">
        <v>524</v>
      </c>
      <c r="C181" s="42" t="s">
        <v>498</v>
      </c>
      <c r="D181" s="42" t="s">
        <v>528</v>
      </c>
      <c r="E181" s="34" t="s">
        <v>459</v>
      </c>
      <c r="F181" s="43" t="s">
        <v>459</v>
      </c>
      <c r="G181" s="31" t="s">
        <v>110</v>
      </c>
      <c r="H181" s="44" t="s">
        <v>461</v>
      </c>
      <c r="I181" s="42" t="s">
        <v>1642</v>
      </c>
      <c r="J181" s="42"/>
      <c r="K181" s="45" t="n">
        <f aca="false">IF(AND(E181="yes",F181="yes",H181="covered"),1,IF(H181="partial",0.5,0))</f>
        <v>1</v>
      </c>
    </row>
    <row r="182" customFormat="false" ht="15" hidden="false" customHeight="true" outlineLevel="0" collapsed="false">
      <c r="A182" s="31" t="n">
        <v>174</v>
      </c>
      <c r="B182" s="42" t="s">
        <v>529</v>
      </c>
      <c r="C182" s="42" t="s">
        <v>498</v>
      </c>
      <c r="D182" s="42" t="s">
        <v>530</v>
      </c>
      <c r="E182" s="34" t="s">
        <v>459</v>
      </c>
      <c r="F182" s="43" t="s">
        <v>459</v>
      </c>
      <c r="G182" s="31" t="s">
        <v>110</v>
      </c>
      <c r="H182" s="44" t="s">
        <v>461</v>
      </c>
      <c r="I182" s="42" t="s">
        <v>1642</v>
      </c>
      <c r="J182" s="42"/>
      <c r="K182" s="45" t="n">
        <f aca="false">IF(AND(E182="yes",F182="yes",H182="covered"),1,IF(H182="partial",0.5,0))</f>
        <v>1</v>
      </c>
    </row>
    <row r="183" customFormat="false" ht="15" hidden="false" customHeight="true" outlineLevel="0" collapsed="false">
      <c r="A183" s="31" t="n">
        <v>175</v>
      </c>
      <c r="B183" s="42" t="s">
        <v>531</v>
      </c>
      <c r="C183" s="42" t="s">
        <v>38</v>
      </c>
      <c r="D183" s="42" t="s">
        <v>974</v>
      </c>
      <c r="E183" s="34" t="s">
        <v>459</v>
      </c>
      <c r="F183" s="43" t="s">
        <v>459</v>
      </c>
      <c r="G183" s="31" t="s">
        <v>110</v>
      </c>
      <c r="H183" s="44" t="s">
        <v>461</v>
      </c>
      <c r="I183" s="42" t="s">
        <v>1642</v>
      </c>
      <c r="J183" s="42"/>
      <c r="K183" s="45" t="n">
        <f aca="false">IF(AND(E183="yes",F183="yes",H183="covered"),1,IF(H183="partial",0.5,0))</f>
        <v>1</v>
      </c>
    </row>
    <row r="184" customFormat="false" ht="15" hidden="false" customHeight="true" outlineLevel="0" collapsed="false">
      <c r="A184" s="31" t="n">
        <v>176</v>
      </c>
      <c r="B184" s="42" t="s">
        <v>531</v>
      </c>
      <c r="C184" s="42" t="s">
        <v>38</v>
      </c>
      <c r="D184" s="42" t="s">
        <v>975</v>
      </c>
      <c r="E184" s="34" t="s">
        <v>459</v>
      </c>
      <c r="F184" s="43" t="s">
        <v>459</v>
      </c>
      <c r="G184" s="31" t="s">
        <v>110</v>
      </c>
      <c r="H184" s="44" t="s">
        <v>461</v>
      </c>
      <c r="I184" s="42" t="s">
        <v>1642</v>
      </c>
      <c r="J184" s="42"/>
      <c r="K184" s="45" t="n">
        <f aca="false">IF(AND(E184="yes",F184="yes",H184="covered"),1,IF(H184="partial",0.5,0))</f>
        <v>1</v>
      </c>
    </row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  <row r="202" customFormat="false" ht="15" hidden="false" customHeight="true" outlineLevel="0" collapsed="false"/>
    <row r="203" customFormat="false" ht="15" hidden="false" customHeight="true" outlineLevel="0" collapsed="false"/>
    <row r="204" customFormat="false" ht="30" hidden="false" customHeight="true" outlineLevel="0" collapsed="false"/>
    <row r="205" customFormat="false" ht="15" hidden="false" customHeight="true" outlineLevel="0" collapsed="false"/>
    <row r="206" customFormat="false" ht="15" hidden="false" customHeight="true" outlineLevel="0" collapsed="false"/>
    <row r="207" customFormat="false" ht="15" hidden="false" customHeight="true" outlineLevel="0" collapsed="false"/>
    <row r="208" customFormat="false" ht="15" hidden="false" customHeight="true" outlineLevel="0" collapsed="false"/>
    <row r="209" customFormat="false" ht="15" hidden="false" customHeight="true" outlineLevel="0" collapsed="false"/>
    <row r="210" customFormat="false" ht="30" hidden="false" customHeight="true" outlineLevel="0" collapsed="false"/>
    <row r="211" customFormat="false" ht="30" hidden="false" customHeight="true" outlineLevel="0" collapsed="false"/>
    <row r="212" customFormat="false" ht="30" hidden="false" customHeight="true" outlineLevel="0" collapsed="false"/>
    <row r="213" customFormat="false" ht="30" hidden="false" customHeight="true" outlineLevel="0" collapsed="false"/>
    <row r="214" customFormat="false" ht="15" hidden="false" customHeight="true" outlineLevel="0" collapsed="false"/>
    <row r="215" customFormat="false" ht="30" hidden="false" customHeight="true" outlineLevel="0" collapsed="false"/>
    <row r="216" customFormat="false" ht="15" hidden="false" customHeight="true" outlineLevel="0" collapsed="false"/>
    <row r="217" customFormat="false" ht="15" hidden="false" customHeight="true" outlineLevel="0" collapsed="false"/>
    <row r="218" customFormat="false" ht="15" hidden="false" customHeight="true" outlineLevel="0" collapsed="false"/>
    <row r="219" customFormat="false" ht="15" hidden="false" customHeight="true" outlineLevel="0" collapsed="false"/>
    <row r="220" customFormat="false" ht="15" hidden="false" customHeight="true" outlineLevel="0" collapsed="false"/>
    <row r="221" customFormat="false" ht="15" hidden="false" customHeight="true" outlineLevel="0" collapsed="false"/>
    <row r="222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1695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41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47" t="n">
        <v>1</v>
      </c>
      <c r="B9" s="48" t="s">
        <v>456</v>
      </c>
      <c r="C9" s="48" t="s">
        <v>457</v>
      </c>
      <c r="D9" s="48" t="s">
        <v>458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1696</v>
      </c>
      <c r="J9" s="48"/>
      <c r="K9" s="49" t="n">
        <f aca="false">IF(H9="covered",1,IF(H9="partial",0.5,0))</f>
        <v>1</v>
      </c>
    </row>
    <row r="10" customFormat="false" ht="15" hidden="false" customHeight="true" outlineLevel="0" collapsed="false">
      <c r="A10" s="47" t="n">
        <v>2</v>
      </c>
      <c r="B10" s="48" t="s">
        <v>456</v>
      </c>
      <c r="C10" s="48" t="s">
        <v>457</v>
      </c>
      <c r="D10" s="48" t="s">
        <v>463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1696</v>
      </c>
      <c r="J10" s="48"/>
      <c r="K10" s="49" t="n">
        <f aca="false">IF(H10="covered",1,IF(H10="partial",0.5,0))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39</v>
      </c>
      <c r="D11" s="42" t="s">
        <v>464</v>
      </c>
      <c r="E11" s="34" t="s">
        <v>459</v>
      </c>
      <c r="F11" s="43" t="s">
        <v>459</v>
      </c>
      <c r="G11" s="31" t="s">
        <v>907</v>
      </c>
      <c r="H11" s="44" t="s">
        <v>461</v>
      </c>
      <c r="I11" s="42" t="s">
        <v>1697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39</v>
      </c>
      <c r="D12" s="42" t="s">
        <v>465</v>
      </c>
      <c r="E12" s="34" t="s">
        <v>459</v>
      </c>
      <c r="F12" s="43" t="s">
        <v>459</v>
      </c>
      <c r="G12" s="31" t="s">
        <v>907</v>
      </c>
      <c r="H12" s="44" t="s">
        <v>461</v>
      </c>
      <c r="I12" s="42" t="s">
        <v>1697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39</v>
      </c>
      <c r="D13" s="42" t="s">
        <v>466</v>
      </c>
      <c r="E13" s="34" t="s">
        <v>459</v>
      </c>
      <c r="F13" s="43" t="s">
        <v>459</v>
      </c>
      <c r="G13" s="31" t="s">
        <v>907</v>
      </c>
      <c r="H13" s="44" t="s">
        <v>461</v>
      </c>
      <c r="I13" s="42" t="s">
        <v>1697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39</v>
      </c>
      <c r="D14" s="42" t="s">
        <v>467</v>
      </c>
      <c r="E14" s="34" t="s">
        <v>459</v>
      </c>
      <c r="F14" s="43" t="s">
        <v>459</v>
      </c>
      <c r="G14" s="31" t="s">
        <v>907</v>
      </c>
      <c r="H14" s="44" t="s">
        <v>461</v>
      </c>
      <c r="I14" s="42" t="s">
        <v>1697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476</v>
      </c>
      <c r="D15" s="42" t="s">
        <v>1698</v>
      </c>
      <c r="E15" s="34" t="s">
        <v>459</v>
      </c>
      <c r="F15" s="43" t="s">
        <v>459</v>
      </c>
      <c r="G15" s="31" t="s">
        <v>907</v>
      </c>
      <c r="H15" s="44" t="s">
        <v>461</v>
      </c>
      <c r="I15" s="42" t="s">
        <v>1697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476</v>
      </c>
      <c r="D16" s="42" t="s">
        <v>1699</v>
      </c>
      <c r="E16" s="34" t="s">
        <v>459</v>
      </c>
      <c r="F16" s="43" t="s">
        <v>459</v>
      </c>
      <c r="G16" s="31" t="s">
        <v>907</v>
      </c>
      <c r="H16" s="44" t="s">
        <v>461</v>
      </c>
      <c r="I16" s="42" t="s">
        <v>1697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476</v>
      </c>
      <c r="D17" s="42" t="s">
        <v>1700</v>
      </c>
      <c r="E17" s="34" t="s">
        <v>459</v>
      </c>
      <c r="F17" s="43" t="s">
        <v>459</v>
      </c>
      <c r="G17" s="31" t="s">
        <v>907</v>
      </c>
      <c r="H17" s="44" t="s">
        <v>461</v>
      </c>
      <c r="I17" s="42" t="s">
        <v>1697</v>
      </c>
      <c r="J17" s="42"/>
      <c r="K17" s="45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476</v>
      </c>
      <c r="D18" s="42" t="s">
        <v>1701</v>
      </c>
      <c r="E18" s="34" t="s">
        <v>459</v>
      </c>
      <c r="F18" s="43" t="s">
        <v>459</v>
      </c>
      <c r="G18" s="31" t="s">
        <v>907</v>
      </c>
      <c r="H18" s="44" t="s">
        <v>461</v>
      </c>
      <c r="I18" s="42" t="s">
        <v>1697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476</v>
      </c>
      <c r="D19" s="42" t="s">
        <v>1702</v>
      </c>
      <c r="E19" s="34" t="s">
        <v>459</v>
      </c>
      <c r="F19" s="43" t="s">
        <v>459</v>
      </c>
      <c r="G19" s="31" t="s">
        <v>907</v>
      </c>
      <c r="H19" s="44" t="s">
        <v>461</v>
      </c>
      <c r="I19" s="42" t="s">
        <v>1697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476</v>
      </c>
      <c r="D20" s="42" t="s">
        <v>1703</v>
      </c>
      <c r="E20" s="34" t="s">
        <v>459</v>
      </c>
      <c r="F20" s="43" t="s">
        <v>459</v>
      </c>
      <c r="G20" s="31" t="s">
        <v>907</v>
      </c>
      <c r="H20" s="44" t="s">
        <v>461</v>
      </c>
      <c r="I20" s="42" t="s">
        <v>1697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907</v>
      </c>
      <c r="H21" s="44" t="s">
        <v>461</v>
      </c>
      <c r="I21" s="42" t="s">
        <v>1697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1704</v>
      </c>
      <c r="E22" s="34" t="s">
        <v>459</v>
      </c>
      <c r="F22" s="43" t="s">
        <v>459</v>
      </c>
      <c r="G22" s="31" t="s">
        <v>907</v>
      </c>
      <c r="H22" s="44" t="s">
        <v>461</v>
      </c>
      <c r="I22" s="42" t="s">
        <v>1697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1705</v>
      </c>
      <c r="E23" s="34" t="s">
        <v>459</v>
      </c>
      <c r="F23" s="43" t="s">
        <v>459</v>
      </c>
      <c r="G23" s="31" t="s">
        <v>907</v>
      </c>
      <c r="H23" s="44" t="s">
        <v>461</v>
      </c>
      <c r="I23" s="42" t="s">
        <v>1697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1706</v>
      </c>
      <c r="E24" s="34" t="s">
        <v>459</v>
      </c>
      <c r="F24" s="43" t="s">
        <v>459</v>
      </c>
      <c r="G24" s="31" t="s">
        <v>907</v>
      </c>
      <c r="H24" s="44" t="s">
        <v>461</v>
      </c>
      <c r="I24" s="42" t="s">
        <v>1697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479</v>
      </c>
      <c r="C25" s="42" t="s">
        <v>476</v>
      </c>
      <c r="D25" s="42" t="s">
        <v>1707</v>
      </c>
      <c r="E25" s="34" t="s">
        <v>459</v>
      </c>
      <c r="F25" s="43" t="s">
        <v>459</v>
      </c>
      <c r="G25" s="31" t="s">
        <v>907</v>
      </c>
      <c r="H25" s="44" t="s">
        <v>461</v>
      </c>
      <c r="I25" s="42" t="s">
        <v>1697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457</v>
      </c>
      <c r="C26" s="42" t="s">
        <v>476</v>
      </c>
      <c r="D26" s="42" t="s">
        <v>482</v>
      </c>
      <c r="E26" s="34" t="s">
        <v>459</v>
      </c>
      <c r="F26" s="43" t="s">
        <v>459</v>
      </c>
      <c r="G26" s="31" t="s">
        <v>907</v>
      </c>
      <c r="H26" s="44" t="s">
        <v>461</v>
      </c>
      <c r="I26" s="42" t="s">
        <v>1697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486</v>
      </c>
      <c r="C27" s="42" t="s">
        <v>476</v>
      </c>
      <c r="D27" s="42" t="s">
        <v>1708</v>
      </c>
      <c r="E27" s="34" t="s">
        <v>459</v>
      </c>
      <c r="F27" s="43" t="s">
        <v>459</v>
      </c>
      <c r="G27" s="31" t="s">
        <v>907</v>
      </c>
      <c r="H27" s="44" t="s">
        <v>461</v>
      </c>
      <c r="I27" s="42" t="s">
        <v>1697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486</v>
      </c>
      <c r="C28" s="42" t="s">
        <v>476</v>
      </c>
      <c r="D28" s="42" t="s">
        <v>1709</v>
      </c>
      <c r="E28" s="34" t="s">
        <v>459</v>
      </c>
      <c r="F28" s="43" t="s">
        <v>459</v>
      </c>
      <c r="G28" s="31" t="s">
        <v>907</v>
      </c>
      <c r="H28" s="44" t="s">
        <v>461</v>
      </c>
      <c r="I28" s="42" t="s">
        <v>1697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486</v>
      </c>
      <c r="C29" s="42" t="s">
        <v>476</v>
      </c>
      <c r="D29" s="42" t="s">
        <v>1710</v>
      </c>
      <c r="E29" s="34" t="s">
        <v>459</v>
      </c>
      <c r="F29" s="43" t="s">
        <v>459</v>
      </c>
      <c r="G29" s="31" t="s">
        <v>907</v>
      </c>
      <c r="H29" s="44" t="s">
        <v>461</v>
      </c>
      <c r="I29" s="42" t="s">
        <v>1697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1711</v>
      </c>
      <c r="E30" s="34" t="s">
        <v>459</v>
      </c>
      <c r="F30" s="43" t="s">
        <v>459</v>
      </c>
      <c r="G30" s="31" t="s">
        <v>907</v>
      </c>
      <c r="H30" s="44" t="s">
        <v>461</v>
      </c>
      <c r="I30" s="42" t="s">
        <v>1697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483</v>
      </c>
      <c r="C31" s="42" t="s">
        <v>476</v>
      </c>
      <c r="D31" s="42" t="s">
        <v>484</v>
      </c>
      <c r="E31" s="34" t="s">
        <v>459</v>
      </c>
      <c r="F31" s="43" t="s">
        <v>459</v>
      </c>
      <c r="G31" s="31" t="s">
        <v>907</v>
      </c>
      <c r="H31" s="44" t="s">
        <v>461</v>
      </c>
      <c r="I31" s="42" t="s">
        <v>1697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483</v>
      </c>
      <c r="C32" s="42" t="s">
        <v>476</v>
      </c>
      <c r="D32" s="42" t="s">
        <v>485</v>
      </c>
      <c r="E32" s="34" t="s">
        <v>459</v>
      </c>
      <c r="F32" s="43" t="s">
        <v>459</v>
      </c>
      <c r="G32" s="31" t="s">
        <v>907</v>
      </c>
      <c r="H32" s="44" t="s">
        <v>461</v>
      </c>
      <c r="I32" s="42" t="s">
        <v>1697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511</v>
      </c>
      <c r="C33" s="42" t="s">
        <v>476</v>
      </c>
      <c r="D33" s="42" t="s">
        <v>514</v>
      </c>
      <c r="E33" s="34" t="s">
        <v>459</v>
      </c>
      <c r="F33" s="43" t="s">
        <v>459</v>
      </c>
      <c r="G33" s="31" t="s">
        <v>907</v>
      </c>
      <c r="H33" s="44" t="s">
        <v>461</v>
      </c>
      <c r="I33" s="42" t="s">
        <v>1697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511</v>
      </c>
      <c r="C34" s="42" t="s">
        <v>476</v>
      </c>
      <c r="D34" s="42" t="s">
        <v>1712</v>
      </c>
      <c r="E34" s="34" t="s">
        <v>459</v>
      </c>
      <c r="F34" s="43" t="s">
        <v>459</v>
      </c>
      <c r="G34" s="31" t="s">
        <v>907</v>
      </c>
      <c r="H34" s="44" t="s">
        <v>461</v>
      </c>
      <c r="I34" s="42" t="s">
        <v>1697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511</v>
      </c>
      <c r="C35" s="42" t="s">
        <v>476</v>
      </c>
      <c r="D35" s="42" t="s">
        <v>1713</v>
      </c>
      <c r="E35" s="34" t="s">
        <v>459</v>
      </c>
      <c r="F35" s="43" t="s">
        <v>459</v>
      </c>
      <c r="G35" s="31" t="s">
        <v>907</v>
      </c>
      <c r="H35" s="44" t="s">
        <v>461</v>
      </c>
      <c r="I35" s="42" t="s">
        <v>1697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511</v>
      </c>
      <c r="C36" s="42" t="s">
        <v>476</v>
      </c>
      <c r="D36" s="42" t="s">
        <v>1714</v>
      </c>
      <c r="E36" s="34" t="s">
        <v>459</v>
      </c>
      <c r="F36" s="43" t="s">
        <v>459</v>
      </c>
      <c r="G36" s="31" t="s">
        <v>907</v>
      </c>
      <c r="H36" s="44" t="s">
        <v>461</v>
      </c>
      <c r="I36" s="42" t="s">
        <v>1697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511</v>
      </c>
      <c r="C37" s="42" t="s">
        <v>506</v>
      </c>
      <c r="D37" s="42" t="s">
        <v>1715</v>
      </c>
      <c r="E37" s="34" t="s">
        <v>459</v>
      </c>
      <c r="F37" s="43" t="s">
        <v>459</v>
      </c>
      <c r="G37" s="31" t="s">
        <v>907</v>
      </c>
      <c r="H37" s="44" t="s">
        <v>461</v>
      </c>
      <c r="I37" s="42" t="s">
        <v>1697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511</v>
      </c>
      <c r="C38" s="42" t="s">
        <v>506</v>
      </c>
      <c r="D38" s="42" t="s">
        <v>1716</v>
      </c>
      <c r="E38" s="34" t="s">
        <v>459</v>
      </c>
      <c r="F38" s="43" t="s">
        <v>459</v>
      </c>
      <c r="G38" s="31" t="s">
        <v>907</v>
      </c>
      <c r="H38" s="44" t="s">
        <v>461</v>
      </c>
      <c r="I38" s="42" t="s">
        <v>1697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511</v>
      </c>
      <c r="C39" s="42" t="s">
        <v>506</v>
      </c>
      <c r="D39" s="42" t="s">
        <v>1717</v>
      </c>
      <c r="E39" s="34" t="s">
        <v>459</v>
      </c>
      <c r="F39" s="43" t="s">
        <v>459</v>
      </c>
      <c r="G39" s="31" t="s">
        <v>907</v>
      </c>
      <c r="H39" s="44" t="s">
        <v>461</v>
      </c>
      <c r="I39" s="42" t="s">
        <v>1697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511</v>
      </c>
      <c r="C40" s="42" t="s">
        <v>506</v>
      </c>
      <c r="D40" s="42" t="s">
        <v>1718</v>
      </c>
      <c r="E40" s="34" t="s">
        <v>459</v>
      </c>
      <c r="F40" s="43" t="s">
        <v>459</v>
      </c>
      <c r="G40" s="31" t="s">
        <v>907</v>
      </c>
      <c r="H40" s="44" t="s">
        <v>461</v>
      </c>
      <c r="I40" s="42" t="s">
        <v>1697</v>
      </c>
      <c r="J40" s="42"/>
      <c r="K40" s="45" t="n">
        <f aca="false">IF(AND(E40="yes",F40="yes",H40="covered"),1,IF(H40="partial",0.5,0))</f>
        <v>1</v>
      </c>
    </row>
    <row r="41" customFormat="false" ht="30" hidden="false" customHeight="true" outlineLevel="0" collapsed="false">
      <c r="A41" s="31" t="n">
        <v>33</v>
      </c>
      <c r="B41" s="42" t="s">
        <v>483</v>
      </c>
      <c r="C41" s="42" t="s">
        <v>476</v>
      </c>
      <c r="D41" s="42" t="s">
        <v>1719</v>
      </c>
      <c r="E41" s="34" t="s">
        <v>459</v>
      </c>
      <c r="F41" s="43" t="s">
        <v>459</v>
      </c>
      <c r="G41" s="31" t="s">
        <v>907</v>
      </c>
      <c r="H41" s="44" t="s">
        <v>461</v>
      </c>
      <c r="I41" s="42" t="s">
        <v>1697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483</v>
      </c>
      <c r="C42" s="42" t="s">
        <v>476</v>
      </c>
      <c r="D42" s="42" t="s">
        <v>517</v>
      </c>
      <c r="E42" s="34" t="s">
        <v>459</v>
      </c>
      <c r="F42" s="43" t="s">
        <v>459</v>
      </c>
      <c r="G42" s="31" t="s">
        <v>907</v>
      </c>
      <c r="H42" s="44" t="s">
        <v>461</v>
      </c>
      <c r="I42" s="42" t="s">
        <v>1697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483</v>
      </c>
      <c r="C43" s="42" t="s">
        <v>476</v>
      </c>
      <c r="D43" s="42" t="s">
        <v>1720</v>
      </c>
      <c r="E43" s="34" t="s">
        <v>459</v>
      </c>
      <c r="F43" s="43" t="s">
        <v>459</v>
      </c>
      <c r="G43" s="31" t="s">
        <v>907</v>
      </c>
      <c r="H43" s="44" t="s">
        <v>461</v>
      </c>
      <c r="I43" s="42" t="s">
        <v>1697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483</v>
      </c>
      <c r="C44" s="42" t="s">
        <v>476</v>
      </c>
      <c r="D44" s="42" t="s">
        <v>1721</v>
      </c>
      <c r="E44" s="34" t="s">
        <v>459</v>
      </c>
      <c r="F44" s="43" t="s">
        <v>459</v>
      </c>
      <c r="G44" s="31" t="s">
        <v>907</v>
      </c>
      <c r="H44" s="44" t="s">
        <v>461</v>
      </c>
      <c r="I44" s="42" t="s">
        <v>1697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483</v>
      </c>
      <c r="C45" s="42" t="s">
        <v>476</v>
      </c>
      <c r="D45" s="42" t="s">
        <v>520</v>
      </c>
      <c r="E45" s="34" t="s">
        <v>459</v>
      </c>
      <c r="F45" s="43" t="s">
        <v>459</v>
      </c>
      <c r="G45" s="31" t="s">
        <v>907</v>
      </c>
      <c r="H45" s="44" t="s">
        <v>461</v>
      </c>
      <c r="I45" s="42" t="s">
        <v>1697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488</v>
      </c>
      <c r="C46" s="42" t="s">
        <v>476</v>
      </c>
      <c r="D46" s="42" t="s">
        <v>1722</v>
      </c>
      <c r="E46" s="34" t="s">
        <v>459</v>
      </c>
      <c r="F46" s="43" t="s">
        <v>459</v>
      </c>
      <c r="G46" s="31" t="s">
        <v>907</v>
      </c>
      <c r="H46" s="44" t="s">
        <v>461</v>
      </c>
      <c r="I46" s="42" t="s">
        <v>1697</v>
      </c>
      <c r="J46" s="42"/>
      <c r="K46" s="45" t="n">
        <f aca="false">IF(AND(E46="yes",F46="yes",H46="covered"),1,IF(H46="partial",0.5,0))</f>
        <v>1</v>
      </c>
    </row>
    <row r="47" customFormat="false" ht="30" hidden="false" customHeight="true" outlineLevel="0" collapsed="false">
      <c r="A47" s="31" t="n">
        <v>39</v>
      </c>
      <c r="B47" s="42" t="s">
        <v>936</v>
      </c>
      <c r="C47" s="42" t="s">
        <v>476</v>
      </c>
      <c r="D47" s="42" t="s">
        <v>1723</v>
      </c>
      <c r="E47" s="34" t="s">
        <v>459</v>
      </c>
      <c r="F47" s="43" t="s">
        <v>459</v>
      </c>
      <c r="G47" s="31" t="s">
        <v>907</v>
      </c>
      <c r="H47" s="44" t="s">
        <v>461</v>
      </c>
      <c r="I47" s="42" t="s">
        <v>1697</v>
      </c>
      <c r="J47" s="42"/>
      <c r="K47" s="45" t="n">
        <f aca="false">IF(AND(E47="yes",F47="yes",H47="covered"),1,IF(H47="partial",0.5,0))</f>
        <v>1</v>
      </c>
    </row>
    <row r="48" customFormat="false" ht="30" hidden="false" customHeight="true" outlineLevel="0" collapsed="false">
      <c r="A48" s="31" t="n">
        <v>40</v>
      </c>
      <c r="B48" s="42" t="s">
        <v>1612</v>
      </c>
      <c r="C48" s="42" t="s">
        <v>1613</v>
      </c>
      <c r="D48" s="42" t="s">
        <v>1724</v>
      </c>
      <c r="E48" s="34" t="s">
        <v>459</v>
      </c>
      <c r="F48" s="43" t="s">
        <v>459</v>
      </c>
      <c r="G48" s="31" t="s">
        <v>1615</v>
      </c>
      <c r="H48" s="44" t="s">
        <v>461</v>
      </c>
      <c r="I48" s="42" t="s">
        <v>1725</v>
      </c>
      <c r="J48" s="42"/>
      <c r="K48" s="45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31" t="n">
        <v>41</v>
      </c>
      <c r="B49" s="42" t="s">
        <v>1612</v>
      </c>
      <c r="C49" s="42" t="s">
        <v>1617</v>
      </c>
      <c r="D49" s="42" t="s">
        <v>1726</v>
      </c>
      <c r="E49" s="34" t="s">
        <v>459</v>
      </c>
      <c r="F49" s="43" t="s">
        <v>459</v>
      </c>
      <c r="G49" s="31" t="s">
        <v>1615</v>
      </c>
      <c r="H49" s="44" t="s">
        <v>461</v>
      </c>
      <c r="I49" s="42" t="s">
        <v>1727</v>
      </c>
      <c r="J49" s="42"/>
      <c r="K49" s="45" t="n">
        <f aca="false">IF(AND(E49="yes",F49="yes",H49="covered"),1,IF(H49="partial",0.5,0))</f>
        <v>1</v>
      </c>
    </row>
    <row r="50" customFormat="false" ht="30" hidden="false" customHeight="true" outlineLevel="0" collapsed="false">
      <c r="A50" s="31"/>
      <c r="B50" s="42"/>
      <c r="C50" s="42"/>
      <c r="D50" s="42"/>
      <c r="E50" s="34"/>
      <c r="F50" s="43"/>
      <c r="G50" s="31"/>
      <c r="H50" s="44"/>
      <c r="I50" s="42"/>
      <c r="J50" s="42"/>
      <c r="K50" s="45"/>
    </row>
    <row r="51" customFormat="false" ht="15" hidden="false" customHeight="true" outlineLevel="0" collapsed="false">
      <c r="A51" s="31"/>
      <c r="B51" s="42"/>
      <c r="C51" s="42"/>
      <c r="D51" s="42"/>
      <c r="E51" s="34"/>
      <c r="F51" s="43"/>
      <c r="G51" s="31"/>
      <c r="H51" s="44"/>
      <c r="I51" s="42"/>
      <c r="J51" s="42"/>
      <c r="K51" s="45"/>
    </row>
    <row r="52" customFormat="false" ht="30" hidden="false" customHeight="true" outlineLevel="0" collapsed="false">
      <c r="A52" s="31"/>
      <c r="B52" s="42"/>
      <c r="C52" s="42"/>
      <c r="D52" s="42"/>
      <c r="E52" s="34"/>
      <c r="F52" s="43"/>
      <c r="G52" s="31"/>
      <c r="H52" s="44"/>
      <c r="I52" s="42"/>
      <c r="J52" s="42"/>
      <c r="K52" s="45"/>
    </row>
    <row r="53" customFormat="false" ht="13.5" hidden="false" customHeight="true" outlineLevel="0" collapsed="false">
      <c r="A53" s="31"/>
      <c r="B53" s="42"/>
      <c r="C53" s="42"/>
      <c r="D53" s="42"/>
      <c r="E53" s="34"/>
      <c r="F53" s="43"/>
      <c r="G53" s="31"/>
      <c r="H53" s="44"/>
      <c r="I53" s="42"/>
      <c r="J53" s="42"/>
      <c r="K53" s="45"/>
    </row>
    <row r="54" customFormat="false" ht="13.5" hidden="false" customHeight="true" outlineLevel="0" collapsed="false">
      <c r="A54" s="31"/>
      <c r="B54" s="42"/>
      <c r="C54" s="42"/>
      <c r="D54" s="42"/>
      <c r="E54" s="34"/>
      <c r="F54" s="43"/>
      <c r="G54" s="31"/>
      <c r="H54" s="44"/>
      <c r="I54" s="42"/>
      <c r="J54" s="42"/>
      <c r="K54" s="45"/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1728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51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4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460</v>
      </c>
      <c r="H9" s="44" t="s">
        <v>461</v>
      </c>
      <c r="I9" s="42" t="s">
        <v>1729</v>
      </c>
      <c r="J9" s="42"/>
      <c r="K9" s="45" t="n">
        <f aca="false">IF(AND(E9="yes",F9="yes",H9="covered"),1,IF(H9="partial",0.5,0))</f>
        <v>1</v>
      </c>
    </row>
    <row r="10" customFormat="false" ht="4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460</v>
      </c>
      <c r="H10" s="44" t="s">
        <v>461</v>
      </c>
      <c r="I10" s="42" t="s">
        <v>1729</v>
      </c>
      <c r="J10" s="42"/>
      <c r="K10" s="45" t="n">
        <f aca="false">IF(AND(E10="yes",F10="yes",H10="covered"),1,IF(H10="partial",0.5,0))</f>
        <v>1</v>
      </c>
    </row>
    <row r="11" customFormat="false" ht="45" hidden="false" customHeight="true" outlineLevel="0" collapsed="false">
      <c r="A11" s="31" t="n">
        <v>3</v>
      </c>
      <c r="B11" s="42" t="s">
        <v>456</v>
      </c>
      <c r="C11" s="42" t="s">
        <v>40</v>
      </c>
      <c r="D11" s="42" t="s">
        <v>464</v>
      </c>
      <c r="E11" s="34" t="s">
        <v>459</v>
      </c>
      <c r="F11" s="43" t="s">
        <v>459</v>
      </c>
      <c r="G11" s="31" t="s">
        <v>460</v>
      </c>
      <c r="H11" s="44" t="s">
        <v>461</v>
      </c>
      <c r="I11" s="42" t="s">
        <v>1729</v>
      </c>
      <c r="J11" s="42"/>
      <c r="K11" s="45" t="n">
        <f aca="false">IF(AND(E11="yes",F11="yes",H11="covered"),1,IF(H11="partial",0.5,0))</f>
        <v>1</v>
      </c>
    </row>
    <row r="12" customFormat="false" ht="45" hidden="false" customHeight="true" outlineLevel="0" collapsed="false">
      <c r="A12" s="31" t="n">
        <v>4</v>
      </c>
      <c r="B12" s="42" t="s">
        <v>456</v>
      </c>
      <c r="C12" s="42" t="s">
        <v>40</v>
      </c>
      <c r="D12" s="42" t="s">
        <v>465</v>
      </c>
      <c r="E12" s="34" t="s">
        <v>459</v>
      </c>
      <c r="F12" s="43" t="s">
        <v>459</v>
      </c>
      <c r="G12" s="31" t="s">
        <v>460</v>
      </c>
      <c r="H12" s="44" t="s">
        <v>461</v>
      </c>
      <c r="I12" s="42" t="s">
        <v>1729</v>
      </c>
      <c r="J12" s="42"/>
      <c r="K12" s="45" t="n">
        <f aca="false">IF(AND(E12="yes",F12="yes",H12="covered"),1,IF(H12="partial",0.5,0))</f>
        <v>1</v>
      </c>
    </row>
    <row r="13" customFormat="false" ht="45" hidden="false" customHeight="true" outlineLevel="0" collapsed="false">
      <c r="A13" s="31" t="n">
        <v>5</v>
      </c>
      <c r="B13" s="42" t="s">
        <v>456</v>
      </c>
      <c r="C13" s="42" t="s">
        <v>40</v>
      </c>
      <c r="D13" s="42" t="s">
        <v>466</v>
      </c>
      <c r="E13" s="34" t="s">
        <v>459</v>
      </c>
      <c r="F13" s="43" t="s">
        <v>459</v>
      </c>
      <c r="G13" s="31" t="s">
        <v>460</v>
      </c>
      <c r="H13" s="44" t="s">
        <v>461</v>
      </c>
      <c r="I13" s="42" t="s">
        <v>1729</v>
      </c>
      <c r="J13" s="42"/>
      <c r="K13" s="45" t="n">
        <f aca="false">IF(AND(E13="yes",F13="yes",H13="covered"),1,IF(H13="partial",0.5,0))</f>
        <v>1</v>
      </c>
    </row>
    <row r="14" customFormat="false" ht="45" hidden="false" customHeight="true" outlineLevel="0" collapsed="false">
      <c r="A14" s="31" t="n">
        <v>6</v>
      </c>
      <c r="B14" s="42" t="s">
        <v>456</v>
      </c>
      <c r="C14" s="42" t="s">
        <v>40</v>
      </c>
      <c r="D14" s="42" t="s">
        <v>467</v>
      </c>
      <c r="E14" s="34" t="s">
        <v>459</v>
      </c>
      <c r="F14" s="43" t="s">
        <v>459</v>
      </c>
      <c r="G14" s="31" t="s">
        <v>460</v>
      </c>
      <c r="H14" s="44" t="s">
        <v>461</v>
      </c>
      <c r="I14" s="42" t="s">
        <v>1729</v>
      </c>
      <c r="J14" s="42"/>
      <c r="K14" s="45" t="n">
        <f aca="false">IF(AND(E14="yes",F14="yes",H14="covered"),1,IF(H14="partial",0.5,0))</f>
        <v>1</v>
      </c>
    </row>
    <row r="15" customFormat="false" ht="45" hidden="false" customHeight="true" outlineLevel="0" collapsed="false">
      <c r="A15" s="31" t="n">
        <v>7</v>
      </c>
      <c r="B15" s="42" t="s">
        <v>468</v>
      </c>
      <c r="C15" s="42" t="s">
        <v>40</v>
      </c>
      <c r="D15" s="42" t="s">
        <v>1044</v>
      </c>
      <c r="E15" s="34" t="s">
        <v>459</v>
      </c>
      <c r="F15" s="43" t="s">
        <v>459</v>
      </c>
      <c r="G15" s="31" t="s">
        <v>460</v>
      </c>
      <c r="H15" s="44" t="s">
        <v>461</v>
      </c>
      <c r="I15" s="42" t="s">
        <v>1729</v>
      </c>
      <c r="J15" s="42"/>
      <c r="K15" s="45" t="n">
        <f aca="false">IF(AND(E15="yes",F15="yes",H15="covered"),1,IF(H15="partial",0.5,0))</f>
        <v>1</v>
      </c>
    </row>
    <row r="16" customFormat="false" ht="45" hidden="false" customHeight="true" outlineLevel="0" collapsed="false">
      <c r="A16" s="31" t="n">
        <v>8</v>
      </c>
      <c r="B16" s="42" t="s">
        <v>468</v>
      </c>
      <c r="C16" s="42" t="s">
        <v>40</v>
      </c>
      <c r="D16" s="42" t="s">
        <v>1730</v>
      </c>
      <c r="E16" s="34" t="s">
        <v>459</v>
      </c>
      <c r="F16" s="43" t="s">
        <v>459</v>
      </c>
      <c r="G16" s="31" t="s">
        <v>460</v>
      </c>
      <c r="H16" s="44" t="s">
        <v>461</v>
      </c>
      <c r="I16" s="42" t="s">
        <v>1729</v>
      </c>
      <c r="J16" s="42"/>
      <c r="K16" s="45" t="n">
        <f aca="false">IF(AND(E16="yes",F16="yes",H16="covered"),1,IF(H16="partial",0.5,0))</f>
        <v>1</v>
      </c>
    </row>
    <row r="17" customFormat="false" ht="45" hidden="false" customHeight="true" outlineLevel="0" collapsed="false">
      <c r="A17" s="31" t="n">
        <v>9</v>
      </c>
      <c r="B17" s="42" t="s">
        <v>468</v>
      </c>
      <c r="C17" s="42" t="s">
        <v>40</v>
      </c>
      <c r="D17" s="42" t="s">
        <v>1731</v>
      </c>
      <c r="E17" s="34" t="s">
        <v>459</v>
      </c>
      <c r="F17" s="43" t="s">
        <v>459</v>
      </c>
      <c r="G17" s="31" t="s">
        <v>460</v>
      </c>
      <c r="H17" s="44" t="s">
        <v>461</v>
      </c>
      <c r="I17" s="42" t="s">
        <v>1729</v>
      </c>
      <c r="J17" s="42"/>
      <c r="K17" s="45" t="n">
        <f aca="false">IF(AND(E17="yes",F17="yes",H17="covered"),1,IF(H17="partial",0.5,0))</f>
        <v>1</v>
      </c>
    </row>
    <row r="18" customFormat="false" ht="45" hidden="false" customHeight="true" outlineLevel="0" collapsed="false">
      <c r="A18" s="31" t="n">
        <v>10</v>
      </c>
      <c r="B18" s="42" t="s">
        <v>468</v>
      </c>
      <c r="C18" s="42" t="s">
        <v>40</v>
      </c>
      <c r="D18" s="42" t="s">
        <v>1732</v>
      </c>
      <c r="E18" s="34" t="s">
        <v>459</v>
      </c>
      <c r="F18" s="43" t="s">
        <v>459</v>
      </c>
      <c r="G18" s="31" t="s">
        <v>460</v>
      </c>
      <c r="H18" s="44" t="s">
        <v>461</v>
      </c>
      <c r="I18" s="42" t="s">
        <v>1729</v>
      </c>
      <c r="J18" s="42"/>
      <c r="K18" s="45" t="n">
        <f aca="false">IF(AND(E18="yes",F18="yes",H18="covered"),1,IF(H18="partial",0.5,0))</f>
        <v>1</v>
      </c>
    </row>
    <row r="19" customFormat="false" ht="45" hidden="false" customHeight="true" outlineLevel="0" collapsed="false">
      <c r="A19" s="31" t="n">
        <v>11</v>
      </c>
      <c r="B19" s="42" t="s">
        <v>468</v>
      </c>
      <c r="C19" s="42" t="s">
        <v>40</v>
      </c>
      <c r="D19" s="42" t="s">
        <v>1733</v>
      </c>
      <c r="E19" s="34" t="s">
        <v>459</v>
      </c>
      <c r="F19" s="43" t="s">
        <v>459</v>
      </c>
      <c r="G19" s="31" t="s">
        <v>460</v>
      </c>
      <c r="H19" s="44" t="s">
        <v>461</v>
      </c>
      <c r="I19" s="42" t="s">
        <v>1729</v>
      </c>
      <c r="J19" s="42"/>
      <c r="K19" s="45" t="n">
        <f aca="false">IF(AND(E19="yes",F19="yes",H19="covered"),1,IF(H19="partial",0.5,0))</f>
        <v>1</v>
      </c>
    </row>
    <row r="20" customFormat="false" ht="45" hidden="false" customHeight="true" outlineLevel="0" collapsed="false">
      <c r="A20" s="31" t="n">
        <v>12</v>
      </c>
      <c r="B20" s="42" t="s">
        <v>468</v>
      </c>
      <c r="C20" s="42" t="s">
        <v>40</v>
      </c>
      <c r="D20" s="42" t="s">
        <v>1734</v>
      </c>
      <c r="E20" s="34" t="s">
        <v>459</v>
      </c>
      <c r="F20" s="43" t="s">
        <v>459</v>
      </c>
      <c r="G20" s="31" t="s">
        <v>460</v>
      </c>
      <c r="H20" s="44" t="s">
        <v>461</v>
      </c>
      <c r="I20" s="42" t="s">
        <v>1729</v>
      </c>
      <c r="J20" s="42"/>
      <c r="K20" s="45" t="n">
        <f aca="false">IF(AND(E20="yes",F20="yes",H20="covered"),1,IF(H20="partial",0.5,0))</f>
        <v>1</v>
      </c>
    </row>
    <row r="21" customFormat="false" ht="4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1735</v>
      </c>
      <c r="E21" s="34" t="s">
        <v>459</v>
      </c>
      <c r="F21" s="43" t="s">
        <v>459</v>
      </c>
      <c r="G21" s="31" t="s">
        <v>460</v>
      </c>
      <c r="H21" s="44" t="s">
        <v>461</v>
      </c>
      <c r="I21" s="42" t="s">
        <v>1729</v>
      </c>
      <c r="J21" s="42"/>
      <c r="K21" s="45" t="n">
        <f aca="false">IF(AND(E21="yes",F21="yes",H21="covered"),1,IF(H21="partial",0.5,0))</f>
        <v>1</v>
      </c>
    </row>
    <row r="22" customFormat="false" ht="45" hidden="false" customHeight="true" outlineLevel="0" collapsed="false">
      <c r="A22" s="31" t="n">
        <v>14</v>
      </c>
      <c r="B22" s="42" t="s">
        <v>488</v>
      </c>
      <c r="C22" s="42" t="s">
        <v>476</v>
      </c>
      <c r="D22" s="42" t="s">
        <v>999</v>
      </c>
      <c r="E22" s="34" t="s">
        <v>459</v>
      </c>
      <c r="F22" s="43" t="s">
        <v>459</v>
      </c>
      <c r="G22" s="31" t="s">
        <v>460</v>
      </c>
      <c r="H22" s="44" t="s">
        <v>461</v>
      </c>
      <c r="I22" s="42" t="s">
        <v>1729</v>
      </c>
      <c r="J22" s="42"/>
      <c r="K22" s="45" t="n">
        <f aca="false">IF(AND(E22="yes",F22="yes",H22="covered"),1,IF(H22="partial",0.5,0))</f>
        <v>1</v>
      </c>
    </row>
    <row r="23" customFormat="false" ht="45" hidden="false" customHeight="true" outlineLevel="0" collapsed="false">
      <c r="A23" s="31" t="n">
        <v>15</v>
      </c>
      <c r="B23" s="42" t="s">
        <v>488</v>
      </c>
      <c r="C23" s="42" t="s">
        <v>476</v>
      </c>
      <c r="D23" s="42" t="s">
        <v>1000</v>
      </c>
      <c r="E23" s="34" t="s">
        <v>459</v>
      </c>
      <c r="F23" s="43" t="s">
        <v>459</v>
      </c>
      <c r="G23" s="31" t="s">
        <v>460</v>
      </c>
      <c r="H23" s="44" t="s">
        <v>461</v>
      </c>
      <c r="I23" s="42" t="s">
        <v>1729</v>
      </c>
      <c r="J23" s="42"/>
      <c r="K23" s="45" t="n">
        <f aca="false">IF(AND(E23="yes",F23="yes",H23="covered"),1,IF(H23="partial",0.5,0))</f>
        <v>1</v>
      </c>
    </row>
    <row r="24" customFormat="false" ht="45" hidden="false" customHeight="true" outlineLevel="0" collapsed="false">
      <c r="A24" s="31" t="n">
        <v>16</v>
      </c>
      <c r="B24" s="42" t="s">
        <v>488</v>
      </c>
      <c r="C24" s="42" t="s">
        <v>476</v>
      </c>
      <c r="D24" s="42" t="s">
        <v>1001</v>
      </c>
      <c r="E24" s="34" t="s">
        <v>459</v>
      </c>
      <c r="F24" s="43" t="s">
        <v>459</v>
      </c>
      <c r="G24" s="31" t="s">
        <v>460</v>
      </c>
      <c r="H24" s="44" t="s">
        <v>461</v>
      </c>
      <c r="I24" s="42" t="s">
        <v>1729</v>
      </c>
      <c r="J24" s="42"/>
      <c r="K24" s="45" t="n">
        <f aca="false">IF(AND(E24="yes",F24="yes",H24="covered"),1,IF(H24="partial",0.5,0))</f>
        <v>1</v>
      </c>
    </row>
    <row r="25" customFormat="false" ht="45" hidden="false" customHeight="true" outlineLevel="0" collapsed="false">
      <c r="A25" s="31" t="n">
        <v>17</v>
      </c>
      <c r="B25" s="42" t="s">
        <v>488</v>
      </c>
      <c r="C25" s="42" t="s">
        <v>476</v>
      </c>
      <c r="D25" s="42" t="s">
        <v>1736</v>
      </c>
      <c r="E25" s="34" t="s">
        <v>459</v>
      </c>
      <c r="F25" s="43" t="s">
        <v>459</v>
      </c>
      <c r="G25" s="31" t="s">
        <v>460</v>
      </c>
      <c r="H25" s="44" t="s">
        <v>461</v>
      </c>
      <c r="I25" s="42" t="s">
        <v>1729</v>
      </c>
      <c r="J25" s="42"/>
      <c r="K25" s="45" t="n">
        <f aca="false">IF(AND(E25="yes",F25="yes",H25="covered"),1,IF(H25="partial",0.5,0))</f>
        <v>1</v>
      </c>
    </row>
    <row r="26" customFormat="false" ht="45" hidden="false" customHeight="true" outlineLevel="0" collapsed="false">
      <c r="A26" s="31" t="n">
        <v>18</v>
      </c>
      <c r="B26" s="42" t="s">
        <v>488</v>
      </c>
      <c r="C26" s="42" t="s">
        <v>476</v>
      </c>
      <c r="D26" s="42" t="s">
        <v>1737</v>
      </c>
      <c r="E26" s="34" t="s">
        <v>459</v>
      </c>
      <c r="F26" s="43" t="s">
        <v>459</v>
      </c>
      <c r="G26" s="31" t="s">
        <v>460</v>
      </c>
      <c r="H26" s="44" t="s">
        <v>461</v>
      </c>
      <c r="I26" s="42" t="s">
        <v>1729</v>
      </c>
      <c r="J26" s="42"/>
      <c r="K26" s="45" t="n">
        <f aca="false">IF(AND(E26="yes",F26="yes",H26="covered"),1,IF(H26="partial",0.5,0))</f>
        <v>1</v>
      </c>
    </row>
    <row r="27" customFormat="false" ht="4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493</v>
      </c>
      <c r="E27" s="34" t="s">
        <v>459</v>
      </c>
      <c r="F27" s="43" t="s">
        <v>459</v>
      </c>
      <c r="G27" s="31" t="s">
        <v>460</v>
      </c>
      <c r="H27" s="44" t="s">
        <v>461</v>
      </c>
      <c r="I27" s="42" t="s">
        <v>1729</v>
      </c>
      <c r="J27" s="42"/>
      <c r="K27" s="45" t="n">
        <f aca="false">IF(AND(E27="yes",F27="yes",H27="covered"),1,IF(H27="partial",0.5,0))</f>
        <v>1</v>
      </c>
    </row>
    <row r="28" customFormat="false" ht="45" hidden="false" customHeight="true" outlineLevel="0" collapsed="false">
      <c r="A28" s="31" t="n">
        <v>20</v>
      </c>
      <c r="B28" s="42" t="s">
        <v>475</v>
      </c>
      <c r="C28" s="42" t="s">
        <v>498</v>
      </c>
      <c r="D28" s="42" t="s">
        <v>1738</v>
      </c>
      <c r="E28" s="34" t="s">
        <v>459</v>
      </c>
      <c r="F28" s="43" t="s">
        <v>459</v>
      </c>
      <c r="G28" s="31" t="s">
        <v>460</v>
      </c>
      <c r="H28" s="44" t="s">
        <v>461</v>
      </c>
      <c r="I28" s="42" t="s">
        <v>1729</v>
      </c>
      <c r="J28" s="42"/>
      <c r="K28" s="45" t="n">
        <f aca="false">IF(AND(E28="yes",F28="yes",H28="covered"),1,IF(H28="partial",0.5,0))</f>
        <v>1</v>
      </c>
    </row>
    <row r="29" customFormat="false" ht="45" hidden="false" customHeight="true" outlineLevel="0" collapsed="false">
      <c r="A29" s="31" t="n">
        <v>21</v>
      </c>
      <c r="B29" s="42" t="s">
        <v>479</v>
      </c>
      <c r="C29" s="42" t="s">
        <v>498</v>
      </c>
      <c r="D29" s="42" t="s">
        <v>1739</v>
      </c>
      <c r="E29" s="34" t="s">
        <v>459</v>
      </c>
      <c r="F29" s="43" t="s">
        <v>459</v>
      </c>
      <c r="G29" s="31" t="s">
        <v>460</v>
      </c>
      <c r="H29" s="44" t="s">
        <v>461</v>
      </c>
      <c r="I29" s="42" t="s">
        <v>1729</v>
      </c>
      <c r="J29" s="42"/>
      <c r="K29" s="45" t="n">
        <f aca="false">IF(AND(E29="yes",F29="yes",H29="covered"),1,IF(H29="partial",0.5,0))</f>
        <v>1</v>
      </c>
    </row>
    <row r="30" customFormat="false" ht="45" hidden="false" customHeight="true" outlineLevel="0" collapsed="false">
      <c r="A30" s="31" t="n">
        <v>22</v>
      </c>
      <c r="B30" s="42" t="s">
        <v>511</v>
      </c>
      <c r="C30" s="42" t="s">
        <v>498</v>
      </c>
      <c r="D30" s="42" t="s">
        <v>1740</v>
      </c>
      <c r="E30" s="34" t="s">
        <v>459</v>
      </c>
      <c r="F30" s="43" t="s">
        <v>459</v>
      </c>
      <c r="G30" s="31" t="s">
        <v>460</v>
      </c>
      <c r="H30" s="44" t="s">
        <v>461</v>
      </c>
      <c r="I30" s="42" t="s">
        <v>1729</v>
      </c>
      <c r="J30" s="42"/>
      <c r="K30" s="45" t="n">
        <f aca="false">IF(AND(E30="yes",F30="yes",H30="covered"),1,IF(H30="partial",0.5,0))</f>
        <v>1</v>
      </c>
    </row>
    <row r="31" customFormat="false" ht="45" hidden="false" customHeight="true" outlineLevel="0" collapsed="false">
      <c r="A31" s="31" t="n">
        <v>23</v>
      </c>
      <c r="B31" s="42" t="s">
        <v>457</v>
      </c>
      <c r="C31" s="42" t="s">
        <v>498</v>
      </c>
      <c r="D31" s="42" t="s">
        <v>1741</v>
      </c>
      <c r="E31" s="34" t="s">
        <v>459</v>
      </c>
      <c r="F31" s="43" t="s">
        <v>459</v>
      </c>
      <c r="G31" s="31" t="s">
        <v>460</v>
      </c>
      <c r="H31" s="44" t="s">
        <v>461</v>
      </c>
      <c r="I31" s="42" t="s">
        <v>1729</v>
      </c>
      <c r="J31" s="42"/>
      <c r="K31" s="45" t="n">
        <f aca="false">IF(AND(E31="yes",F31="yes",H31="covered"),1,IF(H31="partial",0.5,0))</f>
        <v>1</v>
      </c>
    </row>
    <row r="32" customFormat="false" ht="45" hidden="false" customHeight="true" outlineLevel="0" collapsed="false">
      <c r="A32" s="31" t="n">
        <v>24</v>
      </c>
      <c r="B32" s="42" t="s">
        <v>603</v>
      </c>
      <c r="C32" s="42" t="s">
        <v>498</v>
      </c>
      <c r="D32" s="42" t="s">
        <v>1742</v>
      </c>
      <c r="E32" s="34" t="s">
        <v>459</v>
      </c>
      <c r="F32" s="43" t="s">
        <v>459</v>
      </c>
      <c r="G32" s="31" t="s">
        <v>460</v>
      </c>
      <c r="H32" s="44" t="s">
        <v>461</v>
      </c>
      <c r="I32" s="42" t="s">
        <v>1729</v>
      </c>
      <c r="J32" s="42"/>
      <c r="K32" s="45" t="n">
        <f aca="false">IF(AND(E32="yes",F32="yes",H32="covered"),1,IF(H32="partial",0.5,0))</f>
        <v>1</v>
      </c>
    </row>
    <row r="33" customFormat="false" ht="45" hidden="false" customHeight="true" outlineLevel="0" collapsed="false">
      <c r="A33" s="31" t="n">
        <v>25</v>
      </c>
      <c r="B33" s="42" t="s">
        <v>483</v>
      </c>
      <c r="C33" s="42" t="s">
        <v>498</v>
      </c>
      <c r="D33" s="42" t="s">
        <v>484</v>
      </c>
      <c r="E33" s="34" t="s">
        <v>459</v>
      </c>
      <c r="F33" s="43" t="s">
        <v>459</v>
      </c>
      <c r="G33" s="31" t="s">
        <v>460</v>
      </c>
      <c r="H33" s="44" t="s">
        <v>461</v>
      </c>
      <c r="I33" s="42" t="s">
        <v>1729</v>
      </c>
      <c r="J33" s="42"/>
      <c r="K33" s="45" t="n">
        <f aca="false">IF(AND(E33="yes",F33="yes",H33="covered"),1,IF(H33="partial",0.5,0))</f>
        <v>1</v>
      </c>
    </row>
    <row r="34" customFormat="false" ht="45" hidden="false" customHeight="true" outlineLevel="0" collapsed="false">
      <c r="A34" s="31" t="n">
        <v>26</v>
      </c>
      <c r="B34" s="42" t="s">
        <v>483</v>
      </c>
      <c r="C34" s="42" t="s">
        <v>498</v>
      </c>
      <c r="D34" s="42" t="s">
        <v>485</v>
      </c>
      <c r="E34" s="34" t="s">
        <v>459</v>
      </c>
      <c r="F34" s="43" t="s">
        <v>459</v>
      </c>
      <c r="G34" s="31" t="s">
        <v>460</v>
      </c>
      <c r="H34" s="44" t="s">
        <v>461</v>
      </c>
      <c r="I34" s="42" t="s">
        <v>1729</v>
      </c>
      <c r="J34" s="42"/>
      <c r="K34" s="45" t="n">
        <f aca="false">IF(AND(E34="yes",F34="yes",H34="covered"),1,IF(H34="partial",0.5,0))</f>
        <v>1</v>
      </c>
    </row>
    <row r="35" customFormat="false" ht="45" hidden="false" customHeight="true" outlineLevel="0" collapsed="false">
      <c r="A35" s="31" t="n">
        <v>27</v>
      </c>
      <c r="B35" s="42" t="s">
        <v>524</v>
      </c>
      <c r="C35" s="42" t="s">
        <v>498</v>
      </c>
      <c r="D35" s="42" t="s">
        <v>1743</v>
      </c>
      <c r="E35" s="34" t="s">
        <v>459</v>
      </c>
      <c r="F35" s="43" t="s">
        <v>459</v>
      </c>
      <c r="G35" s="31" t="s">
        <v>460</v>
      </c>
      <c r="H35" s="44" t="s">
        <v>461</v>
      </c>
      <c r="I35" s="42" t="s">
        <v>1729</v>
      </c>
      <c r="J35" s="42"/>
      <c r="K35" s="45" t="n">
        <f aca="false">IF(AND(E35="yes",F35="yes",H35="covered"),1,IF(H35="partial",0.5,0))</f>
        <v>1</v>
      </c>
    </row>
    <row r="36" customFormat="false" ht="45" hidden="false" customHeight="true" outlineLevel="0" collapsed="false">
      <c r="A36" s="31" t="n">
        <v>28</v>
      </c>
      <c r="B36" s="42" t="s">
        <v>529</v>
      </c>
      <c r="C36" s="42" t="s">
        <v>498</v>
      </c>
      <c r="D36" s="42" t="s">
        <v>1744</v>
      </c>
      <c r="E36" s="34" t="s">
        <v>459</v>
      </c>
      <c r="F36" s="43" t="s">
        <v>459</v>
      </c>
      <c r="G36" s="31" t="s">
        <v>460</v>
      </c>
      <c r="H36" s="44" t="s">
        <v>461</v>
      </c>
      <c r="I36" s="42" t="s">
        <v>1729</v>
      </c>
      <c r="J36" s="42"/>
      <c r="K36" s="45" t="n">
        <f aca="false">IF(AND(E36="yes",F36="yes",H36="covered"),1,IF(H36="partial",0.5,0))</f>
        <v>1</v>
      </c>
    </row>
    <row r="37" customFormat="false" ht="45" hidden="false" customHeight="true" outlineLevel="0" collapsed="false">
      <c r="A37" s="31" t="n">
        <v>29</v>
      </c>
      <c r="B37" s="42" t="s">
        <v>475</v>
      </c>
      <c r="C37" s="42" t="s">
        <v>55</v>
      </c>
      <c r="D37" s="42" t="s">
        <v>1745</v>
      </c>
      <c r="E37" s="34" t="s">
        <v>459</v>
      </c>
      <c r="F37" s="43" t="s">
        <v>459</v>
      </c>
      <c r="G37" s="31" t="s">
        <v>460</v>
      </c>
      <c r="H37" s="44" t="s">
        <v>461</v>
      </c>
      <c r="I37" s="42" t="s">
        <v>1729</v>
      </c>
      <c r="J37" s="42"/>
      <c r="K37" s="45" t="n">
        <f aca="false">IF(AND(E37="yes",F37="yes",H37="covered"),1,IF(H37="partial",0.5,0))</f>
        <v>1</v>
      </c>
    </row>
    <row r="38" customFormat="false" ht="45" hidden="false" customHeight="true" outlineLevel="0" collapsed="false">
      <c r="A38" s="31" t="n">
        <v>30</v>
      </c>
      <c r="B38" s="42" t="s">
        <v>55</v>
      </c>
      <c r="C38" s="42" t="s">
        <v>55</v>
      </c>
      <c r="D38" s="42" t="s">
        <v>1074</v>
      </c>
      <c r="E38" s="34" t="s">
        <v>459</v>
      </c>
      <c r="F38" s="43" t="s">
        <v>459</v>
      </c>
      <c r="G38" s="31" t="s">
        <v>460</v>
      </c>
      <c r="H38" s="44" t="s">
        <v>461</v>
      </c>
      <c r="I38" s="42" t="s">
        <v>1729</v>
      </c>
      <c r="J38" s="42"/>
      <c r="K38" s="45" t="n">
        <f aca="false">IF(AND(E38="yes",F38="yes",H38="covered"),1,IF(H38="partial",0.5,0))</f>
        <v>1</v>
      </c>
    </row>
    <row r="39" customFormat="false" ht="45" hidden="false" customHeight="true" outlineLevel="0" collapsed="false">
      <c r="A39" s="31" t="n">
        <v>31</v>
      </c>
      <c r="B39" s="42" t="s">
        <v>55</v>
      </c>
      <c r="C39" s="42" t="s">
        <v>55</v>
      </c>
      <c r="D39" s="42" t="s">
        <v>1746</v>
      </c>
      <c r="E39" s="34" t="s">
        <v>459</v>
      </c>
      <c r="F39" s="43" t="s">
        <v>459</v>
      </c>
      <c r="G39" s="31" t="s">
        <v>460</v>
      </c>
      <c r="H39" s="44" t="s">
        <v>461</v>
      </c>
      <c r="I39" s="42" t="s">
        <v>1729</v>
      </c>
      <c r="J39" s="42"/>
      <c r="K39" s="45" t="n">
        <f aca="false">IF(AND(E39="yes",F39="yes",H39="covered"),1,IF(H39="partial",0.5,0))</f>
        <v>1</v>
      </c>
    </row>
    <row r="40" customFormat="false" ht="45" hidden="false" customHeight="true" outlineLevel="0" collapsed="false">
      <c r="A40" s="31" t="n">
        <v>32</v>
      </c>
      <c r="B40" s="42" t="s">
        <v>55</v>
      </c>
      <c r="C40" s="42" t="s">
        <v>55</v>
      </c>
      <c r="D40" s="42" t="s">
        <v>493</v>
      </c>
      <c r="E40" s="34" t="s">
        <v>459</v>
      </c>
      <c r="F40" s="43" t="s">
        <v>459</v>
      </c>
      <c r="G40" s="31" t="s">
        <v>460</v>
      </c>
      <c r="H40" s="44" t="s">
        <v>461</v>
      </c>
      <c r="I40" s="42" t="s">
        <v>1729</v>
      </c>
      <c r="J40" s="42"/>
      <c r="K40" s="45" t="n">
        <f aca="false">IF(AND(E40="yes",F40="yes",H40="covered"),1,IF(H40="partial",0.5,0))</f>
        <v>1</v>
      </c>
    </row>
    <row r="41" customFormat="false" ht="45" hidden="false" customHeight="true" outlineLevel="0" collapsed="false">
      <c r="A41" s="31" t="n">
        <v>33</v>
      </c>
      <c r="B41" s="42" t="s">
        <v>475</v>
      </c>
      <c r="C41" s="42" t="s">
        <v>500</v>
      </c>
      <c r="D41" s="42" t="s">
        <v>1738</v>
      </c>
      <c r="E41" s="34" t="s">
        <v>459</v>
      </c>
      <c r="F41" s="43" t="s">
        <v>459</v>
      </c>
      <c r="G41" s="31" t="s">
        <v>460</v>
      </c>
      <c r="H41" s="44" t="s">
        <v>461</v>
      </c>
      <c r="I41" s="42" t="s">
        <v>1729</v>
      </c>
      <c r="J41" s="42"/>
      <c r="K41" s="45" t="n">
        <f aca="false">IF(AND(E41="yes",F41="yes",H41="covered"),1,IF(H41="partial",0.5,0))</f>
        <v>1</v>
      </c>
    </row>
    <row r="42" customFormat="false" ht="45" hidden="false" customHeight="true" outlineLevel="0" collapsed="false">
      <c r="A42" s="31" t="n">
        <v>34</v>
      </c>
      <c r="B42" s="42" t="s">
        <v>479</v>
      </c>
      <c r="C42" s="42" t="s">
        <v>500</v>
      </c>
      <c r="D42" s="42" t="s">
        <v>621</v>
      </c>
      <c r="E42" s="34" t="s">
        <v>459</v>
      </c>
      <c r="F42" s="43" t="s">
        <v>459</v>
      </c>
      <c r="G42" s="31" t="s">
        <v>460</v>
      </c>
      <c r="H42" s="44" t="s">
        <v>461</v>
      </c>
      <c r="I42" s="42" t="s">
        <v>1729</v>
      </c>
      <c r="J42" s="42"/>
      <c r="K42" s="45" t="n">
        <f aca="false">IF(AND(E42="yes",F42="yes",H42="covered"),1,IF(H42="partial",0.5,0))</f>
        <v>1</v>
      </c>
    </row>
    <row r="43" customFormat="false" ht="45" hidden="false" customHeight="true" outlineLevel="0" collapsed="false">
      <c r="A43" s="31" t="n">
        <v>35</v>
      </c>
      <c r="B43" s="42" t="s">
        <v>511</v>
      </c>
      <c r="C43" s="42" t="s">
        <v>500</v>
      </c>
      <c r="D43" s="42" t="s">
        <v>1747</v>
      </c>
      <c r="E43" s="34" t="s">
        <v>459</v>
      </c>
      <c r="F43" s="43" t="s">
        <v>459</v>
      </c>
      <c r="G43" s="31" t="s">
        <v>460</v>
      </c>
      <c r="H43" s="44" t="s">
        <v>461</v>
      </c>
      <c r="I43" s="42" t="s">
        <v>1729</v>
      </c>
      <c r="J43" s="42"/>
      <c r="K43" s="45" t="n">
        <f aca="false">IF(AND(E43="yes",F43="yes",H43="covered"),1,IF(H43="partial",0.5,0))</f>
        <v>1</v>
      </c>
    </row>
    <row r="44" customFormat="false" ht="45" hidden="false" customHeight="true" outlineLevel="0" collapsed="false">
      <c r="A44" s="31" t="n">
        <v>36</v>
      </c>
      <c r="B44" s="42" t="s">
        <v>505</v>
      </c>
      <c r="C44" s="42" t="s">
        <v>500</v>
      </c>
      <c r="D44" s="42" t="s">
        <v>956</v>
      </c>
      <c r="E44" s="34" t="s">
        <v>459</v>
      </c>
      <c r="F44" s="43" t="s">
        <v>459</v>
      </c>
      <c r="G44" s="31" t="s">
        <v>460</v>
      </c>
      <c r="H44" s="44" t="s">
        <v>461</v>
      </c>
      <c r="I44" s="42" t="s">
        <v>1729</v>
      </c>
      <c r="J44" s="42"/>
      <c r="K44" s="45" t="n">
        <f aca="false">IF(AND(E44="yes",F44="yes",H44="covered"),1,IF(H44="partial",0.5,0))</f>
        <v>1</v>
      </c>
    </row>
    <row r="45" customFormat="false" ht="45" hidden="false" customHeight="true" outlineLevel="0" collapsed="false">
      <c r="A45" s="31" t="n">
        <v>37</v>
      </c>
      <c r="B45" s="42" t="s">
        <v>457</v>
      </c>
      <c r="C45" s="42" t="s">
        <v>500</v>
      </c>
      <c r="D45" s="42" t="s">
        <v>1741</v>
      </c>
      <c r="E45" s="34" t="s">
        <v>459</v>
      </c>
      <c r="F45" s="43" t="s">
        <v>459</v>
      </c>
      <c r="G45" s="31" t="s">
        <v>460</v>
      </c>
      <c r="H45" s="44" t="s">
        <v>461</v>
      </c>
      <c r="I45" s="42" t="s">
        <v>1729</v>
      </c>
      <c r="J45" s="42"/>
      <c r="K45" s="45" t="n">
        <f aca="false">IF(AND(E45="yes",F45="yes",H45="covered"),1,IF(H45="partial",0.5,0))</f>
        <v>1</v>
      </c>
    </row>
    <row r="46" customFormat="false" ht="45" hidden="false" customHeight="true" outlineLevel="0" collapsed="false">
      <c r="A46" s="31" t="n">
        <v>38</v>
      </c>
      <c r="B46" s="42" t="s">
        <v>603</v>
      </c>
      <c r="C46" s="42" t="s">
        <v>500</v>
      </c>
      <c r="D46" s="42" t="s">
        <v>1742</v>
      </c>
      <c r="E46" s="34" t="s">
        <v>459</v>
      </c>
      <c r="F46" s="43" t="s">
        <v>459</v>
      </c>
      <c r="G46" s="31" t="s">
        <v>460</v>
      </c>
      <c r="H46" s="44" t="s">
        <v>461</v>
      </c>
      <c r="I46" s="42" t="s">
        <v>1729</v>
      </c>
      <c r="J46" s="42"/>
      <c r="K46" s="45" t="n">
        <f aca="false">IF(AND(E46="yes",F46="yes",H46="covered"),1,IF(H46="partial",0.5,0))</f>
        <v>1</v>
      </c>
    </row>
    <row r="47" customFormat="false" ht="45" hidden="false" customHeight="true" outlineLevel="0" collapsed="false">
      <c r="A47" s="31" t="n">
        <v>39</v>
      </c>
      <c r="B47" s="42" t="s">
        <v>1056</v>
      </c>
      <c r="C47" s="42" t="s">
        <v>500</v>
      </c>
      <c r="D47" s="42" t="s">
        <v>1748</v>
      </c>
      <c r="E47" s="34" t="s">
        <v>459</v>
      </c>
      <c r="F47" s="43" t="s">
        <v>459</v>
      </c>
      <c r="G47" s="31" t="s">
        <v>460</v>
      </c>
      <c r="H47" s="44" t="s">
        <v>461</v>
      </c>
      <c r="I47" s="42" t="s">
        <v>1729</v>
      </c>
      <c r="J47" s="42"/>
      <c r="K47" s="45" t="n">
        <f aca="false">IF(AND(E47="yes",F47="yes",H47="covered"),1,IF(H47="partial",0.5,0))</f>
        <v>1</v>
      </c>
    </row>
    <row r="48" customFormat="false" ht="45" hidden="false" customHeight="true" outlineLevel="0" collapsed="false">
      <c r="A48" s="31" t="n">
        <v>40</v>
      </c>
      <c r="B48" s="42" t="s">
        <v>1056</v>
      </c>
      <c r="C48" s="42" t="s">
        <v>500</v>
      </c>
      <c r="D48" s="42" t="s">
        <v>1749</v>
      </c>
      <c r="E48" s="34" t="s">
        <v>459</v>
      </c>
      <c r="F48" s="43" t="s">
        <v>459</v>
      </c>
      <c r="G48" s="31" t="s">
        <v>460</v>
      </c>
      <c r="H48" s="44" t="s">
        <v>461</v>
      </c>
      <c r="I48" s="42" t="s">
        <v>1729</v>
      </c>
      <c r="J48" s="42"/>
      <c r="K48" s="45" t="n">
        <f aca="false">IF(AND(E48="yes",F48="yes",H48="covered"),1,IF(H48="partial",0.5,0))</f>
        <v>1</v>
      </c>
    </row>
    <row r="49" customFormat="false" ht="45" hidden="false" customHeight="true" outlineLevel="0" collapsed="false">
      <c r="A49" s="31" t="n">
        <v>41</v>
      </c>
      <c r="B49" s="42" t="s">
        <v>1056</v>
      </c>
      <c r="C49" s="42" t="s">
        <v>500</v>
      </c>
      <c r="D49" s="42" t="s">
        <v>1750</v>
      </c>
      <c r="E49" s="34" t="s">
        <v>459</v>
      </c>
      <c r="F49" s="43" t="s">
        <v>459</v>
      </c>
      <c r="G49" s="31" t="s">
        <v>460</v>
      </c>
      <c r="H49" s="44" t="s">
        <v>461</v>
      </c>
      <c r="I49" s="42" t="s">
        <v>1729</v>
      </c>
      <c r="J49" s="42"/>
      <c r="K49" s="45" t="n">
        <f aca="false">IF(AND(E49="yes",F49="yes",H49="covered"),1,IF(H49="partial",0.5,0))</f>
        <v>1</v>
      </c>
    </row>
    <row r="50" customFormat="false" ht="45" hidden="false" customHeight="true" outlineLevel="0" collapsed="false">
      <c r="A50" s="31" t="n">
        <v>42</v>
      </c>
      <c r="B50" s="42" t="s">
        <v>475</v>
      </c>
      <c r="C50" s="42" t="s">
        <v>1751</v>
      </c>
      <c r="D50" s="42" t="s">
        <v>1738</v>
      </c>
      <c r="E50" s="34" t="s">
        <v>459</v>
      </c>
      <c r="F50" s="43" t="s">
        <v>459</v>
      </c>
      <c r="G50" s="31" t="s">
        <v>460</v>
      </c>
      <c r="H50" s="44" t="s">
        <v>461</v>
      </c>
      <c r="I50" s="42" t="s">
        <v>1729</v>
      </c>
      <c r="J50" s="42"/>
      <c r="K50" s="45" t="n">
        <f aca="false">IF(AND(E50="yes",F50="yes",H50="covered"),1,IF(H50="partial",0.5,0))</f>
        <v>1</v>
      </c>
    </row>
    <row r="51" customFormat="false" ht="45" hidden="false" customHeight="true" outlineLevel="0" collapsed="false">
      <c r="A51" s="31" t="n">
        <v>43</v>
      </c>
      <c r="B51" s="42" t="s">
        <v>479</v>
      </c>
      <c r="C51" s="42" t="s">
        <v>1751</v>
      </c>
      <c r="D51" s="42" t="s">
        <v>1752</v>
      </c>
      <c r="E51" s="34" t="s">
        <v>459</v>
      </c>
      <c r="F51" s="43" t="s">
        <v>459</v>
      </c>
      <c r="G51" s="31" t="s">
        <v>460</v>
      </c>
      <c r="H51" s="44" t="s">
        <v>461</v>
      </c>
      <c r="I51" s="42" t="s">
        <v>1729</v>
      </c>
      <c r="J51" s="42"/>
      <c r="K51" s="45" t="n">
        <f aca="false">IF(AND(E51="yes",F51="yes",H51="covered"),1,IF(H51="partial",0.5,0))</f>
        <v>1</v>
      </c>
    </row>
    <row r="52" customFormat="false" ht="45" hidden="false" customHeight="true" outlineLevel="0" collapsed="false">
      <c r="A52" s="31" t="n">
        <v>44</v>
      </c>
      <c r="B52" s="42" t="s">
        <v>511</v>
      </c>
      <c r="C52" s="42" t="s">
        <v>1751</v>
      </c>
      <c r="D52" s="42" t="s">
        <v>1753</v>
      </c>
      <c r="E52" s="34" t="s">
        <v>459</v>
      </c>
      <c r="F52" s="43" t="s">
        <v>459</v>
      </c>
      <c r="G52" s="31" t="s">
        <v>460</v>
      </c>
      <c r="H52" s="44" t="s">
        <v>461</v>
      </c>
      <c r="I52" s="42" t="s">
        <v>1729</v>
      </c>
      <c r="J52" s="42"/>
      <c r="K52" s="45" t="n">
        <f aca="false">IF(AND(E52="yes",F52="yes",H52="covered"),1,IF(H52="partial",0.5,0))</f>
        <v>1</v>
      </c>
    </row>
    <row r="53" customFormat="false" ht="45" hidden="false" customHeight="true" outlineLevel="0" collapsed="false">
      <c r="A53" s="31" t="n">
        <v>45</v>
      </c>
      <c r="B53" s="42" t="s">
        <v>457</v>
      </c>
      <c r="C53" s="42" t="s">
        <v>1751</v>
      </c>
      <c r="D53" s="42" t="s">
        <v>1741</v>
      </c>
      <c r="E53" s="34" t="s">
        <v>459</v>
      </c>
      <c r="F53" s="43" t="s">
        <v>459</v>
      </c>
      <c r="G53" s="31" t="s">
        <v>460</v>
      </c>
      <c r="H53" s="44" t="s">
        <v>461</v>
      </c>
      <c r="I53" s="42" t="s">
        <v>1729</v>
      </c>
      <c r="J53" s="42"/>
      <c r="K53" s="45" t="n">
        <f aca="false">IF(AND(E53="yes",F53="yes",H53="covered"),1,IF(H53="partial",0.5,0))</f>
        <v>1</v>
      </c>
    </row>
    <row r="54" customFormat="false" ht="45" hidden="false" customHeight="true" outlineLevel="0" collapsed="false">
      <c r="A54" s="31" t="n">
        <v>46</v>
      </c>
      <c r="B54" s="42" t="s">
        <v>603</v>
      </c>
      <c r="C54" s="42" t="s">
        <v>1751</v>
      </c>
      <c r="D54" s="42" t="s">
        <v>1742</v>
      </c>
      <c r="E54" s="34" t="s">
        <v>459</v>
      </c>
      <c r="F54" s="43" t="s">
        <v>459</v>
      </c>
      <c r="G54" s="31" t="s">
        <v>460</v>
      </c>
      <c r="H54" s="44" t="s">
        <v>461</v>
      </c>
      <c r="I54" s="42" t="s">
        <v>1729</v>
      </c>
      <c r="J54" s="42"/>
      <c r="K54" s="45" t="n">
        <f aca="false">IF(AND(E54="yes",F54="yes",H54="covered"),1,IF(H54="partial",0.5,0))</f>
        <v>1</v>
      </c>
    </row>
    <row r="55" customFormat="false" ht="45" hidden="false" customHeight="true" outlineLevel="0" collapsed="false">
      <c r="A55" s="31" t="n">
        <v>47</v>
      </c>
      <c r="B55" s="42" t="s">
        <v>486</v>
      </c>
      <c r="C55" s="42" t="s">
        <v>1751</v>
      </c>
      <c r="D55" s="42" t="s">
        <v>1754</v>
      </c>
      <c r="E55" s="34" t="s">
        <v>459</v>
      </c>
      <c r="F55" s="43" t="s">
        <v>459</v>
      </c>
      <c r="G55" s="31" t="s">
        <v>460</v>
      </c>
      <c r="H55" s="44" t="s">
        <v>461</v>
      </c>
      <c r="I55" s="42" t="s">
        <v>1729</v>
      </c>
      <c r="J55" s="42"/>
      <c r="K55" s="45" t="n">
        <f aca="false">IF(AND(E55="yes",F55="yes",H55="covered"),1,IF(H55="partial",0.5,0))</f>
        <v>1</v>
      </c>
    </row>
    <row r="56" customFormat="false" ht="45" hidden="false" customHeight="true" outlineLevel="0" collapsed="false">
      <c r="A56" s="31" t="n">
        <v>48</v>
      </c>
      <c r="B56" s="42" t="s">
        <v>738</v>
      </c>
      <c r="C56" s="42" t="s">
        <v>40</v>
      </c>
      <c r="D56" s="42" t="s">
        <v>1755</v>
      </c>
      <c r="E56" s="34" t="s">
        <v>459</v>
      </c>
      <c r="F56" s="43" t="s">
        <v>459</v>
      </c>
      <c r="G56" s="31" t="s">
        <v>460</v>
      </c>
      <c r="H56" s="44" t="s">
        <v>461</v>
      </c>
      <c r="I56" s="42" t="s">
        <v>1729</v>
      </c>
      <c r="J56" s="42"/>
      <c r="K56" s="45" t="n">
        <f aca="false">IF(AND(E56="yes",F56="yes",H56="covered"),1,IF(H56="partial",0.5,0))</f>
        <v>1</v>
      </c>
    </row>
    <row r="57" customFormat="false" ht="45" hidden="false" customHeight="true" outlineLevel="0" collapsed="false">
      <c r="A57" s="31" t="n">
        <v>49</v>
      </c>
      <c r="B57" s="42" t="s">
        <v>738</v>
      </c>
      <c r="C57" s="42" t="s">
        <v>40</v>
      </c>
      <c r="D57" s="42" t="s">
        <v>1756</v>
      </c>
      <c r="E57" s="34" t="s">
        <v>459</v>
      </c>
      <c r="F57" s="43" t="s">
        <v>459</v>
      </c>
      <c r="G57" s="31" t="s">
        <v>460</v>
      </c>
      <c r="H57" s="44" t="s">
        <v>461</v>
      </c>
      <c r="I57" s="42" t="s">
        <v>1729</v>
      </c>
      <c r="J57" s="42"/>
      <c r="K57" s="45" t="n">
        <f aca="false">IF(AND(E57="yes",F57="yes",H57="covered"),1,IF(H57="partial",0.5,0))</f>
        <v>1</v>
      </c>
    </row>
    <row r="58" customFormat="false" ht="45" hidden="false" customHeight="true" outlineLevel="0" collapsed="false">
      <c r="A58" s="31" t="n">
        <v>50</v>
      </c>
      <c r="B58" s="42" t="s">
        <v>755</v>
      </c>
      <c r="C58" s="42" t="s">
        <v>40</v>
      </c>
      <c r="D58" s="42" t="s">
        <v>1757</v>
      </c>
      <c r="E58" s="34" t="s">
        <v>459</v>
      </c>
      <c r="F58" s="43" t="s">
        <v>459</v>
      </c>
      <c r="G58" s="31" t="s">
        <v>460</v>
      </c>
      <c r="H58" s="44" t="s">
        <v>461</v>
      </c>
      <c r="I58" s="42" t="s">
        <v>1729</v>
      </c>
      <c r="J58" s="42"/>
      <c r="K58" s="45" t="n">
        <f aca="false">IF(AND(E58="yes",F58="yes",H58="covered"),1,IF(H58="partial",0.5,0))</f>
        <v>1</v>
      </c>
    </row>
    <row r="59" customFormat="false" ht="45" hidden="false" customHeight="true" outlineLevel="0" collapsed="false">
      <c r="A59" s="31" t="n">
        <v>51</v>
      </c>
      <c r="B59" s="42" t="s">
        <v>760</v>
      </c>
      <c r="C59" s="42" t="s">
        <v>40</v>
      </c>
      <c r="D59" s="42" t="s">
        <v>1758</v>
      </c>
      <c r="E59" s="34" t="s">
        <v>459</v>
      </c>
      <c r="F59" s="43" t="s">
        <v>459</v>
      </c>
      <c r="G59" s="31" t="s">
        <v>460</v>
      </c>
      <c r="H59" s="44" t="s">
        <v>461</v>
      </c>
      <c r="I59" s="42" t="s">
        <v>1729</v>
      </c>
      <c r="J59" s="42"/>
      <c r="K59" s="45" t="n">
        <f aca="false">IF(AND(E59="yes",F59="yes",H59="covered"),1,IF(H59="partial",0.5,0))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1759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67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1615</v>
      </c>
      <c r="H9" s="44" t="s">
        <v>461</v>
      </c>
      <c r="I9" s="42" t="s">
        <v>1333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1615</v>
      </c>
      <c r="H10" s="44" t="s">
        <v>461</v>
      </c>
      <c r="I10" s="42" t="s">
        <v>1333</v>
      </c>
      <c r="J10" s="42"/>
      <c r="K10" s="45" t="n">
        <f aca="false">IF(AND(E10="yes",F10="yes",H10="covered"),1,IF(H10="partial",0.5,0))</f>
        <v>1</v>
      </c>
    </row>
    <row r="11" customFormat="false" ht="30" hidden="false" customHeight="true" outlineLevel="0" collapsed="false">
      <c r="A11" s="31" t="n">
        <v>3</v>
      </c>
      <c r="B11" s="42" t="s">
        <v>456</v>
      </c>
      <c r="C11" s="42" t="s">
        <v>41</v>
      </c>
      <c r="D11" s="42" t="s">
        <v>464</v>
      </c>
      <c r="E11" s="34" t="s">
        <v>459</v>
      </c>
      <c r="F11" s="43" t="s">
        <v>459</v>
      </c>
      <c r="G11" s="31" t="s">
        <v>1615</v>
      </c>
      <c r="H11" s="44" t="s">
        <v>461</v>
      </c>
      <c r="I11" s="42" t="s">
        <v>1760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41</v>
      </c>
      <c r="D12" s="42" t="s">
        <v>465</v>
      </c>
      <c r="E12" s="34" t="s">
        <v>459</v>
      </c>
      <c r="F12" s="43" t="s">
        <v>459</v>
      </c>
      <c r="G12" s="31" t="s">
        <v>1615</v>
      </c>
      <c r="H12" s="44" t="s">
        <v>461</v>
      </c>
      <c r="I12" s="42" t="s">
        <v>1760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41</v>
      </c>
      <c r="D13" s="42" t="s">
        <v>466</v>
      </c>
      <c r="E13" s="34" t="s">
        <v>459</v>
      </c>
      <c r="F13" s="43" t="s">
        <v>459</v>
      </c>
      <c r="G13" s="31" t="s">
        <v>1615</v>
      </c>
      <c r="H13" s="44" t="s">
        <v>461</v>
      </c>
      <c r="I13" s="42" t="s">
        <v>1761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41</v>
      </c>
      <c r="D14" s="42" t="s">
        <v>467</v>
      </c>
      <c r="E14" s="34" t="s">
        <v>459</v>
      </c>
      <c r="F14" s="43" t="s">
        <v>459</v>
      </c>
      <c r="G14" s="31" t="s">
        <v>1615</v>
      </c>
      <c r="H14" s="44" t="s">
        <v>461</v>
      </c>
      <c r="I14" s="42" t="s">
        <v>1760</v>
      </c>
      <c r="J14" s="42"/>
      <c r="K14" s="45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41</v>
      </c>
      <c r="D15" s="42" t="s">
        <v>1762</v>
      </c>
      <c r="E15" s="34" t="s">
        <v>459</v>
      </c>
      <c r="F15" s="43" t="s">
        <v>459</v>
      </c>
      <c r="G15" s="31" t="s">
        <v>1615</v>
      </c>
      <c r="H15" s="44" t="s">
        <v>461</v>
      </c>
      <c r="I15" s="42" t="s">
        <v>1760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41</v>
      </c>
      <c r="D16" s="42" t="s">
        <v>1763</v>
      </c>
      <c r="E16" s="34" t="s">
        <v>459</v>
      </c>
      <c r="F16" s="43" t="s">
        <v>459</v>
      </c>
      <c r="G16" s="31" t="s">
        <v>1615</v>
      </c>
      <c r="H16" s="44" t="s">
        <v>461</v>
      </c>
      <c r="I16" s="42" t="s">
        <v>1760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41</v>
      </c>
      <c r="D17" s="42" t="s">
        <v>1764</v>
      </c>
      <c r="E17" s="34" t="s">
        <v>459</v>
      </c>
      <c r="F17" s="43" t="s">
        <v>459</v>
      </c>
      <c r="G17" s="31" t="s">
        <v>1615</v>
      </c>
      <c r="H17" s="44" t="s">
        <v>461</v>
      </c>
      <c r="I17" s="42" t="s">
        <v>1760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41</v>
      </c>
      <c r="D18" s="42" t="s">
        <v>1765</v>
      </c>
      <c r="E18" s="34" t="s">
        <v>459</v>
      </c>
      <c r="F18" s="43" t="s">
        <v>459</v>
      </c>
      <c r="G18" s="31" t="s">
        <v>1615</v>
      </c>
      <c r="H18" s="44" t="s">
        <v>461</v>
      </c>
      <c r="I18" s="42" t="s">
        <v>1760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41</v>
      </c>
      <c r="D19" s="42" t="s">
        <v>1766</v>
      </c>
      <c r="E19" s="34" t="s">
        <v>459</v>
      </c>
      <c r="F19" s="43" t="s">
        <v>459</v>
      </c>
      <c r="G19" s="31" t="s">
        <v>1615</v>
      </c>
      <c r="H19" s="44" t="s">
        <v>461</v>
      </c>
      <c r="I19" s="42" t="s">
        <v>1760</v>
      </c>
      <c r="J19" s="42"/>
      <c r="K19" s="45" t="n">
        <f aca="false">IF(AND(E19="yes",F19="yes",H19="covered"),1,IF(H19="partial",0.5,0))</f>
        <v>1</v>
      </c>
    </row>
    <row r="20" customFormat="false" ht="45" hidden="false" customHeight="true" outlineLevel="0" collapsed="false">
      <c r="A20" s="31" t="n">
        <v>12</v>
      </c>
      <c r="B20" s="42" t="s">
        <v>468</v>
      </c>
      <c r="C20" s="42" t="s">
        <v>41</v>
      </c>
      <c r="D20" s="42" t="s">
        <v>1767</v>
      </c>
      <c r="E20" s="34" t="s">
        <v>459</v>
      </c>
      <c r="F20" s="43" t="s">
        <v>459</v>
      </c>
      <c r="G20" s="31" t="s">
        <v>1615</v>
      </c>
      <c r="H20" s="44" t="s">
        <v>461</v>
      </c>
      <c r="I20" s="42" t="s">
        <v>1760</v>
      </c>
      <c r="J20" s="42"/>
      <c r="K20" s="45" t="n">
        <f aca="false">IF(AND(E20="yes",F20="yes",H20="covered"),1,IF(H20="partial",0.5,0))</f>
        <v>1</v>
      </c>
    </row>
    <row r="21" customFormat="false" ht="4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1615</v>
      </c>
      <c r="H21" s="44" t="s">
        <v>461</v>
      </c>
      <c r="I21" s="42" t="s">
        <v>1760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1615</v>
      </c>
      <c r="H22" s="44" t="s">
        <v>461</v>
      </c>
      <c r="I22" s="42" t="s">
        <v>1768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1615</v>
      </c>
      <c r="H23" s="44" t="s">
        <v>461</v>
      </c>
      <c r="I23" s="42" t="s">
        <v>1769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1615</v>
      </c>
      <c r="H24" s="44" t="s">
        <v>461</v>
      </c>
      <c r="I24" s="42" t="s">
        <v>1760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1615</v>
      </c>
      <c r="H25" s="44" t="s">
        <v>461</v>
      </c>
      <c r="I25" s="42" t="s">
        <v>1760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1615</v>
      </c>
      <c r="H26" s="44" t="s">
        <v>461</v>
      </c>
      <c r="I26" s="42" t="s">
        <v>1760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489</v>
      </c>
      <c r="E27" s="34" t="s">
        <v>459</v>
      </c>
      <c r="F27" s="43" t="s">
        <v>459</v>
      </c>
      <c r="G27" s="31" t="s">
        <v>1615</v>
      </c>
      <c r="H27" s="44" t="s">
        <v>461</v>
      </c>
      <c r="I27" s="42" t="s">
        <v>1760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490</v>
      </c>
      <c r="E28" s="34" t="s">
        <v>459</v>
      </c>
      <c r="F28" s="43" t="s">
        <v>459</v>
      </c>
      <c r="G28" s="31" t="s">
        <v>1615</v>
      </c>
      <c r="H28" s="44" t="s">
        <v>461</v>
      </c>
      <c r="I28" s="42" t="s">
        <v>1760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491</v>
      </c>
      <c r="E29" s="34" t="s">
        <v>459</v>
      </c>
      <c r="F29" s="43" t="s">
        <v>459</v>
      </c>
      <c r="G29" s="31" t="s">
        <v>1615</v>
      </c>
      <c r="H29" s="44" t="s">
        <v>461</v>
      </c>
      <c r="I29" s="42" t="s">
        <v>1760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493</v>
      </c>
      <c r="E30" s="34" t="s">
        <v>459</v>
      </c>
      <c r="F30" s="43" t="s">
        <v>459</v>
      </c>
      <c r="G30" s="31" t="s">
        <v>1615</v>
      </c>
      <c r="H30" s="44" t="s">
        <v>461</v>
      </c>
      <c r="I30" s="42" t="s">
        <v>1760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953</v>
      </c>
      <c r="E31" s="34" t="s">
        <v>459</v>
      </c>
      <c r="F31" s="43" t="s">
        <v>459</v>
      </c>
      <c r="G31" s="31" t="s">
        <v>1615</v>
      </c>
      <c r="H31" s="44" t="s">
        <v>461</v>
      </c>
      <c r="I31" s="42" t="s">
        <v>1760</v>
      </c>
      <c r="J31" s="42"/>
      <c r="K31" s="45" t="n">
        <f aca="false">IF(AND(E31="yes",F31="yes",H31="covered"),1,IF(H31="partial",0.5,0))</f>
        <v>1</v>
      </c>
    </row>
    <row r="32" customFormat="false" ht="4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951</v>
      </c>
      <c r="E32" s="34" t="s">
        <v>459</v>
      </c>
      <c r="F32" s="43" t="s">
        <v>459</v>
      </c>
      <c r="G32" s="31" t="s">
        <v>1615</v>
      </c>
      <c r="H32" s="44" t="s">
        <v>461</v>
      </c>
      <c r="I32" s="42" t="s">
        <v>1760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488</v>
      </c>
      <c r="C33" s="42" t="s">
        <v>476</v>
      </c>
      <c r="D33" s="42" t="s">
        <v>952</v>
      </c>
      <c r="E33" s="34" t="s">
        <v>459</v>
      </c>
      <c r="F33" s="43" t="s">
        <v>459</v>
      </c>
      <c r="G33" s="31" t="s">
        <v>1615</v>
      </c>
      <c r="H33" s="44" t="s">
        <v>461</v>
      </c>
      <c r="I33" s="42" t="s">
        <v>1760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476</v>
      </c>
      <c r="D34" s="42" t="s">
        <v>1601</v>
      </c>
      <c r="E34" s="34" t="s">
        <v>459</v>
      </c>
      <c r="F34" s="43" t="s">
        <v>459</v>
      </c>
      <c r="G34" s="31" t="s">
        <v>1615</v>
      </c>
      <c r="H34" s="44" t="s">
        <v>461</v>
      </c>
      <c r="I34" s="42" t="s">
        <v>1768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495</v>
      </c>
      <c r="E35" s="34" t="s">
        <v>459</v>
      </c>
      <c r="F35" s="43" t="s">
        <v>459</v>
      </c>
      <c r="G35" s="31" t="s">
        <v>1615</v>
      </c>
      <c r="H35" s="44" t="s">
        <v>461</v>
      </c>
      <c r="I35" s="42" t="s">
        <v>1760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1065</v>
      </c>
      <c r="E36" s="34" t="s">
        <v>459</v>
      </c>
      <c r="F36" s="43" t="s">
        <v>459</v>
      </c>
      <c r="G36" s="31" t="s">
        <v>1615</v>
      </c>
      <c r="H36" s="44" t="s">
        <v>461</v>
      </c>
      <c r="I36" s="42" t="s">
        <v>1760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486</v>
      </c>
      <c r="C37" s="42" t="s">
        <v>476</v>
      </c>
      <c r="D37" s="42" t="s">
        <v>1296</v>
      </c>
      <c r="E37" s="34" t="s">
        <v>459</v>
      </c>
      <c r="F37" s="43" t="s">
        <v>459</v>
      </c>
      <c r="G37" s="31" t="s">
        <v>1615</v>
      </c>
      <c r="H37" s="44" t="s">
        <v>461</v>
      </c>
      <c r="I37" s="42" t="s">
        <v>1760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488</v>
      </c>
      <c r="C38" s="42" t="s">
        <v>476</v>
      </c>
      <c r="D38" s="42" t="s">
        <v>497</v>
      </c>
      <c r="E38" s="34" t="s">
        <v>459</v>
      </c>
      <c r="F38" s="43" t="s">
        <v>459</v>
      </c>
      <c r="G38" s="31" t="s">
        <v>1615</v>
      </c>
      <c r="H38" s="44" t="s">
        <v>461</v>
      </c>
      <c r="I38" s="42" t="s">
        <v>1760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488</v>
      </c>
      <c r="C39" s="42" t="s">
        <v>476</v>
      </c>
      <c r="D39" s="42" t="s">
        <v>1602</v>
      </c>
      <c r="E39" s="34" t="s">
        <v>459</v>
      </c>
      <c r="F39" s="43" t="s">
        <v>459</v>
      </c>
      <c r="G39" s="31" t="s">
        <v>1615</v>
      </c>
      <c r="H39" s="44" t="s">
        <v>461</v>
      </c>
      <c r="I39" s="42" t="s">
        <v>1760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488</v>
      </c>
      <c r="C40" s="42" t="s">
        <v>476</v>
      </c>
      <c r="D40" s="42" t="s">
        <v>957</v>
      </c>
      <c r="E40" s="34" t="s">
        <v>459</v>
      </c>
      <c r="F40" s="43" t="s">
        <v>459</v>
      </c>
      <c r="G40" s="31" t="s">
        <v>1615</v>
      </c>
      <c r="H40" s="44" t="s">
        <v>461</v>
      </c>
      <c r="I40" s="42" t="s">
        <v>1760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488</v>
      </c>
      <c r="C41" s="42" t="s">
        <v>476</v>
      </c>
      <c r="D41" s="42" t="s">
        <v>958</v>
      </c>
      <c r="E41" s="34" t="s">
        <v>459</v>
      </c>
      <c r="F41" s="43" t="s">
        <v>459</v>
      </c>
      <c r="G41" s="31" t="s">
        <v>1615</v>
      </c>
      <c r="H41" s="44" t="s">
        <v>461</v>
      </c>
      <c r="I41" s="42" t="s">
        <v>1760</v>
      </c>
      <c r="J41" s="42"/>
      <c r="K41" s="45" t="n">
        <f aca="false">IF(AND(E41="yes",F41="yes",H41="covered"),1,IF(H41="partial",0.5,0))</f>
        <v>1</v>
      </c>
    </row>
    <row r="42" customFormat="false" ht="45" hidden="false" customHeight="true" outlineLevel="0" collapsed="false">
      <c r="A42" s="31" t="n">
        <v>34</v>
      </c>
      <c r="B42" s="42" t="s">
        <v>475</v>
      </c>
      <c r="C42" s="42" t="s">
        <v>1061</v>
      </c>
      <c r="D42" s="42" t="s">
        <v>477</v>
      </c>
      <c r="E42" s="34" t="s">
        <v>459</v>
      </c>
      <c r="F42" s="43" t="s">
        <v>459</v>
      </c>
      <c r="G42" s="31" t="s">
        <v>1615</v>
      </c>
      <c r="H42" s="44" t="s">
        <v>461</v>
      </c>
      <c r="I42" s="42" t="s">
        <v>1760</v>
      </c>
      <c r="J42" s="42"/>
      <c r="K42" s="45" t="n">
        <f aca="false">IF(AND(E42="yes",F42="yes",H42="covered"),1,IF(H42="partial",0.5,0))</f>
        <v>1</v>
      </c>
    </row>
    <row r="43" customFormat="false" ht="45" hidden="false" customHeight="true" outlineLevel="0" collapsed="false">
      <c r="A43" s="31" t="n">
        <v>35</v>
      </c>
      <c r="B43" s="42" t="s">
        <v>475</v>
      </c>
      <c r="C43" s="42" t="s">
        <v>1061</v>
      </c>
      <c r="D43" s="42" t="s">
        <v>478</v>
      </c>
      <c r="E43" s="34" t="s">
        <v>459</v>
      </c>
      <c r="F43" s="43" t="s">
        <v>459</v>
      </c>
      <c r="G43" s="31" t="s">
        <v>1615</v>
      </c>
      <c r="H43" s="44" t="s">
        <v>461</v>
      </c>
      <c r="I43" s="42" t="s">
        <v>1768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479</v>
      </c>
      <c r="C44" s="42" t="s">
        <v>1061</v>
      </c>
      <c r="D44" s="42" t="s">
        <v>480</v>
      </c>
      <c r="E44" s="34" t="s">
        <v>459</v>
      </c>
      <c r="F44" s="43" t="s">
        <v>459</v>
      </c>
      <c r="G44" s="31" t="s">
        <v>1615</v>
      </c>
      <c r="H44" s="44" t="s">
        <v>461</v>
      </c>
      <c r="I44" s="42" t="s">
        <v>1768</v>
      </c>
      <c r="J44" s="42"/>
      <c r="K44" s="45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31" t="n">
        <v>37</v>
      </c>
      <c r="B45" s="42" t="s">
        <v>479</v>
      </c>
      <c r="C45" s="42" t="s">
        <v>1061</v>
      </c>
      <c r="D45" s="42" t="s">
        <v>481</v>
      </c>
      <c r="E45" s="34" t="s">
        <v>459</v>
      </c>
      <c r="F45" s="43" t="s">
        <v>459</v>
      </c>
      <c r="G45" s="31" t="s">
        <v>1615</v>
      </c>
      <c r="H45" s="44" t="s">
        <v>461</v>
      </c>
      <c r="I45" s="42" t="s">
        <v>1760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457</v>
      </c>
      <c r="C46" s="42" t="s">
        <v>1061</v>
      </c>
      <c r="D46" s="42" t="s">
        <v>482</v>
      </c>
      <c r="E46" s="34" t="s">
        <v>459</v>
      </c>
      <c r="F46" s="43" t="s">
        <v>459</v>
      </c>
      <c r="G46" s="31" t="s">
        <v>1615</v>
      </c>
      <c r="H46" s="44" t="s">
        <v>461</v>
      </c>
      <c r="I46" s="42" t="s">
        <v>1760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774</v>
      </c>
      <c r="C47" s="42" t="s">
        <v>1061</v>
      </c>
      <c r="D47" s="42" t="s">
        <v>775</v>
      </c>
      <c r="E47" s="34" t="s">
        <v>459</v>
      </c>
      <c r="F47" s="43" t="s">
        <v>459</v>
      </c>
      <c r="G47" s="31" t="s">
        <v>1615</v>
      </c>
      <c r="H47" s="44" t="s">
        <v>461</v>
      </c>
      <c r="I47" s="42" t="s">
        <v>1760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488</v>
      </c>
      <c r="C48" s="42" t="s">
        <v>1061</v>
      </c>
      <c r="D48" s="42" t="s">
        <v>1770</v>
      </c>
      <c r="E48" s="34" t="s">
        <v>459</v>
      </c>
      <c r="F48" s="43" t="s">
        <v>459</v>
      </c>
      <c r="G48" s="31" t="s">
        <v>1615</v>
      </c>
      <c r="H48" s="44" t="s">
        <v>461</v>
      </c>
      <c r="I48" s="42" t="s">
        <v>1760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483</v>
      </c>
      <c r="C49" s="42" t="s">
        <v>1061</v>
      </c>
      <c r="D49" s="42" t="s">
        <v>484</v>
      </c>
      <c r="E49" s="34" t="s">
        <v>459</v>
      </c>
      <c r="F49" s="43" t="s">
        <v>459</v>
      </c>
      <c r="G49" s="31" t="s">
        <v>1615</v>
      </c>
      <c r="H49" s="44" t="s">
        <v>461</v>
      </c>
      <c r="I49" s="42" t="s">
        <v>1760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483</v>
      </c>
      <c r="C50" s="42" t="s">
        <v>1061</v>
      </c>
      <c r="D50" s="42" t="s">
        <v>485</v>
      </c>
      <c r="E50" s="34" t="s">
        <v>459</v>
      </c>
      <c r="F50" s="43" t="s">
        <v>459</v>
      </c>
      <c r="G50" s="31" t="s">
        <v>1615</v>
      </c>
      <c r="H50" s="44" t="s">
        <v>461</v>
      </c>
      <c r="I50" s="42" t="s">
        <v>1760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486</v>
      </c>
      <c r="C51" s="42" t="s">
        <v>1061</v>
      </c>
      <c r="D51" s="42" t="s">
        <v>495</v>
      </c>
      <c r="E51" s="34" t="s">
        <v>459</v>
      </c>
      <c r="F51" s="43" t="s">
        <v>459</v>
      </c>
      <c r="G51" s="31" t="s">
        <v>1615</v>
      </c>
      <c r="H51" s="44" t="s">
        <v>461</v>
      </c>
      <c r="I51" s="42" t="s">
        <v>1760</v>
      </c>
      <c r="J51" s="42"/>
      <c r="K51" s="45" t="n">
        <f aca="false">IF(AND(E51="yes",F51="yes",H51="covered"),1,IF(H51="partial",0.5,0))</f>
        <v>1</v>
      </c>
    </row>
    <row r="52" customFormat="false" ht="45" hidden="false" customHeight="true" outlineLevel="0" collapsed="false">
      <c r="A52" s="31" t="n">
        <v>44</v>
      </c>
      <c r="B52" s="42" t="s">
        <v>488</v>
      </c>
      <c r="C52" s="42" t="s">
        <v>1061</v>
      </c>
      <c r="D52" s="42" t="s">
        <v>497</v>
      </c>
      <c r="E52" s="34" t="s">
        <v>459</v>
      </c>
      <c r="F52" s="43" t="s">
        <v>459</v>
      </c>
      <c r="G52" s="31" t="s">
        <v>1615</v>
      </c>
      <c r="H52" s="44" t="s">
        <v>461</v>
      </c>
      <c r="I52" s="42" t="s">
        <v>1760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486</v>
      </c>
      <c r="C53" s="42" t="s">
        <v>1061</v>
      </c>
      <c r="D53" s="42" t="s">
        <v>1063</v>
      </c>
      <c r="E53" s="34" t="s">
        <v>459</v>
      </c>
      <c r="F53" s="43" t="s">
        <v>459</v>
      </c>
      <c r="G53" s="31" t="s">
        <v>1615</v>
      </c>
      <c r="H53" s="44" t="s">
        <v>461</v>
      </c>
      <c r="I53" s="42" t="s">
        <v>1768</v>
      </c>
      <c r="J53" s="42"/>
      <c r="K53" s="45" t="n">
        <f aca="false">IF(AND(E53="yes",F53="yes",H53="covered"),1,IF(H53="partial",0.5,0))</f>
        <v>1</v>
      </c>
    </row>
    <row r="54" customFormat="false" ht="30" hidden="false" customHeight="true" outlineLevel="0" collapsed="false">
      <c r="A54" s="31" t="n">
        <v>46</v>
      </c>
      <c r="B54" s="42" t="s">
        <v>505</v>
      </c>
      <c r="C54" s="42" t="s">
        <v>506</v>
      </c>
      <c r="D54" s="42" t="s">
        <v>1631</v>
      </c>
      <c r="E54" s="34" t="s">
        <v>459</v>
      </c>
      <c r="F54" s="43" t="s">
        <v>459</v>
      </c>
      <c r="G54" s="31" t="s">
        <v>1615</v>
      </c>
      <c r="H54" s="44" t="s">
        <v>461</v>
      </c>
      <c r="I54" s="42" t="s">
        <v>1760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505</v>
      </c>
      <c r="C55" s="42" t="s">
        <v>506</v>
      </c>
      <c r="D55" s="42" t="s">
        <v>905</v>
      </c>
      <c r="E55" s="34" t="s">
        <v>459</v>
      </c>
      <c r="F55" s="43" t="s">
        <v>459</v>
      </c>
      <c r="G55" s="31" t="s">
        <v>1615</v>
      </c>
      <c r="H55" s="44" t="s">
        <v>461</v>
      </c>
      <c r="I55" s="42" t="s">
        <v>1771</v>
      </c>
      <c r="J55" s="42"/>
      <c r="K55" s="45" t="n">
        <f aca="false">IF(AND(E55="yes",F55="yes",H55="covered"),1,IF(H55="partial",0.5,0))</f>
        <v>1</v>
      </c>
    </row>
    <row r="56" customFormat="false" ht="30" hidden="false" customHeight="true" outlineLevel="0" collapsed="false">
      <c r="A56" s="31" t="n">
        <v>48</v>
      </c>
      <c r="B56" s="42" t="s">
        <v>505</v>
      </c>
      <c r="C56" s="42" t="s">
        <v>506</v>
      </c>
      <c r="D56" s="42" t="s">
        <v>962</v>
      </c>
      <c r="E56" s="34" t="s">
        <v>459</v>
      </c>
      <c r="F56" s="43" t="s">
        <v>459</v>
      </c>
      <c r="G56" s="31" t="s">
        <v>1615</v>
      </c>
      <c r="H56" s="44" t="s">
        <v>461</v>
      </c>
      <c r="I56" s="42" t="s">
        <v>1760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505</v>
      </c>
      <c r="C57" s="42" t="s">
        <v>506</v>
      </c>
      <c r="D57" s="42" t="s">
        <v>783</v>
      </c>
      <c r="E57" s="34" t="s">
        <v>459</v>
      </c>
      <c r="F57" s="43" t="s">
        <v>459</v>
      </c>
      <c r="G57" s="31" t="s">
        <v>1615</v>
      </c>
      <c r="H57" s="44" t="s">
        <v>461</v>
      </c>
      <c r="I57" s="42" t="s">
        <v>1771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505</v>
      </c>
      <c r="C58" s="42" t="s">
        <v>506</v>
      </c>
      <c r="D58" s="42" t="s">
        <v>963</v>
      </c>
      <c r="E58" s="34" t="s">
        <v>459</v>
      </c>
      <c r="F58" s="43" t="s">
        <v>459</v>
      </c>
      <c r="G58" s="31" t="s">
        <v>1615</v>
      </c>
      <c r="H58" s="44" t="s">
        <v>461</v>
      </c>
      <c r="I58" s="42" t="s">
        <v>1760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505</v>
      </c>
      <c r="C59" s="42" t="s">
        <v>506</v>
      </c>
      <c r="D59" s="42" t="s">
        <v>964</v>
      </c>
      <c r="E59" s="34" t="s">
        <v>459</v>
      </c>
      <c r="F59" s="43" t="s">
        <v>459</v>
      </c>
      <c r="G59" s="31" t="s">
        <v>1615</v>
      </c>
      <c r="H59" s="44" t="s">
        <v>461</v>
      </c>
      <c r="I59" s="42" t="s">
        <v>1760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511</v>
      </c>
      <c r="C60" s="42" t="s">
        <v>506</v>
      </c>
      <c r="D60" s="42" t="s">
        <v>512</v>
      </c>
      <c r="E60" s="34" t="s">
        <v>459</v>
      </c>
      <c r="F60" s="43" t="s">
        <v>459</v>
      </c>
      <c r="G60" s="31" t="s">
        <v>1615</v>
      </c>
      <c r="H60" s="44" t="s">
        <v>461</v>
      </c>
      <c r="I60" s="42" t="s">
        <v>1760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511</v>
      </c>
      <c r="C61" s="42" t="s">
        <v>506</v>
      </c>
      <c r="D61" s="42" t="s">
        <v>1691</v>
      </c>
      <c r="E61" s="34" t="s">
        <v>459</v>
      </c>
      <c r="F61" s="43" t="s">
        <v>459</v>
      </c>
      <c r="G61" s="31" t="s">
        <v>1615</v>
      </c>
      <c r="H61" s="44" t="s">
        <v>461</v>
      </c>
      <c r="I61" s="42" t="s">
        <v>1760</v>
      </c>
      <c r="J61" s="42"/>
      <c r="K61" s="45" t="n">
        <f aca="false">IF(AND(E61="yes",F61="yes",H61="covered"),1,IF(H61="partial",0.5,0))</f>
        <v>1</v>
      </c>
    </row>
    <row r="62" customFormat="false" ht="30" hidden="false" customHeight="true" outlineLevel="0" collapsed="false">
      <c r="A62" s="31" t="n">
        <v>54</v>
      </c>
      <c r="B62" s="42" t="s">
        <v>511</v>
      </c>
      <c r="C62" s="42" t="s">
        <v>506</v>
      </c>
      <c r="D62" s="42" t="s">
        <v>1318</v>
      </c>
      <c r="E62" s="34" t="s">
        <v>459</v>
      </c>
      <c r="F62" s="43" t="s">
        <v>459</v>
      </c>
      <c r="G62" s="31" t="s">
        <v>1615</v>
      </c>
      <c r="H62" s="44" t="s">
        <v>461</v>
      </c>
      <c r="I62" s="42" t="s">
        <v>1760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511</v>
      </c>
      <c r="C63" s="42" t="s">
        <v>506</v>
      </c>
      <c r="D63" s="42" t="s">
        <v>1071</v>
      </c>
      <c r="E63" s="34" t="s">
        <v>459</v>
      </c>
      <c r="F63" s="43" t="s">
        <v>459</v>
      </c>
      <c r="G63" s="31" t="s">
        <v>1615</v>
      </c>
      <c r="H63" s="44" t="s">
        <v>461</v>
      </c>
      <c r="I63" s="42" t="s">
        <v>1771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511</v>
      </c>
      <c r="C64" s="42" t="s">
        <v>506</v>
      </c>
      <c r="D64" s="42" t="s">
        <v>965</v>
      </c>
      <c r="E64" s="34" t="s">
        <v>459</v>
      </c>
      <c r="F64" s="43" t="s">
        <v>459</v>
      </c>
      <c r="G64" s="31" t="s">
        <v>1615</v>
      </c>
      <c r="H64" s="44" t="s">
        <v>461</v>
      </c>
      <c r="I64" s="42" t="s">
        <v>1760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511</v>
      </c>
      <c r="C65" s="42" t="s">
        <v>506</v>
      </c>
      <c r="D65" s="42" t="s">
        <v>966</v>
      </c>
      <c r="E65" s="34" t="s">
        <v>459</v>
      </c>
      <c r="F65" s="43" t="s">
        <v>459</v>
      </c>
      <c r="G65" s="31" t="s">
        <v>1615</v>
      </c>
      <c r="H65" s="44" t="s">
        <v>461</v>
      </c>
      <c r="I65" s="42" t="s">
        <v>1760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511</v>
      </c>
      <c r="C66" s="42" t="s">
        <v>506</v>
      </c>
      <c r="D66" s="42" t="s">
        <v>1611</v>
      </c>
      <c r="E66" s="34" t="s">
        <v>459</v>
      </c>
      <c r="F66" s="43" t="s">
        <v>459</v>
      </c>
      <c r="G66" s="31" t="s">
        <v>1615</v>
      </c>
      <c r="H66" s="44" t="s">
        <v>461</v>
      </c>
      <c r="I66" s="42" t="s">
        <v>1760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511</v>
      </c>
      <c r="C67" s="42" t="s">
        <v>506</v>
      </c>
      <c r="D67" s="42" t="s">
        <v>514</v>
      </c>
      <c r="E67" s="34" t="s">
        <v>459</v>
      </c>
      <c r="F67" s="43" t="s">
        <v>459</v>
      </c>
      <c r="G67" s="31" t="s">
        <v>1615</v>
      </c>
      <c r="H67" s="44" t="s">
        <v>461</v>
      </c>
      <c r="I67" s="42" t="s">
        <v>1760</v>
      </c>
      <c r="J67" s="42"/>
      <c r="K67" s="45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31" t="n">
        <v>60</v>
      </c>
      <c r="B68" s="42" t="s">
        <v>488</v>
      </c>
      <c r="C68" s="42" t="s">
        <v>476</v>
      </c>
      <c r="D68" s="42" t="s">
        <v>521</v>
      </c>
      <c r="E68" s="34" t="s">
        <v>459</v>
      </c>
      <c r="F68" s="43" t="s">
        <v>459</v>
      </c>
      <c r="G68" s="31" t="s">
        <v>1615</v>
      </c>
      <c r="H68" s="44" t="s">
        <v>461</v>
      </c>
      <c r="I68" s="42" t="s">
        <v>1760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488</v>
      </c>
      <c r="C69" s="42" t="s">
        <v>476</v>
      </c>
      <c r="D69" s="42" t="s">
        <v>522</v>
      </c>
      <c r="E69" s="34" t="s">
        <v>459</v>
      </c>
      <c r="F69" s="43" t="s">
        <v>459</v>
      </c>
      <c r="G69" s="31" t="s">
        <v>1615</v>
      </c>
      <c r="H69" s="44" t="s">
        <v>461</v>
      </c>
      <c r="I69" s="42" t="s">
        <v>1760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488</v>
      </c>
      <c r="C70" s="42" t="s">
        <v>476</v>
      </c>
      <c r="D70" s="42" t="s">
        <v>523</v>
      </c>
      <c r="E70" s="34" t="s">
        <v>459</v>
      </c>
      <c r="F70" s="43" t="s">
        <v>459</v>
      </c>
      <c r="G70" s="31" t="s">
        <v>1615</v>
      </c>
      <c r="H70" s="44" t="s">
        <v>461</v>
      </c>
      <c r="I70" s="42" t="s">
        <v>1760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488</v>
      </c>
      <c r="C71" s="42" t="s">
        <v>41</v>
      </c>
      <c r="D71" s="42" t="s">
        <v>968</v>
      </c>
      <c r="E71" s="34" t="s">
        <v>459</v>
      </c>
      <c r="F71" s="43" t="s">
        <v>459</v>
      </c>
      <c r="G71" s="31" t="s">
        <v>1615</v>
      </c>
      <c r="H71" s="44" t="s">
        <v>461</v>
      </c>
      <c r="I71" s="42" t="s">
        <v>1760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488</v>
      </c>
      <c r="C72" s="42" t="s">
        <v>41</v>
      </c>
      <c r="D72" s="42" t="s">
        <v>969</v>
      </c>
      <c r="E72" s="34" t="s">
        <v>459</v>
      </c>
      <c r="F72" s="43" t="s">
        <v>459</v>
      </c>
      <c r="G72" s="31" t="s">
        <v>1615</v>
      </c>
      <c r="H72" s="44" t="s">
        <v>461</v>
      </c>
      <c r="I72" s="42" t="s">
        <v>1760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488</v>
      </c>
      <c r="C73" s="42" t="s">
        <v>41</v>
      </c>
      <c r="D73" s="42" t="s">
        <v>970</v>
      </c>
      <c r="E73" s="34" t="s">
        <v>459</v>
      </c>
      <c r="F73" s="43" t="s">
        <v>459</v>
      </c>
      <c r="G73" s="31" t="s">
        <v>1615</v>
      </c>
      <c r="H73" s="44" t="s">
        <v>461</v>
      </c>
      <c r="I73" s="42" t="s">
        <v>1760</v>
      </c>
      <c r="J73" s="42"/>
      <c r="K73" s="45" t="n">
        <f aca="false">IF(AND(E73="yes",F73="yes",H73="covered"),1,IF(H73="partial",0.5,0))</f>
        <v>1</v>
      </c>
    </row>
    <row r="74" customFormat="false" ht="30" hidden="false" customHeight="true" outlineLevel="0" collapsed="false">
      <c r="A74" s="31" t="n">
        <v>66</v>
      </c>
      <c r="B74" s="42" t="s">
        <v>488</v>
      </c>
      <c r="C74" s="42" t="s">
        <v>41</v>
      </c>
      <c r="D74" s="42" t="s">
        <v>971</v>
      </c>
      <c r="E74" s="34" t="s">
        <v>459</v>
      </c>
      <c r="F74" s="43" t="s">
        <v>459</v>
      </c>
      <c r="G74" s="31" t="s">
        <v>1615</v>
      </c>
      <c r="H74" s="44" t="s">
        <v>461</v>
      </c>
      <c r="I74" s="42" t="s">
        <v>1760</v>
      </c>
      <c r="J74" s="42"/>
      <c r="K74" s="45" t="n">
        <f aca="false">IF(AND(E74="yes",F74="yes",H74="covered"),1,IF(H74="partial",0.5,0))</f>
        <v>1</v>
      </c>
    </row>
    <row r="75" customFormat="false" ht="30" hidden="false" customHeight="true" outlineLevel="0" collapsed="false">
      <c r="A75" s="31" t="n">
        <v>67</v>
      </c>
      <c r="B75" s="42" t="s">
        <v>933</v>
      </c>
      <c r="C75" s="42" t="s">
        <v>41</v>
      </c>
      <c r="D75" s="42" t="s">
        <v>972</v>
      </c>
      <c r="E75" s="34" t="s">
        <v>459</v>
      </c>
      <c r="F75" s="43" t="s">
        <v>459</v>
      </c>
      <c r="G75" s="31" t="s">
        <v>1615</v>
      </c>
      <c r="H75" s="44" t="s">
        <v>461</v>
      </c>
      <c r="I75" s="42" t="s">
        <v>1760</v>
      </c>
      <c r="J75" s="42"/>
      <c r="K75" s="45" t="n">
        <f aca="false">IF(AND(E75="yes",F75="yes",H75="covered"),1,IF(H75="partial",0.5,0))</f>
        <v>1</v>
      </c>
    </row>
    <row r="76" customFormat="false" ht="30" hidden="false" customHeight="true" outlineLevel="0" collapsed="false"/>
    <row r="77" customFormat="false" ht="30" hidden="false" customHeight="true" outlineLevel="0" collapsed="false"/>
    <row r="78" customFormat="false" ht="15" hidden="false" customHeight="true" outlineLevel="0" collapsed="false"/>
    <row r="79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1772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IFERROR(SUM(K9:K39)/COUNTA(A9:A39),0)</f>
        <v>1</v>
      </c>
      <c r="C4" s="28" t="s">
        <v>8</v>
      </c>
      <c r="D4" s="40" t="n">
        <f aca="false">COUNTIF(H9:H39,"covered")</f>
        <v>31</v>
      </c>
      <c r="E4" s="28" t="s">
        <v>9</v>
      </c>
      <c r="F4" s="40" t="n">
        <f aca="false">COUNTIF(H9:H39,"partial")</f>
        <v>0</v>
      </c>
      <c r="G4" s="28" t="s">
        <v>10</v>
      </c>
      <c r="H4" s="40" t="n">
        <f aca="false">COUNTIF(H9:H39,"missing")</f>
        <v>0</v>
      </c>
      <c r="I4" s="28" t="s">
        <v>11</v>
      </c>
      <c r="J4" s="40" t="n">
        <f aca="false">COUNTIF(F9:F39,"no")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34" t="s">
        <v>459</v>
      </c>
      <c r="G9" s="31" t="s">
        <v>110</v>
      </c>
      <c r="H9" s="50" t="s">
        <v>461</v>
      </c>
      <c r="I9" s="42" t="s">
        <v>1773</v>
      </c>
      <c r="J9" s="42"/>
      <c r="K9" s="45" t="n">
        <f aca="false">IF(AND(E9="yes",F9="yes",H9="covered"),1,IF(AND(E9="yes",H9="partial"),0.5,0))</f>
        <v>1</v>
      </c>
    </row>
    <row r="10" customFormat="false" ht="30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34" t="s">
        <v>459</v>
      </c>
      <c r="G10" s="31" t="s">
        <v>110</v>
      </c>
      <c r="H10" s="50" t="s">
        <v>461</v>
      </c>
      <c r="I10" s="42" t="s">
        <v>1773</v>
      </c>
      <c r="J10" s="42"/>
      <c r="K10" s="45" t="n">
        <f aca="false">IF(AND(E10="yes",F10="yes",H10="covered"),1,IF(AND(E10="yes",H10="partial"),0.5,0))</f>
        <v>1</v>
      </c>
    </row>
    <row r="11" customFormat="false" ht="30" hidden="false" customHeight="true" outlineLevel="0" collapsed="false">
      <c r="A11" s="31" t="n">
        <v>3</v>
      </c>
      <c r="B11" s="42" t="s">
        <v>456</v>
      </c>
      <c r="C11" s="42" t="s">
        <v>42</v>
      </c>
      <c r="D11" s="42" t="s">
        <v>1774</v>
      </c>
      <c r="E11" s="34" t="s">
        <v>459</v>
      </c>
      <c r="F11" s="34" t="s">
        <v>459</v>
      </c>
      <c r="G11" s="31" t="s">
        <v>110</v>
      </c>
      <c r="H11" s="50" t="s">
        <v>461</v>
      </c>
      <c r="I11" s="42" t="s">
        <v>1775</v>
      </c>
      <c r="J11" s="42"/>
      <c r="K11" s="45" t="n">
        <f aca="false">IF(AND(E11="yes",F11="yes",H11="covered"),1,IF(AND(E11="yes",H11="partial"),0.5,0))</f>
        <v>1</v>
      </c>
    </row>
    <row r="12" customFormat="false" ht="30" hidden="false" customHeight="true" outlineLevel="0" collapsed="false">
      <c r="A12" s="31" t="n">
        <v>4</v>
      </c>
      <c r="B12" s="42" t="s">
        <v>456</v>
      </c>
      <c r="C12" s="42" t="s">
        <v>42</v>
      </c>
      <c r="D12" s="42" t="s">
        <v>1776</v>
      </c>
      <c r="E12" s="34" t="s">
        <v>459</v>
      </c>
      <c r="F12" s="34" t="s">
        <v>459</v>
      </c>
      <c r="G12" s="31" t="s">
        <v>110</v>
      </c>
      <c r="H12" s="50" t="s">
        <v>461</v>
      </c>
      <c r="I12" s="42" t="s">
        <v>1777</v>
      </c>
      <c r="J12" s="42"/>
      <c r="K12" s="45" t="n">
        <f aca="false">IF(AND(E12="yes",F12="yes",H12="covered"),1,IF(AND(E12="yes",H12="partial"),0.5,0))</f>
        <v>1</v>
      </c>
    </row>
    <row r="13" customFormat="false" ht="30" hidden="false" customHeight="true" outlineLevel="0" collapsed="false">
      <c r="A13" s="31" t="n">
        <v>5</v>
      </c>
      <c r="B13" s="42" t="s">
        <v>456</v>
      </c>
      <c r="C13" s="42" t="s">
        <v>42</v>
      </c>
      <c r="D13" s="42" t="s">
        <v>1778</v>
      </c>
      <c r="E13" s="34" t="s">
        <v>459</v>
      </c>
      <c r="F13" s="34" t="s">
        <v>459</v>
      </c>
      <c r="G13" s="31" t="s">
        <v>110</v>
      </c>
      <c r="H13" s="50" t="s">
        <v>461</v>
      </c>
      <c r="I13" s="42" t="s">
        <v>1779</v>
      </c>
      <c r="J13" s="42"/>
      <c r="K13" s="45" t="n">
        <f aca="false">IF(AND(E13="yes",F13="yes",H13="covered"),1,IF(AND(E13="yes",H13="partial"),0.5,0))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42</v>
      </c>
      <c r="D14" s="42" t="s">
        <v>1780</v>
      </c>
      <c r="E14" s="34" t="s">
        <v>459</v>
      </c>
      <c r="F14" s="34" t="s">
        <v>459</v>
      </c>
      <c r="G14" s="31" t="s">
        <v>110</v>
      </c>
      <c r="H14" s="50" t="s">
        <v>461</v>
      </c>
      <c r="I14" s="42" t="s">
        <v>1781</v>
      </c>
      <c r="J14" s="42"/>
      <c r="K14" s="45" t="n">
        <f aca="false">IF(AND(E14="yes",F14="yes",H14="covered"),1,IF(AND(E14="yes",H14="partial"),0.5,0))</f>
        <v>1</v>
      </c>
    </row>
    <row r="15" customFormat="false" ht="15" hidden="false" customHeight="true" outlineLevel="0" collapsed="false">
      <c r="A15" s="31" t="n">
        <v>7</v>
      </c>
      <c r="B15" s="42" t="s">
        <v>475</v>
      </c>
      <c r="C15" s="42" t="s">
        <v>476</v>
      </c>
      <c r="D15" s="42" t="s">
        <v>1782</v>
      </c>
      <c r="E15" s="34" t="s">
        <v>459</v>
      </c>
      <c r="F15" s="34" t="s">
        <v>459</v>
      </c>
      <c r="G15" s="31" t="s">
        <v>110</v>
      </c>
      <c r="H15" s="50" t="s">
        <v>461</v>
      </c>
      <c r="I15" s="42" t="s">
        <v>1783</v>
      </c>
      <c r="J15" s="42"/>
      <c r="K15" s="45" t="n">
        <f aca="false">IF(AND(E15="yes",F15="yes",H15="covered"),1,IF(AND(E15="yes",H15="partial"),0.5,0))</f>
        <v>1</v>
      </c>
    </row>
    <row r="16" customFormat="false" ht="30" hidden="false" customHeight="true" outlineLevel="0" collapsed="false">
      <c r="A16" s="31" t="n">
        <v>8</v>
      </c>
      <c r="B16" s="42" t="s">
        <v>479</v>
      </c>
      <c r="C16" s="42" t="s">
        <v>476</v>
      </c>
      <c r="D16" s="42" t="s">
        <v>1784</v>
      </c>
      <c r="E16" s="34" t="s">
        <v>459</v>
      </c>
      <c r="F16" s="34" t="s">
        <v>459</v>
      </c>
      <c r="G16" s="31" t="s">
        <v>110</v>
      </c>
      <c r="H16" s="50" t="s">
        <v>461</v>
      </c>
      <c r="I16" s="42" t="s">
        <v>1785</v>
      </c>
      <c r="J16" s="42"/>
      <c r="K16" s="45" t="n">
        <f aca="false">IF(AND(E16="yes",F16="yes",H16="covered"),1,IF(AND(E16="yes",H16="partial"),0.5,0))</f>
        <v>1</v>
      </c>
    </row>
    <row r="17" customFormat="false" ht="30" hidden="false" customHeight="true" outlineLevel="0" collapsed="false">
      <c r="A17" s="31" t="n">
        <v>9</v>
      </c>
      <c r="B17" s="42" t="s">
        <v>479</v>
      </c>
      <c r="C17" s="42" t="s">
        <v>476</v>
      </c>
      <c r="D17" s="42" t="s">
        <v>1786</v>
      </c>
      <c r="E17" s="34" t="s">
        <v>459</v>
      </c>
      <c r="F17" s="34" t="s">
        <v>459</v>
      </c>
      <c r="G17" s="31" t="s">
        <v>110</v>
      </c>
      <c r="H17" s="50" t="s">
        <v>461</v>
      </c>
      <c r="I17" s="42" t="s">
        <v>1787</v>
      </c>
      <c r="J17" s="42"/>
      <c r="K17" s="45" t="n">
        <f aca="false">IF(AND(E17="yes",F17="yes",H17="covered"),1,IF(AND(E17="yes",H17="partial"),0.5,0))</f>
        <v>1</v>
      </c>
    </row>
    <row r="18" customFormat="false" ht="30" hidden="false" customHeight="true" outlineLevel="0" collapsed="false">
      <c r="A18" s="31" t="n">
        <v>10</v>
      </c>
      <c r="B18" s="42" t="s">
        <v>500</v>
      </c>
      <c r="C18" s="42" t="s">
        <v>476</v>
      </c>
      <c r="D18" s="42" t="s">
        <v>1788</v>
      </c>
      <c r="E18" s="34" t="s">
        <v>459</v>
      </c>
      <c r="F18" s="34" t="s">
        <v>459</v>
      </c>
      <c r="G18" s="31" t="s">
        <v>110</v>
      </c>
      <c r="H18" s="50" t="s">
        <v>461</v>
      </c>
      <c r="I18" s="42" t="s">
        <v>1789</v>
      </c>
      <c r="J18" s="42"/>
      <c r="K18" s="45" t="n">
        <f aca="false">IF(AND(E18="yes",F18="yes",H18="covered"),1,IF(AND(E18="yes",H18="partial"),0.5,0))</f>
        <v>1</v>
      </c>
    </row>
    <row r="19" customFormat="false" ht="30" hidden="false" customHeight="true" outlineLevel="0" collapsed="false">
      <c r="A19" s="31" t="n">
        <v>11</v>
      </c>
      <c r="B19" s="42" t="s">
        <v>511</v>
      </c>
      <c r="C19" s="42" t="s">
        <v>476</v>
      </c>
      <c r="D19" s="42" t="s">
        <v>1790</v>
      </c>
      <c r="E19" s="34" t="s">
        <v>459</v>
      </c>
      <c r="F19" s="34" t="s">
        <v>459</v>
      </c>
      <c r="G19" s="31" t="s">
        <v>110</v>
      </c>
      <c r="H19" s="50" t="s">
        <v>461</v>
      </c>
      <c r="I19" s="42" t="s">
        <v>1791</v>
      </c>
      <c r="J19" s="42"/>
      <c r="K19" s="45" t="n">
        <f aca="false">IF(AND(E19="yes",F19="yes",H19="covered"),1,IF(AND(E19="yes",H19="partial"),0.5,0))</f>
        <v>1</v>
      </c>
    </row>
    <row r="20" customFormat="false" ht="15" hidden="false" customHeight="true" outlineLevel="0" collapsed="false">
      <c r="A20" s="31" t="n">
        <v>12</v>
      </c>
      <c r="B20" s="42" t="s">
        <v>511</v>
      </c>
      <c r="C20" s="42" t="s">
        <v>476</v>
      </c>
      <c r="D20" s="42" t="s">
        <v>1792</v>
      </c>
      <c r="E20" s="34" t="s">
        <v>459</v>
      </c>
      <c r="F20" s="34" t="s">
        <v>459</v>
      </c>
      <c r="G20" s="31" t="s">
        <v>110</v>
      </c>
      <c r="H20" s="50" t="s">
        <v>461</v>
      </c>
      <c r="I20" s="42" t="s">
        <v>1793</v>
      </c>
      <c r="J20" s="42"/>
      <c r="K20" s="45" t="n">
        <f aca="false">IF(AND(E20="yes",F20="yes",H20="covered"),1,IF(AND(E20="yes",H20="partial"),0.5,0))</f>
        <v>1</v>
      </c>
    </row>
    <row r="21" customFormat="false" ht="15" hidden="false" customHeight="true" outlineLevel="0" collapsed="false">
      <c r="A21" s="31" t="n">
        <v>13</v>
      </c>
      <c r="B21" s="42" t="s">
        <v>1794</v>
      </c>
      <c r="C21" s="42" t="s">
        <v>476</v>
      </c>
      <c r="D21" s="42" t="s">
        <v>1795</v>
      </c>
      <c r="E21" s="34" t="s">
        <v>459</v>
      </c>
      <c r="F21" s="34" t="s">
        <v>459</v>
      </c>
      <c r="G21" s="31" t="s">
        <v>110</v>
      </c>
      <c r="H21" s="50" t="s">
        <v>461</v>
      </c>
      <c r="I21" s="42" t="s">
        <v>1796</v>
      </c>
      <c r="J21" s="42"/>
      <c r="K21" s="45" t="n">
        <f aca="false">IF(AND(E21="yes",F21="yes",H21="covered"),1,IF(AND(E21="yes",H21="partial"),0.5,0))</f>
        <v>1</v>
      </c>
    </row>
    <row r="22" customFormat="false" ht="30" hidden="false" customHeight="true" outlineLevel="0" collapsed="false">
      <c r="A22" s="31" t="n">
        <v>14</v>
      </c>
      <c r="B22" s="42" t="s">
        <v>1794</v>
      </c>
      <c r="C22" s="42" t="s">
        <v>476</v>
      </c>
      <c r="D22" s="42" t="s">
        <v>1797</v>
      </c>
      <c r="E22" s="34" t="s">
        <v>459</v>
      </c>
      <c r="F22" s="34" t="s">
        <v>459</v>
      </c>
      <c r="G22" s="31" t="s">
        <v>110</v>
      </c>
      <c r="H22" s="50" t="s">
        <v>461</v>
      </c>
      <c r="I22" s="42" t="s">
        <v>1798</v>
      </c>
      <c r="J22" s="42"/>
      <c r="K22" s="45" t="n">
        <f aca="false">IF(AND(E22="yes",F22="yes",H22="covered"),1,IF(AND(E22="yes",H22="partial"),0.5,0))</f>
        <v>1</v>
      </c>
    </row>
    <row r="23" customFormat="false" ht="30" hidden="false" customHeight="true" outlineLevel="0" collapsed="false">
      <c r="A23" s="31" t="n">
        <v>15</v>
      </c>
      <c r="B23" s="42" t="s">
        <v>1799</v>
      </c>
      <c r="C23" s="42" t="s">
        <v>476</v>
      </c>
      <c r="D23" s="42" t="s">
        <v>1800</v>
      </c>
      <c r="E23" s="34" t="s">
        <v>459</v>
      </c>
      <c r="F23" s="34" t="s">
        <v>459</v>
      </c>
      <c r="G23" s="31" t="s">
        <v>110</v>
      </c>
      <c r="H23" s="50" t="s">
        <v>461</v>
      </c>
      <c r="I23" s="42" t="s">
        <v>1801</v>
      </c>
      <c r="J23" s="42"/>
      <c r="K23" s="45" t="n">
        <f aca="false">IF(AND(E23="yes",F23="yes",H23="covered"),1,IF(AND(E23="yes",H23="partial"),0.5,0))</f>
        <v>1</v>
      </c>
    </row>
    <row r="24" customFormat="false" ht="30" hidden="false" customHeight="true" outlineLevel="0" collapsed="false">
      <c r="A24" s="31" t="n">
        <v>16</v>
      </c>
      <c r="B24" s="42" t="s">
        <v>1799</v>
      </c>
      <c r="C24" s="42" t="s">
        <v>476</v>
      </c>
      <c r="D24" s="42" t="s">
        <v>1802</v>
      </c>
      <c r="E24" s="34" t="s">
        <v>459</v>
      </c>
      <c r="F24" s="34" t="s">
        <v>459</v>
      </c>
      <c r="G24" s="31" t="s">
        <v>110</v>
      </c>
      <c r="H24" s="50" t="s">
        <v>461</v>
      </c>
      <c r="I24" s="42" t="s">
        <v>1803</v>
      </c>
      <c r="J24" s="42"/>
      <c r="K24" s="45" t="n">
        <f aca="false">IF(AND(E24="yes",F24="yes",H24="covered"),1,IF(AND(E24="yes",H24="partial"),0.5,0))</f>
        <v>1</v>
      </c>
    </row>
    <row r="25" customFormat="false" ht="30" hidden="false" customHeight="true" outlineLevel="0" collapsed="false">
      <c r="A25" s="31" t="n">
        <v>17</v>
      </c>
      <c r="B25" s="42" t="s">
        <v>488</v>
      </c>
      <c r="C25" s="42" t="s">
        <v>476</v>
      </c>
      <c r="D25" s="42" t="s">
        <v>1804</v>
      </c>
      <c r="E25" s="34" t="s">
        <v>459</v>
      </c>
      <c r="F25" s="34" t="s">
        <v>459</v>
      </c>
      <c r="G25" s="31" t="s">
        <v>110</v>
      </c>
      <c r="H25" s="50" t="s">
        <v>461</v>
      </c>
      <c r="I25" s="42" t="s">
        <v>1805</v>
      </c>
      <c r="J25" s="42"/>
      <c r="K25" s="45" t="n">
        <f aca="false">IF(AND(E25="yes",F25="yes",H25="covered"),1,IF(AND(E25="yes",H25="partial"),0.5,0))</f>
        <v>1</v>
      </c>
    </row>
    <row r="26" customFormat="false" ht="30" hidden="false" customHeight="true" outlineLevel="0" collapsed="false">
      <c r="A26" s="31" t="n">
        <v>18</v>
      </c>
      <c r="B26" s="42" t="s">
        <v>488</v>
      </c>
      <c r="C26" s="42" t="s">
        <v>476</v>
      </c>
      <c r="D26" s="42" t="s">
        <v>1806</v>
      </c>
      <c r="E26" s="34" t="s">
        <v>459</v>
      </c>
      <c r="F26" s="34" t="s">
        <v>459</v>
      </c>
      <c r="G26" s="31" t="s">
        <v>110</v>
      </c>
      <c r="H26" s="50" t="s">
        <v>461</v>
      </c>
      <c r="I26" s="42" t="s">
        <v>1807</v>
      </c>
      <c r="J26" s="42"/>
      <c r="K26" s="45" t="n">
        <f aca="false">IF(AND(E26="yes",F26="yes",H26="covered"),1,IF(AND(E26="yes",H26="partial"),0.5,0))</f>
        <v>1</v>
      </c>
    </row>
    <row r="27" customFormat="false" ht="30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1808</v>
      </c>
      <c r="E27" s="34" t="s">
        <v>459</v>
      </c>
      <c r="F27" s="34" t="s">
        <v>459</v>
      </c>
      <c r="G27" s="31" t="s">
        <v>110</v>
      </c>
      <c r="H27" s="50" t="s">
        <v>461</v>
      </c>
      <c r="I27" s="42" t="s">
        <v>1809</v>
      </c>
      <c r="J27" s="42"/>
      <c r="K27" s="45" t="n">
        <f aca="false">IF(AND(E27="yes",F27="yes",H27="covered"),1,IF(AND(E27="yes",H27="partial"),0.5,0))</f>
        <v>1</v>
      </c>
    </row>
    <row r="28" customFormat="false" ht="30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1810</v>
      </c>
      <c r="E28" s="34" t="s">
        <v>459</v>
      </c>
      <c r="F28" s="34" t="s">
        <v>459</v>
      </c>
      <c r="G28" s="31" t="s">
        <v>110</v>
      </c>
      <c r="H28" s="50" t="s">
        <v>461</v>
      </c>
      <c r="I28" s="42" t="s">
        <v>1811</v>
      </c>
      <c r="J28" s="42"/>
      <c r="K28" s="45" t="n">
        <f aca="false">IF(AND(E28="yes",F28="yes",H28="covered"),1,IF(AND(E28="yes",H28="partial"),0.5,0))</f>
        <v>1</v>
      </c>
    </row>
    <row r="29" customFormat="false" ht="30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1812</v>
      </c>
      <c r="E29" s="34" t="s">
        <v>459</v>
      </c>
      <c r="F29" s="34" t="s">
        <v>459</v>
      </c>
      <c r="G29" s="31" t="s">
        <v>110</v>
      </c>
      <c r="H29" s="50" t="s">
        <v>461</v>
      </c>
      <c r="I29" s="42" t="s">
        <v>1813</v>
      </c>
      <c r="J29" s="42"/>
      <c r="K29" s="45" t="n">
        <f aca="false">IF(AND(E29="yes",F29="yes",H29="covered"),1,IF(AND(E29="yes",H29="partial"),0.5,0))</f>
        <v>1</v>
      </c>
    </row>
    <row r="30" customFormat="false" ht="30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1814</v>
      </c>
      <c r="E30" s="34" t="s">
        <v>459</v>
      </c>
      <c r="F30" s="34" t="s">
        <v>459</v>
      </c>
      <c r="G30" s="31" t="s">
        <v>110</v>
      </c>
      <c r="H30" s="50" t="s">
        <v>461</v>
      </c>
      <c r="I30" s="42" t="s">
        <v>1815</v>
      </c>
      <c r="J30" s="42"/>
      <c r="K30" s="45" t="n">
        <f aca="false">IF(AND(E30="yes",F30="yes",H30="covered"),1,IF(AND(E30="yes",H30="partial"),0.5,0))</f>
        <v>1</v>
      </c>
    </row>
    <row r="31" customFormat="false" ht="30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1816</v>
      </c>
      <c r="E31" s="34" t="s">
        <v>459</v>
      </c>
      <c r="F31" s="34" t="s">
        <v>459</v>
      </c>
      <c r="G31" s="31" t="s">
        <v>110</v>
      </c>
      <c r="H31" s="50" t="s">
        <v>461</v>
      </c>
      <c r="I31" s="42" t="s">
        <v>1817</v>
      </c>
      <c r="J31" s="42"/>
      <c r="K31" s="45" t="n">
        <f aca="false">IF(AND(E31="yes",F31="yes",H31="covered"),1,IF(AND(E31="yes",H31="partial"),0.5,0))</f>
        <v>1</v>
      </c>
    </row>
    <row r="32" customFormat="false" ht="30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1818</v>
      </c>
      <c r="E32" s="34" t="s">
        <v>459</v>
      </c>
      <c r="F32" s="34" t="s">
        <v>459</v>
      </c>
      <c r="G32" s="31" t="s">
        <v>110</v>
      </c>
      <c r="H32" s="50" t="s">
        <v>461</v>
      </c>
      <c r="I32" s="42" t="s">
        <v>1819</v>
      </c>
      <c r="J32" s="42"/>
      <c r="K32" s="45" t="n">
        <f aca="false">IF(AND(E32="yes",F32="yes",H32="covered"),1,IF(AND(E32="yes",H32="partial"),0.5,0))</f>
        <v>1</v>
      </c>
    </row>
    <row r="33" customFormat="false" ht="30" hidden="false" customHeight="true" outlineLevel="0" collapsed="false">
      <c r="A33" s="31" t="n">
        <v>25</v>
      </c>
      <c r="B33" s="42" t="s">
        <v>483</v>
      </c>
      <c r="C33" s="42" t="s">
        <v>476</v>
      </c>
      <c r="D33" s="42" t="s">
        <v>1820</v>
      </c>
      <c r="E33" s="34" t="s">
        <v>459</v>
      </c>
      <c r="F33" s="34" t="s">
        <v>459</v>
      </c>
      <c r="G33" s="31" t="s">
        <v>110</v>
      </c>
      <c r="H33" s="50" t="s">
        <v>461</v>
      </c>
      <c r="I33" s="42" t="s">
        <v>1821</v>
      </c>
      <c r="J33" s="42"/>
      <c r="K33" s="45" t="n">
        <f aca="false">IF(AND(E33="yes",F33="yes",H33="covered"),1,IF(AND(E33="yes",H33="partial"),0.5,0))</f>
        <v>1</v>
      </c>
    </row>
    <row r="34" customFormat="false" ht="30" hidden="false" customHeight="true" outlineLevel="0" collapsed="false">
      <c r="A34" s="31" t="n">
        <v>26</v>
      </c>
      <c r="B34" s="42" t="s">
        <v>483</v>
      </c>
      <c r="C34" s="42" t="s">
        <v>476</v>
      </c>
      <c r="D34" s="42" t="s">
        <v>1822</v>
      </c>
      <c r="E34" s="34" t="s">
        <v>459</v>
      </c>
      <c r="F34" s="34" t="s">
        <v>459</v>
      </c>
      <c r="G34" s="31" t="s">
        <v>110</v>
      </c>
      <c r="H34" s="50" t="s">
        <v>461</v>
      </c>
      <c r="I34" s="42" t="s">
        <v>1823</v>
      </c>
      <c r="J34" s="42"/>
      <c r="K34" s="45" t="n">
        <f aca="false">IF(AND(E34="yes",F34="yes",H34="covered"),1,IF(AND(E34="yes",H34="partial"),0.5,0))</f>
        <v>1</v>
      </c>
    </row>
    <row r="35" customFormat="false" ht="30" hidden="false" customHeight="true" outlineLevel="0" collapsed="false">
      <c r="A35" s="31" t="n">
        <v>27</v>
      </c>
      <c r="B35" s="42" t="s">
        <v>483</v>
      </c>
      <c r="C35" s="42" t="s">
        <v>476</v>
      </c>
      <c r="D35" s="42" t="s">
        <v>1824</v>
      </c>
      <c r="E35" s="34" t="s">
        <v>459</v>
      </c>
      <c r="F35" s="34" t="s">
        <v>459</v>
      </c>
      <c r="G35" s="31" t="s">
        <v>110</v>
      </c>
      <c r="H35" s="50" t="s">
        <v>461</v>
      </c>
      <c r="I35" s="42" t="s">
        <v>1825</v>
      </c>
      <c r="J35" s="42"/>
      <c r="K35" s="45" t="n">
        <f aca="false">IF(AND(E35="yes",F35="yes",H35="covered"),1,IF(AND(E35="yes",H35="partial"),0.5,0))</f>
        <v>1</v>
      </c>
    </row>
    <row r="36" customFormat="false" ht="30" hidden="false" customHeight="true" outlineLevel="0" collapsed="false">
      <c r="A36" s="31" t="n">
        <v>28</v>
      </c>
      <c r="B36" s="42" t="s">
        <v>483</v>
      </c>
      <c r="C36" s="42" t="s">
        <v>476</v>
      </c>
      <c r="D36" s="42" t="s">
        <v>1826</v>
      </c>
      <c r="E36" s="34" t="s">
        <v>459</v>
      </c>
      <c r="F36" s="34" t="s">
        <v>459</v>
      </c>
      <c r="G36" s="31" t="s">
        <v>110</v>
      </c>
      <c r="H36" s="50" t="s">
        <v>461</v>
      </c>
      <c r="I36" s="42" t="s">
        <v>1827</v>
      </c>
      <c r="J36" s="42"/>
      <c r="K36" s="45" t="n">
        <f aca="false">IF(AND(E36="yes",F36="yes",H36="covered"),1,IF(AND(E36="yes",H36="partial"),0.5,0))</f>
        <v>1</v>
      </c>
    </row>
    <row r="37" customFormat="false" ht="30" hidden="false" customHeight="true" outlineLevel="0" collapsed="false">
      <c r="A37" s="31" t="n">
        <v>29</v>
      </c>
      <c r="B37" s="42" t="s">
        <v>483</v>
      </c>
      <c r="C37" s="42" t="s">
        <v>476</v>
      </c>
      <c r="D37" s="42" t="s">
        <v>1828</v>
      </c>
      <c r="E37" s="34" t="s">
        <v>459</v>
      </c>
      <c r="F37" s="34" t="s">
        <v>459</v>
      </c>
      <c r="G37" s="31" t="s">
        <v>110</v>
      </c>
      <c r="H37" s="50" t="s">
        <v>461</v>
      </c>
      <c r="I37" s="42" t="s">
        <v>1829</v>
      </c>
      <c r="J37" s="42"/>
      <c r="K37" s="45" t="n">
        <f aca="false">IF(AND(E37="yes",F37="yes",H37="covered"),1,IF(AND(E37="yes",H37="partial"),0.5,0))</f>
        <v>1</v>
      </c>
    </row>
    <row r="38" customFormat="false" ht="13.5" hidden="false" customHeight="true" outlineLevel="0" collapsed="false">
      <c r="A38" s="1" t="n">
        <v>30</v>
      </c>
      <c r="B38" s="1" t="s">
        <v>1612</v>
      </c>
      <c r="C38" s="1" t="s">
        <v>1613</v>
      </c>
      <c r="D38" s="1" t="s">
        <v>1830</v>
      </c>
      <c r="E38" s="1" t="s">
        <v>459</v>
      </c>
      <c r="F38" s="1" t="s">
        <v>459</v>
      </c>
      <c r="G38" s="1" t="s">
        <v>110</v>
      </c>
      <c r="H38" s="1" t="s">
        <v>461</v>
      </c>
      <c r="I38" s="1" t="s">
        <v>1831</v>
      </c>
      <c r="K38" s="1" t="n">
        <f aca="false">IF(AND(E38="yes",F38="yes",H38="covered"),1,IF(AND(E38="yes",H38="partial"),0.5,0))</f>
        <v>1</v>
      </c>
    </row>
    <row r="39" customFormat="false" ht="13.5" hidden="false" customHeight="true" outlineLevel="0" collapsed="false">
      <c r="A39" s="1" t="n">
        <v>31</v>
      </c>
      <c r="B39" s="1" t="s">
        <v>1612</v>
      </c>
      <c r="C39" s="1" t="s">
        <v>1617</v>
      </c>
      <c r="D39" s="1" t="s">
        <v>1832</v>
      </c>
      <c r="E39" s="1" t="s">
        <v>459</v>
      </c>
      <c r="F39" s="1" t="s">
        <v>459</v>
      </c>
      <c r="G39" s="1" t="s">
        <v>110</v>
      </c>
      <c r="H39" s="1" t="s">
        <v>461</v>
      </c>
      <c r="I39" s="1" t="s">
        <v>1833</v>
      </c>
      <c r="K39" s="1" t="n">
        <f aca="false">IF(AND(E39="yes",F39="yes",H39="covered"),1,IF(AND(E39="yes",H39="partial"),0.5,0))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1834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IFERROR(SUM(K9:K50)/COUNTA(A9:A50),0)</f>
        <v>1</v>
      </c>
      <c r="C4" s="28" t="s">
        <v>8</v>
      </c>
      <c r="D4" s="40" t="n">
        <f aca="false">COUNTIF(H9:H50,"covered")</f>
        <v>42</v>
      </c>
      <c r="E4" s="28" t="s">
        <v>9</v>
      </c>
      <c r="F4" s="40" t="n">
        <f aca="false">COUNTIF(H9:H50,"partial")</f>
        <v>0</v>
      </c>
      <c r="G4" s="28" t="s">
        <v>10</v>
      </c>
      <c r="H4" s="40" t="n">
        <f aca="false">COUNTIF(H9:H50,"missing")</f>
        <v>0</v>
      </c>
      <c r="I4" s="28" t="s">
        <v>11</v>
      </c>
      <c r="J4" s="40" t="n">
        <f aca="false">COUNTIF(F9:F50,"no")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34" t="s">
        <v>459</v>
      </c>
      <c r="G9" s="31" t="s">
        <v>110</v>
      </c>
      <c r="H9" s="50" t="s">
        <v>461</v>
      </c>
      <c r="I9" s="42" t="s">
        <v>1835</v>
      </c>
      <c r="J9" s="42"/>
      <c r="K9" s="45" t="n">
        <f aca="false">IF(AND(E9="yes",F9="yes",H9="covered"),1,IF(AND(E9="yes",H9="partial"),0.5,0))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34" t="s">
        <v>459</v>
      </c>
      <c r="G10" s="31" t="s">
        <v>110</v>
      </c>
      <c r="H10" s="50" t="s">
        <v>461</v>
      </c>
      <c r="I10" s="42" t="s">
        <v>1835</v>
      </c>
      <c r="J10" s="42"/>
      <c r="K10" s="45" t="n">
        <f aca="false">IF(AND(E10="yes",F10="yes",H10="covered"),1,IF(AND(E10="yes",H10="partial"),0.5,0))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43</v>
      </c>
      <c r="D11" s="42" t="s">
        <v>464</v>
      </c>
      <c r="E11" s="34" t="s">
        <v>459</v>
      </c>
      <c r="F11" s="34" t="s">
        <v>459</v>
      </c>
      <c r="G11" s="31" t="s">
        <v>110</v>
      </c>
      <c r="H11" s="50" t="s">
        <v>461</v>
      </c>
      <c r="I11" s="42" t="s">
        <v>1836</v>
      </c>
      <c r="J11" s="42"/>
      <c r="K11" s="45" t="n">
        <f aca="false">IF(AND(E11="yes",F11="yes",H11="covered"),1,IF(AND(E11="yes",H11="partial"),0.5,0))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43</v>
      </c>
      <c r="D12" s="42" t="s">
        <v>465</v>
      </c>
      <c r="E12" s="34" t="s">
        <v>459</v>
      </c>
      <c r="F12" s="34" t="s">
        <v>459</v>
      </c>
      <c r="G12" s="31" t="s">
        <v>110</v>
      </c>
      <c r="H12" s="50" t="s">
        <v>461</v>
      </c>
      <c r="I12" s="42" t="s">
        <v>1836</v>
      </c>
      <c r="J12" s="42"/>
      <c r="K12" s="45" t="n">
        <f aca="false">IF(AND(E12="yes",F12="yes",H12="covered"),1,IF(AND(E12="yes",H12="partial"),0.5,0))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43</v>
      </c>
      <c r="D13" s="42" t="s">
        <v>466</v>
      </c>
      <c r="E13" s="34" t="s">
        <v>459</v>
      </c>
      <c r="F13" s="34" t="s">
        <v>459</v>
      </c>
      <c r="G13" s="31" t="s">
        <v>110</v>
      </c>
      <c r="H13" s="50" t="s">
        <v>461</v>
      </c>
      <c r="I13" s="42" t="s">
        <v>1836</v>
      </c>
      <c r="J13" s="42"/>
      <c r="K13" s="45" t="n">
        <f aca="false">IF(AND(E13="yes",F13="yes",H13="covered"),1,IF(AND(E13="yes",H13="partial"),0.5,0))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43</v>
      </c>
      <c r="D14" s="42" t="s">
        <v>467</v>
      </c>
      <c r="E14" s="34" t="s">
        <v>459</v>
      </c>
      <c r="F14" s="34" t="s">
        <v>459</v>
      </c>
      <c r="G14" s="31" t="s">
        <v>110</v>
      </c>
      <c r="H14" s="50" t="s">
        <v>461</v>
      </c>
      <c r="I14" s="42" t="s">
        <v>1836</v>
      </c>
      <c r="J14" s="42"/>
      <c r="K14" s="45" t="n">
        <f aca="false">IF(AND(E14="yes",F14="yes",H14="covered"),1,IF(AND(E14="yes",H14="partial"),0.5,0))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43</v>
      </c>
      <c r="D15" s="42" t="s">
        <v>1837</v>
      </c>
      <c r="E15" s="34" t="s">
        <v>459</v>
      </c>
      <c r="F15" s="34" t="s">
        <v>459</v>
      </c>
      <c r="G15" s="31" t="s">
        <v>110</v>
      </c>
      <c r="H15" s="50" t="s">
        <v>461</v>
      </c>
      <c r="I15" s="42" t="s">
        <v>1836</v>
      </c>
      <c r="J15" s="42"/>
      <c r="K15" s="45" t="n">
        <f aca="false">IF(AND(E15="yes",F15="yes",H15="covered"),1,IF(AND(E15="yes",H15="partial"),0.5,0))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43</v>
      </c>
      <c r="D16" s="42" t="s">
        <v>1838</v>
      </c>
      <c r="E16" s="34" t="s">
        <v>459</v>
      </c>
      <c r="F16" s="34" t="s">
        <v>459</v>
      </c>
      <c r="G16" s="31" t="s">
        <v>110</v>
      </c>
      <c r="H16" s="50" t="s">
        <v>461</v>
      </c>
      <c r="I16" s="42" t="s">
        <v>1836</v>
      </c>
      <c r="J16" s="42"/>
      <c r="K16" s="45" t="n">
        <f aca="false">IF(AND(E16="yes",F16="yes",H16="covered"),1,IF(AND(E16="yes",H16="partial"),0.5,0))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43</v>
      </c>
      <c r="D17" s="42" t="s">
        <v>1839</v>
      </c>
      <c r="E17" s="34" t="s">
        <v>459</v>
      </c>
      <c r="F17" s="34" t="s">
        <v>459</v>
      </c>
      <c r="G17" s="31" t="s">
        <v>110</v>
      </c>
      <c r="H17" s="50" t="s">
        <v>461</v>
      </c>
      <c r="I17" s="42" t="s">
        <v>1836</v>
      </c>
      <c r="J17" s="42"/>
      <c r="K17" s="45" t="n">
        <f aca="false">IF(AND(E17="yes",F17="yes",H17="covered"),1,IF(AND(E17="yes",H17="partial"),0.5,0))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43</v>
      </c>
      <c r="D18" s="42" t="s">
        <v>1840</v>
      </c>
      <c r="E18" s="34" t="s">
        <v>459</v>
      </c>
      <c r="F18" s="34" t="s">
        <v>459</v>
      </c>
      <c r="G18" s="31" t="s">
        <v>110</v>
      </c>
      <c r="H18" s="50" t="s">
        <v>461</v>
      </c>
      <c r="I18" s="42" t="s">
        <v>1836</v>
      </c>
      <c r="J18" s="42"/>
      <c r="K18" s="45" t="n">
        <f aca="false">IF(AND(E18="yes",F18="yes",H18="covered"),1,IF(AND(E18="yes",H18="partial"),0.5,0))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43</v>
      </c>
      <c r="D19" s="42" t="s">
        <v>1841</v>
      </c>
      <c r="E19" s="34" t="s">
        <v>459</v>
      </c>
      <c r="F19" s="34" t="s">
        <v>459</v>
      </c>
      <c r="G19" s="31" t="s">
        <v>110</v>
      </c>
      <c r="H19" s="50" t="s">
        <v>461</v>
      </c>
      <c r="I19" s="42" t="s">
        <v>1836</v>
      </c>
      <c r="J19" s="42"/>
      <c r="K19" s="45" t="n">
        <f aca="false">IF(AND(E19="yes",F19="yes",H19="covered"),1,IF(AND(E19="yes",H19="partial"),0.5,0))</f>
        <v>1</v>
      </c>
    </row>
    <row r="20" customFormat="false" ht="1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477</v>
      </c>
      <c r="E20" s="34" t="s">
        <v>459</v>
      </c>
      <c r="F20" s="34" t="s">
        <v>459</v>
      </c>
      <c r="G20" s="31" t="s">
        <v>110</v>
      </c>
      <c r="H20" s="50" t="s">
        <v>461</v>
      </c>
      <c r="I20" s="42" t="s">
        <v>1836</v>
      </c>
      <c r="J20" s="42"/>
      <c r="K20" s="45" t="n">
        <f aca="false">IF(AND(E20="yes",F20="yes",H20="covered"),1,IF(AND(E20="yes",H20="partial"),0.5,0))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478</v>
      </c>
      <c r="E21" s="34" t="s">
        <v>459</v>
      </c>
      <c r="F21" s="34" t="s">
        <v>459</v>
      </c>
      <c r="G21" s="31" t="s">
        <v>110</v>
      </c>
      <c r="H21" s="50" t="s">
        <v>461</v>
      </c>
      <c r="I21" s="42" t="s">
        <v>1836</v>
      </c>
      <c r="J21" s="42"/>
      <c r="K21" s="45" t="n">
        <f aca="false">IF(AND(E21="yes",F21="yes",H21="covered"),1,IF(AND(E21="yes",H21="partial"),0.5,0))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480</v>
      </c>
      <c r="E22" s="34" t="s">
        <v>459</v>
      </c>
      <c r="F22" s="34" t="s">
        <v>459</v>
      </c>
      <c r="G22" s="31" t="s">
        <v>110</v>
      </c>
      <c r="H22" s="50" t="s">
        <v>461</v>
      </c>
      <c r="I22" s="42" t="s">
        <v>1836</v>
      </c>
      <c r="J22" s="42"/>
      <c r="K22" s="45" t="n">
        <f aca="false">IF(AND(E22="yes",F22="yes",H22="covered"),1,IF(AND(E22="yes",H22="partial"),0.5,0))</f>
        <v>1</v>
      </c>
    </row>
    <row r="23" customFormat="false" ht="1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481</v>
      </c>
      <c r="E23" s="34" t="s">
        <v>459</v>
      </c>
      <c r="F23" s="34" t="s">
        <v>459</v>
      </c>
      <c r="G23" s="31" t="s">
        <v>110</v>
      </c>
      <c r="H23" s="50" t="s">
        <v>461</v>
      </c>
      <c r="I23" s="42" t="s">
        <v>1836</v>
      </c>
      <c r="J23" s="42"/>
      <c r="K23" s="45" t="n">
        <f aca="false">IF(AND(E23="yes",F23="yes",H23="covered"),1,IF(AND(E23="yes",H23="partial"),0.5,0))</f>
        <v>1</v>
      </c>
    </row>
    <row r="24" customFormat="false" ht="15" hidden="false" customHeight="true" outlineLevel="0" collapsed="false">
      <c r="A24" s="31" t="n">
        <v>16</v>
      </c>
      <c r="B24" s="42" t="s">
        <v>457</v>
      </c>
      <c r="C24" s="42" t="s">
        <v>476</v>
      </c>
      <c r="D24" s="42" t="s">
        <v>482</v>
      </c>
      <c r="E24" s="34" t="s">
        <v>459</v>
      </c>
      <c r="F24" s="34" t="s">
        <v>459</v>
      </c>
      <c r="G24" s="31" t="s">
        <v>110</v>
      </c>
      <c r="H24" s="50" t="s">
        <v>461</v>
      </c>
      <c r="I24" s="42" t="s">
        <v>1836</v>
      </c>
      <c r="J24" s="42"/>
      <c r="K24" s="45" t="n">
        <f aca="false">IF(AND(E24="yes",F24="yes",H24="covered"),1,IF(AND(E24="yes",H24="partial"),0.5,0))</f>
        <v>1</v>
      </c>
    </row>
    <row r="25" customFormat="false" ht="15" hidden="false" customHeight="true" outlineLevel="0" collapsed="false">
      <c r="A25" s="31" t="n">
        <v>17</v>
      </c>
      <c r="B25" s="42" t="s">
        <v>774</v>
      </c>
      <c r="C25" s="42" t="s">
        <v>476</v>
      </c>
      <c r="D25" s="42" t="s">
        <v>775</v>
      </c>
      <c r="E25" s="34" t="s">
        <v>459</v>
      </c>
      <c r="F25" s="34" t="s">
        <v>459</v>
      </c>
      <c r="G25" s="31" t="s">
        <v>110</v>
      </c>
      <c r="H25" s="50" t="s">
        <v>461</v>
      </c>
      <c r="I25" s="42" t="s">
        <v>1836</v>
      </c>
      <c r="J25" s="42"/>
      <c r="K25" s="45" t="n">
        <f aca="false">IF(AND(E25="yes",F25="yes",H25="covered"),1,IF(AND(E25="yes",H25="partial"),0.5,0))</f>
        <v>1</v>
      </c>
    </row>
    <row r="26" customFormat="false" ht="15" hidden="false" customHeight="true" outlineLevel="0" collapsed="false">
      <c r="A26" s="31" t="n">
        <v>18</v>
      </c>
      <c r="B26" s="42" t="s">
        <v>486</v>
      </c>
      <c r="C26" s="42" t="s">
        <v>476</v>
      </c>
      <c r="D26" s="42" t="s">
        <v>1842</v>
      </c>
      <c r="E26" s="34" t="s">
        <v>459</v>
      </c>
      <c r="F26" s="34" t="s">
        <v>459</v>
      </c>
      <c r="G26" s="31" t="s">
        <v>110</v>
      </c>
      <c r="H26" s="50" t="s">
        <v>461</v>
      </c>
      <c r="I26" s="42" t="s">
        <v>1836</v>
      </c>
      <c r="J26" s="42"/>
      <c r="K26" s="45" t="n">
        <f aca="false">IF(AND(E26="yes",F26="yes",H26="covered"),1,IF(AND(E26="yes",H26="partial"),0.5,0))</f>
        <v>1</v>
      </c>
    </row>
    <row r="27" customFormat="false" ht="15" hidden="false" customHeight="true" outlineLevel="0" collapsed="false">
      <c r="A27" s="31" t="n">
        <v>19</v>
      </c>
      <c r="B27" s="42" t="s">
        <v>483</v>
      </c>
      <c r="C27" s="42" t="s">
        <v>476</v>
      </c>
      <c r="D27" s="42" t="s">
        <v>484</v>
      </c>
      <c r="E27" s="34" t="s">
        <v>459</v>
      </c>
      <c r="F27" s="34" t="s">
        <v>459</v>
      </c>
      <c r="G27" s="31" t="s">
        <v>110</v>
      </c>
      <c r="H27" s="50" t="s">
        <v>461</v>
      </c>
      <c r="I27" s="42" t="s">
        <v>1836</v>
      </c>
      <c r="J27" s="42"/>
      <c r="K27" s="45" t="n">
        <f aca="false">IF(AND(E27="yes",F27="yes",H27="covered"),1,IF(AND(E27="yes",H27="partial"),0.5,0))</f>
        <v>1</v>
      </c>
    </row>
    <row r="28" customFormat="false" ht="15" hidden="false" customHeight="true" outlineLevel="0" collapsed="false">
      <c r="A28" s="31" t="n">
        <v>20</v>
      </c>
      <c r="B28" s="42" t="s">
        <v>483</v>
      </c>
      <c r="C28" s="42" t="s">
        <v>476</v>
      </c>
      <c r="D28" s="42" t="s">
        <v>485</v>
      </c>
      <c r="E28" s="34" t="s">
        <v>459</v>
      </c>
      <c r="F28" s="34" t="s">
        <v>459</v>
      </c>
      <c r="G28" s="31" t="s">
        <v>110</v>
      </c>
      <c r="H28" s="50" t="s">
        <v>461</v>
      </c>
      <c r="I28" s="42" t="s">
        <v>1836</v>
      </c>
      <c r="J28" s="42"/>
      <c r="K28" s="45" t="n">
        <f aca="false">IF(AND(E28="yes",F28="yes",H28="covered"),1,IF(AND(E28="yes",H28="partial"),0.5,0))</f>
        <v>1</v>
      </c>
    </row>
    <row r="29" customFormat="false" ht="15" hidden="false" customHeight="true" outlineLevel="0" collapsed="false">
      <c r="A29" s="31" t="n">
        <v>21</v>
      </c>
      <c r="B29" s="42" t="s">
        <v>486</v>
      </c>
      <c r="C29" s="42" t="s">
        <v>476</v>
      </c>
      <c r="D29" s="42" t="s">
        <v>495</v>
      </c>
      <c r="E29" s="34" t="s">
        <v>459</v>
      </c>
      <c r="F29" s="34" t="s">
        <v>459</v>
      </c>
      <c r="G29" s="31" t="s">
        <v>110</v>
      </c>
      <c r="H29" s="50" t="s">
        <v>461</v>
      </c>
      <c r="I29" s="42" t="s">
        <v>1836</v>
      </c>
      <c r="J29" s="42"/>
      <c r="K29" s="45" t="n">
        <f aca="false">IF(AND(E29="yes",F29="yes",H29="covered"),1,IF(AND(E29="yes",H29="partial"),0.5,0))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1843</v>
      </c>
      <c r="E30" s="34" t="s">
        <v>459</v>
      </c>
      <c r="F30" s="34" t="s">
        <v>459</v>
      </c>
      <c r="G30" s="31" t="s">
        <v>110</v>
      </c>
      <c r="H30" s="50" t="s">
        <v>461</v>
      </c>
      <c r="I30" s="42" t="s">
        <v>1836</v>
      </c>
      <c r="J30" s="42"/>
      <c r="K30" s="45" t="n">
        <f aca="false">IF(AND(E30="yes",F30="yes",H30="covered"),1,IF(AND(E30="yes",H30="partial"),0.5,0))</f>
        <v>1</v>
      </c>
    </row>
    <row r="31" customFormat="false" ht="15" hidden="false" customHeight="true" outlineLevel="0" collapsed="false">
      <c r="A31" s="31" t="n">
        <v>23</v>
      </c>
      <c r="B31" s="42" t="s">
        <v>475</v>
      </c>
      <c r="C31" s="42" t="s">
        <v>502</v>
      </c>
      <c r="D31" s="42" t="s">
        <v>477</v>
      </c>
      <c r="E31" s="34" t="s">
        <v>459</v>
      </c>
      <c r="F31" s="34" t="s">
        <v>459</v>
      </c>
      <c r="G31" s="31" t="s">
        <v>110</v>
      </c>
      <c r="H31" s="50" t="s">
        <v>461</v>
      </c>
      <c r="I31" s="42" t="s">
        <v>1836</v>
      </c>
      <c r="J31" s="42"/>
      <c r="K31" s="45" t="n">
        <f aca="false">IF(AND(E31="yes",F31="yes",H31="covered"),1,IF(AND(E31="yes",H31="partial"),0.5,0))</f>
        <v>1</v>
      </c>
    </row>
    <row r="32" customFormat="false" ht="15" hidden="false" customHeight="true" outlineLevel="0" collapsed="false">
      <c r="A32" s="31" t="n">
        <v>24</v>
      </c>
      <c r="B32" s="42" t="s">
        <v>475</v>
      </c>
      <c r="C32" s="42" t="s">
        <v>502</v>
      </c>
      <c r="D32" s="42" t="s">
        <v>478</v>
      </c>
      <c r="E32" s="34" t="s">
        <v>459</v>
      </c>
      <c r="F32" s="34" t="s">
        <v>459</v>
      </c>
      <c r="G32" s="31" t="s">
        <v>110</v>
      </c>
      <c r="H32" s="50" t="s">
        <v>461</v>
      </c>
      <c r="I32" s="42" t="s">
        <v>1836</v>
      </c>
      <c r="J32" s="42"/>
      <c r="K32" s="45" t="n">
        <f aca="false">IF(AND(E32="yes",F32="yes",H32="covered"),1,IF(AND(E32="yes",H32="partial"),0.5,0))</f>
        <v>1</v>
      </c>
    </row>
    <row r="33" customFormat="false" ht="30" hidden="false" customHeight="true" outlineLevel="0" collapsed="false">
      <c r="A33" s="31" t="n">
        <v>25</v>
      </c>
      <c r="B33" s="42" t="s">
        <v>479</v>
      </c>
      <c r="C33" s="42" t="s">
        <v>502</v>
      </c>
      <c r="D33" s="42" t="s">
        <v>480</v>
      </c>
      <c r="E33" s="34" t="s">
        <v>459</v>
      </c>
      <c r="F33" s="34" t="s">
        <v>459</v>
      </c>
      <c r="G33" s="31" t="s">
        <v>110</v>
      </c>
      <c r="H33" s="50" t="s">
        <v>461</v>
      </c>
      <c r="I33" s="42" t="s">
        <v>1836</v>
      </c>
      <c r="J33" s="42"/>
      <c r="K33" s="45" t="n">
        <f aca="false">IF(AND(E33="yes",F33="yes",H33="covered"),1,IF(AND(E33="yes",H33="partial"),0.5,0))</f>
        <v>1</v>
      </c>
    </row>
    <row r="34" customFormat="false" ht="15" hidden="false" customHeight="true" outlineLevel="0" collapsed="false">
      <c r="A34" s="31" t="n">
        <v>26</v>
      </c>
      <c r="B34" s="42" t="s">
        <v>479</v>
      </c>
      <c r="C34" s="42" t="s">
        <v>502</v>
      </c>
      <c r="D34" s="42" t="s">
        <v>481</v>
      </c>
      <c r="E34" s="34" t="s">
        <v>459</v>
      </c>
      <c r="F34" s="34" t="s">
        <v>459</v>
      </c>
      <c r="G34" s="31" t="s">
        <v>110</v>
      </c>
      <c r="H34" s="50" t="s">
        <v>461</v>
      </c>
      <c r="I34" s="42" t="s">
        <v>1836</v>
      </c>
      <c r="J34" s="42"/>
      <c r="K34" s="45" t="n">
        <f aca="false">IF(AND(E34="yes",F34="yes",H34="covered"),1,IF(AND(E34="yes",H34="partial"),0.5,0))</f>
        <v>1</v>
      </c>
    </row>
    <row r="35" customFormat="false" ht="15" hidden="false" customHeight="true" outlineLevel="0" collapsed="false">
      <c r="A35" s="31" t="n">
        <v>27</v>
      </c>
      <c r="B35" s="42" t="s">
        <v>457</v>
      </c>
      <c r="C35" s="42" t="s">
        <v>502</v>
      </c>
      <c r="D35" s="42" t="s">
        <v>482</v>
      </c>
      <c r="E35" s="34" t="s">
        <v>459</v>
      </c>
      <c r="F35" s="34" t="s">
        <v>459</v>
      </c>
      <c r="G35" s="31" t="s">
        <v>110</v>
      </c>
      <c r="H35" s="50" t="s">
        <v>461</v>
      </c>
      <c r="I35" s="42" t="s">
        <v>1836</v>
      </c>
      <c r="J35" s="42"/>
      <c r="K35" s="45" t="n">
        <f aca="false">IF(AND(E35="yes",F35="yes",H35="covered"),1,IF(AND(E35="yes",H35="partial"),0.5,0))</f>
        <v>1</v>
      </c>
    </row>
    <row r="36" customFormat="false" ht="15" hidden="false" customHeight="true" outlineLevel="0" collapsed="false">
      <c r="A36" s="31" t="n">
        <v>28</v>
      </c>
      <c r="B36" s="42" t="s">
        <v>774</v>
      </c>
      <c r="C36" s="42" t="s">
        <v>502</v>
      </c>
      <c r="D36" s="42" t="s">
        <v>775</v>
      </c>
      <c r="E36" s="34" t="s">
        <v>459</v>
      </c>
      <c r="F36" s="34" t="s">
        <v>459</v>
      </c>
      <c r="G36" s="31" t="s">
        <v>110</v>
      </c>
      <c r="H36" s="50" t="s">
        <v>461</v>
      </c>
      <c r="I36" s="42" t="s">
        <v>1836</v>
      </c>
      <c r="J36" s="42"/>
      <c r="K36" s="45" t="n">
        <f aca="false">IF(AND(E36="yes",F36="yes",H36="covered"),1,IF(AND(E36="yes",H36="partial"),0.5,0))</f>
        <v>1</v>
      </c>
    </row>
    <row r="37" customFormat="false" ht="15" hidden="false" customHeight="true" outlineLevel="0" collapsed="false">
      <c r="A37" s="31" t="n">
        <v>29</v>
      </c>
      <c r="B37" s="42" t="s">
        <v>488</v>
      </c>
      <c r="C37" s="42" t="s">
        <v>502</v>
      </c>
      <c r="D37" s="42" t="s">
        <v>493</v>
      </c>
      <c r="E37" s="34" t="s">
        <v>459</v>
      </c>
      <c r="F37" s="34" t="s">
        <v>459</v>
      </c>
      <c r="G37" s="31" t="s">
        <v>110</v>
      </c>
      <c r="H37" s="50" t="s">
        <v>461</v>
      </c>
      <c r="I37" s="42" t="s">
        <v>1836</v>
      </c>
      <c r="J37" s="42"/>
      <c r="K37" s="45" t="n">
        <f aca="false">IF(AND(E37="yes",F37="yes",H37="covered"),1,IF(AND(E37="yes",H37="partial"),0.5,0))</f>
        <v>1</v>
      </c>
    </row>
    <row r="38" customFormat="false" ht="15" hidden="false" customHeight="true" outlineLevel="0" collapsed="false">
      <c r="A38" s="31" t="n">
        <v>30</v>
      </c>
      <c r="B38" s="42" t="s">
        <v>483</v>
      </c>
      <c r="C38" s="42" t="s">
        <v>502</v>
      </c>
      <c r="D38" s="42" t="s">
        <v>484</v>
      </c>
      <c r="E38" s="34" t="s">
        <v>459</v>
      </c>
      <c r="F38" s="34" t="s">
        <v>459</v>
      </c>
      <c r="G38" s="31" t="s">
        <v>110</v>
      </c>
      <c r="H38" s="50" t="s">
        <v>461</v>
      </c>
      <c r="I38" s="42" t="s">
        <v>1836</v>
      </c>
      <c r="J38" s="42"/>
      <c r="K38" s="45" t="n">
        <f aca="false">IF(AND(E38="yes",F38="yes",H38="covered"),1,IF(AND(E38="yes",H38="partial"),0.5,0))</f>
        <v>1</v>
      </c>
    </row>
    <row r="39" customFormat="false" ht="15" hidden="false" customHeight="true" outlineLevel="0" collapsed="false">
      <c r="A39" s="31" t="n">
        <v>31</v>
      </c>
      <c r="B39" s="42" t="s">
        <v>483</v>
      </c>
      <c r="C39" s="42" t="s">
        <v>502</v>
      </c>
      <c r="D39" s="42" t="s">
        <v>485</v>
      </c>
      <c r="E39" s="34" t="s">
        <v>459</v>
      </c>
      <c r="F39" s="34" t="s">
        <v>459</v>
      </c>
      <c r="G39" s="31" t="s">
        <v>110</v>
      </c>
      <c r="H39" s="50" t="s">
        <v>461</v>
      </c>
      <c r="I39" s="42" t="s">
        <v>1836</v>
      </c>
      <c r="J39" s="42"/>
      <c r="K39" s="45" t="n">
        <f aca="false">IF(AND(E39="yes",F39="yes",H39="covered"),1,IF(AND(E39="yes",H39="partial"),0.5,0))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502</v>
      </c>
      <c r="D40" s="42" t="s">
        <v>495</v>
      </c>
      <c r="E40" s="34" t="s">
        <v>459</v>
      </c>
      <c r="F40" s="34" t="s">
        <v>459</v>
      </c>
      <c r="G40" s="31" t="s">
        <v>110</v>
      </c>
      <c r="H40" s="50" t="s">
        <v>461</v>
      </c>
      <c r="I40" s="42" t="s">
        <v>1836</v>
      </c>
      <c r="J40" s="42"/>
      <c r="K40" s="45" t="n">
        <f aca="false">IF(AND(E40="yes",F40="yes",H40="covered"),1,IF(AND(E40="yes",H40="partial"),0.5,0))</f>
        <v>1</v>
      </c>
    </row>
    <row r="41" customFormat="false" ht="15" hidden="false" customHeight="true" outlineLevel="0" collapsed="false">
      <c r="A41" s="31" t="n">
        <v>33</v>
      </c>
      <c r="B41" s="42" t="s">
        <v>488</v>
      </c>
      <c r="C41" s="42" t="s">
        <v>502</v>
      </c>
      <c r="D41" s="42" t="s">
        <v>497</v>
      </c>
      <c r="E41" s="34" t="s">
        <v>459</v>
      </c>
      <c r="F41" s="34" t="s">
        <v>459</v>
      </c>
      <c r="G41" s="31" t="s">
        <v>110</v>
      </c>
      <c r="H41" s="50" t="s">
        <v>461</v>
      </c>
      <c r="I41" s="42" t="s">
        <v>1836</v>
      </c>
      <c r="J41" s="42"/>
      <c r="K41" s="45" t="n">
        <f aca="false">IF(AND(E41="yes",F41="yes",H41="covered"),1,IF(AND(E41="yes",H41="partial"),0.5,0))</f>
        <v>1</v>
      </c>
    </row>
    <row r="42" customFormat="false" ht="15" hidden="false" customHeight="true" outlineLevel="0" collapsed="false">
      <c r="A42" s="31" t="n">
        <v>34</v>
      </c>
      <c r="B42" s="42" t="s">
        <v>505</v>
      </c>
      <c r="C42" s="42" t="s">
        <v>506</v>
      </c>
      <c r="D42" s="42" t="s">
        <v>508</v>
      </c>
      <c r="E42" s="34" t="s">
        <v>459</v>
      </c>
      <c r="F42" s="34" t="s">
        <v>459</v>
      </c>
      <c r="G42" s="31" t="s">
        <v>110</v>
      </c>
      <c r="H42" s="50" t="s">
        <v>461</v>
      </c>
      <c r="I42" s="42" t="s">
        <v>1836</v>
      </c>
      <c r="J42" s="42"/>
      <c r="K42" s="45" t="n">
        <f aca="false">IF(AND(E42="yes",F42="yes",H42="covered"),1,IF(AND(E42="yes",H42="partial"),0.5,0))</f>
        <v>1</v>
      </c>
    </row>
    <row r="43" customFormat="false" ht="15" hidden="false" customHeight="true" outlineLevel="0" collapsed="false">
      <c r="A43" s="31" t="n">
        <v>35</v>
      </c>
      <c r="B43" s="42" t="s">
        <v>511</v>
      </c>
      <c r="C43" s="42" t="s">
        <v>506</v>
      </c>
      <c r="D43" s="42" t="s">
        <v>512</v>
      </c>
      <c r="E43" s="34" t="s">
        <v>459</v>
      </c>
      <c r="F43" s="34" t="s">
        <v>459</v>
      </c>
      <c r="G43" s="31" t="s">
        <v>110</v>
      </c>
      <c r="H43" s="50" t="s">
        <v>461</v>
      </c>
      <c r="I43" s="42" t="s">
        <v>1836</v>
      </c>
      <c r="J43" s="42"/>
      <c r="K43" s="45" t="n">
        <f aca="false">IF(AND(E43="yes",F43="yes",H43="covered"),1,IF(AND(E43="yes",H43="partial"),0.5,0))</f>
        <v>1</v>
      </c>
    </row>
    <row r="44" customFormat="false" ht="15" hidden="false" customHeight="true" outlineLevel="0" collapsed="false">
      <c r="A44" s="31" t="n">
        <v>36</v>
      </c>
      <c r="B44" s="42" t="s">
        <v>511</v>
      </c>
      <c r="C44" s="42" t="s">
        <v>506</v>
      </c>
      <c r="D44" s="42" t="s">
        <v>1844</v>
      </c>
      <c r="E44" s="34" t="s">
        <v>459</v>
      </c>
      <c r="F44" s="34" t="s">
        <v>459</v>
      </c>
      <c r="G44" s="31" t="s">
        <v>110</v>
      </c>
      <c r="H44" s="50" t="s">
        <v>461</v>
      </c>
      <c r="I44" s="42" t="s">
        <v>1836</v>
      </c>
      <c r="J44" s="42"/>
      <c r="K44" s="45" t="n">
        <f aca="false">IF(AND(E44="yes",F44="yes",H44="covered"),1,IF(AND(E44="yes",H44="partial"),0.5,0))</f>
        <v>1</v>
      </c>
    </row>
    <row r="45" customFormat="false" ht="15" hidden="false" customHeight="true" outlineLevel="0" collapsed="false">
      <c r="A45" s="31" t="n">
        <v>37</v>
      </c>
      <c r="B45" s="42" t="s">
        <v>511</v>
      </c>
      <c r="C45" s="42" t="s">
        <v>506</v>
      </c>
      <c r="D45" s="42" t="s">
        <v>514</v>
      </c>
      <c r="E45" s="34" t="s">
        <v>459</v>
      </c>
      <c r="F45" s="34" t="s">
        <v>459</v>
      </c>
      <c r="G45" s="31" t="s">
        <v>110</v>
      </c>
      <c r="H45" s="50" t="s">
        <v>461</v>
      </c>
      <c r="I45" s="42" t="s">
        <v>1836</v>
      </c>
      <c r="J45" s="42"/>
      <c r="K45" s="45" t="n">
        <f aca="false">IF(AND(E45="yes",F45="yes",H45="covered"),1,IF(AND(E45="yes",H45="partial"),0.5,0))</f>
        <v>1</v>
      </c>
    </row>
    <row r="46" customFormat="false" ht="15" hidden="false" customHeight="true" outlineLevel="0" collapsed="false">
      <c r="A46" s="31" t="n">
        <v>38</v>
      </c>
      <c r="B46" s="42" t="s">
        <v>483</v>
      </c>
      <c r="C46" s="42" t="s">
        <v>43</v>
      </c>
      <c r="D46" s="42" t="s">
        <v>516</v>
      </c>
      <c r="E46" s="34" t="s">
        <v>459</v>
      </c>
      <c r="F46" s="34" t="s">
        <v>459</v>
      </c>
      <c r="G46" s="31" t="s">
        <v>110</v>
      </c>
      <c r="H46" s="50" t="s">
        <v>461</v>
      </c>
      <c r="I46" s="42" t="s">
        <v>1836</v>
      </c>
      <c r="J46" s="42"/>
      <c r="K46" s="45" t="n">
        <f aca="false">IF(AND(E46="yes",F46="yes",H46="covered"),1,IF(AND(E46="yes",H46="partial"),0.5,0))</f>
        <v>1</v>
      </c>
    </row>
    <row r="47" customFormat="false" ht="15" hidden="false" customHeight="true" outlineLevel="0" collapsed="false">
      <c r="A47" s="31" t="n">
        <v>39</v>
      </c>
      <c r="B47" s="42" t="s">
        <v>483</v>
      </c>
      <c r="C47" s="42" t="s">
        <v>43</v>
      </c>
      <c r="D47" s="42" t="s">
        <v>517</v>
      </c>
      <c r="E47" s="34" t="s">
        <v>459</v>
      </c>
      <c r="F47" s="34" t="s">
        <v>459</v>
      </c>
      <c r="G47" s="31" t="s">
        <v>110</v>
      </c>
      <c r="H47" s="50" t="s">
        <v>461</v>
      </c>
      <c r="I47" s="42" t="s">
        <v>1836</v>
      </c>
      <c r="J47" s="42"/>
      <c r="K47" s="45" t="n">
        <f aca="false">IF(AND(E47="yes",F47="yes",H47="covered"),1,IF(AND(E47="yes",H47="partial"),0.5,0))</f>
        <v>1</v>
      </c>
    </row>
    <row r="48" customFormat="false" ht="15" hidden="false" customHeight="true" outlineLevel="0" collapsed="false">
      <c r="A48" s="31" t="n">
        <v>40</v>
      </c>
      <c r="B48" s="42" t="s">
        <v>483</v>
      </c>
      <c r="C48" s="42" t="s">
        <v>43</v>
      </c>
      <c r="D48" s="42" t="s">
        <v>519</v>
      </c>
      <c r="E48" s="34" t="s">
        <v>459</v>
      </c>
      <c r="F48" s="34" t="s">
        <v>459</v>
      </c>
      <c r="G48" s="31" t="s">
        <v>110</v>
      </c>
      <c r="H48" s="50" t="s">
        <v>461</v>
      </c>
      <c r="I48" s="42" t="s">
        <v>1836</v>
      </c>
      <c r="J48" s="42"/>
      <c r="K48" s="45" t="n">
        <f aca="false">IF(AND(E48="yes",F48="yes",H48="covered"),1,IF(AND(E48="yes",H48="partial"),0.5,0))</f>
        <v>1</v>
      </c>
    </row>
    <row r="49" customFormat="false" ht="15" hidden="false" customHeight="true" outlineLevel="0" collapsed="false">
      <c r="A49" s="31" t="n">
        <v>41</v>
      </c>
      <c r="B49" s="42" t="s">
        <v>483</v>
      </c>
      <c r="C49" s="42" t="s">
        <v>43</v>
      </c>
      <c r="D49" s="42" t="s">
        <v>520</v>
      </c>
      <c r="E49" s="34" t="s">
        <v>459</v>
      </c>
      <c r="F49" s="34" t="s">
        <v>459</v>
      </c>
      <c r="G49" s="31" t="s">
        <v>110</v>
      </c>
      <c r="H49" s="50" t="s">
        <v>461</v>
      </c>
      <c r="I49" s="42" t="s">
        <v>1836</v>
      </c>
      <c r="J49" s="42"/>
      <c r="K49" s="45" t="n">
        <f aca="false">IF(AND(E49="yes",F49="yes",H49="covered"),1,IF(AND(E49="yes",H49="partial"),0.5,0))</f>
        <v>1</v>
      </c>
    </row>
    <row r="50" customFormat="false" ht="15" hidden="false" customHeight="true" outlineLevel="0" collapsed="false">
      <c r="A50" s="31" t="n">
        <v>42</v>
      </c>
      <c r="B50" s="42" t="s">
        <v>531</v>
      </c>
      <c r="C50" s="42" t="s">
        <v>43</v>
      </c>
      <c r="D50" s="42" t="s">
        <v>536</v>
      </c>
      <c r="E50" s="34" t="s">
        <v>459</v>
      </c>
      <c r="F50" s="34" t="s">
        <v>459</v>
      </c>
      <c r="G50" s="31" t="s">
        <v>110</v>
      </c>
      <c r="H50" s="50" t="s">
        <v>461</v>
      </c>
      <c r="I50" s="42" t="s">
        <v>1836</v>
      </c>
      <c r="J50" s="42"/>
      <c r="K50" s="45" t="n">
        <f aca="false">IF(AND(E50="yes",F50="yes",H50="covered"),1,IF(AND(E50="yes",H50="partial"),0.5,0))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1845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120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110</v>
      </c>
      <c r="H9" s="44" t="s">
        <v>461</v>
      </c>
      <c r="I9" s="42" t="s">
        <v>1846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110</v>
      </c>
      <c r="H10" s="44" t="s">
        <v>461</v>
      </c>
      <c r="I10" s="42" t="s">
        <v>1846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44</v>
      </c>
      <c r="D11" s="42" t="s">
        <v>464</v>
      </c>
      <c r="E11" s="34" t="s">
        <v>459</v>
      </c>
      <c r="F11" s="43" t="s">
        <v>459</v>
      </c>
      <c r="G11" s="31" t="s">
        <v>110</v>
      </c>
      <c r="H11" s="44" t="s">
        <v>461</v>
      </c>
      <c r="I11" s="42" t="s">
        <v>1846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44</v>
      </c>
      <c r="D12" s="42" t="s">
        <v>465</v>
      </c>
      <c r="E12" s="34" t="s">
        <v>459</v>
      </c>
      <c r="F12" s="43" t="s">
        <v>459</v>
      </c>
      <c r="G12" s="31" t="s">
        <v>110</v>
      </c>
      <c r="H12" s="44" t="s">
        <v>461</v>
      </c>
      <c r="I12" s="42" t="s">
        <v>1846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44</v>
      </c>
      <c r="D13" s="42" t="s">
        <v>466</v>
      </c>
      <c r="E13" s="34" t="s">
        <v>459</v>
      </c>
      <c r="F13" s="43" t="s">
        <v>459</v>
      </c>
      <c r="G13" s="31" t="s">
        <v>110</v>
      </c>
      <c r="H13" s="44" t="s">
        <v>461</v>
      </c>
      <c r="I13" s="42" t="s">
        <v>1846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44</v>
      </c>
      <c r="D14" s="42" t="s">
        <v>467</v>
      </c>
      <c r="E14" s="34" t="s">
        <v>459</v>
      </c>
      <c r="F14" s="43" t="s">
        <v>459</v>
      </c>
      <c r="G14" s="31" t="s">
        <v>110</v>
      </c>
      <c r="H14" s="44" t="s">
        <v>461</v>
      </c>
      <c r="I14" s="42" t="s">
        <v>1846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44</v>
      </c>
      <c r="D15" s="42" t="s">
        <v>1847</v>
      </c>
      <c r="E15" s="34" t="s">
        <v>459</v>
      </c>
      <c r="F15" s="43" t="s">
        <v>459</v>
      </c>
      <c r="G15" s="31" t="s">
        <v>110</v>
      </c>
      <c r="H15" s="44" t="s">
        <v>461</v>
      </c>
      <c r="I15" s="42" t="s">
        <v>1846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44</v>
      </c>
      <c r="D16" s="42" t="s">
        <v>1848</v>
      </c>
      <c r="E16" s="34" t="s">
        <v>459</v>
      </c>
      <c r="F16" s="43" t="s">
        <v>459</v>
      </c>
      <c r="G16" s="31" t="s">
        <v>110</v>
      </c>
      <c r="H16" s="44" t="s">
        <v>461</v>
      </c>
      <c r="I16" s="42" t="s">
        <v>1846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44</v>
      </c>
      <c r="D17" s="42" t="s">
        <v>1849</v>
      </c>
      <c r="E17" s="34" t="s">
        <v>459</v>
      </c>
      <c r="F17" s="43" t="s">
        <v>459</v>
      </c>
      <c r="G17" s="31" t="s">
        <v>110</v>
      </c>
      <c r="H17" s="44" t="s">
        <v>461</v>
      </c>
      <c r="I17" s="42" t="s">
        <v>1846</v>
      </c>
      <c r="J17" s="42"/>
      <c r="K17" s="45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44</v>
      </c>
      <c r="D18" s="42" t="s">
        <v>1850</v>
      </c>
      <c r="E18" s="34" t="s">
        <v>459</v>
      </c>
      <c r="F18" s="43" t="s">
        <v>459</v>
      </c>
      <c r="G18" s="31" t="s">
        <v>110</v>
      </c>
      <c r="H18" s="44" t="s">
        <v>461</v>
      </c>
      <c r="I18" s="42" t="s">
        <v>1846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44</v>
      </c>
      <c r="D19" s="42" t="s">
        <v>1851</v>
      </c>
      <c r="E19" s="34" t="s">
        <v>459</v>
      </c>
      <c r="F19" s="43" t="s">
        <v>459</v>
      </c>
      <c r="G19" s="31" t="s">
        <v>110</v>
      </c>
      <c r="H19" s="44" t="s">
        <v>461</v>
      </c>
      <c r="I19" s="42" t="s">
        <v>1846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44</v>
      </c>
      <c r="D20" s="42" t="s">
        <v>1852</v>
      </c>
      <c r="E20" s="34" t="s">
        <v>459</v>
      </c>
      <c r="F20" s="43" t="s">
        <v>459</v>
      </c>
      <c r="G20" s="31" t="s">
        <v>110</v>
      </c>
      <c r="H20" s="44" t="s">
        <v>461</v>
      </c>
      <c r="I20" s="42" t="s">
        <v>1846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110</v>
      </c>
      <c r="H21" s="44" t="s">
        <v>461</v>
      </c>
      <c r="I21" s="42" t="s">
        <v>1846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110</v>
      </c>
      <c r="H22" s="44" t="s">
        <v>461</v>
      </c>
      <c r="I22" s="42" t="s">
        <v>1846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110</v>
      </c>
      <c r="H23" s="44" t="s">
        <v>461</v>
      </c>
      <c r="I23" s="42" t="s">
        <v>1846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110</v>
      </c>
      <c r="H24" s="44" t="s">
        <v>461</v>
      </c>
      <c r="I24" s="42" t="s">
        <v>1846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110</v>
      </c>
      <c r="H25" s="44" t="s">
        <v>461</v>
      </c>
      <c r="I25" s="42" t="s">
        <v>1846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110</v>
      </c>
      <c r="H26" s="44" t="s">
        <v>461</v>
      </c>
      <c r="I26" s="42" t="s">
        <v>1846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489</v>
      </c>
      <c r="E27" s="34" t="s">
        <v>459</v>
      </c>
      <c r="F27" s="43" t="s">
        <v>459</v>
      </c>
      <c r="G27" s="31" t="s">
        <v>110</v>
      </c>
      <c r="H27" s="44" t="s">
        <v>461</v>
      </c>
      <c r="I27" s="42" t="s">
        <v>1846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490</v>
      </c>
      <c r="E28" s="34" t="s">
        <v>459</v>
      </c>
      <c r="F28" s="43" t="s">
        <v>459</v>
      </c>
      <c r="G28" s="31" t="s">
        <v>110</v>
      </c>
      <c r="H28" s="44" t="s">
        <v>461</v>
      </c>
      <c r="I28" s="42" t="s">
        <v>1846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491</v>
      </c>
      <c r="E29" s="34" t="s">
        <v>459</v>
      </c>
      <c r="F29" s="43" t="s">
        <v>459</v>
      </c>
      <c r="G29" s="31" t="s">
        <v>110</v>
      </c>
      <c r="H29" s="44" t="s">
        <v>461</v>
      </c>
      <c r="I29" s="42" t="s">
        <v>1846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1657</v>
      </c>
      <c r="E30" s="34" t="s">
        <v>459</v>
      </c>
      <c r="F30" s="43" t="s">
        <v>459</v>
      </c>
      <c r="G30" s="31" t="s">
        <v>110</v>
      </c>
      <c r="H30" s="44" t="s">
        <v>461</v>
      </c>
      <c r="I30" s="42" t="s">
        <v>1846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493</v>
      </c>
      <c r="E31" s="34" t="s">
        <v>459</v>
      </c>
      <c r="F31" s="43" t="s">
        <v>459</v>
      </c>
      <c r="G31" s="31" t="s">
        <v>110</v>
      </c>
      <c r="H31" s="44" t="s">
        <v>461</v>
      </c>
      <c r="I31" s="42" t="s">
        <v>1846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951</v>
      </c>
      <c r="E32" s="34" t="s">
        <v>459</v>
      </c>
      <c r="F32" s="43" t="s">
        <v>459</v>
      </c>
      <c r="G32" s="31" t="s">
        <v>110</v>
      </c>
      <c r="H32" s="44" t="s">
        <v>461</v>
      </c>
      <c r="I32" s="42" t="s">
        <v>1846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488</v>
      </c>
      <c r="C33" s="42" t="s">
        <v>476</v>
      </c>
      <c r="D33" s="42" t="s">
        <v>953</v>
      </c>
      <c r="E33" s="34" t="s">
        <v>459</v>
      </c>
      <c r="F33" s="43" t="s">
        <v>459</v>
      </c>
      <c r="G33" s="31" t="s">
        <v>110</v>
      </c>
      <c r="H33" s="44" t="s">
        <v>461</v>
      </c>
      <c r="I33" s="42" t="s">
        <v>1846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488</v>
      </c>
      <c r="C34" s="42" t="s">
        <v>476</v>
      </c>
      <c r="D34" s="42" t="s">
        <v>952</v>
      </c>
      <c r="E34" s="34" t="s">
        <v>459</v>
      </c>
      <c r="F34" s="43" t="s">
        <v>459</v>
      </c>
      <c r="G34" s="31" t="s">
        <v>110</v>
      </c>
      <c r="H34" s="44" t="s">
        <v>461</v>
      </c>
      <c r="I34" s="42" t="s">
        <v>1846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494</v>
      </c>
      <c r="E35" s="34" t="s">
        <v>459</v>
      </c>
      <c r="F35" s="43" t="s">
        <v>459</v>
      </c>
      <c r="G35" s="31" t="s">
        <v>110</v>
      </c>
      <c r="H35" s="44" t="s">
        <v>461</v>
      </c>
      <c r="I35" s="42" t="s">
        <v>1846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1291</v>
      </c>
      <c r="E36" s="34" t="s">
        <v>459</v>
      </c>
      <c r="F36" s="43" t="s">
        <v>459</v>
      </c>
      <c r="G36" s="31" t="s">
        <v>110</v>
      </c>
      <c r="H36" s="44" t="s">
        <v>461</v>
      </c>
      <c r="I36" s="42" t="s">
        <v>1846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486</v>
      </c>
      <c r="C37" s="42" t="s">
        <v>476</v>
      </c>
      <c r="D37" s="42" t="s">
        <v>954</v>
      </c>
      <c r="E37" s="34" t="s">
        <v>459</v>
      </c>
      <c r="F37" s="43" t="s">
        <v>459</v>
      </c>
      <c r="G37" s="31" t="s">
        <v>110</v>
      </c>
      <c r="H37" s="44" t="s">
        <v>461</v>
      </c>
      <c r="I37" s="42" t="s">
        <v>1846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476</v>
      </c>
      <c r="D38" s="42" t="s">
        <v>955</v>
      </c>
      <c r="E38" s="34" t="s">
        <v>459</v>
      </c>
      <c r="F38" s="43" t="s">
        <v>459</v>
      </c>
      <c r="G38" s="31" t="s">
        <v>110</v>
      </c>
      <c r="H38" s="44" t="s">
        <v>461</v>
      </c>
      <c r="I38" s="42" t="s">
        <v>1846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483</v>
      </c>
      <c r="C39" s="42" t="s">
        <v>476</v>
      </c>
      <c r="D39" s="42" t="s">
        <v>484</v>
      </c>
      <c r="E39" s="34" t="s">
        <v>459</v>
      </c>
      <c r="F39" s="43" t="s">
        <v>459</v>
      </c>
      <c r="G39" s="31" t="s">
        <v>110</v>
      </c>
      <c r="H39" s="44" t="s">
        <v>461</v>
      </c>
      <c r="I39" s="42" t="s">
        <v>1846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483</v>
      </c>
      <c r="C40" s="42" t="s">
        <v>476</v>
      </c>
      <c r="D40" s="42" t="s">
        <v>485</v>
      </c>
      <c r="E40" s="34" t="s">
        <v>459</v>
      </c>
      <c r="F40" s="43" t="s">
        <v>459</v>
      </c>
      <c r="G40" s="31" t="s">
        <v>110</v>
      </c>
      <c r="H40" s="44" t="s">
        <v>461</v>
      </c>
      <c r="I40" s="42" t="s">
        <v>1846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486</v>
      </c>
      <c r="C41" s="42" t="s">
        <v>476</v>
      </c>
      <c r="D41" s="42" t="s">
        <v>495</v>
      </c>
      <c r="E41" s="34" t="s">
        <v>459</v>
      </c>
      <c r="F41" s="43" t="s">
        <v>459</v>
      </c>
      <c r="G41" s="31" t="s">
        <v>110</v>
      </c>
      <c r="H41" s="44" t="s">
        <v>461</v>
      </c>
      <c r="I41" s="42" t="s">
        <v>1846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486</v>
      </c>
      <c r="C42" s="42" t="s">
        <v>476</v>
      </c>
      <c r="D42" s="42" t="s">
        <v>496</v>
      </c>
      <c r="E42" s="34" t="s">
        <v>459</v>
      </c>
      <c r="F42" s="43" t="s">
        <v>459</v>
      </c>
      <c r="G42" s="31" t="s">
        <v>110</v>
      </c>
      <c r="H42" s="44" t="s">
        <v>461</v>
      </c>
      <c r="I42" s="42" t="s">
        <v>1846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486</v>
      </c>
      <c r="C43" s="42" t="s">
        <v>476</v>
      </c>
      <c r="D43" s="42" t="s">
        <v>1853</v>
      </c>
      <c r="E43" s="34" t="s">
        <v>459</v>
      </c>
      <c r="F43" s="43" t="s">
        <v>459</v>
      </c>
      <c r="G43" s="31" t="s">
        <v>110</v>
      </c>
      <c r="H43" s="44" t="s">
        <v>461</v>
      </c>
      <c r="I43" s="42" t="s">
        <v>1846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486</v>
      </c>
      <c r="C44" s="42" t="s">
        <v>476</v>
      </c>
      <c r="D44" s="42" t="s">
        <v>1065</v>
      </c>
      <c r="E44" s="34" t="s">
        <v>459</v>
      </c>
      <c r="F44" s="43" t="s">
        <v>459</v>
      </c>
      <c r="G44" s="31" t="s">
        <v>110</v>
      </c>
      <c r="H44" s="44" t="s">
        <v>461</v>
      </c>
      <c r="I44" s="42" t="s">
        <v>1846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488</v>
      </c>
      <c r="C45" s="42" t="s">
        <v>476</v>
      </c>
      <c r="D45" s="42" t="s">
        <v>497</v>
      </c>
      <c r="E45" s="34" t="s">
        <v>459</v>
      </c>
      <c r="F45" s="43" t="s">
        <v>459</v>
      </c>
      <c r="G45" s="31" t="s">
        <v>110</v>
      </c>
      <c r="H45" s="44" t="s">
        <v>461</v>
      </c>
      <c r="I45" s="42" t="s">
        <v>1846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488</v>
      </c>
      <c r="C46" s="42" t="s">
        <v>476</v>
      </c>
      <c r="D46" s="42" t="s">
        <v>957</v>
      </c>
      <c r="E46" s="34" t="s">
        <v>459</v>
      </c>
      <c r="F46" s="43" t="s">
        <v>459</v>
      </c>
      <c r="G46" s="31" t="s">
        <v>110</v>
      </c>
      <c r="H46" s="44" t="s">
        <v>461</v>
      </c>
      <c r="I46" s="42" t="s">
        <v>1846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488</v>
      </c>
      <c r="C47" s="42" t="s">
        <v>476</v>
      </c>
      <c r="D47" s="42" t="s">
        <v>958</v>
      </c>
      <c r="E47" s="34" t="s">
        <v>459</v>
      </c>
      <c r="F47" s="43" t="s">
        <v>459</v>
      </c>
      <c r="G47" s="31" t="s">
        <v>110</v>
      </c>
      <c r="H47" s="44" t="s">
        <v>461</v>
      </c>
      <c r="I47" s="42" t="s">
        <v>1846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475</v>
      </c>
      <c r="C48" s="42" t="s">
        <v>825</v>
      </c>
      <c r="D48" s="42" t="s">
        <v>477</v>
      </c>
      <c r="E48" s="34" t="s">
        <v>459</v>
      </c>
      <c r="F48" s="43" t="s">
        <v>459</v>
      </c>
      <c r="G48" s="31" t="s">
        <v>110</v>
      </c>
      <c r="H48" s="44" t="s">
        <v>461</v>
      </c>
      <c r="I48" s="42" t="s">
        <v>1846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475</v>
      </c>
      <c r="C49" s="42" t="s">
        <v>825</v>
      </c>
      <c r="D49" s="42" t="s">
        <v>478</v>
      </c>
      <c r="E49" s="34" t="s">
        <v>459</v>
      </c>
      <c r="F49" s="43" t="s">
        <v>459</v>
      </c>
      <c r="G49" s="31" t="s">
        <v>110</v>
      </c>
      <c r="H49" s="44" t="s">
        <v>461</v>
      </c>
      <c r="I49" s="42" t="s">
        <v>1846</v>
      </c>
      <c r="J49" s="42"/>
      <c r="K49" s="45" t="n">
        <f aca="false">IF(AND(E49="yes",F49="yes",H49="covered"),1,IF(H49="partial",0.5,0))</f>
        <v>1</v>
      </c>
    </row>
    <row r="50" customFormat="false" ht="30" hidden="false" customHeight="true" outlineLevel="0" collapsed="false">
      <c r="A50" s="31" t="n">
        <v>42</v>
      </c>
      <c r="B50" s="42" t="s">
        <v>479</v>
      </c>
      <c r="C50" s="42" t="s">
        <v>825</v>
      </c>
      <c r="D50" s="42" t="s">
        <v>480</v>
      </c>
      <c r="E50" s="34" t="s">
        <v>459</v>
      </c>
      <c r="F50" s="43" t="s">
        <v>459</v>
      </c>
      <c r="G50" s="31" t="s">
        <v>110</v>
      </c>
      <c r="H50" s="44" t="s">
        <v>461</v>
      </c>
      <c r="I50" s="42" t="s">
        <v>1846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479</v>
      </c>
      <c r="C51" s="42" t="s">
        <v>825</v>
      </c>
      <c r="D51" s="42" t="s">
        <v>481</v>
      </c>
      <c r="E51" s="34" t="s">
        <v>459</v>
      </c>
      <c r="F51" s="43" t="s">
        <v>459</v>
      </c>
      <c r="G51" s="31" t="s">
        <v>110</v>
      </c>
      <c r="H51" s="44" t="s">
        <v>461</v>
      </c>
      <c r="I51" s="42" t="s">
        <v>1846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457</v>
      </c>
      <c r="C52" s="42" t="s">
        <v>825</v>
      </c>
      <c r="D52" s="42" t="s">
        <v>482</v>
      </c>
      <c r="E52" s="34" t="s">
        <v>459</v>
      </c>
      <c r="F52" s="43" t="s">
        <v>459</v>
      </c>
      <c r="G52" s="31" t="s">
        <v>110</v>
      </c>
      <c r="H52" s="44" t="s">
        <v>461</v>
      </c>
      <c r="I52" s="42" t="s">
        <v>1846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774</v>
      </c>
      <c r="C53" s="42" t="s">
        <v>825</v>
      </c>
      <c r="D53" s="42" t="s">
        <v>775</v>
      </c>
      <c r="E53" s="34" t="s">
        <v>459</v>
      </c>
      <c r="F53" s="43" t="s">
        <v>459</v>
      </c>
      <c r="G53" s="31" t="s">
        <v>110</v>
      </c>
      <c r="H53" s="44" t="s">
        <v>461</v>
      </c>
      <c r="I53" s="42" t="s">
        <v>1846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825</v>
      </c>
      <c r="D54" s="42" t="s">
        <v>1854</v>
      </c>
      <c r="E54" s="34" t="s">
        <v>459</v>
      </c>
      <c r="F54" s="43" t="s">
        <v>459</v>
      </c>
      <c r="G54" s="31" t="s">
        <v>110</v>
      </c>
      <c r="H54" s="44" t="s">
        <v>461</v>
      </c>
      <c r="I54" s="42" t="s">
        <v>1846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486</v>
      </c>
      <c r="C55" s="42" t="s">
        <v>825</v>
      </c>
      <c r="D55" s="42" t="s">
        <v>1855</v>
      </c>
      <c r="E55" s="34" t="s">
        <v>459</v>
      </c>
      <c r="F55" s="43" t="s">
        <v>459</v>
      </c>
      <c r="G55" s="31" t="s">
        <v>110</v>
      </c>
      <c r="H55" s="44" t="s">
        <v>461</v>
      </c>
      <c r="I55" s="42" t="s">
        <v>1846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475</v>
      </c>
      <c r="C56" s="42" t="s">
        <v>42</v>
      </c>
      <c r="D56" s="42" t="s">
        <v>477</v>
      </c>
      <c r="E56" s="34" t="s">
        <v>459</v>
      </c>
      <c r="F56" s="43" t="s">
        <v>459</v>
      </c>
      <c r="G56" s="31" t="s">
        <v>110</v>
      </c>
      <c r="H56" s="44" t="s">
        <v>461</v>
      </c>
      <c r="I56" s="42" t="s">
        <v>1846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475</v>
      </c>
      <c r="C57" s="42" t="s">
        <v>42</v>
      </c>
      <c r="D57" s="42" t="s">
        <v>478</v>
      </c>
      <c r="E57" s="34" t="s">
        <v>459</v>
      </c>
      <c r="F57" s="43" t="s">
        <v>459</v>
      </c>
      <c r="G57" s="31" t="s">
        <v>110</v>
      </c>
      <c r="H57" s="44" t="s">
        <v>461</v>
      </c>
      <c r="I57" s="42" t="s">
        <v>1846</v>
      </c>
      <c r="J57" s="42"/>
      <c r="K57" s="45" t="n">
        <f aca="false">IF(AND(E57="yes",F57="yes",H57="covered"),1,IF(H57="partial",0.5,0))</f>
        <v>1</v>
      </c>
    </row>
    <row r="58" customFormat="false" ht="30" hidden="false" customHeight="true" outlineLevel="0" collapsed="false">
      <c r="A58" s="31" t="n">
        <v>50</v>
      </c>
      <c r="B58" s="42" t="s">
        <v>479</v>
      </c>
      <c r="C58" s="42" t="s">
        <v>42</v>
      </c>
      <c r="D58" s="42" t="s">
        <v>480</v>
      </c>
      <c r="E58" s="34" t="s">
        <v>459</v>
      </c>
      <c r="F58" s="43" t="s">
        <v>459</v>
      </c>
      <c r="G58" s="31" t="s">
        <v>110</v>
      </c>
      <c r="H58" s="44" t="s">
        <v>461</v>
      </c>
      <c r="I58" s="42" t="s">
        <v>1846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479</v>
      </c>
      <c r="C59" s="42" t="s">
        <v>42</v>
      </c>
      <c r="D59" s="42" t="s">
        <v>481</v>
      </c>
      <c r="E59" s="34" t="s">
        <v>459</v>
      </c>
      <c r="F59" s="43" t="s">
        <v>459</v>
      </c>
      <c r="G59" s="31" t="s">
        <v>110</v>
      </c>
      <c r="H59" s="44" t="s">
        <v>461</v>
      </c>
      <c r="I59" s="42" t="s">
        <v>1846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457</v>
      </c>
      <c r="C60" s="42" t="s">
        <v>42</v>
      </c>
      <c r="D60" s="42" t="s">
        <v>482</v>
      </c>
      <c r="E60" s="34" t="s">
        <v>459</v>
      </c>
      <c r="F60" s="43" t="s">
        <v>459</v>
      </c>
      <c r="G60" s="31" t="s">
        <v>110</v>
      </c>
      <c r="H60" s="44" t="s">
        <v>461</v>
      </c>
      <c r="I60" s="42" t="s">
        <v>1846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774</v>
      </c>
      <c r="C61" s="42" t="s">
        <v>42</v>
      </c>
      <c r="D61" s="42" t="s">
        <v>775</v>
      </c>
      <c r="E61" s="34" t="s">
        <v>459</v>
      </c>
      <c r="F61" s="43" t="s">
        <v>459</v>
      </c>
      <c r="G61" s="31" t="s">
        <v>110</v>
      </c>
      <c r="H61" s="44" t="s">
        <v>461</v>
      </c>
      <c r="I61" s="42" t="s">
        <v>1846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475</v>
      </c>
      <c r="C62" s="42" t="s">
        <v>1856</v>
      </c>
      <c r="D62" s="42" t="s">
        <v>477</v>
      </c>
      <c r="E62" s="34" t="s">
        <v>459</v>
      </c>
      <c r="F62" s="43" t="s">
        <v>459</v>
      </c>
      <c r="G62" s="31" t="s">
        <v>110</v>
      </c>
      <c r="H62" s="44" t="s">
        <v>461</v>
      </c>
      <c r="I62" s="42" t="s">
        <v>1846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475</v>
      </c>
      <c r="C63" s="42" t="s">
        <v>1856</v>
      </c>
      <c r="D63" s="42" t="s">
        <v>478</v>
      </c>
      <c r="E63" s="34" t="s">
        <v>459</v>
      </c>
      <c r="F63" s="43" t="s">
        <v>459</v>
      </c>
      <c r="G63" s="31" t="s">
        <v>110</v>
      </c>
      <c r="H63" s="44" t="s">
        <v>461</v>
      </c>
      <c r="I63" s="42" t="s">
        <v>1846</v>
      </c>
      <c r="J63" s="42"/>
      <c r="K63" s="45" t="n">
        <f aca="false">IF(AND(E63="yes",F63="yes",H63="covered"),1,IF(H63="partial",0.5,0))</f>
        <v>1</v>
      </c>
    </row>
    <row r="64" customFormat="false" ht="30" hidden="false" customHeight="true" outlineLevel="0" collapsed="false">
      <c r="A64" s="31" t="n">
        <v>56</v>
      </c>
      <c r="B64" s="42" t="s">
        <v>479</v>
      </c>
      <c r="C64" s="42" t="s">
        <v>1856</v>
      </c>
      <c r="D64" s="42" t="s">
        <v>480</v>
      </c>
      <c r="E64" s="34" t="s">
        <v>459</v>
      </c>
      <c r="F64" s="43" t="s">
        <v>459</v>
      </c>
      <c r="G64" s="31" t="s">
        <v>110</v>
      </c>
      <c r="H64" s="44" t="s">
        <v>461</v>
      </c>
      <c r="I64" s="42" t="s">
        <v>1846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479</v>
      </c>
      <c r="C65" s="42" t="s">
        <v>1856</v>
      </c>
      <c r="D65" s="42" t="s">
        <v>481</v>
      </c>
      <c r="E65" s="34" t="s">
        <v>459</v>
      </c>
      <c r="F65" s="43" t="s">
        <v>459</v>
      </c>
      <c r="G65" s="31" t="s">
        <v>110</v>
      </c>
      <c r="H65" s="44" t="s">
        <v>461</v>
      </c>
      <c r="I65" s="42" t="s">
        <v>1846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457</v>
      </c>
      <c r="C66" s="42" t="s">
        <v>1856</v>
      </c>
      <c r="D66" s="42" t="s">
        <v>482</v>
      </c>
      <c r="E66" s="34" t="s">
        <v>459</v>
      </c>
      <c r="F66" s="43" t="s">
        <v>459</v>
      </c>
      <c r="G66" s="31" t="s">
        <v>110</v>
      </c>
      <c r="H66" s="44" t="s">
        <v>461</v>
      </c>
      <c r="I66" s="42" t="s">
        <v>1846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774</v>
      </c>
      <c r="C67" s="42" t="s">
        <v>1856</v>
      </c>
      <c r="D67" s="42" t="s">
        <v>775</v>
      </c>
      <c r="E67" s="34" t="s">
        <v>459</v>
      </c>
      <c r="F67" s="43" t="s">
        <v>459</v>
      </c>
      <c r="G67" s="31" t="s">
        <v>110</v>
      </c>
      <c r="H67" s="44" t="s">
        <v>461</v>
      </c>
      <c r="I67" s="42" t="s">
        <v>1846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488</v>
      </c>
      <c r="C68" s="42" t="s">
        <v>1856</v>
      </c>
      <c r="D68" s="42" t="s">
        <v>489</v>
      </c>
      <c r="E68" s="34" t="s">
        <v>459</v>
      </c>
      <c r="F68" s="43" t="s">
        <v>459</v>
      </c>
      <c r="G68" s="31" t="s">
        <v>110</v>
      </c>
      <c r="H68" s="44" t="s">
        <v>461</v>
      </c>
      <c r="I68" s="42" t="s">
        <v>1846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486</v>
      </c>
      <c r="C69" s="42" t="s">
        <v>1856</v>
      </c>
      <c r="D69" s="42" t="s">
        <v>1059</v>
      </c>
      <c r="E69" s="34" t="s">
        <v>459</v>
      </c>
      <c r="F69" s="43" t="s">
        <v>459</v>
      </c>
      <c r="G69" s="31" t="s">
        <v>110</v>
      </c>
      <c r="H69" s="44" t="s">
        <v>461</v>
      </c>
      <c r="I69" s="42" t="s">
        <v>1846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488</v>
      </c>
      <c r="C70" s="42" t="s">
        <v>1856</v>
      </c>
      <c r="D70" s="42" t="s">
        <v>493</v>
      </c>
      <c r="E70" s="34" t="s">
        <v>459</v>
      </c>
      <c r="F70" s="43" t="s">
        <v>459</v>
      </c>
      <c r="G70" s="31" t="s">
        <v>110</v>
      </c>
      <c r="H70" s="44" t="s">
        <v>461</v>
      </c>
      <c r="I70" s="42" t="s">
        <v>1846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483</v>
      </c>
      <c r="C71" s="42" t="s">
        <v>1856</v>
      </c>
      <c r="D71" s="42" t="s">
        <v>484</v>
      </c>
      <c r="E71" s="34" t="s">
        <v>459</v>
      </c>
      <c r="F71" s="43" t="s">
        <v>459</v>
      </c>
      <c r="G71" s="31" t="s">
        <v>110</v>
      </c>
      <c r="H71" s="44" t="s">
        <v>461</v>
      </c>
      <c r="I71" s="42" t="s">
        <v>1846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483</v>
      </c>
      <c r="C72" s="42" t="s">
        <v>1856</v>
      </c>
      <c r="D72" s="42" t="s">
        <v>485</v>
      </c>
      <c r="E72" s="34" t="s">
        <v>459</v>
      </c>
      <c r="F72" s="43" t="s">
        <v>459</v>
      </c>
      <c r="G72" s="31" t="s">
        <v>110</v>
      </c>
      <c r="H72" s="44" t="s">
        <v>461</v>
      </c>
      <c r="I72" s="42" t="s">
        <v>1846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486</v>
      </c>
      <c r="C73" s="42" t="s">
        <v>1856</v>
      </c>
      <c r="D73" s="42" t="s">
        <v>495</v>
      </c>
      <c r="E73" s="34" t="s">
        <v>459</v>
      </c>
      <c r="F73" s="43" t="s">
        <v>459</v>
      </c>
      <c r="G73" s="31" t="s">
        <v>110</v>
      </c>
      <c r="H73" s="44" t="s">
        <v>461</v>
      </c>
      <c r="I73" s="42" t="s">
        <v>1846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488</v>
      </c>
      <c r="C74" s="42" t="s">
        <v>1856</v>
      </c>
      <c r="D74" s="42" t="s">
        <v>887</v>
      </c>
      <c r="E74" s="34" t="s">
        <v>459</v>
      </c>
      <c r="F74" s="43" t="s">
        <v>459</v>
      </c>
      <c r="G74" s="31" t="s">
        <v>110</v>
      </c>
      <c r="H74" s="44" t="s">
        <v>461</v>
      </c>
      <c r="I74" s="42" t="s">
        <v>1846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486</v>
      </c>
      <c r="C75" s="42" t="s">
        <v>1856</v>
      </c>
      <c r="D75" s="42" t="s">
        <v>499</v>
      </c>
      <c r="E75" s="34" t="s">
        <v>459</v>
      </c>
      <c r="F75" s="43" t="s">
        <v>459</v>
      </c>
      <c r="G75" s="31" t="s">
        <v>110</v>
      </c>
      <c r="H75" s="44" t="s">
        <v>461</v>
      </c>
      <c r="I75" s="42" t="s">
        <v>1846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488</v>
      </c>
      <c r="C76" s="42" t="s">
        <v>1856</v>
      </c>
      <c r="D76" s="42" t="s">
        <v>1303</v>
      </c>
      <c r="E76" s="34" t="s">
        <v>459</v>
      </c>
      <c r="F76" s="43" t="s">
        <v>459</v>
      </c>
      <c r="G76" s="31" t="s">
        <v>110</v>
      </c>
      <c r="H76" s="44" t="s">
        <v>461</v>
      </c>
      <c r="I76" s="42" t="s">
        <v>1846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486</v>
      </c>
      <c r="C77" s="42" t="s">
        <v>1856</v>
      </c>
      <c r="D77" s="42" t="s">
        <v>1060</v>
      </c>
      <c r="E77" s="34" t="s">
        <v>459</v>
      </c>
      <c r="F77" s="43" t="s">
        <v>459</v>
      </c>
      <c r="G77" s="31" t="s">
        <v>110</v>
      </c>
      <c r="H77" s="44" t="s">
        <v>461</v>
      </c>
      <c r="I77" s="42" t="s">
        <v>1846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488</v>
      </c>
      <c r="C78" s="42" t="s">
        <v>1856</v>
      </c>
      <c r="D78" s="42" t="s">
        <v>497</v>
      </c>
      <c r="E78" s="34" t="s">
        <v>459</v>
      </c>
      <c r="F78" s="43" t="s">
        <v>459</v>
      </c>
      <c r="G78" s="31" t="s">
        <v>110</v>
      </c>
      <c r="H78" s="44" t="s">
        <v>461</v>
      </c>
      <c r="I78" s="42" t="s">
        <v>1846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475</v>
      </c>
      <c r="C79" s="42" t="s">
        <v>1857</v>
      </c>
      <c r="D79" s="42" t="s">
        <v>477</v>
      </c>
      <c r="E79" s="34" t="s">
        <v>459</v>
      </c>
      <c r="F79" s="43" t="s">
        <v>459</v>
      </c>
      <c r="G79" s="31" t="s">
        <v>110</v>
      </c>
      <c r="H79" s="44" t="s">
        <v>461</v>
      </c>
      <c r="I79" s="42" t="s">
        <v>1846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475</v>
      </c>
      <c r="C80" s="42" t="s">
        <v>1857</v>
      </c>
      <c r="D80" s="42" t="s">
        <v>478</v>
      </c>
      <c r="E80" s="34" t="s">
        <v>459</v>
      </c>
      <c r="F80" s="43" t="s">
        <v>459</v>
      </c>
      <c r="G80" s="31" t="s">
        <v>110</v>
      </c>
      <c r="H80" s="44" t="s">
        <v>461</v>
      </c>
      <c r="I80" s="42" t="s">
        <v>1846</v>
      </c>
      <c r="J80" s="42"/>
      <c r="K80" s="45" t="n">
        <f aca="false">IF(AND(E80="yes",F80="yes",H80="covered"),1,IF(H80="partial",0.5,0))</f>
        <v>1</v>
      </c>
    </row>
    <row r="81" customFormat="false" ht="30" hidden="false" customHeight="true" outlineLevel="0" collapsed="false">
      <c r="A81" s="31" t="n">
        <v>73</v>
      </c>
      <c r="B81" s="42" t="s">
        <v>479</v>
      </c>
      <c r="C81" s="42" t="s">
        <v>1857</v>
      </c>
      <c r="D81" s="42" t="s">
        <v>480</v>
      </c>
      <c r="E81" s="34" t="s">
        <v>459</v>
      </c>
      <c r="F81" s="43" t="s">
        <v>459</v>
      </c>
      <c r="G81" s="31" t="s">
        <v>110</v>
      </c>
      <c r="H81" s="44" t="s">
        <v>461</v>
      </c>
      <c r="I81" s="42" t="s">
        <v>1846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479</v>
      </c>
      <c r="C82" s="42" t="s">
        <v>1857</v>
      </c>
      <c r="D82" s="42" t="s">
        <v>481</v>
      </c>
      <c r="E82" s="34" t="s">
        <v>459</v>
      </c>
      <c r="F82" s="43" t="s">
        <v>459</v>
      </c>
      <c r="G82" s="31" t="s">
        <v>110</v>
      </c>
      <c r="H82" s="44" t="s">
        <v>461</v>
      </c>
      <c r="I82" s="42" t="s">
        <v>1846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457</v>
      </c>
      <c r="C83" s="42" t="s">
        <v>1857</v>
      </c>
      <c r="D83" s="42" t="s">
        <v>482</v>
      </c>
      <c r="E83" s="34" t="s">
        <v>459</v>
      </c>
      <c r="F83" s="43" t="s">
        <v>459</v>
      </c>
      <c r="G83" s="31" t="s">
        <v>110</v>
      </c>
      <c r="H83" s="44" t="s">
        <v>461</v>
      </c>
      <c r="I83" s="42" t="s">
        <v>1846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774</v>
      </c>
      <c r="C84" s="42" t="s">
        <v>1857</v>
      </c>
      <c r="D84" s="42" t="s">
        <v>775</v>
      </c>
      <c r="E84" s="34" t="s">
        <v>459</v>
      </c>
      <c r="F84" s="43" t="s">
        <v>459</v>
      </c>
      <c r="G84" s="31" t="s">
        <v>110</v>
      </c>
      <c r="H84" s="44" t="s">
        <v>461</v>
      </c>
      <c r="I84" s="42" t="s">
        <v>1846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486</v>
      </c>
      <c r="C85" s="42" t="s">
        <v>1857</v>
      </c>
      <c r="D85" s="42" t="s">
        <v>495</v>
      </c>
      <c r="E85" s="34" t="s">
        <v>459</v>
      </c>
      <c r="F85" s="43" t="s">
        <v>459</v>
      </c>
      <c r="G85" s="31" t="s">
        <v>110</v>
      </c>
      <c r="H85" s="44" t="s">
        <v>461</v>
      </c>
      <c r="I85" s="42" t="s">
        <v>1846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505</v>
      </c>
      <c r="C86" s="42" t="s">
        <v>506</v>
      </c>
      <c r="D86" s="42" t="s">
        <v>1067</v>
      </c>
      <c r="E86" s="34" t="s">
        <v>459</v>
      </c>
      <c r="F86" s="43" t="s">
        <v>459</v>
      </c>
      <c r="G86" s="31" t="s">
        <v>110</v>
      </c>
      <c r="H86" s="44" t="s">
        <v>461</v>
      </c>
      <c r="I86" s="42" t="s">
        <v>1846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505</v>
      </c>
      <c r="C87" s="42" t="s">
        <v>506</v>
      </c>
      <c r="D87" s="42" t="s">
        <v>1631</v>
      </c>
      <c r="E87" s="34" t="s">
        <v>459</v>
      </c>
      <c r="F87" s="43" t="s">
        <v>459</v>
      </c>
      <c r="G87" s="31" t="s">
        <v>110</v>
      </c>
      <c r="H87" s="44" t="s">
        <v>461</v>
      </c>
      <c r="I87" s="42" t="s">
        <v>1846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505</v>
      </c>
      <c r="C88" s="42" t="s">
        <v>506</v>
      </c>
      <c r="D88" s="42" t="s">
        <v>508</v>
      </c>
      <c r="E88" s="34" t="s">
        <v>459</v>
      </c>
      <c r="F88" s="43" t="s">
        <v>459</v>
      </c>
      <c r="G88" s="31" t="s">
        <v>110</v>
      </c>
      <c r="H88" s="44" t="s">
        <v>461</v>
      </c>
      <c r="I88" s="42" t="s">
        <v>1846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505</v>
      </c>
      <c r="C89" s="42" t="s">
        <v>506</v>
      </c>
      <c r="D89" s="42" t="s">
        <v>905</v>
      </c>
      <c r="E89" s="34" t="s">
        <v>459</v>
      </c>
      <c r="F89" s="43" t="s">
        <v>459</v>
      </c>
      <c r="G89" s="31" t="s">
        <v>110</v>
      </c>
      <c r="H89" s="44" t="s">
        <v>461</v>
      </c>
      <c r="I89" s="42" t="s">
        <v>1846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505</v>
      </c>
      <c r="C90" s="42" t="s">
        <v>506</v>
      </c>
      <c r="D90" s="42" t="s">
        <v>962</v>
      </c>
      <c r="E90" s="34" t="s">
        <v>459</v>
      </c>
      <c r="F90" s="43" t="s">
        <v>459</v>
      </c>
      <c r="G90" s="31" t="s">
        <v>110</v>
      </c>
      <c r="H90" s="44" t="s">
        <v>461</v>
      </c>
      <c r="I90" s="42" t="s">
        <v>1846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505</v>
      </c>
      <c r="C91" s="42" t="s">
        <v>506</v>
      </c>
      <c r="D91" s="42" t="s">
        <v>510</v>
      </c>
      <c r="E91" s="34" t="s">
        <v>459</v>
      </c>
      <c r="F91" s="43" t="s">
        <v>459</v>
      </c>
      <c r="G91" s="31" t="s">
        <v>110</v>
      </c>
      <c r="H91" s="44" t="s">
        <v>461</v>
      </c>
      <c r="I91" s="42" t="s">
        <v>1846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505</v>
      </c>
      <c r="C92" s="42" t="s">
        <v>506</v>
      </c>
      <c r="D92" s="42" t="s">
        <v>1312</v>
      </c>
      <c r="E92" s="34" t="s">
        <v>459</v>
      </c>
      <c r="F92" s="43" t="s">
        <v>459</v>
      </c>
      <c r="G92" s="31" t="s">
        <v>110</v>
      </c>
      <c r="H92" s="44" t="s">
        <v>461</v>
      </c>
      <c r="I92" s="42" t="s">
        <v>1846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505</v>
      </c>
      <c r="C93" s="42" t="s">
        <v>506</v>
      </c>
      <c r="D93" s="42" t="s">
        <v>1442</v>
      </c>
      <c r="E93" s="34" t="s">
        <v>459</v>
      </c>
      <c r="F93" s="43" t="s">
        <v>459</v>
      </c>
      <c r="G93" s="31" t="s">
        <v>110</v>
      </c>
      <c r="H93" s="44" t="s">
        <v>461</v>
      </c>
      <c r="I93" s="42" t="s">
        <v>1846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505</v>
      </c>
      <c r="C94" s="42" t="s">
        <v>506</v>
      </c>
      <c r="D94" s="42" t="s">
        <v>963</v>
      </c>
      <c r="E94" s="34" t="s">
        <v>459</v>
      </c>
      <c r="F94" s="43" t="s">
        <v>459</v>
      </c>
      <c r="G94" s="31" t="s">
        <v>110</v>
      </c>
      <c r="H94" s="44" t="s">
        <v>461</v>
      </c>
      <c r="I94" s="42" t="s">
        <v>1846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505</v>
      </c>
      <c r="C95" s="42" t="s">
        <v>506</v>
      </c>
      <c r="D95" s="42" t="s">
        <v>964</v>
      </c>
      <c r="E95" s="34" t="s">
        <v>459</v>
      </c>
      <c r="F95" s="43" t="s">
        <v>459</v>
      </c>
      <c r="G95" s="31" t="s">
        <v>110</v>
      </c>
      <c r="H95" s="44" t="s">
        <v>461</v>
      </c>
      <c r="I95" s="42" t="s">
        <v>1846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505</v>
      </c>
      <c r="C96" s="42" t="s">
        <v>506</v>
      </c>
      <c r="D96" s="42" t="s">
        <v>1070</v>
      </c>
      <c r="E96" s="34" t="s">
        <v>459</v>
      </c>
      <c r="F96" s="43" t="s">
        <v>459</v>
      </c>
      <c r="G96" s="31" t="s">
        <v>110</v>
      </c>
      <c r="H96" s="44" t="s">
        <v>461</v>
      </c>
      <c r="I96" s="42" t="s">
        <v>1846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511</v>
      </c>
      <c r="C97" s="42" t="s">
        <v>506</v>
      </c>
      <c r="D97" s="42" t="s">
        <v>512</v>
      </c>
      <c r="E97" s="34" t="s">
        <v>459</v>
      </c>
      <c r="F97" s="43" t="s">
        <v>459</v>
      </c>
      <c r="G97" s="31" t="s">
        <v>110</v>
      </c>
      <c r="H97" s="44" t="s">
        <v>461</v>
      </c>
      <c r="I97" s="42" t="s">
        <v>1846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511</v>
      </c>
      <c r="C98" s="42" t="s">
        <v>506</v>
      </c>
      <c r="D98" s="42" t="s">
        <v>1691</v>
      </c>
      <c r="E98" s="34" t="s">
        <v>459</v>
      </c>
      <c r="F98" s="43" t="s">
        <v>459</v>
      </c>
      <c r="G98" s="31" t="s">
        <v>110</v>
      </c>
      <c r="H98" s="44" t="s">
        <v>461</v>
      </c>
      <c r="I98" s="42" t="s">
        <v>1846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511</v>
      </c>
      <c r="C99" s="42" t="s">
        <v>506</v>
      </c>
      <c r="D99" s="42" t="s">
        <v>1072</v>
      </c>
      <c r="E99" s="34" t="s">
        <v>459</v>
      </c>
      <c r="F99" s="43" t="s">
        <v>459</v>
      </c>
      <c r="G99" s="31" t="s">
        <v>110</v>
      </c>
      <c r="H99" s="44" t="s">
        <v>461</v>
      </c>
      <c r="I99" s="42" t="s">
        <v>1846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511</v>
      </c>
      <c r="C100" s="42" t="s">
        <v>506</v>
      </c>
      <c r="D100" s="42" t="s">
        <v>965</v>
      </c>
      <c r="E100" s="34" t="s">
        <v>459</v>
      </c>
      <c r="F100" s="43" t="s">
        <v>459</v>
      </c>
      <c r="G100" s="31" t="s">
        <v>110</v>
      </c>
      <c r="H100" s="44" t="s">
        <v>461</v>
      </c>
      <c r="I100" s="42" t="s">
        <v>1846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511</v>
      </c>
      <c r="C101" s="42" t="s">
        <v>506</v>
      </c>
      <c r="D101" s="42" t="s">
        <v>1858</v>
      </c>
      <c r="E101" s="34" t="s">
        <v>459</v>
      </c>
      <c r="F101" s="43" t="s">
        <v>459</v>
      </c>
      <c r="G101" s="31" t="s">
        <v>110</v>
      </c>
      <c r="H101" s="44" t="s">
        <v>461</v>
      </c>
      <c r="I101" s="42" t="s">
        <v>1846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511</v>
      </c>
      <c r="C102" s="42" t="s">
        <v>506</v>
      </c>
      <c r="D102" s="42" t="s">
        <v>966</v>
      </c>
      <c r="E102" s="34" t="s">
        <v>459</v>
      </c>
      <c r="F102" s="43" t="s">
        <v>459</v>
      </c>
      <c r="G102" s="31" t="s">
        <v>110</v>
      </c>
      <c r="H102" s="44" t="s">
        <v>461</v>
      </c>
      <c r="I102" s="42" t="s">
        <v>1846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511</v>
      </c>
      <c r="C103" s="42" t="s">
        <v>506</v>
      </c>
      <c r="D103" s="42" t="s">
        <v>1321</v>
      </c>
      <c r="E103" s="34" t="s">
        <v>459</v>
      </c>
      <c r="F103" s="43" t="s">
        <v>459</v>
      </c>
      <c r="G103" s="31" t="s">
        <v>110</v>
      </c>
      <c r="H103" s="44" t="s">
        <v>461</v>
      </c>
      <c r="I103" s="42" t="s">
        <v>1846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511</v>
      </c>
      <c r="C104" s="42" t="s">
        <v>506</v>
      </c>
      <c r="D104" s="42" t="s">
        <v>514</v>
      </c>
      <c r="E104" s="34" t="s">
        <v>459</v>
      </c>
      <c r="F104" s="43" t="s">
        <v>459</v>
      </c>
      <c r="G104" s="31" t="s">
        <v>110</v>
      </c>
      <c r="H104" s="44" t="s">
        <v>461</v>
      </c>
      <c r="I104" s="42" t="s">
        <v>1846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511</v>
      </c>
      <c r="C105" s="42" t="s">
        <v>506</v>
      </c>
      <c r="D105" s="42" t="s">
        <v>515</v>
      </c>
      <c r="E105" s="34" t="s">
        <v>459</v>
      </c>
      <c r="F105" s="43" t="s">
        <v>459</v>
      </c>
      <c r="G105" s="31" t="s">
        <v>110</v>
      </c>
      <c r="H105" s="44" t="s">
        <v>461</v>
      </c>
      <c r="I105" s="42" t="s">
        <v>1846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511</v>
      </c>
      <c r="C106" s="42" t="s">
        <v>506</v>
      </c>
      <c r="D106" s="42" t="s">
        <v>893</v>
      </c>
      <c r="E106" s="34" t="s">
        <v>459</v>
      </c>
      <c r="F106" s="43" t="s">
        <v>459</v>
      </c>
      <c r="G106" s="31" t="s">
        <v>110</v>
      </c>
      <c r="H106" s="44" t="s">
        <v>461</v>
      </c>
      <c r="I106" s="42" t="s">
        <v>1846</v>
      </c>
      <c r="J106" s="42"/>
      <c r="K106" s="45" t="n">
        <f aca="false">IF(AND(E106="yes",F106="yes",H106="covered"),1,IF(H106="partial",0.5,0))</f>
        <v>1</v>
      </c>
    </row>
    <row r="107" customFormat="false" ht="30" hidden="false" customHeight="true" outlineLevel="0" collapsed="false">
      <c r="A107" s="31" t="n">
        <v>99</v>
      </c>
      <c r="B107" s="42" t="s">
        <v>483</v>
      </c>
      <c r="C107" s="42" t="s">
        <v>44</v>
      </c>
      <c r="D107" s="42" t="s">
        <v>516</v>
      </c>
      <c r="E107" s="34" t="s">
        <v>459</v>
      </c>
      <c r="F107" s="43" t="s">
        <v>459</v>
      </c>
      <c r="G107" s="31" t="s">
        <v>110</v>
      </c>
      <c r="H107" s="44" t="s">
        <v>461</v>
      </c>
      <c r="I107" s="42" t="s">
        <v>1846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483</v>
      </c>
      <c r="C108" s="42" t="s">
        <v>44</v>
      </c>
      <c r="D108" s="42" t="s">
        <v>517</v>
      </c>
      <c r="E108" s="34" t="s">
        <v>459</v>
      </c>
      <c r="F108" s="43" t="s">
        <v>459</v>
      </c>
      <c r="G108" s="31" t="s">
        <v>110</v>
      </c>
      <c r="H108" s="44" t="s">
        <v>461</v>
      </c>
      <c r="I108" s="42" t="s">
        <v>1846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483</v>
      </c>
      <c r="C109" s="42" t="s">
        <v>44</v>
      </c>
      <c r="D109" s="42" t="s">
        <v>518</v>
      </c>
      <c r="E109" s="34" t="s">
        <v>459</v>
      </c>
      <c r="F109" s="43" t="s">
        <v>459</v>
      </c>
      <c r="G109" s="31" t="s">
        <v>110</v>
      </c>
      <c r="H109" s="44" t="s">
        <v>461</v>
      </c>
      <c r="I109" s="42" t="s">
        <v>1846</v>
      </c>
      <c r="J109" s="42"/>
      <c r="K109" s="45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2" t="s">
        <v>483</v>
      </c>
      <c r="C110" s="42" t="s">
        <v>44</v>
      </c>
      <c r="D110" s="42" t="s">
        <v>519</v>
      </c>
      <c r="E110" s="34" t="s">
        <v>459</v>
      </c>
      <c r="F110" s="43" t="s">
        <v>459</v>
      </c>
      <c r="G110" s="31" t="s">
        <v>110</v>
      </c>
      <c r="H110" s="44" t="s">
        <v>461</v>
      </c>
      <c r="I110" s="42" t="s">
        <v>1846</v>
      </c>
      <c r="J110" s="42"/>
      <c r="K110" s="45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2" t="s">
        <v>483</v>
      </c>
      <c r="C111" s="42" t="s">
        <v>44</v>
      </c>
      <c r="D111" s="42" t="s">
        <v>520</v>
      </c>
      <c r="E111" s="34" t="s">
        <v>459</v>
      </c>
      <c r="F111" s="43" t="s">
        <v>459</v>
      </c>
      <c r="G111" s="31" t="s">
        <v>110</v>
      </c>
      <c r="H111" s="44" t="s">
        <v>461</v>
      </c>
      <c r="I111" s="42" t="s">
        <v>1846</v>
      </c>
      <c r="J111" s="42"/>
      <c r="K111" s="45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2" t="s">
        <v>488</v>
      </c>
      <c r="C112" s="42" t="s">
        <v>476</v>
      </c>
      <c r="D112" s="42" t="s">
        <v>521</v>
      </c>
      <c r="E112" s="34" t="s">
        <v>459</v>
      </c>
      <c r="F112" s="43" t="s">
        <v>459</v>
      </c>
      <c r="G112" s="31" t="s">
        <v>110</v>
      </c>
      <c r="H112" s="44" t="s">
        <v>461</v>
      </c>
      <c r="I112" s="42" t="s">
        <v>1846</v>
      </c>
      <c r="J112" s="42"/>
      <c r="K112" s="45" t="n">
        <f aca="false">IF(AND(E112="yes",F112="yes",H112="covered"),1,IF(H112="partial",0.5,0))</f>
        <v>1</v>
      </c>
    </row>
    <row r="113" customFormat="false" ht="30" hidden="false" customHeight="true" outlineLevel="0" collapsed="false">
      <c r="A113" s="31" t="n">
        <v>105</v>
      </c>
      <c r="B113" s="42" t="s">
        <v>488</v>
      </c>
      <c r="C113" s="42" t="s">
        <v>476</v>
      </c>
      <c r="D113" s="42" t="s">
        <v>522</v>
      </c>
      <c r="E113" s="34" t="s">
        <v>459</v>
      </c>
      <c r="F113" s="43" t="s">
        <v>459</v>
      </c>
      <c r="G113" s="31" t="s">
        <v>110</v>
      </c>
      <c r="H113" s="44" t="s">
        <v>461</v>
      </c>
      <c r="I113" s="42" t="s">
        <v>1846</v>
      </c>
      <c r="J113" s="42"/>
      <c r="K113" s="45" t="n">
        <f aca="false">IF(AND(E113="yes",F113="yes",H113="covered"),1,IF(H113="partial",0.5,0))</f>
        <v>1</v>
      </c>
    </row>
    <row r="114" customFormat="false" ht="30" hidden="false" customHeight="true" outlineLevel="0" collapsed="false">
      <c r="A114" s="31" t="n">
        <v>106</v>
      </c>
      <c r="B114" s="42" t="s">
        <v>488</v>
      </c>
      <c r="C114" s="42" t="s">
        <v>476</v>
      </c>
      <c r="D114" s="42" t="s">
        <v>523</v>
      </c>
      <c r="E114" s="34" t="s">
        <v>459</v>
      </c>
      <c r="F114" s="43" t="s">
        <v>459</v>
      </c>
      <c r="G114" s="31" t="s">
        <v>110</v>
      </c>
      <c r="H114" s="44" t="s">
        <v>461</v>
      </c>
      <c r="I114" s="42" t="s">
        <v>1846</v>
      </c>
      <c r="J114" s="42"/>
      <c r="K114" s="45" t="n">
        <f aca="false">IF(AND(E114="yes",F114="yes",H114="covered"),1,IF(H114="partial",0.5,0))</f>
        <v>1</v>
      </c>
    </row>
    <row r="115" customFormat="false" ht="30" hidden="false" customHeight="true" outlineLevel="0" collapsed="false">
      <c r="A115" s="31" t="n">
        <v>107</v>
      </c>
      <c r="B115" s="42" t="s">
        <v>488</v>
      </c>
      <c r="C115" s="42" t="s">
        <v>44</v>
      </c>
      <c r="D115" s="42" t="s">
        <v>968</v>
      </c>
      <c r="E115" s="34" t="s">
        <v>459</v>
      </c>
      <c r="F115" s="43" t="s">
        <v>459</v>
      </c>
      <c r="G115" s="31" t="s">
        <v>110</v>
      </c>
      <c r="H115" s="44" t="s">
        <v>461</v>
      </c>
      <c r="I115" s="42" t="s">
        <v>1846</v>
      </c>
      <c r="J115" s="42"/>
      <c r="K115" s="45" t="n">
        <f aca="false">IF(AND(E115="yes",F115="yes",H115="covered"),1,IF(H115="partial",0.5,0))</f>
        <v>1</v>
      </c>
    </row>
    <row r="116" customFormat="false" ht="30" hidden="false" customHeight="true" outlineLevel="0" collapsed="false">
      <c r="A116" s="31" t="n">
        <v>108</v>
      </c>
      <c r="B116" s="42" t="s">
        <v>488</v>
      </c>
      <c r="C116" s="42" t="s">
        <v>44</v>
      </c>
      <c r="D116" s="42" t="s">
        <v>969</v>
      </c>
      <c r="E116" s="34" t="s">
        <v>459</v>
      </c>
      <c r="F116" s="43" t="s">
        <v>459</v>
      </c>
      <c r="G116" s="31" t="s">
        <v>110</v>
      </c>
      <c r="H116" s="44" t="s">
        <v>461</v>
      </c>
      <c r="I116" s="42" t="s">
        <v>1846</v>
      </c>
      <c r="J116" s="42"/>
      <c r="K116" s="45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2" t="s">
        <v>488</v>
      </c>
      <c r="C117" s="42" t="s">
        <v>44</v>
      </c>
      <c r="D117" s="42" t="s">
        <v>970</v>
      </c>
      <c r="E117" s="34" t="s">
        <v>459</v>
      </c>
      <c r="F117" s="43" t="s">
        <v>459</v>
      </c>
      <c r="G117" s="31" t="s">
        <v>110</v>
      </c>
      <c r="H117" s="44" t="s">
        <v>461</v>
      </c>
      <c r="I117" s="42" t="s">
        <v>1846</v>
      </c>
      <c r="J117" s="42"/>
      <c r="K117" s="45" t="n">
        <f aca="false">IF(AND(E117="yes",F117="yes",H117="covered"),1,IF(H117="partial",0.5,0))</f>
        <v>1</v>
      </c>
    </row>
    <row r="118" customFormat="false" ht="30" hidden="false" customHeight="true" outlineLevel="0" collapsed="false">
      <c r="A118" s="31" t="n">
        <v>110</v>
      </c>
      <c r="B118" s="42" t="s">
        <v>488</v>
      </c>
      <c r="C118" s="42" t="s">
        <v>44</v>
      </c>
      <c r="D118" s="42" t="s">
        <v>971</v>
      </c>
      <c r="E118" s="34" t="s">
        <v>459</v>
      </c>
      <c r="F118" s="43" t="s">
        <v>459</v>
      </c>
      <c r="G118" s="31" t="s">
        <v>110</v>
      </c>
      <c r="H118" s="44" t="s">
        <v>461</v>
      </c>
      <c r="I118" s="42" t="s">
        <v>1846</v>
      </c>
      <c r="J118" s="42"/>
      <c r="K118" s="45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31" t="n">
        <v>111</v>
      </c>
      <c r="B119" s="42" t="s">
        <v>933</v>
      </c>
      <c r="C119" s="42" t="s">
        <v>44</v>
      </c>
      <c r="D119" s="42" t="s">
        <v>972</v>
      </c>
      <c r="E119" s="34" t="s">
        <v>459</v>
      </c>
      <c r="F119" s="43" t="s">
        <v>459</v>
      </c>
      <c r="G119" s="31" t="s">
        <v>110</v>
      </c>
      <c r="H119" s="44" t="s">
        <v>461</v>
      </c>
      <c r="I119" s="42" t="s">
        <v>1846</v>
      </c>
      <c r="J119" s="42"/>
      <c r="K119" s="45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31" t="n">
        <v>112</v>
      </c>
      <c r="B120" s="42" t="s">
        <v>933</v>
      </c>
      <c r="C120" s="42" t="s">
        <v>44</v>
      </c>
      <c r="D120" s="42" t="s">
        <v>973</v>
      </c>
      <c r="E120" s="34" t="s">
        <v>459</v>
      </c>
      <c r="F120" s="43" t="s">
        <v>459</v>
      </c>
      <c r="G120" s="31" t="s">
        <v>110</v>
      </c>
      <c r="H120" s="44" t="s">
        <v>461</v>
      </c>
      <c r="I120" s="42" t="s">
        <v>1846</v>
      </c>
      <c r="J120" s="42"/>
      <c r="K120" s="45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31" t="n">
        <v>113</v>
      </c>
      <c r="B121" s="42" t="s">
        <v>531</v>
      </c>
      <c r="C121" s="42" t="s">
        <v>44</v>
      </c>
      <c r="D121" s="42" t="s">
        <v>534</v>
      </c>
      <c r="E121" s="34" t="s">
        <v>459</v>
      </c>
      <c r="F121" s="43" t="s">
        <v>459</v>
      </c>
      <c r="G121" s="31" t="s">
        <v>110</v>
      </c>
      <c r="H121" s="44" t="s">
        <v>461</v>
      </c>
      <c r="I121" s="42" t="s">
        <v>1846</v>
      </c>
      <c r="J121" s="42"/>
      <c r="K121" s="45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31" t="n">
        <v>114</v>
      </c>
      <c r="B122" s="42" t="s">
        <v>531</v>
      </c>
      <c r="C122" s="42" t="s">
        <v>44</v>
      </c>
      <c r="D122" s="42" t="s">
        <v>535</v>
      </c>
      <c r="E122" s="34" t="s">
        <v>459</v>
      </c>
      <c r="F122" s="43" t="s">
        <v>459</v>
      </c>
      <c r="G122" s="31" t="s">
        <v>110</v>
      </c>
      <c r="H122" s="44" t="s">
        <v>461</v>
      </c>
      <c r="I122" s="42" t="s">
        <v>1846</v>
      </c>
      <c r="J122" s="42"/>
      <c r="K122" s="45" t="n">
        <f aca="false">IF(AND(E122="yes",F122="yes",H122="covered"),1,IF(H122="partial",0.5,0))</f>
        <v>1</v>
      </c>
    </row>
    <row r="123" customFormat="false" ht="15" hidden="false" customHeight="true" outlineLevel="0" collapsed="false">
      <c r="A123" s="31" t="n">
        <v>115</v>
      </c>
      <c r="B123" s="42" t="s">
        <v>531</v>
      </c>
      <c r="C123" s="42" t="s">
        <v>44</v>
      </c>
      <c r="D123" s="42" t="s">
        <v>536</v>
      </c>
      <c r="E123" s="34" t="s">
        <v>459</v>
      </c>
      <c r="F123" s="43" t="s">
        <v>459</v>
      </c>
      <c r="G123" s="31" t="s">
        <v>110</v>
      </c>
      <c r="H123" s="44" t="s">
        <v>461</v>
      </c>
      <c r="I123" s="42" t="s">
        <v>1846</v>
      </c>
      <c r="J123" s="42"/>
      <c r="K123" s="45" t="n">
        <f aca="false">IF(AND(E123="yes",F123="yes",H123="covered"),1,IF(H123="partial",0.5,0))</f>
        <v>1</v>
      </c>
    </row>
    <row r="124" customFormat="false" ht="30" hidden="false" customHeight="true" outlineLevel="0" collapsed="false">
      <c r="A124" s="31" t="n">
        <v>116</v>
      </c>
      <c r="B124" s="42" t="s">
        <v>531</v>
      </c>
      <c r="C124" s="42" t="s">
        <v>44</v>
      </c>
      <c r="D124" s="42" t="s">
        <v>983</v>
      </c>
      <c r="E124" s="34" t="s">
        <v>459</v>
      </c>
      <c r="F124" s="43" t="s">
        <v>459</v>
      </c>
      <c r="G124" s="31" t="s">
        <v>110</v>
      </c>
      <c r="H124" s="44" t="s">
        <v>461</v>
      </c>
      <c r="I124" s="42" t="s">
        <v>1846</v>
      </c>
      <c r="J124" s="42"/>
      <c r="K124" s="45" t="n">
        <f aca="false">IF(AND(E124="yes",F124="yes",H124="covered"),1,IF(H124="partial",0.5,0))</f>
        <v>1</v>
      </c>
    </row>
    <row r="125" customFormat="false" ht="30" hidden="false" customHeight="true" outlineLevel="0" collapsed="false">
      <c r="A125" s="31" t="n">
        <v>117</v>
      </c>
      <c r="B125" s="42" t="s">
        <v>529</v>
      </c>
      <c r="C125" s="42" t="s">
        <v>44</v>
      </c>
      <c r="D125" s="42" t="s">
        <v>537</v>
      </c>
      <c r="E125" s="34" t="s">
        <v>459</v>
      </c>
      <c r="F125" s="43" t="s">
        <v>459</v>
      </c>
      <c r="G125" s="31" t="s">
        <v>110</v>
      </c>
      <c r="H125" s="44" t="s">
        <v>461</v>
      </c>
      <c r="I125" s="42" t="s">
        <v>1846</v>
      </c>
      <c r="J125" s="42"/>
      <c r="K125" s="45" t="n">
        <f aca="false">IF(AND(E125="yes",F125="yes",H125="covered"),1,IF(H125="partial",0.5,0))</f>
        <v>1</v>
      </c>
    </row>
    <row r="126" customFormat="false" ht="30" hidden="false" customHeight="true" outlineLevel="0" collapsed="false">
      <c r="A126" s="31" t="n">
        <v>118</v>
      </c>
      <c r="B126" s="42" t="s">
        <v>31</v>
      </c>
      <c r="C126" s="42" t="s">
        <v>476</v>
      </c>
      <c r="D126" s="42" t="s">
        <v>538</v>
      </c>
      <c r="E126" s="46" t="s">
        <v>459</v>
      </c>
      <c r="F126" s="43" t="s">
        <v>459</v>
      </c>
      <c r="G126" s="31" t="s">
        <v>110</v>
      </c>
      <c r="H126" s="46" t="s">
        <v>461</v>
      </c>
      <c r="I126" s="42"/>
      <c r="J126" s="42"/>
      <c r="K126" s="45" t="n">
        <f aca="false">IF(AND(E126="yes",F126="yes",H126="covered"),1,IF(H126="partial",0.5,0))</f>
        <v>1</v>
      </c>
    </row>
    <row r="127" customFormat="false" ht="30" hidden="false" customHeight="true" outlineLevel="0" collapsed="false">
      <c r="A127" s="31" t="n">
        <v>119</v>
      </c>
      <c r="B127" s="42" t="s">
        <v>31</v>
      </c>
      <c r="C127" s="42" t="s">
        <v>476</v>
      </c>
      <c r="D127" s="42" t="s">
        <v>539</v>
      </c>
      <c r="E127" s="46" t="s">
        <v>459</v>
      </c>
      <c r="F127" s="43" t="s">
        <v>459</v>
      </c>
      <c r="G127" s="31" t="s">
        <v>110</v>
      </c>
      <c r="H127" s="46" t="s">
        <v>461</v>
      </c>
      <c r="I127" s="42"/>
      <c r="J127" s="42"/>
      <c r="K127" s="45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31" t="n">
        <v>120</v>
      </c>
      <c r="B128" s="42" t="s">
        <v>456</v>
      </c>
      <c r="C128" s="42" t="s">
        <v>540</v>
      </c>
      <c r="D128" s="42" t="s">
        <v>541</v>
      </c>
      <c r="E128" s="46" t="s">
        <v>459</v>
      </c>
      <c r="F128" s="43" t="s">
        <v>459</v>
      </c>
      <c r="G128" s="31" t="s">
        <v>110</v>
      </c>
      <c r="H128" s="46" t="s">
        <v>461</v>
      </c>
      <c r="I128" s="42"/>
      <c r="J128" s="42"/>
      <c r="K128" s="45" t="n">
        <f aca="false">IF(AND(E128="yes",F128="yes",H128="covered"),1,IF(H128="partial",0.5,0))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1859</v>
      </c>
      <c r="B1" s="26"/>
      <c r="C1" s="26"/>
      <c r="D1" s="26"/>
      <c r="E1" s="26"/>
      <c r="F1" s="26"/>
      <c r="G1" s="26"/>
      <c r="H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173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30" hidden="false" customHeight="true" outlineLevel="0" collapsed="false">
      <c r="A9" s="51" t="n">
        <v>1</v>
      </c>
      <c r="B9" s="52" t="s">
        <v>456</v>
      </c>
      <c r="C9" s="52" t="s">
        <v>457</v>
      </c>
      <c r="D9" s="52" t="s">
        <v>458</v>
      </c>
      <c r="E9" s="51" t="s">
        <v>459</v>
      </c>
      <c r="F9" s="51" t="s">
        <v>459</v>
      </c>
      <c r="G9" s="51" t="s">
        <v>907</v>
      </c>
      <c r="H9" s="51" t="s">
        <v>461</v>
      </c>
      <c r="I9" s="52" t="s">
        <v>1860</v>
      </c>
      <c r="J9" s="52"/>
      <c r="K9" s="53" t="n">
        <f aca="false">IF(AND(E9="yes",F9="yes",H9="covered"),1,IF(H9="partial",0.5,0))</f>
        <v>1</v>
      </c>
    </row>
    <row r="10" customFormat="false" ht="30" hidden="false" customHeight="true" outlineLevel="0" collapsed="false">
      <c r="A10" s="51" t="n">
        <v>2</v>
      </c>
      <c r="B10" s="52" t="s">
        <v>456</v>
      </c>
      <c r="C10" s="52" t="s">
        <v>457</v>
      </c>
      <c r="D10" s="52" t="s">
        <v>463</v>
      </c>
      <c r="E10" s="51" t="s">
        <v>459</v>
      </c>
      <c r="F10" s="51" t="s">
        <v>459</v>
      </c>
      <c r="G10" s="51" t="s">
        <v>907</v>
      </c>
      <c r="H10" s="51" t="s">
        <v>461</v>
      </c>
      <c r="I10" s="52" t="s">
        <v>1860</v>
      </c>
      <c r="J10" s="52"/>
      <c r="K10" s="53" t="n">
        <f aca="false">IF(AND(E10="yes",F10="yes",H10="covered"),1,IF(H10="partial",0.5,0))</f>
        <v>1</v>
      </c>
    </row>
    <row r="11" customFormat="false" ht="30" hidden="false" customHeight="true" outlineLevel="0" collapsed="false">
      <c r="A11" s="51" t="n">
        <v>3</v>
      </c>
      <c r="B11" s="52" t="s">
        <v>486</v>
      </c>
      <c r="C11" s="52" t="s">
        <v>476</v>
      </c>
      <c r="D11" s="52" t="s">
        <v>1465</v>
      </c>
      <c r="E11" s="51" t="s">
        <v>459</v>
      </c>
      <c r="F11" s="51" t="s">
        <v>459</v>
      </c>
      <c r="G11" s="51" t="s">
        <v>907</v>
      </c>
      <c r="H11" s="51" t="s">
        <v>461</v>
      </c>
      <c r="I11" s="52" t="s">
        <v>1860</v>
      </c>
      <c r="J11" s="52"/>
      <c r="K11" s="53" t="n">
        <f aca="false">IF(AND(E11="yes",F11="yes",H11="covered"),1,IF(H11="partial",0.5,0))</f>
        <v>1</v>
      </c>
    </row>
    <row r="12" customFormat="false" ht="30" hidden="false" customHeight="true" outlineLevel="0" collapsed="false">
      <c r="A12" s="51" t="n">
        <v>4</v>
      </c>
      <c r="B12" s="52" t="s">
        <v>486</v>
      </c>
      <c r="C12" s="52" t="s">
        <v>476</v>
      </c>
      <c r="D12" s="52" t="s">
        <v>1089</v>
      </c>
      <c r="E12" s="51" t="s">
        <v>459</v>
      </c>
      <c r="F12" s="51" t="s">
        <v>459</v>
      </c>
      <c r="G12" s="51" t="s">
        <v>907</v>
      </c>
      <c r="H12" s="51" t="s">
        <v>461</v>
      </c>
      <c r="I12" s="52" t="s">
        <v>1860</v>
      </c>
      <c r="J12" s="52"/>
      <c r="K12" s="53" t="n">
        <f aca="false">IF(AND(E12="yes",F12="yes",H12="covered"),1,IF(H12="partial",0.5,0))</f>
        <v>1</v>
      </c>
    </row>
    <row r="13" customFormat="false" ht="30" hidden="false" customHeight="true" outlineLevel="0" collapsed="false">
      <c r="A13" s="51" t="n">
        <v>5</v>
      </c>
      <c r="B13" s="52" t="s">
        <v>486</v>
      </c>
      <c r="C13" s="52" t="s">
        <v>476</v>
      </c>
      <c r="D13" s="52" t="s">
        <v>1090</v>
      </c>
      <c r="E13" s="51" t="s">
        <v>459</v>
      </c>
      <c r="F13" s="51" t="s">
        <v>459</v>
      </c>
      <c r="G13" s="51" t="s">
        <v>907</v>
      </c>
      <c r="H13" s="51" t="s">
        <v>461</v>
      </c>
      <c r="I13" s="52" t="s">
        <v>1860</v>
      </c>
      <c r="J13" s="52"/>
      <c r="K13" s="53" t="n">
        <f aca="false">IF(AND(E13="yes",F13="yes",H13="covered"),1,IF(H13="partial",0.5,0))</f>
        <v>1</v>
      </c>
    </row>
    <row r="14" customFormat="false" ht="30" hidden="false" customHeight="true" outlineLevel="0" collapsed="false">
      <c r="A14" s="51" t="n">
        <v>6</v>
      </c>
      <c r="B14" s="52" t="s">
        <v>486</v>
      </c>
      <c r="C14" s="52" t="s">
        <v>476</v>
      </c>
      <c r="D14" s="52" t="s">
        <v>1091</v>
      </c>
      <c r="E14" s="51" t="s">
        <v>459</v>
      </c>
      <c r="F14" s="51" t="s">
        <v>459</v>
      </c>
      <c r="G14" s="51" t="s">
        <v>907</v>
      </c>
      <c r="H14" s="51" t="s">
        <v>461</v>
      </c>
      <c r="I14" s="52" t="s">
        <v>1860</v>
      </c>
      <c r="J14" s="52"/>
      <c r="K14" s="53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51" t="n">
        <v>7</v>
      </c>
      <c r="B15" s="52" t="s">
        <v>486</v>
      </c>
      <c r="C15" s="52" t="s">
        <v>476</v>
      </c>
      <c r="D15" s="52" t="s">
        <v>1861</v>
      </c>
      <c r="E15" s="51" t="s">
        <v>459</v>
      </c>
      <c r="F15" s="51" t="s">
        <v>459</v>
      </c>
      <c r="G15" s="51" t="s">
        <v>907</v>
      </c>
      <c r="H15" s="51" t="s">
        <v>461</v>
      </c>
      <c r="I15" s="52" t="s">
        <v>1860</v>
      </c>
      <c r="J15" s="52"/>
      <c r="K15" s="53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51" t="n">
        <v>8</v>
      </c>
      <c r="B16" s="52" t="s">
        <v>486</v>
      </c>
      <c r="C16" s="52" t="s">
        <v>476</v>
      </c>
      <c r="D16" s="52" t="s">
        <v>1093</v>
      </c>
      <c r="E16" s="51" t="s">
        <v>459</v>
      </c>
      <c r="F16" s="51" t="s">
        <v>459</v>
      </c>
      <c r="G16" s="51" t="s">
        <v>907</v>
      </c>
      <c r="H16" s="51" t="s">
        <v>461</v>
      </c>
      <c r="I16" s="52" t="s">
        <v>1860</v>
      </c>
      <c r="J16" s="52"/>
      <c r="K16" s="53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51" t="n">
        <v>9</v>
      </c>
      <c r="B17" s="52" t="s">
        <v>486</v>
      </c>
      <c r="C17" s="52" t="s">
        <v>476</v>
      </c>
      <c r="D17" s="52" t="s">
        <v>1466</v>
      </c>
      <c r="E17" s="51" t="s">
        <v>459</v>
      </c>
      <c r="F17" s="51" t="s">
        <v>459</v>
      </c>
      <c r="G17" s="51" t="s">
        <v>907</v>
      </c>
      <c r="H17" s="51" t="s">
        <v>461</v>
      </c>
      <c r="I17" s="52" t="s">
        <v>1860</v>
      </c>
      <c r="J17" s="52"/>
      <c r="K17" s="53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51" t="n">
        <v>10</v>
      </c>
      <c r="B18" s="52" t="s">
        <v>486</v>
      </c>
      <c r="C18" s="52" t="s">
        <v>476</v>
      </c>
      <c r="D18" s="52" t="s">
        <v>1095</v>
      </c>
      <c r="E18" s="51" t="s">
        <v>459</v>
      </c>
      <c r="F18" s="51" t="s">
        <v>459</v>
      </c>
      <c r="G18" s="51" t="s">
        <v>907</v>
      </c>
      <c r="H18" s="51" t="s">
        <v>461</v>
      </c>
      <c r="I18" s="52" t="s">
        <v>1860</v>
      </c>
      <c r="J18" s="52"/>
      <c r="K18" s="53" t="n">
        <f aca="false">IF(AND(E18="yes",F18="yes",H18="covered"),1,IF(H18="partial",0.5,0))</f>
        <v>1</v>
      </c>
    </row>
    <row r="19" customFormat="false" ht="30" hidden="false" customHeight="true" outlineLevel="0" collapsed="false">
      <c r="A19" s="51" t="n">
        <v>11</v>
      </c>
      <c r="B19" s="52" t="s">
        <v>486</v>
      </c>
      <c r="C19" s="52" t="s">
        <v>476</v>
      </c>
      <c r="D19" s="52" t="s">
        <v>1096</v>
      </c>
      <c r="E19" s="51" t="s">
        <v>459</v>
      </c>
      <c r="F19" s="51" t="s">
        <v>459</v>
      </c>
      <c r="G19" s="51" t="s">
        <v>907</v>
      </c>
      <c r="H19" s="51" t="s">
        <v>461</v>
      </c>
      <c r="I19" s="52" t="s">
        <v>1860</v>
      </c>
      <c r="J19" s="52"/>
      <c r="K19" s="53" t="n">
        <f aca="false">IF(AND(E19="yes",F19="yes",H19="covered"),1,IF(H19="partial",0.5,0))</f>
        <v>1</v>
      </c>
    </row>
    <row r="20" customFormat="false" ht="30" hidden="false" customHeight="true" outlineLevel="0" collapsed="false">
      <c r="A20" s="51" t="n">
        <v>12</v>
      </c>
      <c r="B20" s="52" t="s">
        <v>486</v>
      </c>
      <c r="C20" s="52" t="s">
        <v>476</v>
      </c>
      <c r="D20" s="52" t="s">
        <v>1467</v>
      </c>
      <c r="E20" s="51" t="s">
        <v>459</v>
      </c>
      <c r="F20" s="51" t="s">
        <v>459</v>
      </c>
      <c r="G20" s="51" t="s">
        <v>907</v>
      </c>
      <c r="H20" s="51" t="s">
        <v>461</v>
      </c>
      <c r="I20" s="52" t="s">
        <v>1860</v>
      </c>
      <c r="J20" s="52"/>
      <c r="K20" s="53" t="n">
        <f aca="false">IF(AND(E20="yes",F20="yes",H20="covered"),1,IF(H20="partial",0.5,0))</f>
        <v>1</v>
      </c>
    </row>
    <row r="21" customFormat="false" ht="30" hidden="false" customHeight="true" outlineLevel="0" collapsed="false">
      <c r="A21" s="51" t="n">
        <v>13</v>
      </c>
      <c r="B21" s="52" t="s">
        <v>486</v>
      </c>
      <c r="C21" s="52" t="s">
        <v>476</v>
      </c>
      <c r="D21" s="52" t="s">
        <v>1468</v>
      </c>
      <c r="E21" s="51" t="s">
        <v>459</v>
      </c>
      <c r="F21" s="51" t="s">
        <v>459</v>
      </c>
      <c r="G21" s="51" t="s">
        <v>907</v>
      </c>
      <c r="H21" s="51" t="s">
        <v>461</v>
      </c>
      <c r="I21" s="52" t="s">
        <v>1860</v>
      </c>
      <c r="J21" s="52"/>
      <c r="K21" s="53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51" t="n">
        <v>14</v>
      </c>
      <c r="B22" s="52" t="s">
        <v>486</v>
      </c>
      <c r="C22" s="52" t="s">
        <v>476</v>
      </c>
      <c r="D22" s="52" t="s">
        <v>1469</v>
      </c>
      <c r="E22" s="51" t="s">
        <v>459</v>
      </c>
      <c r="F22" s="51" t="s">
        <v>459</v>
      </c>
      <c r="G22" s="51" t="s">
        <v>907</v>
      </c>
      <c r="H22" s="51" t="s">
        <v>461</v>
      </c>
      <c r="I22" s="52" t="s">
        <v>1860</v>
      </c>
      <c r="J22" s="52"/>
      <c r="K22" s="53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51" t="n">
        <v>15</v>
      </c>
      <c r="B23" s="52" t="s">
        <v>486</v>
      </c>
      <c r="C23" s="52" t="s">
        <v>500</v>
      </c>
      <c r="D23" s="52" t="s">
        <v>1120</v>
      </c>
      <c r="E23" s="51" t="s">
        <v>459</v>
      </c>
      <c r="F23" s="51" t="s">
        <v>459</v>
      </c>
      <c r="G23" s="51" t="s">
        <v>907</v>
      </c>
      <c r="H23" s="51" t="s">
        <v>461</v>
      </c>
      <c r="I23" s="52" t="s">
        <v>1860</v>
      </c>
      <c r="J23" s="52"/>
      <c r="K23" s="53" t="n">
        <f aca="false">IF(AND(E23="yes",F23="yes",H23="covered"),1,IF(H23="partial",0.5,0))</f>
        <v>1</v>
      </c>
    </row>
    <row r="24" customFormat="false" ht="30" hidden="false" customHeight="true" outlineLevel="0" collapsed="false">
      <c r="A24" s="51" t="n">
        <v>16</v>
      </c>
      <c r="B24" s="52" t="s">
        <v>486</v>
      </c>
      <c r="C24" s="52" t="s">
        <v>500</v>
      </c>
      <c r="D24" s="52" t="s">
        <v>1121</v>
      </c>
      <c r="E24" s="51" t="s">
        <v>459</v>
      </c>
      <c r="F24" s="51" t="s">
        <v>459</v>
      </c>
      <c r="G24" s="51" t="s">
        <v>907</v>
      </c>
      <c r="H24" s="51" t="s">
        <v>461</v>
      </c>
      <c r="I24" s="52" t="s">
        <v>1860</v>
      </c>
      <c r="J24" s="52"/>
      <c r="K24" s="53" t="n">
        <f aca="false">IF(AND(E24="yes",F24="yes",H24="covered"),1,IF(H24="partial",0.5,0))</f>
        <v>1</v>
      </c>
    </row>
    <row r="25" customFormat="false" ht="45" hidden="false" customHeight="true" outlineLevel="0" collapsed="false">
      <c r="A25" s="51" t="n">
        <v>17</v>
      </c>
      <c r="B25" s="52" t="s">
        <v>486</v>
      </c>
      <c r="C25" s="52" t="s">
        <v>500</v>
      </c>
      <c r="D25" s="52" t="s">
        <v>1122</v>
      </c>
      <c r="E25" s="51" t="s">
        <v>459</v>
      </c>
      <c r="F25" s="51" t="s">
        <v>459</v>
      </c>
      <c r="G25" s="51" t="s">
        <v>907</v>
      </c>
      <c r="H25" s="51" t="s">
        <v>461</v>
      </c>
      <c r="I25" s="52" t="s">
        <v>1860</v>
      </c>
      <c r="J25" s="52"/>
      <c r="K25" s="53" t="n">
        <f aca="false">IF(AND(E25="yes",F25="yes",H25="covered"),1,IF(H25="partial",0.5,0))</f>
        <v>1</v>
      </c>
    </row>
    <row r="26" customFormat="false" ht="30" hidden="false" customHeight="true" outlineLevel="0" collapsed="false">
      <c r="A26" s="51" t="n">
        <v>18</v>
      </c>
      <c r="B26" s="52" t="s">
        <v>486</v>
      </c>
      <c r="C26" s="52" t="s">
        <v>500</v>
      </c>
      <c r="D26" s="52" t="s">
        <v>1123</v>
      </c>
      <c r="E26" s="51" t="s">
        <v>459</v>
      </c>
      <c r="F26" s="51" t="s">
        <v>459</v>
      </c>
      <c r="G26" s="51" t="s">
        <v>907</v>
      </c>
      <c r="H26" s="51" t="s">
        <v>461</v>
      </c>
      <c r="I26" s="52" t="s">
        <v>1860</v>
      </c>
      <c r="J26" s="52"/>
      <c r="K26" s="53" t="n">
        <f aca="false">IF(AND(E26="yes",F26="yes",H26="covered"),1,IF(H26="partial",0.5,0))</f>
        <v>1</v>
      </c>
    </row>
    <row r="27" customFormat="false" ht="30" hidden="false" customHeight="true" outlineLevel="0" collapsed="false">
      <c r="A27" s="51" t="n">
        <v>19</v>
      </c>
      <c r="B27" s="52" t="s">
        <v>486</v>
      </c>
      <c r="C27" s="52" t="s">
        <v>500</v>
      </c>
      <c r="D27" s="52" t="s">
        <v>1124</v>
      </c>
      <c r="E27" s="51" t="s">
        <v>459</v>
      </c>
      <c r="F27" s="51" t="s">
        <v>459</v>
      </c>
      <c r="G27" s="51" t="s">
        <v>907</v>
      </c>
      <c r="H27" s="51" t="s">
        <v>461</v>
      </c>
      <c r="I27" s="52" t="s">
        <v>1860</v>
      </c>
      <c r="J27" s="52"/>
      <c r="K27" s="53" t="n">
        <f aca="false">IF(AND(E27="yes",F27="yes",H27="covered"),1,IF(H27="partial",0.5,0))</f>
        <v>1</v>
      </c>
    </row>
    <row r="28" customFormat="false" ht="30" hidden="false" customHeight="true" outlineLevel="0" collapsed="false">
      <c r="A28" s="51" t="n">
        <v>20</v>
      </c>
      <c r="B28" s="52" t="s">
        <v>486</v>
      </c>
      <c r="C28" s="52" t="s">
        <v>500</v>
      </c>
      <c r="D28" s="52" t="s">
        <v>1125</v>
      </c>
      <c r="E28" s="51" t="s">
        <v>459</v>
      </c>
      <c r="F28" s="51" t="s">
        <v>459</v>
      </c>
      <c r="G28" s="51" t="s">
        <v>907</v>
      </c>
      <c r="H28" s="51" t="s">
        <v>461</v>
      </c>
      <c r="I28" s="52" t="s">
        <v>1860</v>
      </c>
      <c r="J28" s="52"/>
      <c r="K28" s="53" t="n">
        <f aca="false">IF(AND(E28="yes",F28="yes",H28="covered"),1,IF(H28="partial",0.5,0))</f>
        <v>1</v>
      </c>
    </row>
    <row r="29" customFormat="false" ht="30" hidden="false" customHeight="true" outlineLevel="0" collapsed="false">
      <c r="A29" s="51" t="n">
        <v>21</v>
      </c>
      <c r="B29" s="52" t="s">
        <v>486</v>
      </c>
      <c r="C29" s="52" t="s">
        <v>500</v>
      </c>
      <c r="D29" s="52" t="s">
        <v>1127</v>
      </c>
      <c r="E29" s="51" t="s">
        <v>459</v>
      </c>
      <c r="F29" s="51" t="s">
        <v>459</v>
      </c>
      <c r="G29" s="51" t="s">
        <v>907</v>
      </c>
      <c r="H29" s="51" t="s">
        <v>461</v>
      </c>
      <c r="I29" s="52" t="s">
        <v>1860</v>
      </c>
      <c r="J29" s="52"/>
      <c r="K29" s="53" t="n">
        <f aca="false">IF(AND(E29="yes",F29="yes",H29="covered"),1,IF(H29="partial",0.5,0))</f>
        <v>1</v>
      </c>
    </row>
    <row r="30" customFormat="false" ht="30" hidden="false" customHeight="true" outlineLevel="0" collapsed="false">
      <c r="A30" s="51" t="n">
        <v>22</v>
      </c>
      <c r="B30" s="52" t="s">
        <v>486</v>
      </c>
      <c r="C30" s="52" t="s">
        <v>500</v>
      </c>
      <c r="D30" s="52" t="s">
        <v>1128</v>
      </c>
      <c r="E30" s="51" t="s">
        <v>459</v>
      </c>
      <c r="F30" s="51" t="s">
        <v>459</v>
      </c>
      <c r="G30" s="51" t="s">
        <v>907</v>
      </c>
      <c r="H30" s="51" t="s">
        <v>461</v>
      </c>
      <c r="I30" s="52" t="s">
        <v>1860</v>
      </c>
      <c r="J30" s="52"/>
      <c r="K30" s="53" t="n">
        <f aca="false">IF(AND(E30="yes",F30="yes",H30="covered"),1,IF(H30="partial",0.5,0))</f>
        <v>1</v>
      </c>
    </row>
    <row r="31" customFormat="false" ht="30" hidden="false" customHeight="true" outlineLevel="0" collapsed="false">
      <c r="A31" s="51" t="n">
        <v>23</v>
      </c>
      <c r="B31" s="52" t="s">
        <v>486</v>
      </c>
      <c r="C31" s="52" t="s">
        <v>500</v>
      </c>
      <c r="D31" s="52" t="s">
        <v>1129</v>
      </c>
      <c r="E31" s="51" t="s">
        <v>459</v>
      </c>
      <c r="F31" s="51" t="s">
        <v>459</v>
      </c>
      <c r="G31" s="51" t="s">
        <v>907</v>
      </c>
      <c r="H31" s="51" t="s">
        <v>461</v>
      </c>
      <c r="I31" s="52" t="s">
        <v>1860</v>
      </c>
      <c r="J31" s="52"/>
      <c r="K31" s="53" t="n">
        <f aca="false">IF(AND(E31="yes",F31="yes",H31="covered"),1,IF(H31="partial",0.5,0))</f>
        <v>1</v>
      </c>
    </row>
    <row r="32" customFormat="false" ht="30" hidden="false" customHeight="true" outlineLevel="0" collapsed="false">
      <c r="A32" s="51" t="n">
        <v>24</v>
      </c>
      <c r="B32" s="52" t="s">
        <v>486</v>
      </c>
      <c r="C32" s="52" t="s">
        <v>500</v>
      </c>
      <c r="D32" s="52" t="s">
        <v>1130</v>
      </c>
      <c r="E32" s="51" t="s">
        <v>459</v>
      </c>
      <c r="F32" s="51" t="s">
        <v>459</v>
      </c>
      <c r="G32" s="51" t="s">
        <v>907</v>
      </c>
      <c r="H32" s="51" t="s">
        <v>461</v>
      </c>
      <c r="I32" s="52" t="s">
        <v>1860</v>
      </c>
      <c r="J32" s="52"/>
      <c r="K32" s="53" t="n">
        <f aca="false">IF(AND(E32="yes",F32="yes",H32="covered"),1,IF(H32="partial",0.5,0))</f>
        <v>1</v>
      </c>
    </row>
    <row r="33" customFormat="false" ht="30" hidden="false" customHeight="true" outlineLevel="0" collapsed="false">
      <c r="A33" s="51" t="n">
        <v>25</v>
      </c>
      <c r="B33" s="52" t="s">
        <v>486</v>
      </c>
      <c r="C33" s="52" t="s">
        <v>500</v>
      </c>
      <c r="D33" s="52" t="s">
        <v>631</v>
      </c>
      <c r="E33" s="51" t="s">
        <v>459</v>
      </c>
      <c r="F33" s="51" t="s">
        <v>459</v>
      </c>
      <c r="G33" s="51" t="s">
        <v>907</v>
      </c>
      <c r="H33" s="51" t="s">
        <v>461</v>
      </c>
      <c r="I33" s="52" t="s">
        <v>1860</v>
      </c>
      <c r="J33" s="52"/>
      <c r="K33" s="53" t="n">
        <f aca="false">IF(AND(E33="yes",F33="yes",H33="covered"),1,IF(H33="partial",0.5,0))</f>
        <v>1</v>
      </c>
    </row>
    <row r="34" customFormat="false" ht="45" hidden="false" customHeight="true" outlineLevel="0" collapsed="false">
      <c r="A34" s="51" t="n">
        <v>26</v>
      </c>
      <c r="B34" s="52" t="s">
        <v>486</v>
      </c>
      <c r="C34" s="52" t="s">
        <v>500</v>
      </c>
      <c r="D34" s="52" t="s">
        <v>1131</v>
      </c>
      <c r="E34" s="51" t="s">
        <v>459</v>
      </c>
      <c r="F34" s="51" t="s">
        <v>459</v>
      </c>
      <c r="G34" s="51" t="s">
        <v>907</v>
      </c>
      <c r="H34" s="51" t="s">
        <v>461</v>
      </c>
      <c r="I34" s="52" t="s">
        <v>1860</v>
      </c>
      <c r="J34" s="52"/>
      <c r="K34" s="53" t="n">
        <f aca="false">IF(AND(E34="yes",F34="yes",H34="covered"),1,IF(H34="partial",0.5,0))</f>
        <v>1</v>
      </c>
    </row>
    <row r="35" customFormat="false" ht="45" hidden="false" customHeight="true" outlineLevel="0" collapsed="false">
      <c r="A35" s="51" t="n">
        <v>27</v>
      </c>
      <c r="B35" s="52" t="s">
        <v>486</v>
      </c>
      <c r="C35" s="52" t="s">
        <v>500</v>
      </c>
      <c r="D35" s="52" t="s">
        <v>1132</v>
      </c>
      <c r="E35" s="51" t="s">
        <v>459</v>
      </c>
      <c r="F35" s="51" t="s">
        <v>459</v>
      </c>
      <c r="G35" s="51" t="s">
        <v>907</v>
      </c>
      <c r="H35" s="51" t="s">
        <v>461</v>
      </c>
      <c r="I35" s="52" t="s">
        <v>1860</v>
      </c>
      <c r="J35" s="52"/>
      <c r="K35" s="53" t="n">
        <f aca="false">IF(AND(E35="yes",F35="yes",H35="covered"),1,IF(H35="partial",0.5,0))</f>
        <v>1</v>
      </c>
    </row>
    <row r="36" customFormat="false" ht="30" hidden="false" customHeight="true" outlineLevel="0" collapsed="false">
      <c r="A36" s="51" t="n">
        <v>28</v>
      </c>
      <c r="B36" s="52" t="s">
        <v>486</v>
      </c>
      <c r="C36" s="52" t="s">
        <v>500</v>
      </c>
      <c r="D36" s="52" t="s">
        <v>1133</v>
      </c>
      <c r="E36" s="51" t="s">
        <v>459</v>
      </c>
      <c r="F36" s="51" t="s">
        <v>459</v>
      </c>
      <c r="G36" s="51" t="s">
        <v>907</v>
      </c>
      <c r="H36" s="51" t="s">
        <v>461</v>
      </c>
      <c r="I36" s="52" t="s">
        <v>1860</v>
      </c>
      <c r="J36" s="52"/>
      <c r="K36" s="53" t="n">
        <f aca="false">IF(AND(E36="yes",F36="yes",H36="covered"),1,IF(H36="partial",0.5,0))</f>
        <v>1</v>
      </c>
    </row>
    <row r="37" customFormat="false" ht="45" hidden="false" customHeight="true" outlineLevel="0" collapsed="false">
      <c r="A37" s="51" t="n">
        <v>29</v>
      </c>
      <c r="B37" s="52" t="s">
        <v>486</v>
      </c>
      <c r="C37" s="52" t="s">
        <v>500</v>
      </c>
      <c r="D37" s="52" t="s">
        <v>1134</v>
      </c>
      <c r="E37" s="51" t="s">
        <v>459</v>
      </c>
      <c r="F37" s="51" t="s">
        <v>459</v>
      </c>
      <c r="G37" s="51" t="s">
        <v>907</v>
      </c>
      <c r="H37" s="51" t="s">
        <v>461</v>
      </c>
      <c r="I37" s="52" t="s">
        <v>1860</v>
      </c>
      <c r="J37" s="52"/>
      <c r="K37" s="53" t="n">
        <f aca="false">IF(AND(E37="yes",F37="yes",H37="covered"),1,IF(H37="partial",0.5,0))</f>
        <v>1</v>
      </c>
    </row>
    <row r="38" customFormat="false" ht="30" hidden="false" customHeight="true" outlineLevel="0" collapsed="false">
      <c r="A38" s="51" t="n">
        <v>30</v>
      </c>
      <c r="B38" s="52" t="s">
        <v>486</v>
      </c>
      <c r="C38" s="52" t="s">
        <v>500</v>
      </c>
      <c r="D38" s="52" t="s">
        <v>1862</v>
      </c>
      <c r="E38" s="51" t="s">
        <v>459</v>
      </c>
      <c r="F38" s="51" t="s">
        <v>459</v>
      </c>
      <c r="G38" s="51" t="s">
        <v>907</v>
      </c>
      <c r="H38" s="51" t="s">
        <v>461</v>
      </c>
      <c r="I38" s="52" t="s">
        <v>1860</v>
      </c>
      <c r="J38" s="52"/>
      <c r="K38" s="53" t="n">
        <f aca="false">IF(AND(E38="yes",F38="yes",H38="covered"),1,IF(H38="partial",0.5,0))</f>
        <v>1</v>
      </c>
    </row>
    <row r="39" customFormat="false" ht="30" hidden="false" customHeight="true" outlineLevel="0" collapsed="false">
      <c r="A39" s="51" t="n">
        <v>31</v>
      </c>
      <c r="B39" s="52" t="s">
        <v>486</v>
      </c>
      <c r="C39" s="52" t="s">
        <v>500</v>
      </c>
      <c r="D39" s="52" t="s">
        <v>1115</v>
      </c>
      <c r="E39" s="51" t="s">
        <v>459</v>
      </c>
      <c r="F39" s="51" t="s">
        <v>459</v>
      </c>
      <c r="G39" s="51" t="s">
        <v>907</v>
      </c>
      <c r="H39" s="51" t="s">
        <v>461</v>
      </c>
      <c r="I39" s="52" t="s">
        <v>1860</v>
      </c>
      <c r="J39" s="52"/>
      <c r="K39" s="53" t="n">
        <f aca="false">IF(AND(E39="yes",F39="yes",H39="covered"),1,IF(H39="partial",0.5,0))</f>
        <v>1</v>
      </c>
    </row>
    <row r="40" customFormat="false" ht="30" hidden="false" customHeight="true" outlineLevel="0" collapsed="false">
      <c r="A40" s="51" t="n">
        <v>32</v>
      </c>
      <c r="B40" s="52" t="s">
        <v>486</v>
      </c>
      <c r="C40" s="52" t="s">
        <v>500</v>
      </c>
      <c r="D40" s="52" t="s">
        <v>1135</v>
      </c>
      <c r="E40" s="51" t="s">
        <v>459</v>
      </c>
      <c r="F40" s="51" t="s">
        <v>459</v>
      </c>
      <c r="G40" s="51" t="s">
        <v>907</v>
      </c>
      <c r="H40" s="51" t="s">
        <v>461</v>
      </c>
      <c r="I40" s="52" t="s">
        <v>1860</v>
      </c>
      <c r="J40" s="52"/>
      <c r="K40" s="53" t="n">
        <f aca="false">IF(AND(E40="yes",F40="yes",H40="covered"),1,IF(H40="partial",0.5,0))</f>
        <v>1</v>
      </c>
    </row>
    <row r="41" customFormat="false" ht="30" hidden="false" customHeight="true" outlineLevel="0" collapsed="false">
      <c r="A41" s="51" t="n">
        <v>33</v>
      </c>
      <c r="B41" s="52" t="s">
        <v>486</v>
      </c>
      <c r="C41" s="52" t="s">
        <v>502</v>
      </c>
      <c r="D41" s="52" t="s">
        <v>1136</v>
      </c>
      <c r="E41" s="51" t="s">
        <v>459</v>
      </c>
      <c r="F41" s="51" t="s">
        <v>459</v>
      </c>
      <c r="G41" s="51" t="s">
        <v>907</v>
      </c>
      <c r="H41" s="51" t="s">
        <v>461</v>
      </c>
      <c r="I41" s="52" t="s">
        <v>1860</v>
      </c>
      <c r="J41" s="52"/>
      <c r="K41" s="53" t="n">
        <f aca="false">IF(AND(E41="yes",F41="yes",H41="covered"),1,IF(H41="partial",0.5,0))</f>
        <v>1</v>
      </c>
    </row>
    <row r="42" customFormat="false" ht="30" hidden="false" customHeight="true" outlineLevel="0" collapsed="false">
      <c r="A42" s="51" t="n">
        <v>34</v>
      </c>
      <c r="B42" s="52" t="s">
        <v>486</v>
      </c>
      <c r="C42" s="52" t="s">
        <v>502</v>
      </c>
      <c r="D42" s="52" t="s">
        <v>1137</v>
      </c>
      <c r="E42" s="51" t="s">
        <v>459</v>
      </c>
      <c r="F42" s="51" t="s">
        <v>459</v>
      </c>
      <c r="G42" s="51" t="s">
        <v>907</v>
      </c>
      <c r="H42" s="51" t="s">
        <v>461</v>
      </c>
      <c r="I42" s="52" t="s">
        <v>1860</v>
      </c>
      <c r="J42" s="52"/>
      <c r="K42" s="53" t="n">
        <f aca="false">IF(AND(E42="yes",F42="yes",H42="covered"),1,IF(H42="partial",0.5,0))</f>
        <v>1</v>
      </c>
    </row>
    <row r="43" customFormat="false" ht="30" hidden="false" customHeight="true" outlineLevel="0" collapsed="false">
      <c r="A43" s="51" t="n">
        <v>35</v>
      </c>
      <c r="B43" s="52" t="s">
        <v>486</v>
      </c>
      <c r="C43" s="52" t="s">
        <v>502</v>
      </c>
      <c r="D43" s="52" t="s">
        <v>1184</v>
      </c>
      <c r="E43" s="51" t="s">
        <v>459</v>
      </c>
      <c r="F43" s="51" t="s">
        <v>459</v>
      </c>
      <c r="G43" s="51" t="s">
        <v>907</v>
      </c>
      <c r="H43" s="51" t="s">
        <v>461</v>
      </c>
      <c r="I43" s="52" t="s">
        <v>1860</v>
      </c>
      <c r="J43" s="52"/>
      <c r="K43" s="53" t="n">
        <f aca="false">IF(AND(E43="yes",F43="yes",H43="covered"),1,IF(H43="partial",0.5,0))</f>
        <v>1</v>
      </c>
    </row>
    <row r="44" customFormat="false" ht="30" hidden="false" customHeight="true" outlineLevel="0" collapsed="false">
      <c r="A44" s="51" t="n">
        <v>36</v>
      </c>
      <c r="B44" s="52" t="s">
        <v>486</v>
      </c>
      <c r="C44" s="52" t="s">
        <v>502</v>
      </c>
      <c r="D44" s="52" t="s">
        <v>1139</v>
      </c>
      <c r="E44" s="51" t="s">
        <v>459</v>
      </c>
      <c r="F44" s="51" t="s">
        <v>459</v>
      </c>
      <c r="G44" s="51" t="s">
        <v>907</v>
      </c>
      <c r="H44" s="51" t="s">
        <v>461</v>
      </c>
      <c r="I44" s="52" t="s">
        <v>1860</v>
      </c>
      <c r="J44" s="52"/>
      <c r="K44" s="53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51" t="n">
        <v>37</v>
      </c>
      <c r="B45" s="52" t="s">
        <v>486</v>
      </c>
      <c r="C45" s="52" t="s">
        <v>502</v>
      </c>
      <c r="D45" s="52" t="s">
        <v>1504</v>
      </c>
      <c r="E45" s="51" t="s">
        <v>459</v>
      </c>
      <c r="F45" s="51" t="s">
        <v>459</v>
      </c>
      <c r="G45" s="51" t="s">
        <v>907</v>
      </c>
      <c r="H45" s="51" t="s">
        <v>461</v>
      </c>
      <c r="I45" s="52" t="s">
        <v>1860</v>
      </c>
      <c r="J45" s="52"/>
      <c r="K45" s="53" t="n">
        <f aca="false">IF(AND(E45="yes",F45="yes",H45="covered"),1,IF(H45="partial",0.5,0))</f>
        <v>1</v>
      </c>
    </row>
    <row r="46" customFormat="false" ht="30" hidden="false" customHeight="true" outlineLevel="0" collapsed="false">
      <c r="A46" s="51" t="n">
        <v>38</v>
      </c>
      <c r="B46" s="52" t="s">
        <v>486</v>
      </c>
      <c r="C46" s="52" t="s">
        <v>502</v>
      </c>
      <c r="D46" s="52" t="s">
        <v>1505</v>
      </c>
      <c r="E46" s="51" t="s">
        <v>459</v>
      </c>
      <c r="F46" s="51" t="s">
        <v>459</v>
      </c>
      <c r="G46" s="51" t="s">
        <v>907</v>
      </c>
      <c r="H46" s="51" t="s">
        <v>461</v>
      </c>
      <c r="I46" s="52" t="s">
        <v>1860</v>
      </c>
      <c r="J46" s="52"/>
      <c r="K46" s="53" t="n">
        <f aca="false">IF(AND(E46="yes",F46="yes",H46="covered"),1,IF(H46="partial",0.5,0))</f>
        <v>1</v>
      </c>
    </row>
    <row r="47" customFormat="false" ht="30" hidden="false" customHeight="true" outlineLevel="0" collapsed="false">
      <c r="A47" s="51" t="n">
        <v>39</v>
      </c>
      <c r="B47" s="52" t="s">
        <v>486</v>
      </c>
      <c r="C47" s="52" t="s">
        <v>502</v>
      </c>
      <c r="D47" s="52" t="s">
        <v>1506</v>
      </c>
      <c r="E47" s="51" t="s">
        <v>459</v>
      </c>
      <c r="F47" s="51" t="s">
        <v>459</v>
      </c>
      <c r="G47" s="51" t="s">
        <v>907</v>
      </c>
      <c r="H47" s="51" t="s">
        <v>461</v>
      </c>
      <c r="I47" s="52" t="s">
        <v>1860</v>
      </c>
      <c r="J47" s="52"/>
      <c r="K47" s="53" t="n">
        <f aca="false">IF(AND(E47="yes",F47="yes",H47="covered"),1,IF(H47="partial",0.5,0))</f>
        <v>1</v>
      </c>
    </row>
    <row r="48" customFormat="false" ht="30" hidden="false" customHeight="true" outlineLevel="0" collapsed="false">
      <c r="A48" s="51" t="n">
        <v>40</v>
      </c>
      <c r="B48" s="52" t="s">
        <v>486</v>
      </c>
      <c r="C48" s="52" t="s">
        <v>502</v>
      </c>
      <c r="D48" s="52" t="s">
        <v>1507</v>
      </c>
      <c r="E48" s="51" t="s">
        <v>459</v>
      </c>
      <c r="F48" s="51" t="s">
        <v>459</v>
      </c>
      <c r="G48" s="51" t="s">
        <v>907</v>
      </c>
      <c r="H48" s="51" t="s">
        <v>461</v>
      </c>
      <c r="I48" s="52" t="s">
        <v>1860</v>
      </c>
      <c r="J48" s="52"/>
      <c r="K48" s="53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51" t="n">
        <v>41</v>
      </c>
      <c r="B49" s="52" t="s">
        <v>486</v>
      </c>
      <c r="C49" s="52" t="s">
        <v>502</v>
      </c>
      <c r="D49" s="52" t="s">
        <v>1508</v>
      </c>
      <c r="E49" s="51" t="s">
        <v>459</v>
      </c>
      <c r="F49" s="51" t="s">
        <v>459</v>
      </c>
      <c r="G49" s="51" t="s">
        <v>907</v>
      </c>
      <c r="H49" s="51" t="s">
        <v>461</v>
      </c>
      <c r="I49" s="52" t="s">
        <v>1860</v>
      </c>
      <c r="J49" s="52"/>
      <c r="K49" s="53" t="n">
        <f aca="false">IF(AND(E49="yes",F49="yes",H49="covered"),1,IF(H49="partial",0.5,0))</f>
        <v>1</v>
      </c>
    </row>
    <row r="50" customFormat="false" ht="30" hidden="false" customHeight="true" outlineLevel="0" collapsed="false">
      <c r="A50" s="51" t="n">
        <v>42</v>
      </c>
      <c r="B50" s="52" t="s">
        <v>486</v>
      </c>
      <c r="C50" s="52" t="s">
        <v>502</v>
      </c>
      <c r="D50" s="52" t="s">
        <v>1509</v>
      </c>
      <c r="E50" s="51" t="s">
        <v>459</v>
      </c>
      <c r="F50" s="51" t="s">
        <v>459</v>
      </c>
      <c r="G50" s="51" t="s">
        <v>907</v>
      </c>
      <c r="H50" s="51" t="s">
        <v>461</v>
      </c>
      <c r="I50" s="52" t="s">
        <v>1860</v>
      </c>
      <c r="J50" s="52"/>
      <c r="K50" s="53" t="n">
        <f aca="false">IF(AND(E50="yes",F50="yes",H50="covered"),1,IF(H50="partial",0.5,0))</f>
        <v>1</v>
      </c>
    </row>
    <row r="51" customFormat="false" ht="30" hidden="false" customHeight="true" outlineLevel="0" collapsed="false">
      <c r="A51" s="51" t="n">
        <v>43</v>
      </c>
      <c r="B51" s="52" t="s">
        <v>486</v>
      </c>
      <c r="C51" s="52" t="s">
        <v>502</v>
      </c>
      <c r="D51" s="52" t="s">
        <v>1510</v>
      </c>
      <c r="E51" s="51" t="s">
        <v>459</v>
      </c>
      <c r="F51" s="51" t="s">
        <v>459</v>
      </c>
      <c r="G51" s="51" t="s">
        <v>907</v>
      </c>
      <c r="H51" s="51" t="s">
        <v>461</v>
      </c>
      <c r="I51" s="52" t="s">
        <v>1860</v>
      </c>
      <c r="J51" s="52"/>
      <c r="K51" s="53" t="n">
        <f aca="false">IF(AND(E51="yes",F51="yes",H51="covered"),1,IF(H51="partial",0.5,0))</f>
        <v>1</v>
      </c>
    </row>
    <row r="52" customFormat="false" ht="45" hidden="false" customHeight="true" outlineLevel="0" collapsed="false">
      <c r="A52" s="51" t="n">
        <v>44</v>
      </c>
      <c r="B52" s="52" t="s">
        <v>486</v>
      </c>
      <c r="C52" s="52" t="s">
        <v>502</v>
      </c>
      <c r="D52" s="52" t="s">
        <v>1511</v>
      </c>
      <c r="E52" s="51" t="s">
        <v>459</v>
      </c>
      <c r="F52" s="51" t="s">
        <v>459</v>
      </c>
      <c r="G52" s="51" t="s">
        <v>907</v>
      </c>
      <c r="H52" s="51" t="s">
        <v>461</v>
      </c>
      <c r="I52" s="52" t="s">
        <v>1860</v>
      </c>
      <c r="J52" s="52"/>
      <c r="K52" s="53" t="n">
        <f aca="false">IF(AND(E52="yes",F52="yes",H52="covered"),1,IF(H52="partial",0.5,0))</f>
        <v>1</v>
      </c>
    </row>
    <row r="53" customFormat="false" ht="30" hidden="false" customHeight="true" outlineLevel="0" collapsed="false">
      <c r="A53" s="51" t="n">
        <v>45</v>
      </c>
      <c r="B53" s="52" t="s">
        <v>486</v>
      </c>
      <c r="C53" s="52" t="s">
        <v>502</v>
      </c>
      <c r="D53" s="52" t="s">
        <v>1145</v>
      </c>
      <c r="E53" s="51" t="s">
        <v>459</v>
      </c>
      <c r="F53" s="51" t="s">
        <v>459</v>
      </c>
      <c r="G53" s="51" t="s">
        <v>907</v>
      </c>
      <c r="H53" s="51" t="s">
        <v>461</v>
      </c>
      <c r="I53" s="52" t="s">
        <v>1860</v>
      </c>
      <c r="J53" s="52"/>
      <c r="K53" s="53" t="n">
        <f aca="false">IF(AND(E53="yes",F53="yes",H53="covered"),1,IF(H53="partial",0.5,0))</f>
        <v>1</v>
      </c>
    </row>
    <row r="54" customFormat="false" ht="30" hidden="false" customHeight="true" outlineLevel="0" collapsed="false">
      <c r="A54" s="51" t="n">
        <v>46</v>
      </c>
      <c r="B54" s="52" t="s">
        <v>486</v>
      </c>
      <c r="C54" s="52" t="s">
        <v>502</v>
      </c>
      <c r="D54" s="52" t="s">
        <v>1115</v>
      </c>
      <c r="E54" s="51" t="s">
        <v>459</v>
      </c>
      <c r="F54" s="51" t="s">
        <v>459</v>
      </c>
      <c r="G54" s="51" t="s">
        <v>907</v>
      </c>
      <c r="H54" s="51" t="s">
        <v>461</v>
      </c>
      <c r="I54" s="52" t="s">
        <v>1860</v>
      </c>
      <c r="J54" s="52"/>
      <c r="K54" s="53" t="n">
        <f aca="false">IF(AND(E54="yes",F54="yes",H54="covered"),1,IF(H54="partial",0.5,0))</f>
        <v>1</v>
      </c>
    </row>
    <row r="55" customFormat="false" ht="30" hidden="false" customHeight="true" outlineLevel="0" collapsed="false">
      <c r="A55" s="51" t="n">
        <v>47</v>
      </c>
      <c r="B55" s="52" t="s">
        <v>486</v>
      </c>
      <c r="C55" s="52" t="s">
        <v>1146</v>
      </c>
      <c r="D55" s="52" t="s">
        <v>1147</v>
      </c>
      <c r="E55" s="51" t="s">
        <v>459</v>
      </c>
      <c r="F55" s="51" t="s">
        <v>459</v>
      </c>
      <c r="G55" s="51" t="s">
        <v>907</v>
      </c>
      <c r="H55" s="51" t="s">
        <v>461</v>
      </c>
      <c r="I55" s="52" t="s">
        <v>1860</v>
      </c>
      <c r="J55" s="52"/>
      <c r="K55" s="53" t="n">
        <f aca="false">IF(AND(E55="yes",F55="yes",H55="covered"),1,IF(H55="partial",0.5,0))</f>
        <v>1</v>
      </c>
    </row>
    <row r="56" customFormat="false" ht="30" hidden="false" customHeight="true" outlineLevel="0" collapsed="false">
      <c r="A56" s="51" t="n">
        <v>48</v>
      </c>
      <c r="B56" s="52" t="s">
        <v>486</v>
      </c>
      <c r="C56" s="52" t="s">
        <v>1146</v>
      </c>
      <c r="D56" s="52" t="s">
        <v>1512</v>
      </c>
      <c r="E56" s="51" t="s">
        <v>459</v>
      </c>
      <c r="F56" s="51" t="s">
        <v>459</v>
      </c>
      <c r="G56" s="51" t="s">
        <v>907</v>
      </c>
      <c r="H56" s="51" t="s">
        <v>461</v>
      </c>
      <c r="I56" s="52" t="s">
        <v>1860</v>
      </c>
      <c r="J56" s="52"/>
      <c r="K56" s="53" t="n">
        <f aca="false">IF(AND(E56="yes",F56="yes",H56="covered"),1,IF(H56="partial",0.5,0))</f>
        <v>1</v>
      </c>
    </row>
    <row r="57" customFormat="false" ht="30" hidden="false" customHeight="true" outlineLevel="0" collapsed="false">
      <c r="A57" s="51" t="n">
        <v>49</v>
      </c>
      <c r="B57" s="52" t="s">
        <v>486</v>
      </c>
      <c r="C57" s="52" t="s">
        <v>1146</v>
      </c>
      <c r="D57" s="52" t="s">
        <v>1513</v>
      </c>
      <c r="E57" s="51" t="s">
        <v>459</v>
      </c>
      <c r="F57" s="51" t="s">
        <v>459</v>
      </c>
      <c r="G57" s="51" t="s">
        <v>907</v>
      </c>
      <c r="H57" s="51" t="s">
        <v>461</v>
      </c>
      <c r="I57" s="52" t="s">
        <v>1860</v>
      </c>
      <c r="J57" s="52"/>
      <c r="K57" s="53" t="n">
        <f aca="false">IF(AND(E57="yes",F57="yes",H57="covered"),1,IF(H57="partial",0.5,0))</f>
        <v>1</v>
      </c>
    </row>
    <row r="58" customFormat="false" ht="30" hidden="false" customHeight="true" outlineLevel="0" collapsed="false">
      <c r="A58" s="51" t="n">
        <v>50</v>
      </c>
      <c r="B58" s="52" t="s">
        <v>486</v>
      </c>
      <c r="C58" s="52" t="s">
        <v>1146</v>
      </c>
      <c r="D58" s="52" t="s">
        <v>1514</v>
      </c>
      <c r="E58" s="51" t="s">
        <v>459</v>
      </c>
      <c r="F58" s="51" t="s">
        <v>459</v>
      </c>
      <c r="G58" s="51" t="s">
        <v>907</v>
      </c>
      <c r="H58" s="51" t="s">
        <v>461</v>
      </c>
      <c r="I58" s="52" t="s">
        <v>1860</v>
      </c>
      <c r="J58" s="52"/>
      <c r="K58" s="53" t="n">
        <f aca="false">IF(AND(E58="yes",F58="yes",H58="covered"),1,IF(H58="partial",0.5,0))</f>
        <v>1</v>
      </c>
    </row>
    <row r="59" customFormat="false" ht="30" hidden="false" customHeight="true" outlineLevel="0" collapsed="false">
      <c r="A59" s="51" t="n">
        <v>51</v>
      </c>
      <c r="B59" s="52" t="s">
        <v>486</v>
      </c>
      <c r="C59" s="52" t="s">
        <v>1146</v>
      </c>
      <c r="D59" s="52" t="s">
        <v>1515</v>
      </c>
      <c r="E59" s="51" t="s">
        <v>459</v>
      </c>
      <c r="F59" s="51" t="s">
        <v>459</v>
      </c>
      <c r="G59" s="51" t="s">
        <v>907</v>
      </c>
      <c r="H59" s="51" t="s">
        <v>461</v>
      </c>
      <c r="I59" s="52" t="s">
        <v>1860</v>
      </c>
      <c r="J59" s="52"/>
      <c r="K59" s="53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51" t="n">
        <v>52</v>
      </c>
      <c r="B60" s="52" t="s">
        <v>486</v>
      </c>
      <c r="C60" s="52" t="s">
        <v>1146</v>
      </c>
      <c r="D60" s="52" t="s">
        <v>1516</v>
      </c>
      <c r="E60" s="51" t="s">
        <v>459</v>
      </c>
      <c r="F60" s="51" t="s">
        <v>459</v>
      </c>
      <c r="G60" s="51" t="s">
        <v>907</v>
      </c>
      <c r="H60" s="51" t="s">
        <v>461</v>
      </c>
      <c r="I60" s="52" t="s">
        <v>1860</v>
      </c>
      <c r="J60" s="52"/>
      <c r="K60" s="53" t="n">
        <f aca="false">IF(AND(E60="yes",F60="yes",H60="covered"),1,IF(H60="partial",0.5,0))</f>
        <v>1</v>
      </c>
    </row>
    <row r="61" customFormat="false" ht="30" hidden="false" customHeight="true" outlineLevel="0" collapsed="false">
      <c r="A61" s="51" t="n">
        <v>53</v>
      </c>
      <c r="B61" s="52" t="s">
        <v>486</v>
      </c>
      <c r="C61" s="52" t="s">
        <v>1146</v>
      </c>
      <c r="D61" s="52" t="s">
        <v>1153</v>
      </c>
      <c r="E61" s="51" t="s">
        <v>459</v>
      </c>
      <c r="F61" s="51" t="s">
        <v>459</v>
      </c>
      <c r="G61" s="51" t="s">
        <v>907</v>
      </c>
      <c r="H61" s="51" t="s">
        <v>461</v>
      </c>
      <c r="I61" s="52" t="s">
        <v>1860</v>
      </c>
      <c r="J61" s="52"/>
      <c r="K61" s="53" t="n">
        <f aca="false">IF(AND(E61="yes",F61="yes",H61="covered"),1,IF(H61="partial",0.5,0))</f>
        <v>1</v>
      </c>
    </row>
    <row r="62" customFormat="false" ht="30" hidden="false" customHeight="true" outlineLevel="0" collapsed="false">
      <c r="A62" s="51" t="n">
        <v>54</v>
      </c>
      <c r="B62" s="52" t="s">
        <v>486</v>
      </c>
      <c r="C62" s="52" t="s">
        <v>1146</v>
      </c>
      <c r="D62" s="52" t="s">
        <v>1154</v>
      </c>
      <c r="E62" s="51" t="s">
        <v>459</v>
      </c>
      <c r="F62" s="51" t="s">
        <v>459</v>
      </c>
      <c r="G62" s="51" t="s">
        <v>907</v>
      </c>
      <c r="H62" s="51" t="s">
        <v>461</v>
      </c>
      <c r="I62" s="52" t="s">
        <v>1860</v>
      </c>
      <c r="J62" s="52"/>
      <c r="K62" s="53" t="n">
        <f aca="false">IF(AND(E62="yes",F62="yes",H62="covered"),1,IF(H62="partial",0.5,0))</f>
        <v>1</v>
      </c>
    </row>
    <row r="63" customFormat="false" ht="30" hidden="false" customHeight="true" outlineLevel="0" collapsed="false">
      <c r="A63" s="51" t="n">
        <v>55</v>
      </c>
      <c r="B63" s="52" t="s">
        <v>486</v>
      </c>
      <c r="C63" s="52" t="s">
        <v>1146</v>
      </c>
      <c r="D63" s="52" t="s">
        <v>1184</v>
      </c>
      <c r="E63" s="51" t="s">
        <v>459</v>
      </c>
      <c r="F63" s="51" t="s">
        <v>459</v>
      </c>
      <c r="G63" s="51" t="s">
        <v>907</v>
      </c>
      <c r="H63" s="51" t="s">
        <v>461</v>
      </c>
      <c r="I63" s="52" t="s">
        <v>1860</v>
      </c>
      <c r="J63" s="52"/>
      <c r="K63" s="53" t="n">
        <f aca="false">IF(AND(E63="yes",F63="yes",H63="covered"),1,IF(H63="partial",0.5,0))</f>
        <v>1</v>
      </c>
    </row>
    <row r="64" customFormat="false" ht="30" hidden="false" customHeight="true" outlineLevel="0" collapsed="false">
      <c r="A64" s="51" t="n">
        <v>56</v>
      </c>
      <c r="B64" s="52" t="s">
        <v>486</v>
      </c>
      <c r="C64" s="52" t="s">
        <v>1155</v>
      </c>
      <c r="D64" s="52" t="s">
        <v>1156</v>
      </c>
      <c r="E64" s="51" t="s">
        <v>459</v>
      </c>
      <c r="F64" s="51" t="s">
        <v>459</v>
      </c>
      <c r="G64" s="51" t="s">
        <v>907</v>
      </c>
      <c r="H64" s="51" t="s">
        <v>461</v>
      </c>
      <c r="I64" s="52" t="s">
        <v>1860</v>
      </c>
      <c r="J64" s="52"/>
      <c r="K64" s="53" t="n">
        <f aca="false">IF(AND(E64="yes",F64="yes",H64="covered"),1,IF(H64="partial",0.5,0))</f>
        <v>1</v>
      </c>
    </row>
    <row r="65" customFormat="false" ht="30" hidden="false" customHeight="true" outlineLevel="0" collapsed="false">
      <c r="A65" s="51" t="n">
        <v>57</v>
      </c>
      <c r="B65" s="52" t="s">
        <v>486</v>
      </c>
      <c r="C65" s="52" t="s">
        <v>1155</v>
      </c>
      <c r="D65" s="52" t="s">
        <v>1157</v>
      </c>
      <c r="E65" s="51" t="s">
        <v>459</v>
      </c>
      <c r="F65" s="51" t="s">
        <v>459</v>
      </c>
      <c r="G65" s="51" t="s">
        <v>907</v>
      </c>
      <c r="H65" s="51" t="s">
        <v>461</v>
      </c>
      <c r="I65" s="52" t="s">
        <v>1860</v>
      </c>
      <c r="J65" s="52"/>
      <c r="K65" s="53" t="n">
        <f aca="false">IF(AND(E65="yes",F65="yes",H65="covered"),1,IF(H65="partial",0.5,0))</f>
        <v>1</v>
      </c>
    </row>
    <row r="66" customFormat="false" ht="45" hidden="false" customHeight="true" outlineLevel="0" collapsed="false">
      <c r="A66" s="51" t="n">
        <v>58</v>
      </c>
      <c r="B66" s="52" t="s">
        <v>486</v>
      </c>
      <c r="C66" s="52" t="s">
        <v>1155</v>
      </c>
      <c r="D66" s="52" t="s">
        <v>1517</v>
      </c>
      <c r="E66" s="51" t="s">
        <v>459</v>
      </c>
      <c r="F66" s="51" t="s">
        <v>459</v>
      </c>
      <c r="G66" s="51" t="s">
        <v>907</v>
      </c>
      <c r="H66" s="51" t="s">
        <v>461</v>
      </c>
      <c r="I66" s="52" t="s">
        <v>1860</v>
      </c>
      <c r="J66" s="52"/>
      <c r="K66" s="53" t="n">
        <f aca="false">IF(AND(E66="yes",F66="yes",H66="covered"),1,IF(H66="partial",0.5,0))</f>
        <v>1</v>
      </c>
    </row>
    <row r="67" customFormat="false" ht="45" hidden="false" customHeight="true" outlineLevel="0" collapsed="false">
      <c r="A67" s="51" t="n">
        <v>59</v>
      </c>
      <c r="B67" s="52" t="s">
        <v>486</v>
      </c>
      <c r="C67" s="52" t="s">
        <v>1155</v>
      </c>
      <c r="D67" s="52" t="s">
        <v>1518</v>
      </c>
      <c r="E67" s="51" t="s">
        <v>459</v>
      </c>
      <c r="F67" s="51" t="s">
        <v>459</v>
      </c>
      <c r="G67" s="51" t="s">
        <v>907</v>
      </c>
      <c r="H67" s="51" t="s">
        <v>461</v>
      </c>
      <c r="I67" s="52" t="s">
        <v>1860</v>
      </c>
      <c r="J67" s="52"/>
      <c r="K67" s="53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51" t="n">
        <v>60</v>
      </c>
      <c r="B68" s="52" t="s">
        <v>486</v>
      </c>
      <c r="C68" s="52" t="s">
        <v>1155</v>
      </c>
      <c r="D68" s="52" t="s">
        <v>1519</v>
      </c>
      <c r="E68" s="51" t="s">
        <v>459</v>
      </c>
      <c r="F68" s="51" t="s">
        <v>459</v>
      </c>
      <c r="G68" s="51" t="s">
        <v>907</v>
      </c>
      <c r="H68" s="51" t="s">
        <v>461</v>
      </c>
      <c r="I68" s="52" t="s">
        <v>1860</v>
      </c>
      <c r="J68" s="52"/>
      <c r="K68" s="53" t="n">
        <f aca="false">IF(AND(E68="yes",F68="yes",H68="covered"),1,IF(H68="partial",0.5,0))</f>
        <v>1</v>
      </c>
    </row>
    <row r="69" customFormat="false" ht="30" hidden="false" customHeight="true" outlineLevel="0" collapsed="false">
      <c r="A69" s="51" t="n">
        <v>61</v>
      </c>
      <c r="B69" s="52" t="s">
        <v>486</v>
      </c>
      <c r="C69" s="52" t="s">
        <v>1155</v>
      </c>
      <c r="D69" s="52" t="s">
        <v>1115</v>
      </c>
      <c r="E69" s="51" t="s">
        <v>459</v>
      </c>
      <c r="F69" s="51" t="s">
        <v>459</v>
      </c>
      <c r="G69" s="51" t="s">
        <v>907</v>
      </c>
      <c r="H69" s="51" t="s">
        <v>461</v>
      </c>
      <c r="I69" s="52" t="s">
        <v>1860</v>
      </c>
      <c r="J69" s="52"/>
      <c r="K69" s="53" t="n">
        <f aca="false">IF(AND(E69="yes",F69="yes",H69="covered"),1,IF(H69="partial",0.5,0))</f>
        <v>1</v>
      </c>
    </row>
    <row r="70" customFormat="false" ht="30" hidden="false" customHeight="true" outlineLevel="0" collapsed="false">
      <c r="A70" s="51" t="n">
        <v>62</v>
      </c>
      <c r="B70" s="52" t="s">
        <v>486</v>
      </c>
      <c r="C70" s="52" t="s">
        <v>1160</v>
      </c>
      <c r="D70" s="52" t="s">
        <v>1161</v>
      </c>
      <c r="E70" s="51" t="s">
        <v>459</v>
      </c>
      <c r="F70" s="51" t="s">
        <v>459</v>
      </c>
      <c r="G70" s="51" t="s">
        <v>907</v>
      </c>
      <c r="H70" s="51" t="s">
        <v>461</v>
      </c>
      <c r="I70" s="52" t="s">
        <v>1860</v>
      </c>
      <c r="J70" s="52"/>
      <c r="K70" s="53" t="n">
        <f aca="false">IF(AND(E70="yes",F70="yes",H70="covered"),1,IF(H70="partial",0.5,0))</f>
        <v>1</v>
      </c>
    </row>
    <row r="71" customFormat="false" ht="30" hidden="false" customHeight="true" outlineLevel="0" collapsed="false">
      <c r="A71" s="51" t="n">
        <v>63</v>
      </c>
      <c r="B71" s="52" t="s">
        <v>486</v>
      </c>
      <c r="C71" s="52" t="s">
        <v>1160</v>
      </c>
      <c r="D71" s="52" t="s">
        <v>1520</v>
      </c>
      <c r="E71" s="51" t="s">
        <v>459</v>
      </c>
      <c r="F71" s="51" t="s">
        <v>459</v>
      </c>
      <c r="G71" s="51" t="s">
        <v>907</v>
      </c>
      <c r="H71" s="51" t="s">
        <v>461</v>
      </c>
      <c r="I71" s="52" t="s">
        <v>1860</v>
      </c>
      <c r="J71" s="52"/>
      <c r="K71" s="53" t="n">
        <f aca="false">IF(AND(E71="yes",F71="yes",H71="covered"),1,IF(H71="partial",0.5,0))</f>
        <v>1</v>
      </c>
    </row>
    <row r="72" customFormat="false" ht="30" hidden="false" customHeight="true" outlineLevel="0" collapsed="false">
      <c r="A72" s="51" t="n">
        <v>64</v>
      </c>
      <c r="B72" s="52" t="s">
        <v>486</v>
      </c>
      <c r="C72" s="52" t="s">
        <v>1160</v>
      </c>
      <c r="D72" s="52" t="s">
        <v>1521</v>
      </c>
      <c r="E72" s="51" t="s">
        <v>459</v>
      </c>
      <c r="F72" s="51" t="s">
        <v>459</v>
      </c>
      <c r="G72" s="51" t="s">
        <v>907</v>
      </c>
      <c r="H72" s="51" t="s">
        <v>461</v>
      </c>
      <c r="I72" s="52" t="s">
        <v>1860</v>
      </c>
      <c r="J72" s="52"/>
      <c r="K72" s="53" t="n">
        <f aca="false">IF(AND(E72="yes",F72="yes",H72="covered"),1,IF(H72="partial",0.5,0))</f>
        <v>1</v>
      </c>
    </row>
    <row r="73" customFormat="false" ht="30" hidden="false" customHeight="true" outlineLevel="0" collapsed="false">
      <c r="A73" s="51" t="n">
        <v>65</v>
      </c>
      <c r="B73" s="52" t="s">
        <v>486</v>
      </c>
      <c r="C73" s="52" t="s">
        <v>1160</v>
      </c>
      <c r="D73" s="52" t="s">
        <v>1522</v>
      </c>
      <c r="E73" s="51" t="s">
        <v>459</v>
      </c>
      <c r="F73" s="51" t="s">
        <v>459</v>
      </c>
      <c r="G73" s="51" t="s">
        <v>907</v>
      </c>
      <c r="H73" s="51" t="s">
        <v>461</v>
      </c>
      <c r="I73" s="52" t="s">
        <v>1860</v>
      </c>
      <c r="J73" s="52"/>
      <c r="K73" s="53" t="n">
        <f aca="false">IF(AND(E73="yes",F73="yes",H73="covered"),1,IF(H73="partial",0.5,0))</f>
        <v>1</v>
      </c>
    </row>
    <row r="74" customFormat="false" ht="30" hidden="false" customHeight="true" outlineLevel="0" collapsed="false">
      <c r="A74" s="51" t="n">
        <v>66</v>
      </c>
      <c r="B74" s="52" t="s">
        <v>486</v>
      </c>
      <c r="C74" s="52" t="s">
        <v>1160</v>
      </c>
      <c r="D74" s="52" t="s">
        <v>1164</v>
      </c>
      <c r="E74" s="51" t="s">
        <v>459</v>
      </c>
      <c r="F74" s="51" t="s">
        <v>459</v>
      </c>
      <c r="G74" s="51" t="s">
        <v>907</v>
      </c>
      <c r="H74" s="51" t="s">
        <v>461</v>
      </c>
      <c r="I74" s="52" t="s">
        <v>1860</v>
      </c>
      <c r="J74" s="52"/>
      <c r="K74" s="53" t="n">
        <f aca="false">IF(AND(E74="yes",F74="yes",H74="covered"),1,IF(H74="partial",0.5,0))</f>
        <v>1</v>
      </c>
    </row>
    <row r="75" customFormat="false" ht="30" hidden="false" customHeight="true" outlineLevel="0" collapsed="false">
      <c r="A75" s="51" t="n">
        <v>67</v>
      </c>
      <c r="B75" s="52" t="s">
        <v>486</v>
      </c>
      <c r="C75" s="52" t="s">
        <v>1160</v>
      </c>
      <c r="D75" s="52" t="s">
        <v>1165</v>
      </c>
      <c r="E75" s="51" t="s">
        <v>459</v>
      </c>
      <c r="F75" s="51" t="s">
        <v>459</v>
      </c>
      <c r="G75" s="51" t="s">
        <v>907</v>
      </c>
      <c r="H75" s="51" t="s">
        <v>461</v>
      </c>
      <c r="I75" s="52" t="s">
        <v>1860</v>
      </c>
      <c r="J75" s="52"/>
      <c r="K75" s="53" t="n">
        <f aca="false">IF(AND(E75="yes",F75="yes",H75="covered"),1,IF(H75="partial",0.5,0))</f>
        <v>1</v>
      </c>
    </row>
    <row r="76" customFormat="false" ht="30" hidden="false" customHeight="true" outlineLevel="0" collapsed="false">
      <c r="A76" s="51" t="n">
        <v>68</v>
      </c>
      <c r="B76" s="52" t="s">
        <v>486</v>
      </c>
      <c r="C76" s="52" t="s">
        <v>1160</v>
      </c>
      <c r="D76" s="52" t="s">
        <v>1516</v>
      </c>
      <c r="E76" s="51" t="s">
        <v>459</v>
      </c>
      <c r="F76" s="51" t="s">
        <v>459</v>
      </c>
      <c r="G76" s="51" t="s">
        <v>907</v>
      </c>
      <c r="H76" s="51" t="s">
        <v>461</v>
      </c>
      <c r="I76" s="52" t="s">
        <v>1860</v>
      </c>
      <c r="J76" s="52"/>
      <c r="K76" s="53" t="n">
        <f aca="false">IF(AND(E76="yes",F76="yes",H76="covered"),1,IF(H76="partial",0.5,0))</f>
        <v>1</v>
      </c>
    </row>
    <row r="77" customFormat="false" ht="30" hidden="false" customHeight="true" outlineLevel="0" collapsed="false">
      <c r="A77" s="51" t="n">
        <v>69</v>
      </c>
      <c r="B77" s="52" t="s">
        <v>486</v>
      </c>
      <c r="C77" s="52" t="s">
        <v>1160</v>
      </c>
      <c r="D77" s="52" t="s">
        <v>1153</v>
      </c>
      <c r="E77" s="51" t="s">
        <v>459</v>
      </c>
      <c r="F77" s="51" t="s">
        <v>459</v>
      </c>
      <c r="G77" s="51" t="s">
        <v>907</v>
      </c>
      <c r="H77" s="51" t="s">
        <v>461</v>
      </c>
      <c r="I77" s="52" t="s">
        <v>1860</v>
      </c>
      <c r="J77" s="52"/>
      <c r="K77" s="53" t="n">
        <f aca="false">IF(AND(E77="yes",F77="yes",H77="covered"),1,IF(H77="partial",0.5,0))</f>
        <v>1</v>
      </c>
    </row>
    <row r="78" customFormat="false" ht="30" hidden="false" customHeight="true" outlineLevel="0" collapsed="false">
      <c r="A78" s="51" t="n">
        <v>70</v>
      </c>
      <c r="B78" s="52" t="s">
        <v>486</v>
      </c>
      <c r="C78" s="52" t="s">
        <v>1160</v>
      </c>
      <c r="D78" s="52" t="s">
        <v>1184</v>
      </c>
      <c r="E78" s="51" t="s">
        <v>459</v>
      </c>
      <c r="F78" s="51" t="s">
        <v>459</v>
      </c>
      <c r="G78" s="51" t="s">
        <v>907</v>
      </c>
      <c r="H78" s="51" t="s">
        <v>461</v>
      </c>
      <c r="I78" s="52" t="s">
        <v>1860</v>
      </c>
      <c r="J78" s="52"/>
      <c r="K78" s="53" t="n">
        <f aca="false">IF(AND(E78="yes",F78="yes",H78="covered"),1,IF(H78="partial",0.5,0))</f>
        <v>1</v>
      </c>
    </row>
    <row r="79" customFormat="false" ht="45" hidden="false" customHeight="true" outlineLevel="0" collapsed="false">
      <c r="A79" s="51" t="n">
        <v>71</v>
      </c>
      <c r="B79" s="52" t="s">
        <v>486</v>
      </c>
      <c r="C79" s="52" t="s">
        <v>825</v>
      </c>
      <c r="D79" s="52" t="s">
        <v>1156</v>
      </c>
      <c r="E79" s="51" t="s">
        <v>459</v>
      </c>
      <c r="F79" s="51" t="s">
        <v>459</v>
      </c>
      <c r="G79" s="51" t="s">
        <v>907</v>
      </c>
      <c r="H79" s="51" t="s">
        <v>461</v>
      </c>
      <c r="I79" s="52" t="s">
        <v>1860</v>
      </c>
      <c r="J79" s="52"/>
      <c r="K79" s="53" t="n">
        <f aca="false">IF(AND(E79="yes",F79="yes",H79="covered"),1,IF(H79="partial",0.5,0))</f>
        <v>1</v>
      </c>
    </row>
    <row r="80" customFormat="false" ht="30" hidden="false" customHeight="true" outlineLevel="0" collapsed="false">
      <c r="A80" s="51" t="n">
        <v>72</v>
      </c>
      <c r="B80" s="52" t="s">
        <v>486</v>
      </c>
      <c r="C80" s="52" t="s">
        <v>825</v>
      </c>
      <c r="D80" s="52" t="s">
        <v>1166</v>
      </c>
      <c r="E80" s="51" t="s">
        <v>459</v>
      </c>
      <c r="F80" s="51" t="s">
        <v>459</v>
      </c>
      <c r="G80" s="51" t="s">
        <v>907</v>
      </c>
      <c r="H80" s="51" t="s">
        <v>461</v>
      </c>
      <c r="I80" s="52" t="s">
        <v>1860</v>
      </c>
      <c r="J80" s="52"/>
      <c r="K80" s="53" t="n">
        <f aca="false">IF(AND(E80="yes",F80="yes",H80="covered"),1,IF(H80="partial",0.5,0))</f>
        <v>1</v>
      </c>
    </row>
    <row r="81" customFormat="false" ht="30" hidden="false" customHeight="true" outlineLevel="0" collapsed="false">
      <c r="A81" s="51" t="n">
        <v>73</v>
      </c>
      <c r="B81" s="52" t="s">
        <v>486</v>
      </c>
      <c r="C81" s="52" t="s">
        <v>825</v>
      </c>
      <c r="D81" s="52" t="s">
        <v>1115</v>
      </c>
      <c r="E81" s="51" t="s">
        <v>459</v>
      </c>
      <c r="F81" s="51" t="s">
        <v>459</v>
      </c>
      <c r="G81" s="51" t="s">
        <v>907</v>
      </c>
      <c r="H81" s="51" t="s">
        <v>461</v>
      </c>
      <c r="I81" s="52" t="s">
        <v>1860</v>
      </c>
      <c r="J81" s="52"/>
      <c r="K81" s="53" t="n">
        <f aca="false">IF(AND(E81="yes",F81="yes",H81="covered"),1,IF(H81="partial",0.5,0))</f>
        <v>1</v>
      </c>
    </row>
    <row r="82" customFormat="false" ht="30" hidden="false" customHeight="true" outlineLevel="0" collapsed="false">
      <c r="A82" s="51" t="n">
        <v>74</v>
      </c>
      <c r="B82" s="52" t="s">
        <v>486</v>
      </c>
      <c r="C82" s="52" t="s">
        <v>904</v>
      </c>
      <c r="D82" s="52" t="s">
        <v>1167</v>
      </c>
      <c r="E82" s="51" t="s">
        <v>459</v>
      </c>
      <c r="F82" s="51" t="s">
        <v>459</v>
      </c>
      <c r="G82" s="51" t="s">
        <v>907</v>
      </c>
      <c r="H82" s="51" t="s">
        <v>461</v>
      </c>
      <c r="I82" s="52" t="s">
        <v>1860</v>
      </c>
      <c r="J82" s="52"/>
      <c r="K82" s="53" t="n">
        <f aca="false">IF(AND(E82="yes",F82="yes",H82="covered"),1,IF(H82="partial",0.5,0))</f>
        <v>1</v>
      </c>
    </row>
    <row r="83" customFormat="false" ht="30" hidden="false" customHeight="true" outlineLevel="0" collapsed="false">
      <c r="A83" s="51" t="n">
        <v>75</v>
      </c>
      <c r="B83" s="52" t="s">
        <v>486</v>
      </c>
      <c r="C83" s="52" t="s">
        <v>904</v>
      </c>
      <c r="D83" s="52" t="s">
        <v>1168</v>
      </c>
      <c r="E83" s="51" t="s">
        <v>459</v>
      </c>
      <c r="F83" s="51" t="s">
        <v>459</v>
      </c>
      <c r="G83" s="51" t="s">
        <v>907</v>
      </c>
      <c r="H83" s="51" t="s">
        <v>461</v>
      </c>
      <c r="I83" s="52" t="s">
        <v>1860</v>
      </c>
      <c r="J83" s="52"/>
      <c r="K83" s="53" t="n">
        <f aca="false">IF(AND(E83="yes",F83="yes",H83="covered"),1,IF(H83="partial",0.5,0))</f>
        <v>1</v>
      </c>
    </row>
    <row r="84" customFormat="false" ht="30" hidden="false" customHeight="true" outlineLevel="0" collapsed="false">
      <c r="A84" s="51" t="n">
        <v>76</v>
      </c>
      <c r="B84" s="52" t="s">
        <v>486</v>
      </c>
      <c r="C84" s="52" t="s">
        <v>904</v>
      </c>
      <c r="D84" s="52" t="s">
        <v>1169</v>
      </c>
      <c r="E84" s="51" t="s">
        <v>459</v>
      </c>
      <c r="F84" s="51" t="s">
        <v>459</v>
      </c>
      <c r="G84" s="51" t="s">
        <v>907</v>
      </c>
      <c r="H84" s="51" t="s">
        <v>461</v>
      </c>
      <c r="I84" s="52" t="s">
        <v>1860</v>
      </c>
      <c r="J84" s="52"/>
      <c r="K84" s="53" t="n">
        <f aca="false">IF(AND(E84="yes",F84="yes",H84="covered"),1,IF(H84="partial",0.5,0))</f>
        <v>1</v>
      </c>
    </row>
    <row r="85" customFormat="false" ht="30" hidden="false" customHeight="true" outlineLevel="0" collapsed="false">
      <c r="A85" s="51" t="n">
        <v>77</v>
      </c>
      <c r="B85" s="52" t="s">
        <v>486</v>
      </c>
      <c r="C85" s="52" t="s">
        <v>904</v>
      </c>
      <c r="D85" s="52" t="s">
        <v>1523</v>
      </c>
      <c r="E85" s="51" t="s">
        <v>459</v>
      </c>
      <c r="F85" s="51" t="s">
        <v>459</v>
      </c>
      <c r="G85" s="51" t="s">
        <v>907</v>
      </c>
      <c r="H85" s="51" t="s">
        <v>461</v>
      </c>
      <c r="I85" s="52" t="s">
        <v>1860</v>
      </c>
      <c r="J85" s="52"/>
      <c r="K85" s="53" t="n">
        <f aca="false">IF(AND(E85="yes",F85="yes",H85="covered"),1,IF(H85="partial",0.5,0))</f>
        <v>1</v>
      </c>
    </row>
    <row r="86" customFormat="false" ht="30" hidden="false" customHeight="true" outlineLevel="0" collapsed="false">
      <c r="A86" s="51" t="n">
        <v>78</v>
      </c>
      <c r="B86" s="52" t="s">
        <v>486</v>
      </c>
      <c r="C86" s="52" t="s">
        <v>1170</v>
      </c>
      <c r="D86" s="52" t="s">
        <v>1171</v>
      </c>
      <c r="E86" s="51" t="s">
        <v>459</v>
      </c>
      <c r="F86" s="51" t="s">
        <v>459</v>
      </c>
      <c r="G86" s="51" t="s">
        <v>907</v>
      </c>
      <c r="H86" s="51" t="s">
        <v>461</v>
      </c>
      <c r="I86" s="52" t="s">
        <v>1860</v>
      </c>
      <c r="J86" s="52"/>
      <c r="K86" s="53" t="n">
        <f aca="false">IF(AND(E86="yes",F86="yes",H86="covered"),1,IF(H86="partial",0.5,0))</f>
        <v>1</v>
      </c>
    </row>
    <row r="87" customFormat="false" ht="30" hidden="false" customHeight="true" outlineLevel="0" collapsed="false">
      <c r="A87" s="51" t="n">
        <v>79</v>
      </c>
      <c r="B87" s="52" t="s">
        <v>486</v>
      </c>
      <c r="C87" s="52" t="s">
        <v>1170</v>
      </c>
      <c r="D87" s="52" t="s">
        <v>1172</v>
      </c>
      <c r="E87" s="51" t="s">
        <v>459</v>
      </c>
      <c r="F87" s="51" t="s">
        <v>459</v>
      </c>
      <c r="G87" s="51" t="s">
        <v>907</v>
      </c>
      <c r="H87" s="51" t="s">
        <v>461</v>
      </c>
      <c r="I87" s="52" t="s">
        <v>1860</v>
      </c>
      <c r="J87" s="52"/>
      <c r="K87" s="53" t="n">
        <f aca="false">IF(AND(E87="yes",F87="yes",H87="covered"),1,IF(H87="partial",0.5,0))</f>
        <v>1</v>
      </c>
    </row>
    <row r="88" customFormat="false" ht="30" hidden="false" customHeight="true" outlineLevel="0" collapsed="false">
      <c r="A88" s="51" t="n">
        <v>80</v>
      </c>
      <c r="B88" s="52" t="s">
        <v>486</v>
      </c>
      <c r="C88" s="52" t="s">
        <v>1170</v>
      </c>
      <c r="D88" s="52" t="s">
        <v>1173</v>
      </c>
      <c r="E88" s="51" t="s">
        <v>459</v>
      </c>
      <c r="F88" s="51" t="s">
        <v>459</v>
      </c>
      <c r="G88" s="51" t="s">
        <v>907</v>
      </c>
      <c r="H88" s="51" t="s">
        <v>461</v>
      </c>
      <c r="I88" s="52" t="s">
        <v>1860</v>
      </c>
      <c r="J88" s="52"/>
      <c r="K88" s="53" t="n">
        <f aca="false">IF(AND(E88="yes",F88="yes",H88="covered"),1,IF(H88="partial",0.5,0))</f>
        <v>1</v>
      </c>
    </row>
    <row r="89" customFormat="false" ht="30" hidden="false" customHeight="true" outlineLevel="0" collapsed="false">
      <c r="A89" s="51" t="n">
        <v>81</v>
      </c>
      <c r="B89" s="52" t="s">
        <v>486</v>
      </c>
      <c r="C89" s="52" t="s">
        <v>1170</v>
      </c>
      <c r="D89" s="52" t="s">
        <v>1174</v>
      </c>
      <c r="E89" s="51" t="s">
        <v>459</v>
      </c>
      <c r="F89" s="51" t="s">
        <v>459</v>
      </c>
      <c r="G89" s="51" t="s">
        <v>907</v>
      </c>
      <c r="H89" s="51" t="s">
        <v>461</v>
      </c>
      <c r="I89" s="52" t="s">
        <v>1860</v>
      </c>
      <c r="J89" s="52"/>
      <c r="K89" s="53" t="n">
        <f aca="false">IF(AND(E89="yes",F89="yes",H89="covered"),1,IF(H89="partial",0.5,0))</f>
        <v>1</v>
      </c>
    </row>
    <row r="90" customFormat="false" ht="30" hidden="false" customHeight="true" outlineLevel="0" collapsed="false">
      <c r="A90" s="51" t="n">
        <v>82</v>
      </c>
      <c r="B90" s="52" t="s">
        <v>486</v>
      </c>
      <c r="C90" s="52" t="s">
        <v>1175</v>
      </c>
      <c r="D90" s="52" t="s">
        <v>1136</v>
      </c>
      <c r="E90" s="51" t="s">
        <v>459</v>
      </c>
      <c r="F90" s="51" t="s">
        <v>459</v>
      </c>
      <c r="G90" s="51" t="s">
        <v>907</v>
      </c>
      <c r="H90" s="51" t="s">
        <v>461</v>
      </c>
      <c r="I90" s="52" t="s">
        <v>1860</v>
      </c>
      <c r="J90" s="52"/>
      <c r="K90" s="53" t="n">
        <f aca="false">IF(AND(E90="yes",F90="yes",H90="covered"),1,IF(H90="partial",0.5,0))</f>
        <v>1</v>
      </c>
    </row>
    <row r="91" customFormat="false" ht="30" hidden="false" customHeight="true" outlineLevel="0" collapsed="false">
      <c r="A91" s="51" t="n">
        <v>83</v>
      </c>
      <c r="B91" s="52" t="s">
        <v>486</v>
      </c>
      <c r="C91" s="52" t="s">
        <v>1175</v>
      </c>
      <c r="D91" s="52" t="s">
        <v>1176</v>
      </c>
      <c r="E91" s="51" t="s">
        <v>459</v>
      </c>
      <c r="F91" s="51" t="s">
        <v>459</v>
      </c>
      <c r="G91" s="51" t="s">
        <v>907</v>
      </c>
      <c r="H91" s="51" t="s">
        <v>461</v>
      </c>
      <c r="I91" s="52" t="s">
        <v>1860</v>
      </c>
      <c r="J91" s="52"/>
      <c r="K91" s="53" t="n">
        <f aca="false">IF(AND(E91="yes",F91="yes",H91="covered"),1,IF(H91="partial",0.5,0))</f>
        <v>1</v>
      </c>
    </row>
    <row r="92" customFormat="false" ht="30" hidden="false" customHeight="true" outlineLevel="0" collapsed="false">
      <c r="A92" s="51" t="n">
        <v>84</v>
      </c>
      <c r="B92" s="52" t="s">
        <v>486</v>
      </c>
      <c r="C92" s="52" t="s">
        <v>1175</v>
      </c>
      <c r="D92" s="52" t="s">
        <v>1177</v>
      </c>
      <c r="E92" s="51" t="s">
        <v>459</v>
      </c>
      <c r="F92" s="51" t="s">
        <v>459</v>
      </c>
      <c r="G92" s="51" t="s">
        <v>907</v>
      </c>
      <c r="H92" s="51" t="s">
        <v>461</v>
      </c>
      <c r="I92" s="52" t="s">
        <v>1860</v>
      </c>
      <c r="J92" s="52"/>
      <c r="K92" s="53" t="n">
        <f aca="false">IF(AND(E92="yes",F92="yes",H92="covered"),1,IF(H92="partial",0.5,0))</f>
        <v>1</v>
      </c>
    </row>
    <row r="93" customFormat="false" ht="30" hidden="false" customHeight="true" outlineLevel="0" collapsed="false">
      <c r="A93" s="51" t="n">
        <v>85</v>
      </c>
      <c r="B93" s="52" t="s">
        <v>486</v>
      </c>
      <c r="C93" s="52" t="s">
        <v>1175</v>
      </c>
      <c r="D93" s="52" t="s">
        <v>1178</v>
      </c>
      <c r="E93" s="51" t="s">
        <v>459</v>
      </c>
      <c r="F93" s="51" t="s">
        <v>459</v>
      </c>
      <c r="G93" s="51" t="s">
        <v>907</v>
      </c>
      <c r="H93" s="51" t="s">
        <v>461</v>
      </c>
      <c r="I93" s="52" t="s">
        <v>1860</v>
      </c>
      <c r="J93" s="52"/>
      <c r="K93" s="53" t="n">
        <f aca="false">IF(AND(E93="yes",F93="yes",H93="covered"),1,IF(H93="partial",0.5,0))</f>
        <v>1</v>
      </c>
    </row>
    <row r="94" customFormat="false" ht="30" hidden="false" customHeight="true" outlineLevel="0" collapsed="false">
      <c r="A94" s="51" t="n">
        <v>86</v>
      </c>
      <c r="B94" s="52" t="s">
        <v>486</v>
      </c>
      <c r="C94" s="52" t="s">
        <v>1175</v>
      </c>
      <c r="D94" s="52" t="s">
        <v>1179</v>
      </c>
      <c r="E94" s="51" t="s">
        <v>459</v>
      </c>
      <c r="F94" s="51" t="s">
        <v>459</v>
      </c>
      <c r="G94" s="51" t="s">
        <v>907</v>
      </c>
      <c r="H94" s="51" t="s">
        <v>461</v>
      </c>
      <c r="I94" s="52" t="s">
        <v>1860</v>
      </c>
      <c r="J94" s="52"/>
      <c r="K94" s="53" t="n">
        <f aca="false">IF(AND(E94="yes",F94="yes",H94="covered"),1,IF(H94="partial",0.5,0))</f>
        <v>1</v>
      </c>
    </row>
    <row r="95" customFormat="false" ht="30" hidden="false" customHeight="true" outlineLevel="0" collapsed="false">
      <c r="A95" s="51" t="n">
        <v>87</v>
      </c>
      <c r="B95" s="52" t="s">
        <v>486</v>
      </c>
      <c r="C95" s="52" t="s">
        <v>1175</v>
      </c>
      <c r="D95" s="52" t="s">
        <v>1180</v>
      </c>
      <c r="E95" s="51" t="s">
        <v>459</v>
      </c>
      <c r="F95" s="51" t="s">
        <v>459</v>
      </c>
      <c r="G95" s="51" t="s">
        <v>907</v>
      </c>
      <c r="H95" s="51" t="s">
        <v>461</v>
      </c>
      <c r="I95" s="52" t="s">
        <v>1860</v>
      </c>
      <c r="J95" s="52"/>
      <c r="K95" s="53" t="n">
        <f aca="false">IF(AND(E95="yes",F95="yes",H95="covered"),1,IF(H95="partial",0.5,0))</f>
        <v>1</v>
      </c>
    </row>
    <row r="96" customFormat="false" ht="45" hidden="false" customHeight="true" outlineLevel="0" collapsed="false">
      <c r="A96" s="51" t="n">
        <v>88</v>
      </c>
      <c r="B96" s="52" t="s">
        <v>486</v>
      </c>
      <c r="C96" s="52" t="s">
        <v>1175</v>
      </c>
      <c r="D96" s="52" t="s">
        <v>1181</v>
      </c>
      <c r="E96" s="51" t="s">
        <v>459</v>
      </c>
      <c r="F96" s="51" t="s">
        <v>459</v>
      </c>
      <c r="G96" s="51" t="s">
        <v>907</v>
      </c>
      <c r="H96" s="51" t="s">
        <v>461</v>
      </c>
      <c r="I96" s="52" t="s">
        <v>1860</v>
      </c>
      <c r="J96" s="52"/>
      <c r="K96" s="53" t="n">
        <f aca="false">IF(AND(E96="yes",F96="yes",H96="covered"),1,IF(H96="partial",0.5,0))</f>
        <v>1</v>
      </c>
    </row>
    <row r="97" customFormat="false" ht="30" hidden="false" customHeight="true" outlineLevel="0" collapsed="false">
      <c r="A97" s="51" t="n">
        <v>89</v>
      </c>
      <c r="B97" s="52" t="s">
        <v>486</v>
      </c>
      <c r="C97" s="52" t="s">
        <v>1175</v>
      </c>
      <c r="D97" s="52" t="s">
        <v>1182</v>
      </c>
      <c r="E97" s="51" t="s">
        <v>459</v>
      </c>
      <c r="F97" s="51" t="s">
        <v>459</v>
      </c>
      <c r="G97" s="51" t="s">
        <v>907</v>
      </c>
      <c r="H97" s="51" t="s">
        <v>461</v>
      </c>
      <c r="I97" s="52" t="s">
        <v>1860</v>
      </c>
      <c r="J97" s="52"/>
      <c r="K97" s="53" t="n">
        <f aca="false">IF(AND(E97="yes",F97="yes",H97="covered"),1,IF(H97="partial",0.5,0))</f>
        <v>1</v>
      </c>
    </row>
    <row r="98" customFormat="false" ht="30" hidden="false" customHeight="true" outlineLevel="0" collapsed="false">
      <c r="A98" s="51" t="n">
        <v>90</v>
      </c>
      <c r="B98" s="52" t="s">
        <v>486</v>
      </c>
      <c r="C98" s="52" t="s">
        <v>1175</v>
      </c>
      <c r="D98" s="52" t="s">
        <v>1183</v>
      </c>
      <c r="E98" s="51" t="s">
        <v>459</v>
      </c>
      <c r="F98" s="51" t="s">
        <v>459</v>
      </c>
      <c r="G98" s="51" t="s">
        <v>907</v>
      </c>
      <c r="H98" s="51" t="s">
        <v>461</v>
      </c>
      <c r="I98" s="52" t="s">
        <v>1860</v>
      </c>
      <c r="J98" s="52"/>
      <c r="K98" s="53" t="n">
        <f aca="false">IF(AND(E98="yes",F98="yes",H98="covered"),1,IF(H98="partial",0.5,0))</f>
        <v>1</v>
      </c>
    </row>
    <row r="99" customFormat="false" ht="30" hidden="false" customHeight="true" outlineLevel="0" collapsed="false">
      <c r="A99" s="51" t="n">
        <v>91</v>
      </c>
      <c r="B99" s="52" t="s">
        <v>486</v>
      </c>
      <c r="C99" s="52" t="s">
        <v>1175</v>
      </c>
      <c r="D99" s="52" t="s">
        <v>1184</v>
      </c>
      <c r="E99" s="51" t="s">
        <v>459</v>
      </c>
      <c r="F99" s="51" t="s">
        <v>459</v>
      </c>
      <c r="G99" s="51" t="s">
        <v>907</v>
      </c>
      <c r="H99" s="51" t="s">
        <v>461</v>
      </c>
      <c r="I99" s="52" t="s">
        <v>1860</v>
      </c>
      <c r="J99" s="52"/>
      <c r="K99" s="53" t="n">
        <f aca="false">IF(AND(E99="yes",F99="yes",H99="covered"),1,IF(H99="partial",0.5,0))</f>
        <v>1</v>
      </c>
    </row>
    <row r="100" customFormat="false" ht="30" hidden="false" customHeight="true" outlineLevel="0" collapsed="false">
      <c r="A100" s="51" t="n">
        <v>92</v>
      </c>
      <c r="B100" s="52" t="s">
        <v>486</v>
      </c>
      <c r="C100" s="52" t="s">
        <v>1185</v>
      </c>
      <c r="D100" s="52" t="s">
        <v>1186</v>
      </c>
      <c r="E100" s="51" t="s">
        <v>459</v>
      </c>
      <c r="F100" s="51" t="s">
        <v>459</v>
      </c>
      <c r="G100" s="51" t="s">
        <v>907</v>
      </c>
      <c r="H100" s="51" t="s">
        <v>461</v>
      </c>
      <c r="I100" s="52" t="s">
        <v>1860</v>
      </c>
      <c r="J100" s="52"/>
      <c r="K100" s="53" t="n">
        <f aca="false">IF(AND(E100="yes",F100="yes",H100="covered"),1,IF(H100="partial",0.5,0))</f>
        <v>1</v>
      </c>
    </row>
    <row r="101" customFormat="false" ht="30" hidden="false" customHeight="true" outlineLevel="0" collapsed="false">
      <c r="A101" s="51" t="n">
        <v>93</v>
      </c>
      <c r="B101" s="52" t="s">
        <v>486</v>
      </c>
      <c r="C101" s="52" t="s">
        <v>1185</v>
      </c>
      <c r="D101" s="52" t="s">
        <v>1187</v>
      </c>
      <c r="E101" s="51" t="s">
        <v>459</v>
      </c>
      <c r="F101" s="51" t="s">
        <v>459</v>
      </c>
      <c r="G101" s="51" t="s">
        <v>907</v>
      </c>
      <c r="H101" s="51" t="s">
        <v>461</v>
      </c>
      <c r="I101" s="52" t="s">
        <v>1860</v>
      </c>
      <c r="J101" s="52"/>
      <c r="K101" s="53" t="n">
        <f aca="false">IF(AND(E101="yes",F101="yes",H101="covered"),1,IF(H101="partial",0.5,0))</f>
        <v>1</v>
      </c>
    </row>
    <row r="102" customFormat="false" ht="30" hidden="false" customHeight="true" outlineLevel="0" collapsed="false">
      <c r="A102" s="51" t="n">
        <v>94</v>
      </c>
      <c r="B102" s="52" t="s">
        <v>486</v>
      </c>
      <c r="C102" s="52" t="s">
        <v>1185</v>
      </c>
      <c r="D102" s="52" t="s">
        <v>1188</v>
      </c>
      <c r="E102" s="51" t="s">
        <v>459</v>
      </c>
      <c r="F102" s="51" t="s">
        <v>459</v>
      </c>
      <c r="G102" s="51" t="s">
        <v>907</v>
      </c>
      <c r="H102" s="51" t="s">
        <v>461</v>
      </c>
      <c r="I102" s="52" t="s">
        <v>1860</v>
      </c>
      <c r="J102" s="52"/>
      <c r="K102" s="53" t="n">
        <f aca="false">IF(AND(E102="yes",F102="yes",H102="covered"),1,IF(H102="partial",0.5,0))</f>
        <v>1</v>
      </c>
    </row>
    <row r="103" customFormat="false" ht="30" hidden="false" customHeight="true" outlineLevel="0" collapsed="false">
      <c r="A103" s="51" t="n">
        <v>95</v>
      </c>
      <c r="B103" s="52" t="s">
        <v>486</v>
      </c>
      <c r="C103" s="52" t="s">
        <v>1185</v>
      </c>
      <c r="D103" s="52" t="s">
        <v>1189</v>
      </c>
      <c r="E103" s="51" t="s">
        <v>459</v>
      </c>
      <c r="F103" s="51" t="s">
        <v>459</v>
      </c>
      <c r="G103" s="51" t="s">
        <v>907</v>
      </c>
      <c r="H103" s="51" t="s">
        <v>461</v>
      </c>
      <c r="I103" s="52" t="s">
        <v>1860</v>
      </c>
      <c r="J103" s="52"/>
      <c r="K103" s="53" t="n">
        <f aca="false">IF(AND(E103="yes",F103="yes",H103="covered"),1,IF(H103="partial",0.5,0))</f>
        <v>1</v>
      </c>
    </row>
    <row r="104" customFormat="false" ht="30" hidden="false" customHeight="true" outlineLevel="0" collapsed="false">
      <c r="A104" s="51" t="n">
        <v>96</v>
      </c>
      <c r="B104" s="52" t="s">
        <v>486</v>
      </c>
      <c r="C104" s="52" t="s">
        <v>1185</v>
      </c>
      <c r="D104" s="52" t="s">
        <v>1128</v>
      </c>
      <c r="E104" s="51" t="s">
        <v>459</v>
      </c>
      <c r="F104" s="51" t="s">
        <v>459</v>
      </c>
      <c r="G104" s="51" t="s">
        <v>907</v>
      </c>
      <c r="H104" s="51" t="s">
        <v>461</v>
      </c>
      <c r="I104" s="52" t="s">
        <v>1860</v>
      </c>
      <c r="J104" s="52"/>
      <c r="K104" s="53" t="n">
        <f aca="false">IF(AND(E104="yes",F104="yes",H104="covered"),1,IF(H104="partial",0.5,0))</f>
        <v>1</v>
      </c>
    </row>
    <row r="105" customFormat="false" ht="30" hidden="false" customHeight="true" outlineLevel="0" collapsed="false">
      <c r="A105" s="51" t="n">
        <v>97</v>
      </c>
      <c r="B105" s="52" t="s">
        <v>486</v>
      </c>
      <c r="C105" s="52" t="s">
        <v>1185</v>
      </c>
      <c r="D105" s="52" t="s">
        <v>1129</v>
      </c>
      <c r="E105" s="51" t="s">
        <v>459</v>
      </c>
      <c r="F105" s="51" t="s">
        <v>459</v>
      </c>
      <c r="G105" s="51" t="s">
        <v>907</v>
      </c>
      <c r="H105" s="51" t="s">
        <v>461</v>
      </c>
      <c r="I105" s="52" t="s">
        <v>1860</v>
      </c>
      <c r="J105" s="52"/>
      <c r="K105" s="53" t="n">
        <f aca="false">IF(AND(E105="yes",F105="yes",H105="covered"),1,IF(H105="partial",0.5,0))</f>
        <v>1</v>
      </c>
    </row>
    <row r="106" customFormat="false" ht="30" hidden="false" customHeight="true" outlineLevel="0" collapsed="false">
      <c r="A106" s="51" t="n">
        <v>98</v>
      </c>
      <c r="B106" s="52" t="s">
        <v>486</v>
      </c>
      <c r="C106" s="52" t="s">
        <v>1185</v>
      </c>
      <c r="D106" s="52" t="s">
        <v>631</v>
      </c>
      <c r="E106" s="51" t="s">
        <v>459</v>
      </c>
      <c r="F106" s="51" t="s">
        <v>459</v>
      </c>
      <c r="G106" s="51" t="s">
        <v>907</v>
      </c>
      <c r="H106" s="51" t="s">
        <v>461</v>
      </c>
      <c r="I106" s="52" t="s">
        <v>1860</v>
      </c>
      <c r="J106" s="52"/>
      <c r="K106" s="53" t="n">
        <f aca="false">IF(AND(E106="yes",F106="yes",H106="covered"),1,IF(H106="partial",0.5,0))</f>
        <v>1</v>
      </c>
    </row>
    <row r="107" customFormat="false" ht="30" hidden="false" customHeight="true" outlineLevel="0" collapsed="false">
      <c r="A107" s="51" t="n">
        <v>99</v>
      </c>
      <c r="B107" s="52" t="s">
        <v>486</v>
      </c>
      <c r="C107" s="52" t="s">
        <v>1185</v>
      </c>
      <c r="D107" s="52" t="s">
        <v>1190</v>
      </c>
      <c r="E107" s="51" t="s">
        <v>459</v>
      </c>
      <c r="F107" s="51" t="s">
        <v>459</v>
      </c>
      <c r="G107" s="51" t="s">
        <v>907</v>
      </c>
      <c r="H107" s="51" t="s">
        <v>461</v>
      </c>
      <c r="I107" s="52" t="s">
        <v>1860</v>
      </c>
      <c r="J107" s="52"/>
      <c r="K107" s="53" t="n">
        <f aca="false">IF(AND(E107="yes",F107="yes",H107="covered"),1,IF(H107="partial",0.5,0))</f>
        <v>1</v>
      </c>
    </row>
    <row r="108" customFormat="false" ht="30" hidden="false" customHeight="true" outlineLevel="0" collapsed="false">
      <c r="A108" s="51" t="n">
        <v>100</v>
      </c>
      <c r="B108" s="52" t="s">
        <v>486</v>
      </c>
      <c r="C108" s="52" t="s">
        <v>1185</v>
      </c>
      <c r="D108" s="52" t="s">
        <v>1191</v>
      </c>
      <c r="E108" s="51" t="s">
        <v>459</v>
      </c>
      <c r="F108" s="51" t="s">
        <v>459</v>
      </c>
      <c r="G108" s="51" t="s">
        <v>907</v>
      </c>
      <c r="H108" s="51" t="s">
        <v>461</v>
      </c>
      <c r="I108" s="52" t="s">
        <v>1860</v>
      </c>
      <c r="J108" s="52"/>
      <c r="K108" s="53" t="n">
        <f aca="false">IF(AND(E108="yes",F108="yes",H108="covered"),1,IF(H108="partial",0.5,0))</f>
        <v>1</v>
      </c>
    </row>
    <row r="109" customFormat="false" ht="30" hidden="false" customHeight="true" outlineLevel="0" collapsed="false">
      <c r="A109" s="51" t="n">
        <v>101</v>
      </c>
      <c r="B109" s="52" t="s">
        <v>524</v>
      </c>
      <c r="C109" s="52" t="s">
        <v>1192</v>
      </c>
      <c r="D109" s="52" t="s">
        <v>1863</v>
      </c>
      <c r="E109" s="51" t="s">
        <v>459</v>
      </c>
      <c r="F109" s="51" t="s">
        <v>459</v>
      </c>
      <c r="G109" s="51" t="s">
        <v>907</v>
      </c>
      <c r="H109" s="51" t="s">
        <v>461</v>
      </c>
      <c r="I109" s="52" t="s">
        <v>1860</v>
      </c>
      <c r="J109" s="52"/>
      <c r="K109" s="53" t="n">
        <f aca="false">IF(AND(E109="yes",F109="yes",H109="covered"),1,IF(H109="partial",0.5,0))</f>
        <v>1</v>
      </c>
    </row>
    <row r="110" customFormat="false" ht="30" hidden="false" customHeight="true" outlineLevel="0" collapsed="false">
      <c r="A110" s="51" t="n">
        <v>102</v>
      </c>
      <c r="B110" s="52" t="s">
        <v>524</v>
      </c>
      <c r="C110" s="52" t="s">
        <v>1192</v>
      </c>
      <c r="D110" s="52" t="s">
        <v>1526</v>
      </c>
      <c r="E110" s="51" t="s">
        <v>459</v>
      </c>
      <c r="F110" s="51" t="s">
        <v>459</v>
      </c>
      <c r="G110" s="51" t="s">
        <v>907</v>
      </c>
      <c r="H110" s="51" t="s">
        <v>461</v>
      </c>
      <c r="I110" s="52" t="s">
        <v>1860</v>
      </c>
      <c r="J110" s="52"/>
      <c r="K110" s="53" t="n">
        <f aca="false">IF(AND(E110="yes",F110="yes",H110="covered"),1,IF(H110="partial",0.5,0))</f>
        <v>1</v>
      </c>
    </row>
    <row r="111" customFormat="false" ht="30" hidden="false" customHeight="true" outlineLevel="0" collapsed="false">
      <c r="A111" s="51" t="n">
        <v>103</v>
      </c>
      <c r="B111" s="52" t="s">
        <v>524</v>
      </c>
      <c r="C111" s="52" t="s">
        <v>1192</v>
      </c>
      <c r="D111" s="52" t="s">
        <v>1527</v>
      </c>
      <c r="E111" s="51" t="s">
        <v>459</v>
      </c>
      <c r="F111" s="51" t="s">
        <v>459</v>
      </c>
      <c r="G111" s="51" t="s">
        <v>907</v>
      </c>
      <c r="H111" s="51" t="s">
        <v>461</v>
      </c>
      <c r="I111" s="52" t="s">
        <v>1860</v>
      </c>
      <c r="J111" s="52"/>
      <c r="K111" s="53" t="n">
        <f aca="false">IF(AND(E111="yes",F111="yes",H111="covered"),1,IF(H111="partial",0.5,0))</f>
        <v>1</v>
      </c>
    </row>
    <row r="112" customFormat="false" ht="30" hidden="false" customHeight="true" outlineLevel="0" collapsed="false">
      <c r="A112" s="51" t="n">
        <v>104</v>
      </c>
      <c r="B112" s="52" t="s">
        <v>524</v>
      </c>
      <c r="C112" s="52" t="s">
        <v>1192</v>
      </c>
      <c r="D112" s="52" t="s">
        <v>1864</v>
      </c>
      <c r="E112" s="51" t="s">
        <v>459</v>
      </c>
      <c r="F112" s="51" t="s">
        <v>459</v>
      </c>
      <c r="G112" s="51" t="s">
        <v>907</v>
      </c>
      <c r="H112" s="51" t="s">
        <v>461</v>
      </c>
      <c r="I112" s="52" t="s">
        <v>1860</v>
      </c>
      <c r="J112" s="52"/>
      <c r="K112" s="53" t="n">
        <f aca="false">IF(AND(E112="yes",F112="yes",H112="covered"),1,IF(H112="partial",0.5,0))</f>
        <v>1</v>
      </c>
    </row>
    <row r="113" customFormat="false" ht="30" hidden="false" customHeight="true" outlineLevel="0" collapsed="false">
      <c r="A113" s="51" t="n">
        <v>105</v>
      </c>
      <c r="B113" s="52" t="s">
        <v>524</v>
      </c>
      <c r="C113" s="52" t="s">
        <v>1192</v>
      </c>
      <c r="D113" s="52" t="s">
        <v>1528</v>
      </c>
      <c r="E113" s="51" t="s">
        <v>459</v>
      </c>
      <c r="F113" s="51" t="s">
        <v>459</v>
      </c>
      <c r="G113" s="51" t="s">
        <v>907</v>
      </c>
      <c r="H113" s="51" t="s">
        <v>461</v>
      </c>
      <c r="I113" s="52" t="s">
        <v>1860</v>
      </c>
      <c r="J113" s="52"/>
      <c r="K113" s="53" t="n">
        <f aca="false">IF(AND(E113="yes",F113="yes",H113="covered"),1,IF(H113="partial",0.5,0))</f>
        <v>1</v>
      </c>
    </row>
    <row r="114" customFormat="false" ht="30" hidden="false" customHeight="true" outlineLevel="0" collapsed="false">
      <c r="A114" s="51" t="n">
        <v>106</v>
      </c>
      <c r="B114" s="52" t="s">
        <v>524</v>
      </c>
      <c r="C114" s="52" t="s">
        <v>1192</v>
      </c>
      <c r="D114" s="52" t="s">
        <v>1196</v>
      </c>
      <c r="E114" s="51" t="s">
        <v>459</v>
      </c>
      <c r="F114" s="51" t="s">
        <v>459</v>
      </c>
      <c r="G114" s="51" t="s">
        <v>907</v>
      </c>
      <c r="H114" s="51" t="s">
        <v>461</v>
      </c>
      <c r="I114" s="52" t="s">
        <v>1860</v>
      </c>
      <c r="J114" s="52"/>
      <c r="K114" s="53" t="n">
        <f aca="false">IF(AND(E114="yes",F114="yes",H114="covered"),1,IF(H114="partial",0.5,0))</f>
        <v>1</v>
      </c>
    </row>
    <row r="115" customFormat="false" ht="30" hidden="false" customHeight="true" outlineLevel="0" collapsed="false">
      <c r="A115" s="51" t="n">
        <v>107</v>
      </c>
      <c r="B115" s="52" t="s">
        <v>524</v>
      </c>
      <c r="C115" s="52" t="s">
        <v>1192</v>
      </c>
      <c r="D115" s="52" t="s">
        <v>1529</v>
      </c>
      <c r="E115" s="51" t="s">
        <v>459</v>
      </c>
      <c r="F115" s="51" t="s">
        <v>459</v>
      </c>
      <c r="G115" s="51" t="s">
        <v>907</v>
      </c>
      <c r="H115" s="51" t="s">
        <v>461</v>
      </c>
      <c r="I115" s="52" t="s">
        <v>1860</v>
      </c>
      <c r="J115" s="52"/>
      <c r="K115" s="53" t="n">
        <f aca="false">IF(AND(E115="yes",F115="yes",H115="covered"),1,IF(H115="partial",0.5,0))</f>
        <v>1</v>
      </c>
    </row>
    <row r="116" customFormat="false" ht="30" hidden="false" customHeight="true" outlineLevel="0" collapsed="false">
      <c r="A116" s="51" t="n">
        <v>108</v>
      </c>
      <c r="B116" s="52" t="s">
        <v>524</v>
      </c>
      <c r="C116" s="52" t="s">
        <v>1192</v>
      </c>
      <c r="D116" s="52" t="s">
        <v>1198</v>
      </c>
      <c r="E116" s="51" t="s">
        <v>459</v>
      </c>
      <c r="F116" s="51" t="s">
        <v>459</v>
      </c>
      <c r="G116" s="51" t="s">
        <v>907</v>
      </c>
      <c r="H116" s="51" t="s">
        <v>461</v>
      </c>
      <c r="I116" s="52" t="s">
        <v>1860</v>
      </c>
      <c r="J116" s="52"/>
      <c r="K116" s="53" t="n">
        <f aca="false">IF(AND(E116="yes",F116="yes",H116="covered"),1,IF(H116="partial",0.5,0))</f>
        <v>1</v>
      </c>
    </row>
    <row r="117" customFormat="false" ht="30" hidden="false" customHeight="true" outlineLevel="0" collapsed="false">
      <c r="A117" s="51" t="n">
        <v>109</v>
      </c>
      <c r="B117" s="52" t="s">
        <v>524</v>
      </c>
      <c r="C117" s="52" t="s">
        <v>1192</v>
      </c>
      <c r="D117" s="52" t="s">
        <v>1199</v>
      </c>
      <c r="E117" s="51" t="s">
        <v>459</v>
      </c>
      <c r="F117" s="51" t="s">
        <v>459</v>
      </c>
      <c r="G117" s="51" t="s">
        <v>907</v>
      </c>
      <c r="H117" s="51" t="s">
        <v>461</v>
      </c>
      <c r="I117" s="52" t="s">
        <v>1860</v>
      </c>
      <c r="J117" s="52"/>
      <c r="K117" s="53" t="n">
        <f aca="false">IF(AND(E117="yes",F117="yes",H117="covered"),1,IF(H117="partial",0.5,0))</f>
        <v>1</v>
      </c>
    </row>
    <row r="118" customFormat="false" ht="30" hidden="false" customHeight="true" outlineLevel="0" collapsed="false">
      <c r="A118" s="51" t="n">
        <v>110</v>
      </c>
      <c r="B118" s="52" t="s">
        <v>524</v>
      </c>
      <c r="C118" s="52" t="s">
        <v>1192</v>
      </c>
      <c r="D118" s="52" t="s">
        <v>1530</v>
      </c>
      <c r="E118" s="51" t="s">
        <v>459</v>
      </c>
      <c r="F118" s="51" t="s">
        <v>459</v>
      </c>
      <c r="G118" s="51" t="s">
        <v>907</v>
      </c>
      <c r="H118" s="51" t="s">
        <v>461</v>
      </c>
      <c r="I118" s="52" t="s">
        <v>1860</v>
      </c>
      <c r="J118" s="52"/>
      <c r="K118" s="53" t="n">
        <f aca="false">IF(AND(E118="yes",F118="yes",H118="covered"),1,IF(H118="partial",0.5,0))</f>
        <v>1</v>
      </c>
    </row>
    <row r="119" customFormat="false" ht="30" hidden="false" customHeight="true" outlineLevel="0" collapsed="false">
      <c r="A119" s="51" t="n">
        <v>111</v>
      </c>
      <c r="B119" s="52" t="s">
        <v>531</v>
      </c>
      <c r="C119" s="52" t="s">
        <v>1202</v>
      </c>
      <c r="D119" s="52" t="s">
        <v>1535</v>
      </c>
      <c r="E119" s="51" t="s">
        <v>459</v>
      </c>
      <c r="F119" s="51" t="s">
        <v>459</v>
      </c>
      <c r="G119" s="51" t="s">
        <v>907</v>
      </c>
      <c r="H119" s="51" t="s">
        <v>461</v>
      </c>
      <c r="I119" s="52" t="s">
        <v>1860</v>
      </c>
      <c r="J119" s="52"/>
      <c r="K119" s="53" t="n">
        <f aca="false">IF(AND(E119="yes",F119="yes",H119="covered"),1,IF(H119="partial",0.5,0))</f>
        <v>1</v>
      </c>
    </row>
    <row r="120" customFormat="false" ht="30" hidden="false" customHeight="true" outlineLevel="0" collapsed="false">
      <c r="A120" s="51" t="n">
        <v>112</v>
      </c>
      <c r="B120" s="52" t="s">
        <v>531</v>
      </c>
      <c r="C120" s="52" t="s">
        <v>1202</v>
      </c>
      <c r="D120" s="52" t="s">
        <v>1536</v>
      </c>
      <c r="E120" s="51" t="s">
        <v>459</v>
      </c>
      <c r="F120" s="51" t="s">
        <v>459</v>
      </c>
      <c r="G120" s="51" t="s">
        <v>907</v>
      </c>
      <c r="H120" s="51" t="s">
        <v>461</v>
      </c>
      <c r="I120" s="52" t="s">
        <v>1860</v>
      </c>
      <c r="J120" s="52"/>
      <c r="K120" s="53" t="n">
        <f aca="false">IF(AND(E120="yes",F120="yes",H120="covered"),1,IF(H120="partial",0.5,0))</f>
        <v>1</v>
      </c>
    </row>
    <row r="121" customFormat="false" ht="30" hidden="false" customHeight="true" outlineLevel="0" collapsed="false">
      <c r="A121" s="51" t="n">
        <v>113</v>
      </c>
      <c r="B121" s="52" t="s">
        <v>531</v>
      </c>
      <c r="C121" s="52" t="s">
        <v>1202</v>
      </c>
      <c r="D121" s="52" t="s">
        <v>1537</v>
      </c>
      <c r="E121" s="51" t="s">
        <v>459</v>
      </c>
      <c r="F121" s="51" t="s">
        <v>459</v>
      </c>
      <c r="G121" s="51" t="s">
        <v>907</v>
      </c>
      <c r="H121" s="51" t="s">
        <v>461</v>
      </c>
      <c r="I121" s="52" t="s">
        <v>1860</v>
      </c>
      <c r="J121" s="52"/>
      <c r="K121" s="53" t="n">
        <f aca="false">IF(AND(E121="yes",F121="yes",H121="covered"),1,IF(H121="partial",0.5,0))</f>
        <v>1</v>
      </c>
    </row>
    <row r="122" customFormat="false" ht="30" hidden="false" customHeight="true" outlineLevel="0" collapsed="false">
      <c r="A122" s="51" t="n">
        <v>114</v>
      </c>
      <c r="B122" s="52" t="s">
        <v>531</v>
      </c>
      <c r="C122" s="52" t="s">
        <v>1202</v>
      </c>
      <c r="D122" s="52" t="s">
        <v>1538</v>
      </c>
      <c r="E122" s="51" t="s">
        <v>459</v>
      </c>
      <c r="F122" s="51" t="s">
        <v>459</v>
      </c>
      <c r="G122" s="51" t="s">
        <v>907</v>
      </c>
      <c r="H122" s="51" t="s">
        <v>461</v>
      </c>
      <c r="I122" s="52" t="s">
        <v>1860</v>
      </c>
      <c r="J122" s="52"/>
      <c r="K122" s="53" t="n">
        <f aca="false">IF(AND(E122="yes",F122="yes",H122="covered"),1,IF(H122="partial",0.5,0))</f>
        <v>1</v>
      </c>
    </row>
    <row r="123" customFormat="false" ht="30" hidden="false" customHeight="true" outlineLevel="0" collapsed="false">
      <c r="A123" s="51" t="n">
        <v>115</v>
      </c>
      <c r="B123" s="52" t="s">
        <v>531</v>
      </c>
      <c r="C123" s="52" t="s">
        <v>1202</v>
      </c>
      <c r="D123" s="52" t="s">
        <v>1208</v>
      </c>
      <c r="E123" s="51" t="s">
        <v>459</v>
      </c>
      <c r="F123" s="51" t="s">
        <v>459</v>
      </c>
      <c r="G123" s="51" t="s">
        <v>907</v>
      </c>
      <c r="H123" s="51" t="s">
        <v>461</v>
      </c>
      <c r="I123" s="52" t="s">
        <v>1860</v>
      </c>
      <c r="J123" s="52"/>
      <c r="K123" s="53" t="n">
        <f aca="false">IF(AND(E123="yes",F123="yes",H123="covered"),1,IF(H123="partial",0.5,0))</f>
        <v>1</v>
      </c>
    </row>
    <row r="124" customFormat="false" ht="30" hidden="false" customHeight="true" outlineLevel="0" collapsed="false">
      <c r="A124" s="51" t="n">
        <v>116</v>
      </c>
      <c r="B124" s="52" t="s">
        <v>531</v>
      </c>
      <c r="C124" s="52" t="s">
        <v>1202</v>
      </c>
      <c r="D124" s="52" t="s">
        <v>1209</v>
      </c>
      <c r="E124" s="51" t="s">
        <v>459</v>
      </c>
      <c r="F124" s="51" t="s">
        <v>459</v>
      </c>
      <c r="G124" s="51" t="s">
        <v>907</v>
      </c>
      <c r="H124" s="51" t="s">
        <v>461</v>
      </c>
      <c r="I124" s="52" t="s">
        <v>1860</v>
      </c>
      <c r="J124" s="52"/>
      <c r="K124" s="53" t="n">
        <f aca="false">IF(AND(E124="yes",F124="yes",H124="covered"),1,IF(H124="partial",0.5,0))</f>
        <v>1</v>
      </c>
    </row>
    <row r="125" customFormat="false" ht="30" hidden="false" customHeight="true" outlineLevel="0" collapsed="false">
      <c r="A125" s="51" t="n">
        <v>117</v>
      </c>
      <c r="B125" s="52" t="s">
        <v>531</v>
      </c>
      <c r="C125" s="52" t="s">
        <v>1202</v>
      </c>
      <c r="D125" s="52" t="s">
        <v>1539</v>
      </c>
      <c r="E125" s="51" t="s">
        <v>459</v>
      </c>
      <c r="F125" s="51" t="s">
        <v>459</v>
      </c>
      <c r="G125" s="51" t="s">
        <v>907</v>
      </c>
      <c r="H125" s="51" t="s">
        <v>461</v>
      </c>
      <c r="I125" s="52" t="s">
        <v>1860</v>
      </c>
      <c r="J125" s="52"/>
      <c r="K125" s="53" t="n">
        <f aca="false">IF(AND(E125="yes",F125="yes",H125="covered"),1,IF(H125="partial",0.5,0))</f>
        <v>1</v>
      </c>
    </row>
    <row r="126" customFormat="false" ht="30" hidden="false" customHeight="true" outlineLevel="0" collapsed="false">
      <c r="A126" s="51" t="n">
        <v>118</v>
      </c>
      <c r="B126" s="52" t="s">
        <v>531</v>
      </c>
      <c r="C126" s="52" t="s">
        <v>1202</v>
      </c>
      <c r="D126" s="52" t="s">
        <v>1540</v>
      </c>
      <c r="E126" s="51" t="s">
        <v>459</v>
      </c>
      <c r="F126" s="51" t="s">
        <v>459</v>
      </c>
      <c r="G126" s="51" t="s">
        <v>907</v>
      </c>
      <c r="H126" s="51" t="s">
        <v>461</v>
      </c>
      <c r="I126" s="52" t="s">
        <v>1860</v>
      </c>
      <c r="J126" s="52"/>
      <c r="K126" s="53" t="n">
        <f aca="false">IF(AND(E126="yes",F126="yes",H126="covered"),1,IF(H126="partial",0.5,0))</f>
        <v>1</v>
      </c>
    </row>
    <row r="127" customFormat="false" ht="30" hidden="false" customHeight="true" outlineLevel="0" collapsed="false">
      <c r="A127" s="51" t="n">
        <v>119</v>
      </c>
      <c r="B127" s="52" t="s">
        <v>531</v>
      </c>
      <c r="C127" s="52" t="s">
        <v>1202</v>
      </c>
      <c r="D127" s="52" t="s">
        <v>1212</v>
      </c>
      <c r="E127" s="51" t="s">
        <v>459</v>
      </c>
      <c r="F127" s="51" t="s">
        <v>459</v>
      </c>
      <c r="G127" s="51" t="s">
        <v>907</v>
      </c>
      <c r="H127" s="51" t="s">
        <v>461</v>
      </c>
      <c r="I127" s="52" t="s">
        <v>1860</v>
      </c>
      <c r="J127" s="52"/>
      <c r="K127" s="53" t="n">
        <f aca="false">IF(AND(E127="yes",F127="yes",H127="covered"),1,IF(H127="partial",0.5,0))</f>
        <v>1</v>
      </c>
    </row>
    <row r="128" customFormat="false" ht="30" hidden="false" customHeight="true" outlineLevel="0" collapsed="false">
      <c r="A128" s="51" t="n">
        <v>120</v>
      </c>
      <c r="B128" s="52" t="s">
        <v>531</v>
      </c>
      <c r="C128" s="52" t="s">
        <v>1202</v>
      </c>
      <c r="D128" s="52" t="s">
        <v>1213</v>
      </c>
      <c r="E128" s="51" t="s">
        <v>459</v>
      </c>
      <c r="F128" s="51" t="s">
        <v>459</v>
      </c>
      <c r="G128" s="51" t="s">
        <v>907</v>
      </c>
      <c r="H128" s="51" t="s">
        <v>461</v>
      </c>
      <c r="I128" s="52" t="s">
        <v>1860</v>
      </c>
      <c r="J128" s="52"/>
      <c r="K128" s="53" t="n">
        <f aca="false">IF(AND(E128="yes",F128="yes",H128="covered"),1,IF(H128="partial",0.5,0))</f>
        <v>1</v>
      </c>
    </row>
    <row r="129" customFormat="false" ht="30" hidden="false" customHeight="true" outlineLevel="0" collapsed="false">
      <c r="A129" s="51" t="n">
        <v>121</v>
      </c>
      <c r="B129" s="52" t="s">
        <v>531</v>
      </c>
      <c r="C129" s="52" t="s">
        <v>1202</v>
      </c>
      <c r="D129" s="52" t="s">
        <v>1214</v>
      </c>
      <c r="E129" s="51" t="s">
        <v>459</v>
      </c>
      <c r="F129" s="51" t="s">
        <v>459</v>
      </c>
      <c r="G129" s="51" t="s">
        <v>907</v>
      </c>
      <c r="H129" s="51" t="s">
        <v>461</v>
      </c>
      <c r="I129" s="52" t="s">
        <v>1860</v>
      </c>
      <c r="J129" s="52"/>
      <c r="K129" s="53" t="n">
        <f aca="false">IF(AND(E129="yes",F129="yes",H129="covered"),1,IF(H129="partial",0.5,0))</f>
        <v>1</v>
      </c>
    </row>
    <row r="130" customFormat="false" ht="30" hidden="false" customHeight="true" outlineLevel="0" collapsed="false">
      <c r="A130" s="51" t="n">
        <v>122</v>
      </c>
      <c r="B130" s="52" t="s">
        <v>531</v>
      </c>
      <c r="C130" s="52" t="s">
        <v>1202</v>
      </c>
      <c r="D130" s="52" t="s">
        <v>1541</v>
      </c>
      <c r="E130" s="51" t="s">
        <v>459</v>
      </c>
      <c r="F130" s="51" t="s">
        <v>459</v>
      </c>
      <c r="G130" s="51" t="s">
        <v>907</v>
      </c>
      <c r="H130" s="51" t="s">
        <v>461</v>
      </c>
      <c r="I130" s="52" t="s">
        <v>1860</v>
      </c>
      <c r="J130" s="52"/>
      <c r="K130" s="53" t="n">
        <f aca="false">IF(AND(E130="yes",F130="yes",H130="covered"),1,IF(H130="partial",0.5,0))</f>
        <v>1</v>
      </c>
    </row>
    <row r="131" customFormat="false" ht="30" hidden="false" customHeight="true" outlineLevel="0" collapsed="false">
      <c r="A131" s="51" t="n">
        <v>123</v>
      </c>
      <c r="B131" s="52" t="s">
        <v>531</v>
      </c>
      <c r="C131" s="52" t="s">
        <v>1202</v>
      </c>
      <c r="D131" s="52" t="s">
        <v>1542</v>
      </c>
      <c r="E131" s="51" t="s">
        <v>459</v>
      </c>
      <c r="F131" s="51" t="s">
        <v>459</v>
      </c>
      <c r="G131" s="51" t="s">
        <v>907</v>
      </c>
      <c r="H131" s="51" t="s">
        <v>461</v>
      </c>
      <c r="I131" s="52" t="s">
        <v>1860</v>
      </c>
      <c r="J131" s="52"/>
      <c r="K131" s="53" t="n">
        <f aca="false">IF(AND(E131="yes",F131="yes",H131="covered"),1,IF(H131="partial",0.5,0))</f>
        <v>1</v>
      </c>
    </row>
    <row r="132" customFormat="false" ht="30" hidden="false" customHeight="true" outlineLevel="0" collapsed="false">
      <c r="A132" s="51" t="n">
        <v>124</v>
      </c>
      <c r="B132" s="52" t="s">
        <v>531</v>
      </c>
      <c r="C132" s="52" t="s">
        <v>1202</v>
      </c>
      <c r="D132" s="52" t="s">
        <v>1217</v>
      </c>
      <c r="E132" s="51" t="s">
        <v>459</v>
      </c>
      <c r="F132" s="51" t="s">
        <v>459</v>
      </c>
      <c r="G132" s="51" t="s">
        <v>907</v>
      </c>
      <c r="H132" s="51" t="s">
        <v>461</v>
      </c>
      <c r="I132" s="52" t="s">
        <v>1860</v>
      </c>
      <c r="J132" s="52"/>
      <c r="K132" s="53" t="n">
        <f aca="false">IF(AND(E132="yes",F132="yes",H132="covered"),1,IF(H132="partial",0.5,0))</f>
        <v>1</v>
      </c>
    </row>
    <row r="133" customFormat="false" ht="30" hidden="false" customHeight="true" outlineLevel="0" collapsed="false">
      <c r="A133" s="51" t="n">
        <v>125</v>
      </c>
      <c r="B133" s="52" t="s">
        <v>531</v>
      </c>
      <c r="C133" s="52" t="s">
        <v>1202</v>
      </c>
      <c r="D133" s="52" t="s">
        <v>1218</v>
      </c>
      <c r="E133" s="51" t="s">
        <v>459</v>
      </c>
      <c r="F133" s="51" t="s">
        <v>459</v>
      </c>
      <c r="G133" s="51" t="s">
        <v>907</v>
      </c>
      <c r="H133" s="51" t="s">
        <v>461</v>
      </c>
      <c r="I133" s="52" t="s">
        <v>1860</v>
      </c>
      <c r="J133" s="52"/>
      <c r="K133" s="53" t="n">
        <f aca="false">IF(AND(E133="yes",F133="yes",H133="covered"),1,IF(H133="partial",0.5,0))</f>
        <v>1</v>
      </c>
    </row>
    <row r="134" customFormat="false" ht="30" hidden="false" customHeight="true" outlineLevel="0" collapsed="false">
      <c r="A134" s="51" t="n">
        <v>126</v>
      </c>
      <c r="B134" s="52" t="s">
        <v>531</v>
      </c>
      <c r="C134" s="52" t="s">
        <v>1202</v>
      </c>
      <c r="D134" s="52" t="s">
        <v>1219</v>
      </c>
      <c r="E134" s="51" t="s">
        <v>459</v>
      </c>
      <c r="F134" s="51" t="s">
        <v>459</v>
      </c>
      <c r="G134" s="51" t="s">
        <v>907</v>
      </c>
      <c r="H134" s="51" t="s">
        <v>461</v>
      </c>
      <c r="I134" s="52" t="s">
        <v>1860</v>
      </c>
      <c r="J134" s="52"/>
      <c r="K134" s="53" t="n">
        <f aca="false">IF(AND(E134="yes",F134="yes",H134="covered"),1,IF(H134="partial",0.5,0))</f>
        <v>1</v>
      </c>
    </row>
    <row r="135" customFormat="false" ht="30" hidden="false" customHeight="true" outlineLevel="0" collapsed="false">
      <c r="A135" s="51" t="n">
        <v>127</v>
      </c>
      <c r="B135" s="52" t="s">
        <v>1220</v>
      </c>
      <c r="C135" s="52" t="s">
        <v>1221</v>
      </c>
      <c r="D135" s="52" t="s">
        <v>1543</v>
      </c>
      <c r="E135" s="51" t="s">
        <v>459</v>
      </c>
      <c r="F135" s="51" t="s">
        <v>459</v>
      </c>
      <c r="G135" s="51" t="s">
        <v>907</v>
      </c>
      <c r="H135" s="51" t="s">
        <v>461</v>
      </c>
      <c r="I135" s="52" t="s">
        <v>1860</v>
      </c>
      <c r="J135" s="52"/>
      <c r="K135" s="53" t="n">
        <f aca="false">IF(AND(E135="yes",F135="yes",H135="covered"),1,IF(H135="partial",0.5,0))</f>
        <v>1</v>
      </c>
    </row>
    <row r="136" customFormat="false" ht="30" hidden="false" customHeight="true" outlineLevel="0" collapsed="false">
      <c r="A136" s="51" t="n">
        <v>128</v>
      </c>
      <c r="B136" s="52" t="s">
        <v>1220</v>
      </c>
      <c r="C136" s="52" t="s">
        <v>1221</v>
      </c>
      <c r="D136" s="52" t="s">
        <v>1544</v>
      </c>
      <c r="E136" s="51" t="s">
        <v>459</v>
      </c>
      <c r="F136" s="51" t="s">
        <v>459</v>
      </c>
      <c r="G136" s="51" t="s">
        <v>907</v>
      </c>
      <c r="H136" s="51" t="s">
        <v>461</v>
      </c>
      <c r="I136" s="52" t="s">
        <v>1860</v>
      </c>
      <c r="J136" s="52"/>
      <c r="K136" s="53" t="n">
        <f aca="false">IF(AND(E136="yes",F136="yes",H136="covered"),1,IF(H136="partial",0.5,0))</f>
        <v>1</v>
      </c>
    </row>
    <row r="137" customFormat="false" ht="30" hidden="false" customHeight="true" outlineLevel="0" collapsed="false">
      <c r="A137" s="51" t="n">
        <v>129</v>
      </c>
      <c r="B137" s="52" t="s">
        <v>1220</v>
      </c>
      <c r="C137" s="52" t="s">
        <v>1221</v>
      </c>
      <c r="D137" s="52" t="s">
        <v>1546</v>
      </c>
      <c r="E137" s="51" t="s">
        <v>459</v>
      </c>
      <c r="F137" s="51" t="s">
        <v>459</v>
      </c>
      <c r="G137" s="51" t="s">
        <v>907</v>
      </c>
      <c r="H137" s="51" t="s">
        <v>461</v>
      </c>
      <c r="I137" s="52" t="s">
        <v>1860</v>
      </c>
      <c r="J137" s="52"/>
      <c r="K137" s="53" t="n">
        <f aca="false">IF(AND(E137="yes",F137="yes",H137="covered"),1,IF(H137="partial",0.5,0))</f>
        <v>1</v>
      </c>
    </row>
    <row r="138" customFormat="false" ht="30" hidden="false" customHeight="true" outlineLevel="0" collapsed="false">
      <c r="A138" s="51" t="n">
        <v>130</v>
      </c>
      <c r="B138" s="52" t="s">
        <v>1220</v>
      </c>
      <c r="C138" s="52" t="s">
        <v>1221</v>
      </c>
      <c r="D138" s="52" t="s">
        <v>1225</v>
      </c>
      <c r="E138" s="51" t="s">
        <v>459</v>
      </c>
      <c r="F138" s="51" t="s">
        <v>459</v>
      </c>
      <c r="G138" s="51" t="s">
        <v>907</v>
      </c>
      <c r="H138" s="51" t="s">
        <v>461</v>
      </c>
      <c r="I138" s="52" t="s">
        <v>1860</v>
      </c>
      <c r="J138" s="52"/>
      <c r="K138" s="53" t="n">
        <f aca="false">IF(AND(E138="yes",F138="yes",H138="covered"),1,IF(H138="partial",0.5,0))</f>
        <v>1</v>
      </c>
    </row>
    <row r="139" customFormat="false" ht="45" hidden="false" customHeight="true" outlineLevel="0" collapsed="false">
      <c r="A139" s="51" t="n">
        <v>131</v>
      </c>
      <c r="B139" s="52" t="s">
        <v>1220</v>
      </c>
      <c r="C139" s="52" t="s">
        <v>1221</v>
      </c>
      <c r="D139" s="52" t="s">
        <v>1547</v>
      </c>
      <c r="E139" s="51" t="s">
        <v>459</v>
      </c>
      <c r="F139" s="51" t="s">
        <v>459</v>
      </c>
      <c r="G139" s="51" t="s">
        <v>907</v>
      </c>
      <c r="H139" s="51" t="s">
        <v>461</v>
      </c>
      <c r="I139" s="52" t="s">
        <v>1860</v>
      </c>
      <c r="J139" s="52"/>
      <c r="K139" s="53" t="n">
        <f aca="false">IF(AND(E139="yes",F139="yes",H139="covered"),1,IF(H139="partial",0.5,0))</f>
        <v>1</v>
      </c>
    </row>
    <row r="140" customFormat="false" ht="30" hidden="false" customHeight="true" outlineLevel="0" collapsed="false">
      <c r="A140" s="51" t="n">
        <v>132</v>
      </c>
      <c r="B140" s="52" t="s">
        <v>882</v>
      </c>
      <c r="C140" s="52" t="s">
        <v>1227</v>
      </c>
      <c r="D140" s="52" t="s">
        <v>1229</v>
      </c>
      <c r="E140" s="51" t="s">
        <v>459</v>
      </c>
      <c r="F140" s="51" t="s">
        <v>459</v>
      </c>
      <c r="G140" s="51" t="s">
        <v>907</v>
      </c>
      <c r="H140" s="51" t="s">
        <v>461</v>
      </c>
      <c r="I140" s="52" t="s">
        <v>1860</v>
      </c>
      <c r="J140" s="52"/>
      <c r="K140" s="53" t="n">
        <f aca="false">IF(AND(E140="yes",F140="yes",H140="covered"),1,IF(H140="partial",0.5,0))</f>
        <v>1</v>
      </c>
    </row>
    <row r="141" customFormat="false" ht="30" hidden="false" customHeight="true" outlineLevel="0" collapsed="false">
      <c r="A141" s="51" t="n">
        <v>133</v>
      </c>
      <c r="B141" s="52" t="s">
        <v>882</v>
      </c>
      <c r="C141" s="52" t="s">
        <v>1227</v>
      </c>
      <c r="D141" s="52" t="s">
        <v>1230</v>
      </c>
      <c r="E141" s="51" t="s">
        <v>459</v>
      </c>
      <c r="F141" s="51" t="s">
        <v>459</v>
      </c>
      <c r="G141" s="51" t="s">
        <v>907</v>
      </c>
      <c r="H141" s="51" t="s">
        <v>461</v>
      </c>
      <c r="I141" s="52" t="s">
        <v>1860</v>
      </c>
      <c r="J141" s="52"/>
      <c r="K141" s="53" t="n">
        <f aca="false">IF(AND(E141="yes",F141="yes",H141="covered"),1,IF(H141="partial",0.5,0))</f>
        <v>1</v>
      </c>
    </row>
    <row r="142" customFormat="false" ht="30" hidden="false" customHeight="true" outlineLevel="0" collapsed="false">
      <c r="A142" s="51" t="n">
        <v>134</v>
      </c>
      <c r="B142" s="52" t="s">
        <v>882</v>
      </c>
      <c r="C142" s="52" t="s">
        <v>1227</v>
      </c>
      <c r="D142" s="52" t="s">
        <v>1231</v>
      </c>
      <c r="E142" s="51" t="s">
        <v>459</v>
      </c>
      <c r="F142" s="51" t="s">
        <v>459</v>
      </c>
      <c r="G142" s="51" t="s">
        <v>907</v>
      </c>
      <c r="H142" s="51" t="s">
        <v>461</v>
      </c>
      <c r="I142" s="52" t="s">
        <v>1860</v>
      </c>
      <c r="J142" s="52"/>
      <c r="K142" s="53" t="n">
        <f aca="false">IF(AND(E142="yes",F142="yes",H142="covered"),1,IF(H142="partial",0.5,0))</f>
        <v>1</v>
      </c>
    </row>
    <row r="143" customFormat="false" ht="30" hidden="false" customHeight="true" outlineLevel="0" collapsed="false">
      <c r="A143" s="51" t="n">
        <v>135</v>
      </c>
      <c r="B143" s="52" t="s">
        <v>882</v>
      </c>
      <c r="C143" s="52" t="s">
        <v>1227</v>
      </c>
      <c r="D143" s="52" t="s">
        <v>1232</v>
      </c>
      <c r="E143" s="51" t="s">
        <v>459</v>
      </c>
      <c r="F143" s="51" t="s">
        <v>459</v>
      </c>
      <c r="G143" s="51" t="s">
        <v>907</v>
      </c>
      <c r="H143" s="51" t="s">
        <v>461</v>
      </c>
      <c r="I143" s="52" t="s">
        <v>1860</v>
      </c>
      <c r="J143" s="52"/>
      <c r="K143" s="53" t="n">
        <f aca="false">IF(AND(E143="yes",F143="yes",H143="covered"),1,IF(H143="partial",0.5,0))</f>
        <v>1</v>
      </c>
    </row>
    <row r="144" customFormat="false" ht="45" hidden="false" customHeight="true" outlineLevel="0" collapsed="false">
      <c r="A144" s="51" t="n">
        <v>136</v>
      </c>
      <c r="B144" s="52" t="s">
        <v>882</v>
      </c>
      <c r="C144" s="52" t="s">
        <v>1227</v>
      </c>
      <c r="D144" s="52" t="s">
        <v>1233</v>
      </c>
      <c r="E144" s="51" t="s">
        <v>459</v>
      </c>
      <c r="F144" s="51" t="s">
        <v>459</v>
      </c>
      <c r="G144" s="51" t="s">
        <v>907</v>
      </c>
      <c r="H144" s="51" t="s">
        <v>461</v>
      </c>
      <c r="I144" s="52" t="s">
        <v>1860</v>
      </c>
      <c r="J144" s="52"/>
      <c r="K144" s="53" t="n">
        <f aca="false">IF(AND(E144="yes",F144="yes",H144="covered"),1,IF(H144="partial",0.5,0))</f>
        <v>1</v>
      </c>
    </row>
    <row r="145" customFormat="false" ht="30" hidden="false" customHeight="true" outlineLevel="0" collapsed="false">
      <c r="A145" s="51" t="n">
        <v>137</v>
      </c>
      <c r="B145" s="52" t="s">
        <v>882</v>
      </c>
      <c r="C145" s="52" t="s">
        <v>1227</v>
      </c>
      <c r="D145" s="52" t="s">
        <v>1865</v>
      </c>
      <c r="E145" s="51" t="s">
        <v>459</v>
      </c>
      <c r="F145" s="51" t="s">
        <v>459</v>
      </c>
      <c r="G145" s="51" t="s">
        <v>907</v>
      </c>
      <c r="H145" s="51" t="s">
        <v>461</v>
      </c>
      <c r="I145" s="52" t="s">
        <v>1860</v>
      </c>
      <c r="J145" s="52"/>
      <c r="K145" s="53" t="n">
        <f aca="false">IF(AND(E145="yes",F145="yes",H145="covered"),1,IF(H145="partial",0.5,0))</f>
        <v>1</v>
      </c>
    </row>
    <row r="146" customFormat="false" ht="30" hidden="false" customHeight="true" outlineLevel="0" collapsed="false">
      <c r="A146" s="51" t="n">
        <v>138</v>
      </c>
      <c r="B146" s="52" t="s">
        <v>882</v>
      </c>
      <c r="C146" s="52" t="s">
        <v>1227</v>
      </c>
      <c r="D146" s="52" t="s">
        <v>1866</v>
      </c>
      <c r="E146" s="51" t="s">
        <v>459</v>
      </c>
      <c r="F146" s="51" t="s">
        <v>459</v>
      </c>
      <c r="G146" s="51" t="s">
        <v>907</v>
      </c>
      <c r="H146" s="51" t="s">
        <v>461</v>
      </c>
      <c r="I146" s="52" t="s">
        <v>1860</v>
      </c>
      <c r="J146" s="52"/>
      <c r="K146" s="53" t="n">
        <f aca="false">IF(AND(E146="yes",F146="yes",H146="covered"),1,IF(H146="partial",0.5,0))</f>
        <v>1</v>
      </c>
    </row>
    <row r="147" customFormat="false" ht="30" hidden="false" customHeight="true" outlineLevel="0" collapsed="false">
      <c r="A147" s="51" t="n">
        <v>139</v>
      </c>
      <c r="B147" s="52" t="s">
        <v>882</v>
      </c>
      <c r="C147" s="52" t="s">
        <v>1227</v>
      </c>
      <c r="D147" s="52" t="s">
        <v>1867</v>
      </c>
      <c r="E147" s="51" t="s">
        <v>459</v>
      </c>
      <c r="F147" s="51" t="s">
        <v>459</v>
      </c>
      <c r="G147" s="51" t="s">
        <v>907</v>
      </c>
      <c r="H147" s="51" t="s">
        <v>461</v>
      </c>
      <c r="I147" s="52" t="s">
        <v>1860</v>
      </c>
      <c r="J147" s="52"/>
      <c r="K147" s="53" t="n">
        <f aca="false">IF(AND(E147="yes",F147="yes",H147="covered"),1,IF(H147="partial",0.5,0))</f>
        <v>1</v>
      </c>
    </row>
    <row r="148" customFormat="false" ht="30" hidden="false" customHeight="true" outlineLevel="0" collapsed="false">
      <c r="A148" s="51" t="n">
        <v>140</v>
      </c>
      <c r="B148" s="52" t="s">
        <v>483</v>
      </c>
      <c r="C148" s="52" t="s">
        <v>1868</v>
      </c>
      <c r="D148" s="52" t="s">
        <v>1239</v>
      </c>
      <c r="E148" s="51" t="s">
        <v>459</v>
      </c>
      <c r="F148" s="51" t="s">
        <v>459</v>
      </c>
      <c r="G148" s="51" t="s">
        <v>907</v>
      </c>
      <c r="H148" s="51" t="s">
        <v>461</v>
      </c>
      <c r="I148" s="52" t="s">
        <v>1860</v>
      </c>
      <c r="J148" s="52"/>
      <c r="K148" s="53" t="n">
        <f aca="false">IF(AND(E148="yes",F148="yes",H148="covered"),1,IF(H148="partial",0.5,0))</f>
        <v>1</v>
      </c>
    </row>
    <row r="149" customFormat="false" ht="45" hidden="false" customHeight="true" outlineLevel="0" collapsed="false">
      <c r="A149" s="51" t="n">
        <v>141</v>
      </c>
      <c r="B149" s="52" t="s">
        <v>483</v>
      </c>
      <c r="C149" s="52" t="s">
        <v>1868</v>
      </c>
      <c r="D149" s="52" t="s">
        <v>1240</v>
      </c>
      <c r="E149" s="51" t="s">
        <v>459</v>
      </c>
      <c r="F149" s="51" t="s">
        <v>459</v>
      </c>
      <c r="G149" s="51" t="s">
        <v>907</v>
      </c>
      <c r="H149" s="51" t="s">
        <v>461</v>
      </c>
      <c r="I149" s="52" t="s">
        <v>1860</v>
      </c>
      <c r="J149" s="52"/>
      <c r="K149" s="53" t="n">
        <f aca="false">IF(AND(E149="yes",F149="yes",H149="covered"),1,IF(H149="partial",0.5,0))</f>
        <v>1</v>
      </c>
    </row>
    <row r="150" customFormat="false" ht="45" hidden="false" customHeight="true" outlineLevel="0" collapsed="false">
      <c r="A150" s="51" t="n">
        <v>142</v>
      </c>
      <c r="B150" s="52" t="s">
        <v>483</v>
      </c>
      <c r="C150" s="52" t="s">
        <v>1868</v>
      </c>
      <c r="D150" s="52" t="s">
        <v>1553</v>
      </c>
      <c r="E150" s="51" t="s">
        <v>459</v>
      </c>
      <c r="F150" s="51" t="s">
        <v>459</v>
      </c>
      <c r="G150" s="51" t="s">
        <v>907</v>
      </c>
      <c r="H150" s="51" t="s">
        <v>461</v>
      </c>
      <c r="I150" s="52" t="s">
        <v>1860</v>
      </c>
      <c r="J150" s="52"/>
      <c r="K150" s="53" t="n">
        <f aca="false">IF(AND(E150="yes",F150="yes",H150="covered"),1,IF(H150="partial",0.5,0))</f>
        <v>1</v>
      </c>
    </row>
    <row r="151" customFormat="false" ht="45" hidden="false" customHeight="true" outlineLevel="0" collapsed="false">
      <c r="A151" s="51" t="n">
        <v>143</v>
      </c>
      <c r="B151" s="52" t="s">
        <v>483</v>
      </c>
      <c r="C151" s="52" t="s">
        <v>1868</v>
      </c>
      <c r="D151" s="52" t="s">
        <v>1245</v>
      </c>
      <c r="E151" s="51" t="s">
        <v>459</v>
      </c>
      <c r="F151" s="51" t="s">
        <v>459</v>
      </c>
      <c r="G151" s="51" t="s">
        <v>907</v>
      </c>
      <c r="H151" s="51" t="s">
        <v>461</v>
      </c>
      <c r="I151" s="52" t="s">
        <v>1860</v>
      </c>
      <c r="J151" s="52"/>
      <c r="K151" s="53" t="n">
        <f aca="false">IF(AND(E151="yes",F151="yes",H151="covered"),1,IF(H151="partial",0.5,0))</f>
        <v>1</v>
      </c>
    </row>
    <row r="152" customFormat="false" ht="45" hidden="false" customHeight="true" outlineLevel="0" collapsed="false">
      <c r="A152" s="51" t="n">
        <v>144</v>
      </c>
      <c r="B152" s="52" t="s">
        <v>483</v>
      </c>
      <c r="C152" s="52" t="s">
        <v>1868</v>
      </c>
      <c r="D152" s="52" t="s">
        <v>1247</v>
      </c>
      <c r="E152" s="51" t="s">
        <v>459</v>
      </c>
      <c r="F152" s="51" t="s">
        <v>459</v>
      </c>
      <c r="G152" s="51" t="s">
        <v>907</v>
      </c>
      <c r="H152" s="51" t="s">
        <v>461</v>
      </c>
      <c r="I152" s="52" t="s">
        <v>1860</v>
      </c>
      <c r="J152" s="52"/>
      <c r="K152" s="53" t="n">
        <f aca="false">IF(AND(E152="yes",F152="yes",H152="covered"),1,IF(H152="partial",0.5,0))</f>
        <v>1</v>
      </c>
    </row>
    <row r="153" customFormat="false" ht="30" hidden="false" customHeight="true" outlineLevel="0" collapsed="false">
      <c r="A153" s="51" t="n">
        <v>145</v>
      </c>
      <c r="B153" s="52" t="s">
        <v>483</v>
      </c>
      <c r="C153" s="52" t="s">
        <v>1868</v>
      </c>
      <c r="D153" s="52" t="s">
        <v>1243</v>
      </c>
      <c r="E153" s="51" t="s">
        <v>459</v>
      </c>
      <c r="F153" s="51" t="s">
        <v>459</v>
      </c>
      <c r="G153" s="51" t="s">
        <v>907</v>
      </c>
      <c r="H153" s="51" t="s">
        <v>461</v>
      </c>
      <c r="I153" s="52" t="s">
        <v>1860</v>
      </c>
      <c r="J153" s="52"/>
      <c r="K153" s="53" t="n">
        <f aca="false">IF(AND(E153="yes",F153="yes",H153="covered"),1,IF(H153="partial",0.5,0))</f>
        <v>1</v>
      </c>
    </row>
    <row r="154" customFormat="false" ht="30" hidden="false" customHeight="true" outlineLevel="0" collapsed="false">
      <c r="A154" s="51" t="n">
        <v>146</v>
      </c>
      <c r="B154" s="52" t="s">
        <v>483</v>
      </c>
      <c r="C154" s="52" t="s">
        <v>1868</v>
      </c>
      <c r="D154" s="52" t="s">
        <v>1249</v>
      </c>
      <c r="E154" s="51" t="s">
        <v>459</v>
      </c>
      <c r="F154" s="51" t="s">
        <v>459</v>
      </c>
      <c r="G154" s="51" t="s">
        <v>907</v>
      </c>
      <c r="H154" s="51" t="s">
        <v>461</v>
      </c>
      <c r="I154" s="52" t="s">
        <v>1860</v>
      </c>
      <c r="J154" s="52"/>
      <c r="K154" s="53" t="n">
        <f aca="false">IF(AND(E154="yes",F154="yes",H154="covered"),1,IF(H154="partial",0.5,0))</f>
        <v>1</v>
      </c>
    </row>
    <row r="155" customFormat="false" ht="30" hidden="false" customHeight="true" outlineLevel="0" collapsed="false">
      <c r="A155" s="51" t="n">
        <v>147</v>
      </c>
      <c r="B155" s="52" t="s">
        <v>1250</v>
      </c>
      <c r="C155" s="52" t="s">
        <v>1251</v>
      </c>
      <c r="D155" s="52" t="s">
        <v>1869</v>
      </c>
      <c r="E155" s="51" t="s">
        <v>459</v>
      </c>
      <c r="F155" s="51" t="s">
        <v>459</v>
      </c>
      <c r="G155" s="51" t="s">
        <v>907</v>
      </c>
      <c r="H155" s="51" t="s">
        <v>461</v>
      </c>
      <c r="I155" s="52" t="s">
        <v>1860</v>
      </c>
      <c r="J155" s="52"/>
      <c r="K155" s="53" t="n">
        <f aca="false">IF(AND(E155="yes",F155="yes",H155="covered"),1,IF(H155="partial",0.5,0))</f>
        <v>1</v>
      </c>
    </row>
    <row r="156" customFormat="false" ht="30" hidden="false" customHeight="true" outlineLevel="0" collapsed="false">
      <c r="A156" s="51" t="n">
        <v>148</v>
      </c>
      <c r="B156" s="52" t="s">
        <v>1250</v>
      </c>
      <c r="C156" s="52" t="s">
        <v>1251</v>
      </c>
      <c r="D156" s="52" t="s">
        <v>1554</v>
      </c>
      <c r="E156" s="51" t="s">
        <v>459</v>
      </c>
      <c r="F156" s="51" t="s">
        <v>459</v>
      </c>
      <c r="G156" s="51" t="s">
        <v>907</v>
      </c>
      <c r="H156" s="51" t="s">
        <v>461</v>
      </c>
      <c r="I156" s="52" t="s">
        <v>1860</v>
      </c>
      <c r="J156" s="52"/>
      <c r="K156" s="53" t="n">
        <f aca="false">IF(AND(E156="yes",F156="yes",H156="covered"),1,IF(H156="partial",0.5,0))</f>
        <v>1</v>
      </c>
    </row>
    <row r="157" customFormat="false" ht="30" hidden="false" customHeight="true" outlineLevel="0" collapsed="false">
      <c r="A157" s="51" t="n">
        <v>149</v>
      </c>
      <c r="B157" s="52" t="s">
        <v>1250</v>
      </c>
      <c r="C157" s="52" t="s">
        <v>1251</v>
      </c>
      <c r="D157" s="52" t="s">
        <v>1255</v>
      </c>
      <c r="E157" s="51" t="s">
        <v>459</v>
      </c>
      <c r="F157" s="51" t="s">
        <v>459</v>
      </c>
      <c r="G157" s="51" t="s">
        <v>907</v>
      </c>
      <c r="H157" s="51" t="s">
        <v>461</v>
      </c>
      <c r="I157" s="52" t="s">
        <v>1860</v>
      </c>
      <c r="J157" s="52"/>
      <c r="K157" s="53" t="n">
        <f aca="false">IF(AND(E157="yes",F157="yes",H157="covered"),1,IF(H157="partial",0.5,0))</f>
        <v>1</v>
      </c>
    </row>
    <row r="158" customFormat="false" ht="30" hidden="false" customHeight="true" outlineLevel="0" collapsed="false">
      <c r="A158" s="51" t="n">
        <v>150</v>
      </c>
      <c r="B158" s="52" t="s">
        <v>1250</v>
      </c>
      <c r="C158" s="52" t="s">
        <v>1251</v>
      </c>
      <c r="D158" s="52" t="s">
        <v>1256</v>
      </c>
      <c r="E158" s="51" t="s">
        <v>459</v>
      </c>
      <c r="F158" s="51" t="s">
        <v>459</v>
      </c>
      <c r="G158" s="51" t="s">
        <v>907</v>
      </c>
      <c r="H158" s="51" t="s">
        <v>461</v>
      </c>
      <c r="I158" s="52" t="s">
        <v>1860</v>
      </c>
      <c r="J158" s="52"/>
      <c r="K158" s="53" t="n">
        <f aca="false">IF(AND(E158="yes",F158="yes",H158="covered"),1,IF(H158="partial",0.5,0))</f>
        <v>1</v>
      </c>
    </row>
    <row r="159" customFormat="false" ht="30" hidden="false" customHeight="true" outlineLevel="0" collapsed="false">
      <c r="A159" s="51" t="n">
        <v>151</v>
      </c>
      <c r="B159" s="52" t="s">
        <v>1250</v>
      </c>
      <c r="C159" s="52" t="s">
        <v>1251</v>
      </c>
      <c r="D159" s="52" t="s">
        <v>1555</v>
      </c>
      <c r="E159" s="51" t="s">
        <v>459</v>
      </c>
      <c r="F159" s="51" t="s">
        <v>459</v>
      </c>
      <c r="G159" s="51" t="s">
        <v>907</v>
      </c>
      <c r="H159" s="51" t="s">
        <v>461</v>
      </c>
      <c r="I159" s="52" t="s">
        <v>1860</v>
      </c>
      <c r="J159" s="52"/>
      <c r="K159" s="53" t="n">
        <f aca="false">IF(AND(E159="yes",F159="yes",H159="covered"),1,IF(H159="partial",0.5,0))</f>
        <v>1</v>
      </c>
    </row>
    <row r="160" customFormat="false" ht="30" hidden="false" customHeight="true" outlineLevel="0" collapsed="false">
      <c r="A160" s="51" t="n">
        <v>152</v>
      </c>
      <c r="B160" s="52" t="s">
        <v>1250</v>
      </c>
      <c r="C160" s="52" t="s">
        <v>1251</v>
      </c>
      <c r="D160" s="52" t="s">
        <v>1257</v>
      </c>
      <c r="E160" s="51" t="s">
        <v>459</v>
      </c>
      <c r="F160" s="51" t="s">
        <v>459</v>
      </c>
      <c r="G160" s="51" t="s">
        <v>907</v>
      </c>
      <c r="H160" s="51" t="s">
        <v>461</v>
      </c>
      <c r="I160" s="52" t="s">
        <v>1860</v>
      </c>
      <c r="J160" s="52"/>
      <c r="K160" s="53" t="n">
        <f aca="false">IF(AND(E160="yes",F160="yes",H160="covered"),1,IF(H160="partial",0.5,0))</f>
        <v>1</v>
      </c>
    </row>
    <row r="161" customFormat="false" ht="30" hidden="false" customHeight="true" outlineLevel="0" collapsed="false">
      <c r="A161" s="51" t="n">
        <v>153</v>
      </c>
      <c r="B161" s="52" t="s">
        <v>1258</v>
      </c>
      <c r="C161" s="52" t="s">
        <v>55</v>
      </c>
      <c r="D161" s="52" t="s">
        <v>1870</v>
      </c>
      <c r="E161" s="51" t="s">
        <v>459</v>
      </c>
      <c r="F161" s="51" t="s">
        <v>459</v>
      </c>
      <c r="G161" s="51" t="s">
        <v>907</v>
      </c>
      <c r="H161" s="51" t="s">
        <v>461</v>
      </c>
      <c r="I161" s="52" t="s">
        <v>1860</v>
      </c>
      <c r="J161" s="52"/>
      <c r="K161" s="53" t="n">
        <f aca="false">IF(AND(E161="yes",F161="yes",H161="covered"),1,IF(H161="partial",0.5,0))</f>
        <v>1</v>
      </c>
    </row>
    <row r="162" customFormat="false" ht="30" hidden="false" customHeight="true" outlineLevel="0" collapsed="false">
      <c r="A162" s="51" t="n">
        <v>154</v>
      </c>
      <c r="B162" s="52" t="s">
        <v>1258</v>
      </c>
      <c r="C162" s="52" t="s">
        <v>55</v>
      </c>
      <c r="D162" s="52" t="s">
        <v>1260</v>
      </c>
      <c r="E162" s="51" t="s">
        <v>459</v>
      </c>
      <c r="F162" s="51" t="s">
        <v>459</v>
      </c>
      <c r="G162" s="51" t="s">
        <v>907</v>
      </c>
      <c r="H162" s="51" t="s">
        <v>461</v>
      </c>
      <c r="I162" s="52" t="s">
        <v>1860</v>
      </c>
      <c r="J162" s="52"/>
      <c r="K162" s="53" t="n">
        <f aca="false">IF(AND(E162="yes",F162="yes",H162="covered"),1,IF(H162="partial",0.5,0))</f>
        <v>1</v>
      </c>
    </row>
    <row r="163" customFormat="false" ht="30" hidden="false" customHeight="true" outlineLevel="0" collapsed="false">
      <c r="A163" s="51" t="n">
        <v>155</v>
      </c>
      <c r="B163" s="52" t="s">
        <v>1258</v>
      </c>
      <c r="C163" s="52" t="s">
        <v>55</v>
      </c>
      <c r="D163" s="52" t="s">
        <v>1871</v>
      </c>
      <c r="E163" s="51" t="s">
        <v>459</v>
      </c>
      <c r="F163" s="51" t="s">
        <v>459</v>
      </c>
      <c r="G163" s="51" t="s">
        <v>907</v>
      </c>
      <c r="H163" s="51" t="s">
        <v>461</v>
      </c>
      <c r="I163" s="52" t="s">
        <v>1860</v>
      </c>
      <c r="J163" s="52"/>
      <c r="K163" s="53" t="n">
        <f aca="false">IF(AND(E163="yes",F163="yes",H163="covered"),1,IF(H163="partial",0.5,0))</f>
        <v>1</v>
      </c>
    </row>
    <row r="164" customFormat="false" ht="45" hidden="false" customHeight="true" outlineLevel="0" collapsed="false">
      <c r="A164" s="51" t="n">
        <v>156</v>
      </c>
      <c r="B164" s="52" t="s">
        <v>1258</v>
      </c>
      <c r="C164" s="52" t="s">
        <v>55</v>
      </c>
      <c r="D164" s="52" t="s">
        <v>324</v>
      </c>
      <c r="E164" s="51" t="s">
        <v>459</v>
      </c>
      <c r="F164" s="51" t="s">
        <v>459</v>
      </c>
      <c r="G164" s="51" t="s">
        <v>1078</v>
      </c>
      <c r="H164" s="51" t="s">
        <v>461</v>
      </c>
      <c r="I164" s="52" t="s">
        <v>1079</v>
      </c>
      <c r="J164" s="52"/>
      <c r="K164" s="53" t="n">
        <f aca="false">IF(AND(E164="yes",F164="yes",H164="covered"),1,IF(H164="partial",0.5,0))</f>
        <v>1</v>
      </c>
    </row>
    <row r="165" customFormat="false" ht="30" hidden="false" customHeight="true" outlineLevel="0" collapsed="false">
      <c r="A165" s="51" t="n">
        <v>157</v>
      </c>
      <c r="B165" s="52" t="s">
        <v>1258</v>
      </c>
      <c r="C165" s="52" t="s">
        <v>55</v>
      </c>
      <c r="D165" s="52" t="s">
        <v>1872</v>
      </c>
      <c r="E165" s="51" t="s">
        <v>459</v>
      </c>
      <c r="F165" s="51" t="s">
        <v>459</v>
      </c>
      <c r="G165" s="51" t="s">
        <v>907</v>
      </c>
      <c r="H165" s="51" t="s">
        <v>461</v>
      </c>
      <c r="I165" s="52" t="s">
        <v>1860</v>
      </c>
      <c r="J165" s="52"/>
      <c r="K165" s="53" t="n">
        <f aca="false">IF(AND(E165="yes",F165="yes",H165="covered"),1,IF(H165="partial",0.5,0))</f>
        <v>1</v>
      </c>
    </row>
    <row r="166" customFormat="false" ht="30" hidden="false" customHeight="true" outlineLevel="0" collapsed="false">
      <c r="A166" s="51" t="n">
        <v>158</v>
      </c>
      <c r="B166" s="52" t="s">
        <v>1258</v>
      </c>
      <c r="C166" s="52" t="s">
        <v>55</v>
      </c>
      <c r="D166" s="52" t="s">
        <v>1873</v>
      </c>
      <c r="E166" s="51" t="s">
        <v>459</v>
      </c>
      <c r="F166" s="51" t="s">
        <v>459</v>
      </c>
      <c r="G166" s="51" t="s">
        <v>907</v>
      </c>
      <c r="H166" s="51" t="s">
        <v>461</v>
      </c>
      <c r="I166" s="52" t="s">
        <v>1860</v>
      </c>
      <c r="J166" s="52"/>
      <c r="K166" s="53" t="n">
        <f aca="false">IF(AND(E166="yes",F166="yes",H166="covered"),1,IF(H166="partial",0.5,0))</f>
        <v>1</v>
      </c>
    </row>
    <row r="167" customFormat="false" ht="30" hidden="false" customHeight="true" outlineLevel="0" collapsed="false">
      <c r="A167" s="51" t="n">
        <v>159</v>
      </c>
      <c r="B167" s="52" t="s">
        <v>1263</v>
      </c>
      <c r="C167" s="52" t="s">
        <v>1264</v>
      </c>
      <c r="D167" s="52" t="s">
        <v>1565</v>
      </c>
      <c r="E167" s="51" t="s">
        <v>459</v>
      </c>
      <c r="F167" s="51" t="s">
        <v>459</v>
      </c>
      <c r="G167" s="51" t="s">
        <v>907</v>
      </c>
      <c r="H167" s="51" t="s">
        <v>461</v>
      </c>
      <c r="I167" s="52" t="s">
        <v>1860</v>
      </c>
      <c r="J167" s="52"/>
      <c r="K167" s="53" t="n">
        <f aca="false">IF(AND(E167="yes",F167="yes",H167="covered"),1,IF(H167="partial",0.5,0))</f>
        <v>1</v>
      </c>
    </row>
    <row r="168" customFormat="false" ht="30" hidden="false" customHeight="true" outlineLevel="0" collapsed="false">
      <c r="A168" s="51" t="n">
        <v>160</v>
      </c>
      <c r="B168" s="52" t="s">
        <v>1263</v>
      </c>
      <c r="C168" s="52" t="s">
        <v>1264</v>
      </c>
      <c r="D168" s="52" t="s">
        <v>1271</v>
      </c>
      <c r="E168" s="51" t="s">
        <v>459</v>
      </c>
      <c r="F168" s="51" t="s">
        <v>459</v>
      </c>
      <c r="G168" s="51" t="s">
        <v>907</v>
      </c>
      <c r="H168" s="51" t="s">
        <v>461</v>
      </c>
      <c r="I168" s="52" t="s">
        <v>1860</v>
      </c>
      <c r="J168" s="52"/>
      <c r="K168" s="53" t="n">
        <f aca="false">IF(AND(E168="yes",F168="yes",H168="covered"),1,IF(H168="partial",0.5,0))</f>
        <v>1</v>
      </c>
    </row>
    <row r="169" customFormat="false" ht="30" hidden="false" customHeight="true" outlineLevel="0" collapsed="false">
      <c r="A169" s="51" t="n">
        <v>161</v>
      </c>
      <c r="B169" s="52" t="s">
        <v>1263</v>
      </c>
      <c r="C169" s="52" t="s">
        <v>1264</v>
      </c>
      <c r="D169" s="52" t="s">
        <v>1874</v>
      </c>
      <c r="E169" s="51" t="s">
        <v>459</v>
      </c>
      <c r="F169" s="51" t="s">
        <v>459</v>
      </c>
      <c r="G169" s="51" t="s">
        <v>907</v>
      </c>
      <c r="H169" s="51" t="s">
        <v>461</v>
      </c>
      <c r="I169" s="52" t="s">
        <v>1860</v>
      </c>
      <c r="J169" s="52"/>
      <c r="K169" s="53" t="n">
        <f aca="false">IF(AND(E169="yes",F169="yes",H169="covered"),1,IF(H169="partial",0.5,0))</f>
        <v>1</v>
      </c>
    </row>
    <row r="170" customFormat="false" ht="15" hidden="false" customHeight="true" outlineLevel="0" collapsed="false">
      <c r="A170" s="51" t="n">
        <v>162</v>
      </c>
      <c r="B170" s="52" t="s">
        <v>1263</v>
      </c>
      <c r="C170" s="52" t="s">
        <v>1264</v>
      </c>
      <c r="D170" s="52" t="s">
        <v>1875</v>
      </c>
      <c r="E170" s="51" t="s">
        <v>459</v>
      </c>
      <c r="F170" s="51" t="s">
        <v>459</v>
      </c>
      <c r="G170" s="51" t="s">
        <v>907</v>
      </c>
      <c r="H170" s="51" t="s">
        <v>461</v>
      </c>
      <c r="I170" s="52" t="s">
        <v>1860</v>
      </c>
      <c r="J170" s="52"/>
      <c r="K170" s="53" t="n">
        <f aca="false">IF(AND(E170="yes",F170="yes",H170="covered"),1,IF(H170="partial",0.5,0))</f>
        <v>1</v>
      </c>
    </row>
    <row r="171" customFormat="false" ht="15" hidden="false" customHeight="true" outlineLevel="0" collapsed="false">
      <c r="A171" s="51" t="n">
        <v>163</v>
      </c>
      <c r="B171" s="52" t="s">
        <v>1263</v>
      </c>
      <c r="C171" s="52" t="s">
        <v>1264</v>
      </c>
      <c r="D171" s="52" t="s">
        <v>1270</v>
      </c>
      <c r="E171" s="51" t="s">
        <v>459</v>
      </c>
      <c r="F171" s="51" t="s">
        <v>459</v>
      </c>
      <c r="G171" s="51" t="s">
        <v>907</v>
      </c>
      <c r="H171" s="51" t="s">
        <v>461</v>
      </c>
      <c r="I171" s="52" t="s">
        <v>1860</v>
      </c>
      <c r="J171" s="52"/>
      <c r="K171" s="53" t="n">
        <f aca="false">IF(AND(E171="yes",F171="yes",H171="covered"),1,IF(H171="partial",0.5,0))</f>
        <v>1</v>
      </c>
    </row>
    <row r="172" customFormat="false" ht="30" hidden="false" customHeight="true" outlineLevel="0" collapsed="false">
      <c r="A172" s="51" t="n">
        <v>164</v>
      </c>
      <c r="B172" s="52" t="s">
        <v>524</v>
      </c>
      <c r="C172" s="52" t="s">
        <v>498</v>
      </c>
      <c r="D172" s="52" t="s">
        <v>331</v>
      </c>
      <c r="E172" s="51" t="s">
        <v>459</v>
      </c>
      <c r="F172" s="51" t="s">
        <v>459</v>
      </c>
      <c r="G172" s="51" t="s">
        <v>1078</v>
      </c>
      <c r="H172" s="51" t="s">
        <v>461</v>
      </c>
      <c r="I172" s="52" t="s">
        <v>1079</v>
      </c>
      <c r="J172" s="52"/>
      <c r="K172" s="53" t="n">
        <f aca="false">IF(AND(E172="yes",F172="yes",H172="covered"),1,IF(H172="partial",0.5,0))</f>
        <v>1</v>
      </c>
    </row>
    <row r="173" customFormat="false" ht="15" hidden="false" customHeight="true" outlineLevel="0" collapsed="false">
      <c r="A173" s="51" t="n">
        <v>165</v>
      </c>
      <c r="B173" s="52" t="s">
        <v>524</v>
      </c>
      <c r="C173" s="52" t="s">
        <v>502</v>
      </c>
      <c r="D173" s="52" t="s">
        <v>338</v>
      </c>
      <c r="E173" s="51" t="s">
        <v>459</v>
      </c>
      <c r="F173" s="51" t="s">
        <v>459</v>
      </c>
      <c r="G173" s="51" t="s">
        <v>1078</v>
      </c>
      <c r="H173" s="51" t="s">
        <v>461</v>
      </c>
      <c r="I173" s="52" t="s">
        <v>1079</v>
      </c>
      <c r="J173" s="52"/>
      <c r="K173" s="53" t="n">
        <f aca="false">IF(AND(E173="yes",F173="yes",H173="covered"),1,IF(H173="partial",0.5,0))</f>
        <v>1</v>
      </c>
    </row>
    <row r="174" customFormat="false" ht="15" hidden="false" customHeight="true" outlineLevel="0" collapsed="false">
      <c r="A174" s="51" t="n">
        <v>166</v>
      </c>
      <c r="B174" s="52" t="s">
        <v>524</v>
      </c>
      <c r="C174" s="52" t="s">
        <v>1273</v>
      </c>
      <c r="D174" s="52" t="s">
        <v>345</v>
      </c>
      <c r="E174" s="51" t="s">
        <v>459</v>
      </c>
      <c r="F174" s="51" t="s">
        <v>459</v>
      </c>
      <c r="G174" s="51" t="s">
        <v>1078</v>
      </c>
      <c r="H174" s="51" t="s">
        <v>461</v>
      </c>
      <c r="I174" s="52" t="s">
        <v>1079</v>
      </c>
      <c r="J174" s="52"/>
      <c r="K174" s="53" t="n">
        <f aca="false">IF(AND(E174="yes",F174="yes",H174="covered"),1,IF(H174="partial",0.5,0))</f>
        <v>1</v>
      </c>
    </row>
    <row r="175" customFormat="false" ht="30" hidden="false" customHeight="true" outlineLevel="0" collapsed="false">
      <c r="A175" s="51" t="n">
        <v>167</v>
      </c>
      <c r="B175" s="52" t="s">
        <v>524</v>
      </c>
      <c r="C175" s="52" t="s">
        <v>1274</v>
      </c>
      <c r="D175" s="52" t="s">
        <v>352</v>
      </c>
      <c r="E175" s="51" t="s">
        <v>459</v>
      </c>
      <c r="F175" s="51" t="s">
        <v>459</v>
      </c>
      <c r="G175" s="51" t="s">
        <v>1078</v>
      </c>
      <c r="H175" s="51" t="s">
        <v>461</v>
      </c>
      <c r="I175" s="52" t="s">
        <v>1079</v>
      </c>
      <c r="J175" s="52"/>
      <c r="K175" s="53" t="n">
        <f aca="false">IF(AND(E175="yes",F175="yes",H175="covered"),1,IF(H175="partial",0.5,0))</f>
        <v>1</v>
      </c>
    </row>
    <row r="176" customFormat="false" ht="30" hidden="false" customHeight="true" outlineLevel="0" collapsed="false">
      <c r="A176" s="51" t="n">
        <v>168</v>
      </c>
      <c r="B176" s="52" t="s">
        <v>524</v>
      </c>
      <c r="C176" s="52" t="s">
        <v>1275</v>
      </c>
      <c r="D176" s="52" t="s">
        <v>359</v>
      </c>
      <c r="E176" s="51" t="s">
        <v>459</v>
      </c>
      <c r="F176" s="51" t="s">
        <v>459</v>
      </c>
      <c r="G176" s="51" t="s">
        <v>1078</v>
      </c>
      <c r="H176" s="51" t="s">
        <v>461</v>
      </c>
      <c r="I176" s="52" t="s">
        <v>1079</v>
      </c>
      <c r="J176" s="52"/>
      <c r="K176" s="53" t="n">
        <f aca="false">IF(AND(E176="yes",F176="yes",H176="covered"),1,IF(H176="partial",0.5,0))</f>
        <v>1</v>
      </c>
    </row>
    <row r="177" customFormat="false" ht="30" hidden="false" customHeight="true" outlineLevel="0" collapsed="false">
      <c r="A177" s="51" t="n">
        <v>169</v>
      </c>
      <c r="B177" s="52" t="s">
        <v>524</v>
      </c>
      <c r="C177" s="52" t="s">
        <v>1272</v>
      </c>
      <c r="D177" s="52" t="s">
        <v>366</v>
      </c>
      <c r="E177" s="51" t="s">
        <v>459</v>
      </c>
      <c r="F177" s="51" t="s">
        <v>459</v>
      </c>
      <c r="G177" s="51" t="s">
        <v>1078</v>
      </c>
      <c r="H177" s="51" t="s">
        <v>461</v>
      </c>
      <c r="I177" s="52" t="s">
        <v>1079</v>
      </c>
      <c r="J177" s="52"/>
      <c r="K177" s="53" t="n">
        <f aca="false">IF(AND(E177="yes",F177="yes",H177="covered"),1,IF(H177="partial",0.5,0))</f>
        <v>1</v>
      </c>
    </row>
    <row r="178" customFormat="false" ht="30" hidden="false" customHeight="true" outlineLevel="0" collapsed="false">
      <c r="A178" s="51" t="n">
        <v>170</v>
      </c>
      <c r="B178" s="52" t="s">
        <v>531</v>
      </c>
      <c r="C178" s="52" t="s">
        <v>1567</v>
      </c>
      <c r="D178" s="52" t="s">
        <v>1568</v>
      </c>
      <c r="E178" s="51" t="s">
        <v>459</v>
      </c>
      <c r="F178" s="51" t="s">
        <v>459</v>
      </c>
      <c r="G178" s="51" t="s">
        <v>907</v>
      </c>
      <c r="H178" s="51" t="s">
        <v>461</v>
      </c>
      <c r="I178" s="52" t="s">
        <v>1860</v>
      </c>
      <c r="J178" s="52"/>
      <c r="K178" s="53" t="n">
        <f aca="false">IF(AND(E178="yes",F178="yes",H178="covered"),1,IF(H178="partial",0.5,0))</f>
        <v>1</v>
      </c>
    </row>
    <row r="179" customFormat="false" ht="30" hidden="false" customHeight="true" outlineLevel="0" collapsed="false">
      <c r="A179" s="51" t="n">
        <v>171</v>
      </c>
      <c r="B179" s="52" t="s">
        <v>31</v>
      </c>
      <c r="C179" s="52" t="s">
        <v>1275</v>
      </c>
      <c r="D179" s="52" t="s">
        <v>1276</v>
      </c>
      <c r="E179" s="51" t="s">
        <v>459</v>
      </c>
      <c r="F179" s="51" t="s">
        <v>459</v>
      </c>
      <c r="G179" s="51" t="s">
        <v>907</v>
      </c>
      <c r="H179" s="51" t="s">
        <v>461</v>
      </c>
      <c r="I179" s="52" t="s">
        <v>1860</v>
      </c>
      <c r="J179" s="52"/>
      <c r="K179" s="53" t="n">
        <f aca="false">IF(AND(E179="yes",F179="yes",H179="covered"),1,IF(H179="partial",0.5,0))</f>
        <v>1</v>
      </c>
    </row>
    <row r="180" customFormat="false" ht="30" hidden="false" customHeight="true" outlineLevel="0" collapsed="false">
      <c r="A180" s="51" t="n">
        <v>172</v>
      </c>
      <c r="B180" s="52" t="s">
        <v>31</v>
      </c>
      <c r="C180" s="52" t="s">
        <v>1275</v>
      </c>
      <c r="D180" s="52" t="s">
        <v>1278</v>
      </c>
      <c r="E180" s="51" t="s">
        <v>459</v>
      </c>
      <c r="F180" s="51" t="s">
        <v>459</v>
      </c>
      <c r="G180" s="51" t="s">
        <v>907</v>
      </c>
      <c r="H180" s="51" t="s">
        <v>461</v>
      </c>
      <c r="I180" s="52" t="s">
        <v>1860</v>
      </c>
      <c r="J180" s="52"/>
      <c r="K180" s="53" t="n">
        <f aca="false">IF(AND(E180="yes",F180="yes",H180="covered"),1,IF(H180="partial",0.5,0))</f>
        <v>1</v>
      </c>
    </row>
    <row r="181" customFormat="false" ht="30" hidden="false" customHeight="true" outlineLevel="0" collapsed="false">
      <c r="A181" s="51" t="n">
        <v>173</v>
      </c>
      <c r="B181" s="52" t="s">
        <v>456</v>
      </c>
      <c r="C181" s="52" t="s">
        <v>540</v>
      </c>
      <c r="D181" s="52" t="s">
        <v>541</v>
      </c>
      <c r="E181" s="51" t="s">
        <v>459</v>
      </c>
      <c r="F181" s="51" t="s">
        <v>459</v>
      </c>
      <c r="G181" s="51" t="s">
        <v>907</v>
      </c>
      <c r="H181" s="51" t="s">
        <v>461</v>
      </c>
      <c r="I181" s="52" t="s">
        <v>1860</v>
      </c>
      <c r="J181" s="52"/>
      <c r="K181" s="53" t="n">
        <f aca="false">IF(AND(E181="yes",F181="yes",H181="covered"),1,IF(H181="partial",0.5,0))</f>
        <v>1</v>
      </c>
    </row>
  </sheetData>
  <mergeCells count="3">
    <mergeCell ref="A1:H1"/>
    <mergeCell ref="A2:H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1876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59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1877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1878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1877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46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1879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46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1880</v>
      </c>
      <c r="J12" s="42"/>
      <c r="K12" s="45" t="n">
        <f aca="false">IF(AND(E12="yes",F12="yes",H12="covered"),1,IF(H12="partial",0.5,0))</f>
        <v>1</v>
      </c>
    </row>
    <row r="13" customFormat="false" ht="30" hidden="false" customHeight="true" outlineLevel="0" collapsed="false">
      <c r="A13" s="31" t="n">
        <v>5</v>
      </c>
      <c r="B13" s="42" t="s">
        <v>456</v>
      </c>
      <c r="C13" s="42" t="s">
        <v>46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1881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46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1880</v>
      </c>
      <c r="J14" s="42"/>
      <c r="K14" s="45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46</v>
      </c>
      <c r="D15" s="42" t="s">
        <v>1882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1883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46</v>
      </c>
      <c r="D16" s="42" t="s">
        <v>1884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1885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46</v>
      </c>
      <c r="D17" s="42" t="s">
        <v>1886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1887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46</v>
      </c>
      <c r="D18" s="42" t="s">
        <v>1888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1889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46</v>
      </c>
      <c r="D19" s="42" t="s">
        <v>1890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1891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31</v>
      </c>
      <c r="C20" s="42" t="s">
        <v>476</v>
      </c>
      <c r="D20" s="42" t="s">
        <v>1892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1889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31</v>
      </c>
      <c r="C21" s="42" t="s">
        <v>1275</v>
      </c>
      <c r="D21" s="42" t="s">
        <v>1893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1894</v>
      </c>
      <c r="J21" s="42"/>
      <c r="K21" s="45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1895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1896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1897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1898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1899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1877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1900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1877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488</v>
      </c>
      <c r="C26" s="42" t="s">
        <v>476</v>
      </c>
      <c r="D26" s="42" t="s">
        <v>489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1889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490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1889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1901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1889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486</v>
      </c>
      <c r="C29" s="42" t="s">
        <v>476</v>
      </c>
      <c r="D29" s="42" t="s">
        <v>1902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1903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475</v>
      </c>
      <c r="C30" s="42" t="s">
        <v>45</v>
      </c>
      <c r="D30" s="42" t="s">
        <v>1904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1891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45</v>
      </c>
      <c r="D31" s="42" t="s">
        <v>489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1891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45</v>
      </c>
      <c r="D32" s="42" t="s">
        <v>1905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1891</v>
      </c>
      <c r="J32" s="42"/>
      <c r="K32" s="45" t="n">
        <f aca="false">IF(AND(E32="yes",F32="yes",H32="covered"),1,IF(H32="partial",0.5,0))</f>
        <v>1</v>
      </c>
    </row>
    <row r="33" customFormat="false" ht="30" hidden="false" customHeight="true" outlineLevel="0" collapsed="false">
      <c r="A33" s="31" t="n">
        <v>25</v>
      </c>
      <c r="B33" s="42" t="s">
        <v>486</v>
      </c>
      <c r="C33" s="42" t="s">
        <v>45</v>
      </c>
      <c r="D33" s="42" t="s">
        <v>1906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1891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45</v>
      </c>
      <c r="D34" s="42" t="s">
        <v>1451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1891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475</v>
      </c>
      <c r="C35" s="42" t="s">
        <v>498</v>
      </c>
      <c r="D35" s="42" t="s">
        <v>1907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1908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479</v>
      </c>
      <c r="C36" s="42" t="s">
        <v>498</v>
      </c>
      <c r="D36" s="42" t="s">
        <v>1909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1908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505</v>
      </c>
      <c r="C37" s="42" t="s">
        <v>498</v>
      </c>
      <c r="D37" s="42" t="s">
        <v>1910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1908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479</v>
      </c>
      <c r="C38" s="42" t="s">
        <v>498</v>
      </c>
      <c r="D38" s="42" t="s">
        <v>1899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1877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457</v>
      </c>
      <c r="C39" s="42" t="s">
        <v>498</v>
      </c>
      <c r="D39" s="42" t="s">
        <v>1900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1877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511</v>
      </c>
      <c r="C40" s="42" t="s">
        <v>498</v>
      </c>
      <c r="D40" s="42" t="s">
        <v>1911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1908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488</v>
      </c>
      <c r="C41" s="42" t="s">
        <v>498</v>
      </c>
      <c r="D41" s="42" t="s">
        <v>1912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1908</v>
      </c>
      <c r="J41" s="42"/>
      <c r="K41" s="45" t="n">
        <f aca="false">IF(AND(E41="yes",F41="yes",H41="covered"),1,IF(H41="partial",0.5,0))</f>
        <v>1</v>
      </c>
    </row>
    <row r="42" customFormat="false" ht="30" hidden="false" customHeight="true" outlineLevel="0" collapsed="false">
      <c r="A42" s="31" t="n">
        <v>34</v>
      </c>
      <c r="B42" s="42" t="s">
        <v>524</v>
      </c>
      <c r="C42" s="42" t="s">
        <v>498</v>
      </c>
      <c r="D42" s="42" t="s">
        <v>1913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1908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524</v>
      </c>
      <c r="C43" s="42" t="s">
        <v>498</v>
      </c>
      <c r="D43" s="42" t="s">
        <v>1914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1908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524</v>
      </c>
      <c r="C44" s="42" t="s">
        <v>498</v>
      </c>
      <c r="D44" s="42" t="s">
        <v>1915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1908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529</v>
      </c>
      <c r="C45" s="42" t="s">
        <v>498</v>
      </c>
      <c r="D45" s="42" t="s">
        <v>1916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1908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475</v>
      </c>
      <c r="C46" s="42" t="s">
        <v>500</v>
      </c>
      <c r="D46" s="42" t="s">
        <v>1917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1918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479</v>
      </c>
      <c r="C47" s="42" t="s">
        <v>500</v>
      </c>
      <c r="D47" s="42" t="s">
        <v>1909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1918</v>
      </c>
      <c r="J47" s="42"/>
      <c r="K47" s="45" t="n">
        <f aca="false">IF(AND(E47="yes",F47="yes",H47="covered"),1,IF(H47="partial",0.5,0))</f>
        <v>1</v>
      </c>
    </row>
    <row r="48" customFormat="false" ht="30" hidden="false" customHeight="true" outlineLevel="0" collapsed="false">
      <c r="A48" s="31" t="n">
        <v>40</v>
      </c>
      <c r="B48" s="42" t="s">
        <v>505</v>
      </c>
      <c r="C48" s="42" t="s">
        <v>500</v>
      </c>
      <c r="D48" s="42" t="s">
        <v>1919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1918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479</v>
      </c>
      <c r="C49" s="42" t="s">
        <v>500</v>
      </c>
      <c r="D49" s="42" t="s">
        <v>1899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1920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511</v>
      </c>
      <c r="C50" s="42" t="s">
        <v>500</v>
      </c>
      <c r="D50" s="42" t="s">
        <v>1921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1918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457</v>
      </c>
      <c r="C51" s="42" t="s">
        <v>500</v>
      </c>
      <c r="D51" s="42" t="s">
        <v>1900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1877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531</v>
      </c>
      <c r="C52" s="42" t="s">
        <v>46</v>
      </c>
      <c r="D52" s="42" t="s">
        <v>1922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1923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531</v>
      </c>
      <c r="C53" s="42" t="s">
        <v>46</v>
      </c>
      <c r="D53" s="42" t="s">
        <v>1924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1923</v>
      </c>
      <c r="J53" s="42"/>
      <c r="K53" s="45" t="n">
        <f aca="false">IF(AND(E53="yes",F53="yes",H53="covered"),1,IF(H53="partial",0.5,0))</f>
        <v>1</v>
      </c>
    </row>
    <row r="54" customFormat="false" ht="30" hidden="false" customHeight="true" outlineLevel="0" collapsed="false">
      <c r="A54" s="31" t="n">
        <v>46</v>
      </c>
      <c r="B54" s="42" t="s">
        <v>531</v>
      </c>
      <c r="C54" s="42" t="s">
        <v>46</v>
      </c>
      <c r="D54" s="42" t="s">
        <v>1925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1923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531</v>
      </c>
      <c r="C55" s="42" t="s">
        <v>46</v>
      </c>
      <c r="D55" s="42" t="s">
        <v>1926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1923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529</v>
      </c>
      <c r="C56" s="42" t="s">
        <v>46</v>
      </c>
      <c r="D56" s="42" t="s">
        <v>1927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1923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751</v>
      </c>
      <c r="C57" s="42" t="s">
        <v>46</v>
      </c>
      <c r="D57" s="42" t="s">
        <v>1928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1929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529</v>
      </c>
      <c r="C58" s="42" t="s">
        <v>46</v>
      </c>
      <c r="D58" s="42" t="s">
        <v>1930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1908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1931</v>
      </c>
      <c r="C59" s="42" t="s">
        <v>502</v>
      </c>
      <c r="D59" s="42" t="s">
        <v>1932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1929</v>
      </c>
      <c r="J59" s="42"/>
      <c r="K59" s="45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31" t="n">
        <v>52</v>
      </c>
      <c r="B60" s="42" t="s">
        <v>1931</v>
      </c>
      <c r="C60" s="42" t="s">
        <v>1933</v>
      </c>
      <c r="D60" s="42" t="s">
        <v>1934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1887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1931</v>
      </c>
      <c r="C61" s="42" t="s">
        <v>1935</v>
      </c>
      <c r="D61" s="42" t="s">
        <v>1936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1887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1931</v>
      </c>
      <c r="C62" s="42" t="s">
        <v>1937</v>
      </c>
      <c r="D62" s="42" t="s">
        <v>1938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1887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1931</v>
      </c>
      <c r="C63" s="42" t="s">
        <v>1939</v>
      </c>
      <c r="D63" s="42" t="s">
        <v>1940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1887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1931</v>
      </c>
      <c r="C64" s="42" t="s">
        <v>1941</v>
      </c>
      <c r="D64" s="42" t="s">
        <v>1942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1887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738</v>
      </c>
      <c r="C65" s="42" t="s">
        <v>46</v>
      </c>
      <c r="D65" s="42" t="s">
        <v>1943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1944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755</v>
      </c>
      <c r="C66" s="42" t="s">
        <v>46</v>
      </c>
      <c r="D66" s="42" t="s">
        <v>1945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1944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760</v>
      </c>
      <c r="C67" s="42" t="s">
        <v>46</v>
      </c>
      <c r="D67" s="42" t="s">
        <v>1946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1944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/>
    <row r="69" customFormat="false" ht="15" hidden="false" customHeight="true" outlineLevel="0" collapsed="false"/>
    <row r="70" customFormat="false" ht="30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30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30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30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30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30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30" hidden="false" customHeight="true" outlineLevel="0" collapsed="false"/>
    <row r="141" customFormat="false" ht="30" hidden="false" customHeight="true" outlineLevel="0" collapsed="false"/>
    <row r="142" customFormat="false" ht="30" hidden="false" customHeight="true" outlineLevel="0" collapsed="false"/>
    <row r="143" customFormat="false" ht="30" hidden="false" customHeight="true" outlineLevel="0" collapsed="false"/>
    <row r="144" customFormat="false" ht="30" hidden="false" customHeight="true" outlineLevel="0" collapsed="false"/>
    <row r="145" customFormat="false" ht="30" hidden="false" customHeight="true" outlineLevel="0" collapsed="false"/>
    <row r="146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1947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112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1333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1333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47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1948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47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1948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47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1948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47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1948</v>
      </c>
      <c r="J14" s="42"/>
      <c r="K14" s="45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47</v>
      </c>
      <c r="D15" s="42" t="s">
        <v>1044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1948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47</v>
      </c>
      <c r="D16" s="42" t="s">
        <v>1949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1948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47</v>
      </c>
      <c r="D17" s="42" t="s">
        <v>1950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1948</v>
      </c>
      <c r="J17" s="42"/>
      <c r="K17" s="45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47</v>
      </c>
      <c r="D18" s="42" t="s">
        <v>1951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1948</v>
      </c>
      <c r="J18" s="42"/>
      <c r="K18" s="45" t="n">
        <f aca="false">IF(AND(E18="yes",F18="yes",H18="covered"),1,IF(H18="partial",0.5,0))</f>
        <v>1</v>
      </c>
    </row>
    <row r="19" customFormat="false" ht="30" hidden="false" customHeight="true" outlineLevel="0" collapsed="false">
      <c r="A19" s="31" t="n">
        <v>11</v>
      </c>
      <c r="B19" s="42" t="s">
        <v>468</v>
      </c>
      <c r="C19" s="42" t="s">
        <v>47</v>
      </c>
      <c r="D19" s="42" t="s">
        <v>1952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1948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47</v>
      </c>
      <c r="D20" s="42" t="s">
        <v>1953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1948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468</v>
      </c>
      <c r="C21" s="42" t="s">
        <v>47</v>
      </c>
      <c r="D21" s="42" t="s">
        <v>1954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1948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1955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1948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475</v>
      </c>
      <c r="C23" s="42" t="s">
        <v>476</v>
      </c>
      <c r="D23" s="42" t="s">
        <v>1956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1948</v>
      </c>
      <c r="J23" s="42"/>
      <c r="K23" s="45" t="n">
        <f aca="false">IF(AND(E23="yes",F23="yes",H23="covered"),1,IF(H23="partial",0.5,0))</f>
        <v>1</v>
      </c>
    </row>
    <row r="24" customFormat="false" ht="30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1957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1948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479</v>
      </c>
      <c r="C25" s="42" t="s">
        <v>476</v>
      </c>
      <c r="D25" s="42" t="s">
        <v>1958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1948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457</v>
      </c>
      <c r="C26" s="42" t="s">
        <v>476</v>
      </c>
      <c r="D26" s="42" t="s">
        <v>1959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1948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774</v>
      </c>
      <c r="C27" s="42" t="s">
        <v>476</v>
      </c>
      <c r="D27" s="42" t="s">
        <v>1960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1948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999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1948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1000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1948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1001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1948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1451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1948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1452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1948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488</v>
      </c>
      <c r="C33" s="42" t="s">
        <v>476</v>
      </c>
      <c r="D33" s="42" t="s">
        <v>493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1948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476</v>
      </c>
      <c r="D34" s="42" t="s">
        <v>501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1948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475</v>
      </c>
      <c r="C35" s="42" t="s">
        <v>55</v>
      </c>
      <c r="D35" s="42" t="s">
        <v>1961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1948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475</v>
      </c>
      <c r="C36" s="42" t="s">
        <v>55</v>
      </c>
      <c r="D36" s="42" t="s">
        <v>1962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1948</v>
      </c>
      <c r="J36" s="42"/>
      <c r="K36" s="45" t="n">
        <f aca="false">IF(AND(E36="yes",F36="yes",H36="covered"),1,IF(H36="partial",0.5,0))</f>
        <v>1</v>
      </c>
    </row>
    <row r="37" customFormat="false" ht="30" hidden="false" customHeight="true" outlineLevel="0" collapsed="false">
      <c r="A37" s="31" t="n">
        <v>29</v>
      </c>
      <c r="B37" s="42" t="s">
        <v>479</v>
      </c>
      <c r="C37" s="42" t="s">
        <v>55</v>
      </c>
      <c r="D37" s="42" t="s">
        <v>1963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1948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479</v>
      </c>
      <c r="C38" s="42" t="s">
        <v>55</v>
      </c>
      <c r="D38" s="42" t="s">
        <v>1964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1948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457</v>
      </c>
      <c r="C39" s="42" t="s">
        <v>55</v>
      </c>
      <c r="D39" s="42" t="s">
        <v>1965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1948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774</v>
      </c>
      <c r="C40" s="42" t="s">
        <v>55</v>
      </c>
      <c r="D40" s="42" t="s">
        <v>1966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1948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1056</v>
      </c>
      <c r="C41" s="42" t="s">
        <v>55</v>
      </c>
      <c r="D41" s="42" t="s">
        <v>1967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1948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488</v>
      </c>
      <c r="C42" s="42" t="s">
        <v>55</v>
      </c>
      <c r="D42" s="42" t="s">
        <v>1968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1948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475</v>
      </c>
      <c r="C43" s="42" t="s">
        <v>498</v>
      </c>
      <c r="D43" s="42" t="s">
        <v>477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1948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475</v>
      </c>
      <c r="C44" s="42" t="s">
        <v>498</v>
      </c>
      <c r="D44" s="42" t="s">
        <v>478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1948</v>
      </c>
      <c r="J44" s="42"/>
      <c r="K44" s="45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31" t="n">
        <v>37</v>
      </c>
      <c r="B45" s="42" t="s">
        <v>479</v>
      </c>
      <c r="C45" s="42" t="s">
        <v>498</v>
      </c>
      <c r="D45" s="42" t="s">
        <v>480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1948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479</v>
      </c>
      <c r="C46" s="42" t="s">
        <v>498</v>
      </c>
      <c r="D46" s="42" t="s">
        <v>481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1948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457</v>
      </c>
      <c r="C47" s="42" t="s">
        <v>498</v>
      </c>
      <c r="D47" s="42" t="s">
        <v>482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1948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774</v>
      </c>
      <c r="C48" s="42" t="s">
        <v>498</v>
      </c>
      <c r="D48" s="42" t="s">
        <v>775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1948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483</v>
      </c>
      <c r="C49" s="42" t="s">
        <v>498</v>
      </c>
      <c r="D49" s="42" t="s">
        <v>484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1948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483</v>
      </c>
      <c r="C50" s="42" t="s">
        <v>498</v>
      </c>
      <c r="D50" s="42" t="s">
        <v>485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1948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486</v>
      </c>
      <c r="C51" s="42" t="s">
        <v>498</v>
      </c>
      <c r="D51" s="42" t="s">
        <v>1062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1948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486</v>
      </c>
      <c r="C52" s="42" t="s">
        <v>498</v>
      </c>
      <c r="D52" s="42" t="s">
        <v>495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1948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486</v>
      </c>
      <c r="C53" s="42" t="s">
        <v>498</v>
      </c>
      <c r="D53" s="42" t="s">
        <v>499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1948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488</v>
      </c>
      <c r="C54" s="42" t="s">
        <v>498</v>
      </c>
      <c r="D54" s="42" t="s">
        <v>497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1948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475</v>
      </c>
      <c r="C55" s="42" t="s">
        <v>668</v>
      </c>
      <c r="D55" s="42" t="s">
        <v>477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1948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475</v>
      </c>
      <c r="C56" s="42" t="s">
        <v>668</v>
      </c>
      <c r="D56" s="42" t="s">
        <v>478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1948</v>
      </c>
      <c r="J56" s="42"/>
      <c r="K56" s="45" t="n">
        <f aca="false">IF(AND(E56="yes",F56="yes",H56="covered"),1,IF(H56="partial",0.5,0))</f>
        <v>1</v>
      </c>
    </row>
    <row r="57" customFormat="false" ht="30" hidden="false" customHeight="true" outlineLevel="0" collapsed="false">
      <c r="A57" s="31" t="n">
        <v>49</v>
      </c>
      <c r="B57" s="42" t="s">
        <v>479</v>
      </c>
      <c r="C57" s="42" t="s">
        <v>668</v>
      </c>
      <c r="D57" s="42" t="s">
        <v>480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1948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479</v>
      </c>
      <c r="C58" s="42" t="s">
        <v>668</v>
      </c>
      <c r="D58" s="42" t="s">
        <v>481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1948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457</v>
      </c>
      <c r="C59" s="42" t="s">
        <v>668</v>
      </c>
      <c r="D59" s="42" t="s">
        <v>482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1948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774</v>
      </c>
      <c r="C60" s="42" t="s">
        <v>668</v>
      </c>
      <c r="D60" s="42" t="s">
        <v>775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1948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486</v>
      </c>
      <c r="C61" s="42" t="s">
        <v>668</v>
      </c>
      <c r="D61" s="42" t="s">
        <v>504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1948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486</v>
      </c>
      <c r="C62" s="42" t="s">
        <v>668</v>
      </c>
      <c r="D62" s="42" t="s">
        <v>1062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1948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486</v>
      </c>
      <c r="C63" s="42" t="s">
        <v>668</v>
      </c>
      <c r="D63" s="42" t="s">
        <v>495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1948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475</v>
      </c>
      <c r="C64" s="42" t="s">
        <v>686</v>
      </c>
      <c r="D64" s="42" t="s">
        <v>477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1948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475</v>
      </c>
      <c r="C65" s="42" t="s">
        <v>686</v>
      </c>
      <c r="D65" s="42" t="s">
        <v>478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1948</v>
      </c>
      <c r="J65" s="42"/>
      <c r="K65" s="45" t="n">
        <f aca="false">IF(AND(E65="yes",F65="yes",H65="covered"),1,IF(H65="partial",0.5,0))</f>
        <v>1</v>
      </c>
    </row>
    <row r="66" customFormat="false" ht="30" hidden="false" customHeight="true" outlineLevel="0" collapsed="false">
      <c r="A66" s="31" t="n">
        <v>58</v>
      </c>
      <c r="B66" s="42" t="s">
        <v>479</v>
      </c>
      <c r="C66" s="42" t="s">
        <v>686</v>
      </c>
      <c r="D66" s="42" t="s">
        <v>480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1948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479</v>
      </c>
      <c r="C67" s="42" t="s">
        <v>686</v>
      </c>
      <c r="D67" s="42" t="s">
        <v>481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1948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457</v>
      </c>
      <c r="C68" s="42" t="s">
        <v>686</v>
      </c>
      <c r="D68" s="42" t="s">
        <v>482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1948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774</v>
      </c>
      <c r="C69" s="42" t="s">
        <v>686</v>
      </c>
      <c r="D69" s="42" t="s">
        <v>775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1948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486</v>
      </c>
      <c r="C70" s="42" t="s">
        <v>686</v>
      </c>
      <c r="D70" s="42" t="s">
        <v>1062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1948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486</v>
      </c>
      <c r="C71" s="42" t="s">
        <v>686</v>
      </c>
      <c r="D71" s="42" t="s">
        <v>495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1948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475</v>
      </c>
      <c r="C72" s="42" t="s">
        <v>1400</v>
      </c>
      <c r="D72" s="42" t="s">
        <v>477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1948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475</v>
      </c>
      <c r="C73" s="42" t="s">
        <v>1400</v>
      </c>
      <c r="D73" s="42" t="s">
        <v>478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1948</v>
      </c>
      <c r="J73" s="42"/>
      <c r="K73" s="45" t="n">
        <f aca="false">IF(AND(E73="yes",F73="yes",H73="covered"),1,IF(H73="partial",0.5,0))</f>
        <v>1</v>
      </c>
    </row>
    <row r="74" customFormat="false" ht="30" hidden="false" customHeight="true" outlineLevel="0" collapsed="false">
      <c r="A74" s="31" t="n">
        <v>66</v>
      </c>
      <c r="B74" s="42" t="s">
        <v>479</v>
      </c>
      <c r="C74" s="42" t="s">
        <v>1400</v>
      </c>
      <c r="D74" s="42" t="s">
        <v>480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1948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479</v>
      </c>
      <c r="C75" s="42" t="s">
        <v>1400</v>
      </c>
      <c r="D75" s="42" t="s">
        <v>481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1948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457</v>
      </c>
      <c r="C76" s="42" t="s">
        <v>1400</v>
      </c>
      <c r="D76" s="42" t="s">
        <v>482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1948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774</v>
      </c>
      <c r="C77" s="42" t="s">
        <v>1400</v>
      </c>
      <c r="D77" s="42" t="s">
        <v>775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1948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483</v>
      </c>
      <c r="C78" s="42" t="s">
        <v>1400</v>
      </c>
      <c r="D78" s="42" t="s">
        <v>484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1948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483</v>
      </c>
      <c r="C79" s="42" t="s">
        <v>1400</v>
      </c>
      <c r="D79" s="42" t="s">
        <v>485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1948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483</v>
      </c>
      <c r="C80" s="42" t="s">
        <v>1400</v>
      </c>
      <c r="D80" s="42" t="s">
        <v>1969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1948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505</v>
      </c>
      <c r="C81" s="42" t="s">
        <v>506</v>
      </c>
      <c r="D81" s="42" t="s">
        <v>507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1948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505</v>
      </c>
      <c r="C82" s="42" t="s">
        <v>506</v>
      </c>
      <c r="D82" s="42" t="s">
        <v>1631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1948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505</v>
      </c>
      <c r="C83" s="42" t="s">
        <v>506</v>
      </c>
      <c r="D83" s="42" t="s">
        <v>508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1948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505</v>
      </c>
      <c r="C84" s="42" t="s">
        <v>506</v>
      </c>
      <c r="D84" s="42" t="s">
        <v>509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1948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505</v>
      </c>
      <c r="C85" s="42" t="s">
        <v>506</v>
      </c>
      <c r="D85" s="42" t="s">
        <v>1069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1948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505</v>
      </c>
      <c r="C86" s="42" t="s">
        <v>506</v>
      </c>
      <c r="D86" s="42" t="s">
        <v>783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1948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505</v>
      </c>
      <c r="C87" s="42" t="s">
        <v>506</v>
      </c>
      <c r="D87" s="42" t="s">
        <v>510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1948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505</v>
      </c>
      <c r="C88" s="42" t="s">
        <v>506</v>
      </c>
      <c r="D88" s="42" t="s">
        <v>1970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1948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511</v>
      </c>
      <c r="C89" s="42" t="s">
        <v>506</v>
      </c>
      <c r="D89" s="42" t="s">
        <v>512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1948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511</v>
      </c>
      <c r="C90" s="42" t="s">
        <v>506</v>
      </c>
      <c r="D90" s="42" t="s">
        <v>514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1948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511</v>
      </c>
      <c r="C91" s="42" t="s">
        <v>506</v>
      </c>
      <c r="D91" s="42" t="s">
        <v>515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1948</v>
      </c>
      <c r="J91" s="42"/>
      <c r="K91" s="45" t="n">
        <f aca="false">IF(AND(E91="yes",F91="yes",H91="covered"),1,IF(H91="partial",0.5,0))</f>
        <v>1</v>
      </c>
    </row>
    <row r="92" customFormat="false" ht="30" hidden="false" customHeight="true" outlineLevel="0" collapsed="false">
      <c r="A92" s="31" t="n">
        <v>84</v>
      </c>
      <c r="B92" s="42" t="s">
        <v>483</v>
      </c>
      <c r="C92" s="42" t="s">
        <v>498</v>
      </c>
      <c r="D92" s="42" t="s">
        <v>516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1948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483</v>
      </c>
      <c r="C93" s="42" t="s">
        <v>498</v>
      </c>
      <c r="D93" s="42" t="s">
        <v>517</v>
      </c>
      <c r="E93" s="34" t="s">
        <v>459</v>
      </c>
      <c r="F93" s="43" t="s">
        <v>459</v>
      </c>
      <c r="G93" s="31" t="s">
        <v>543</v>
      </c>
      <c r="H93" s="44" t="s">
        <v>461</v>
      </c>
      <c r="I93" s="42" t="s">
        <v>1948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483</v>
      </c>
      <c r="C94" s="42" t="s">
        <v>498</v>
      </c>
      <c r="D94" s="42" t="s">
        <v>1971</v>
      </c>
      <c r="E94" s="34" t="s">
        <v>459</v>
      </c>
      <c r="F94" s="43" t="s">
        <v>459</v>
      </c>
      <c r="G94" s="31" t="s">
        <v>543</v>
      </c>
      <c r="H94" s="44" t="s">
        <v>461</v>
      </c>
      <c r="I94" s="42" t="s">
        <v>1948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483</v>
      </c>
      <c r="C95" s="42" t="s">
        <v>1400</v>
      </c>
      <c r="D95" s="42" t="s">
        <v>1972</v>
      </c>
      <c r="E95" s="34" t="s">
        <v>459</v>
      </c>
      <c r="F95" s="43" t="s">
        <v>459</v>
      </c>
      <c r="G95" s="31" t="s">
        <v>543</v>
      </c>
      <c r="H95" s="44" t="s">
        <v>461</v>
      </c>
      <c r="I95" s="42" t="s">
        <v>1948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483</v>
      </c>
      <c r="C96" s="42" t="s">
        <v>1400</v>
      </c>
      <c r="D96" s="42" t="s">
        <v>520</v>
      </c>
      <c r="E96" s="34" t="s">
        <v>459</v>
      </c>
      <c r="F96" s="43" t="s">
        <v>459</v>
      </c>
      <c r="G96" s="31" t="s">
        <v>543</v>
      </c>
      <c r="H96" s="44" t="s">
        <v>461</v>
      </c>
      <c r="I96" s="42" t="s">
        <v>1948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488</v>
      </c>
      <c r="C97" s="42" t="s">
        <v>476</v>
      </c>
      <c r="D97" s="42" t="s">
        <v>521</v>
      </c>
      <c r="E97" s="34" t="s">
        <v>459</v>
      </c>
      <c r="F97" s="43" t="s">
        <v>459</v>
      </c>
      <c r="G97" s="31" t="s">
        <v>543</v>
      </c>
      <c r="H97" s="44" t="s">
        <v>461</v>
      </c>
      <c r="I97" s="42" t="s">
        <v>1948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488</v>
      </c>
      <c r="C98" s="42" t="s">
        <v>476</v>
      </c>
      <c r="D98" s="42" t="s">
        <v>522</v>
      </c>
      <c r="E98" s="34" t="s">
        <v>459</v>
      </c>
      <c r="F98" s="43" t="s">
        <v>459</v>
      </c>
      <c r="G98" s="31" t="s">
        <v>543</v>
      </c>
      <c r="H98" s="44" t="s">
        <v>461</v>
      </c>
      <c r="I98" s="42" t="s">
        <v>1948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488</v>
      </c>
      <c r="C99" s="42" t="s">
        <v>476</v>
      </c>
      <c r="D99" s="42" t="s">
        <v>523</v>
      </c>
      <c r="E99" s="34" t="s">
        <v>459</v>
      </c>
      <c r="F99" s="43" t="s">
        <v>459</v>
      </c>
      <c r="G99" s="31" t="s">
        <v>543</v>
      </c>
      <c r="H99" s="44" t="s">
        <v>461</v>
      </c>
      <c r="I99" s="42" t="s">
        <v>1948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524</v>
      </c>
      <c r="C100" s="42" t="s">
        <v>498</v>
      </c>
      <c r="D100" s="42" t="s">
        <v>525</v>
      </c>
      <c r="E100" s="34" t="s">
        <v>459</v>
      </c>
      <c r="F100" s="43" t="s">
        <v>459</v>
      </c>
      <c r="G100" s="31" t="s">
        <v>543</v>
      </c>
      <c r="H100" s="44" t="s">
        <v>461</v>
      </c>
      <c r="I100" s="42" t="s">
        <v>1948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524</v>
      </c>
      <c r="C101" s="42" t="s">
        <v>498</v>
      </c>
      <c r="D101" s="42" t="s">
        <v>526</v>
      </c>
      <c r="E101" s="34" t="s">
        <v>459</v>
      </c>
      <c r="F101" s="43" t="s">
        <v>459</v>
      </c>
      <c r="G101" s="31" t="s">
        <v>543</v>
      </c>
      <c r="H101" s="44" t="s">
        <v>461</v>
      </c>
      <c r="I101" s="42" t="s">
        <v>1948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524</v>
      </c>
      <c r="C102" s="42" t="s">
        <v>498</v>
      </c>
      <c r="D102" s="42" t="s">
        <v>527</v>
      </c>
      <c r="E102" s="34" t="s">
        <v>459</v>
      </c>
      <c r="F102" s="43" t="s">
        <v>459</v>
      </c>
      <c r="G102" s="31" t="s">
        <v>543</v>
      </c>
      <c r="H102" s="44" t="s">
        <v>461</v>
      </c>
      <c r="I102" s="42" t="s">
        <v>1948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524</v>
      </c>
      <c r="C103" s="42" t="s">
        <v>498</v>
      </c>
      <c r="D103" s="42" t="s">
        <v>528</v>
      </c>
      <c r="E103" s="34" t="s">
        <v>459</v>
      </c>
      <c r="F103" s="43" t="s">
        <v>459</v>
      </c>
      <c r="G103" s="31" t="s">
        <v>543</v>
      </c>
      <c r="H103" s="44" t="s">
        <v>461</v>
      </c>
      <c r="I103" s="42" t="s">
        <v>1948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529</v>
      </c>
      <c r="C104" s="42" t="s">
        <v>498</v>
      </c>
      <c r="D104" s="42" t="s">
        <v>530</v>
      </c>
      <c r="E104" s="34" t="s">
        <v>459</v>
      </c>
      <c r="F104" s="43" t="s">
        <v>459</v>
      </c>
      <c r="G104" s="31" t="s">
        <v>543</v>
      </c>
      <c r="H104" s="44" t="s">
        <v>461</v>
      </c>
      <c r="I104" s="42" t="s">
        <v>1948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751</v>
      </c>
      <c r="C105" s="42" t="s">
        <v>47</v>
      </c>
      <c r="D105" s="42" t="s">
        <v>1457</v>
      </c>
      <c r="E105" s="34" t="s">
        <v>459</v>
      </c>
      <c r="F105" s="43" t="s">
        <v>459</v>
      </c>
      <c r="G105" s="31" t="s">
        <v>543</v>
      </c>
      <c r="H105" s="44" t="s">
        <v>461</v>
      </c>
      <c r="I105" s="42" t="s">
        <v>1948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751</v>
      </c>
      <c r="C106" s="42" t="s">
        <v>47</v>
      </c>
      <c r="D106" s="42" t="s">
        <v>1458</v>
      </c>
      <c r="E106" s="34" t="s">
        <v>459</v>
      </c>
      <c r="F106" s="43" t="s">
        <v>459</v>
      </c>
      <c r="G106" s="31" t="s">
        <v>543</v>
      </c>
      <c r="H106" s="44" t="s">
        <v>461</v>
      </c>
      <c r="I106" s="42" t="s">
        <v>1948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751</v>
      </c>
      <c r="C107" s="42" t="s">
        <v>47</v>
      </c>
      <c r="D107" s="42" t="s">
        <v>1459</v>
      </c>
      <c r="E107" s="34" t="s">
        <v>459</v>
      </c>
      <c r="F107" s="43" t="s">
        <v>459</v>
      </c>
      <c r="G107" s="31" t="s">
        <v>543</v>
      </c>
      <c r="H107" s="44" t="s">
        <v>461</v>
      </c>
      <c r="I107" s="42" t="s">
        <v>1948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529</v>
      </c>
      <c r="C108" s="42" t="s">
        <v>47</v>
      </c>
      <c r="D108" s="42" t="s">
        <v>1460</v>
      </c>
      <c r="E108" s="34" t="s">
        <v>459</v>
      </c>
      <c r="F108" s="43" t="s">
        <v>459</v>
      </c>
      <c r="G108" s="31" t="s">
        <v>543</v>
      </c>
      <c r="H108" s="44" t="s">
        <v>461</v>
      </c>
      <c r="I108" s="42" t="s">
        <v>1948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529</v>
      </c>
      <c r="C109" s="42" t="s">
        <v>47</v>
      </c>
      <c r="D109" s="42" t="s">
        <v>1461</v>
      </c>
      <c r="E109" s="34" t="s">
        <v>459</v>
      </c>
      <c r="F109" s="43" t="s">
        <v>459</v>
      </c>
      <c r="G109" s="31" t="s">
        <v>543</v>
      </c>
      <c r="H109" s="44" t="s">
        <v>461</v>
      </c>
      <c r="I109" s="42" t="s">
        <v>1948</v>
      </c>
      <c r="J109" s="42"/>
      <c r="K109" s="45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2" t="s">
        <v>1973</v>
      </c>
      <c r="C110" s="42" t="s">
        <v>47</v>
      </c>
      <c r="D110" s="42" t="s">
        <v>229</v>
      </c>
      <c r="E110" s="34" t="s">
        <v>459</v>
      </c>
      <c r="F110" s="43" t="s">
        <v>459</v>
      </c>
      <c r="G110" s="31" t="s">
        <v>1409</v>
      </c>
      <c r="H110" s="44" t="s">
        <v>461</v>
      </c>
      <c r="I110" s="42" t="s">
        <v>1381</v>
      </c>
      <c r="J110" s="42" t="s">
        <v>1410</v>
      </c>
      <c r="K110" s="45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2" t="s">
        <v>55</v>
      </c>
      <c r="C111" s="42" t="s">
        <v>47</v>
      </c>
      <c r="D111" s="42" t="s">
        <v>1074</v>
      </c>
      <c r="E111" s="34" t="s">
        <v>459</v>
      </c>
      <c r="F111" s="43" t="s">
        <v>459</v>
      </c>
      <c r="G111" s="31" t="s">
        <v>543</v>
      </c>
      <c r="H111" s="44" t="s">
        <v>461</v>
      </c>
      <c r="I111" s="42" t="s">
        <v>1948</v>
      </c>
      <c r="J111" s="42"/>
      <c r="K111" s="45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2" t="s">
        <v>55</v>
      </c>
      <c r="C112" s="42" t="s">
        <v>47</v>
      </c>
      <c r="D112" s="42" t="s">
        <v>1075</v>
      </c>
      <c r="E112" s="34" t="s">
        <v>459</v>
      </c>
      <c r="F112" s="43" t="s">
        <v>459</v>
      </c>
      <c r="G112" s="31" t="s">
        <v>543</v>
      </c>
      <c r="H112" s="44" t="s">
        <v>461</v>
      </c>
      <c r="I112" s="42" t="s">
        <v>1948</v>
      </c>
      <c r="J112" s="42"/>
      <c r="K112" s="45" t="n">
        <f aca="false">IF(AND(E112="yes",F112="yes",H112="covered"),1,IF(H112="partial",0.5,0))</f>
        <v>1</v>
      </c>
    </row>
    <row r="113" customFormat="false" ht="54" hidden="false" customHeight="true" outlineLevel="0" collapsed="false">
      <c r="A113" s="31" t="n">
        <v>105</v>
      </c>
      <c r="B113" s="42" t="s">
        <v>882</v>
      </c>
      <c r="C113" s="42" t="s">
        <v>500</v>
      </c>
      <c r="D113" s="42" t="s">
        <v>1974</v>
      </c>
      <c r="E113" s="34" t="s">
        <v>459</v>
      </c>
      <c r="F113" s="43" t="s">
        <v>459</v>
      </c>
      <c r="G113" s="31" t="s">
        <v>1380</v>
      </c>
      <c r="H113" s="44" t="s">
        <v>461</v>
      </c>
      <c r="I113" s="42" t="s">
        <v>1381</v>
      </c>
      <c r="J113" s="42"/>
      <c r="K113" s="45" t="n">
        <f aca="false">IF(AND(E113="yes",F113="yes",H113="covered"),1,IF(H113="partial",0.5,0))</f>
        <v>1</v>
      </c>
    </row>
    <row r="114" customFormat="false" ht="54" hidden="false" customHeight="true" outlineLevel="0" collapsed="false">
      <c r="A114" s="31" t="n">
        <v>106</v>
      </c>
      <c r="B114" s="42" t="s">
        <v>882</v>
      </c>
      <c r="C114" s="42" t="s">
        <v>686</v>
      </c>
      <c r="D114" s="42" t="s">
        <v>1975</v>
      </c>
      <c r="E114" s="34" t="s">
        <v>459</v>
      </c>
      <c r="F114" s="43" t="s">
        <v>459</v>
      </c>
      <c r="G114" s="31" t="s">
        <v>1380</v>
      </c>
      <c r="H114" s="44" t="s">
        <v>461</v>
      </c>
      <c r="I114" s="42" t="s">
        <v>1381</v>
      </c>
      <c r="J114" s="42"/>
      <c r="K114" s="45" t="n">
        <f aca="false">IF(AND(E114="yes",F114="yes",H114="covered"),1,IF(H114="partial",0.5,0))</f>
        <v>1</v>
      </c>
    </row>
    <row r="115" customFormat="false" ht="54" hidden="false" customHeight="true" outlineLevel="0" collapsed="false">
      <c r="A115" s="31" t="n">
        <v>107</v>
      </c>
      <c r="B115" s="42" t="s">
        <v>529</v>
      </c>
      <c r="C115" s="42" t="s">
        <v>500</v>
      </c>
      <c r="D115" s="42" t="s">
        <v>1976</v>
      </c>
      <c r="E115" s="34" t="s">
        <v>459</v>
      </c>
      <c r="F115" s="43" t="s">
        <v>459</v>
      </c>
      <c r="G115" s="31" t="s">
        <v>1380</v>
      </c>
      <c r="H115" s="44" t="s">
        <v>461</v>
      </c>
      <c r="I115" s="42" t="s">
        <v>1381</v>
      </c>
      <c r="J115" s="42"/>
      <c r="K115" s="45" t="n">
        <f aca="false">IF(AND(E115="yes",F115="yes",H115="covered"),1,IF(H115="partial",0.5,0))</f>
        <v>1</v>
      </c>
    </row>
    <row r="116" customFormat="false" ht="54" hidden="false" customHeight="true" outlineLevel="0" collapsed="false">
      <c r="A116" s="31" t="n">
        <v>108</v>
      </c>
      <c r="B116" s="42" t="s">
        <v>529</v>
      </c>
      <c r="C116" s="42" t="s">
        <v>500</v>
      </c>
      <c r="D116" s="42" t="s">
        <v>1977</v>
      </c>
      <c r="E116" s="34" t="s">
        <v>459</v>
      </c>
      <c r="F116" s="43" t="s">
        <v>459</v>
      </c>
      <c r="G116" s="31" t="s">
        <v>1380</v>
      </c>
      <c r="H116" s="44" t="s">
        <v>461</v>
      </c>
      <c r="I116" s="42" t="s">
        <v>1381</v>
      </c>
      <c r="J116" s="42"/>
      <c r="K116" s="45" t="n">
        <f aca="false">IF(AND(E116="yes",F116="yes",H116="covered"),1,IF(H116="partial",0.5,0))</f>
        <v>1</v>
      </c>
    </row>
    <row r="117" customFormat="false" ht="54" hidden="false" customHeight="true" outlineLevel="0" collapsed="false">
      <c r="A117" s="31" t="n">
        <v>109</v>
      </c>
      <c r="B117" s="42" t="s">
        <v>1416</v>
      </c>
      <c r="C117" s="42" t="s">
        <v>47</v>
      </c>
      <c r="D117" s="42" t="s">
        <v>1978</v>
      </c>
      <c r="E117" s="34" t="s">
        <v>459</v>
      </c>
      <c r="F117" s="43" t="s">
        <v>459</v>
      </c>
      <c r="G117" s="31" t="s">
        <v>1380</v>
      </c>
      <c r="H117" s="44" t="s">
        <v>461</v>
      </c>
      <c r="I117" s="42" t="s">
        <v>1381</v>
      </c>
      <c r="J117" s="42"/>
      <c r="K117" s="45" t="n">
        <f aca="false">IF(AND(E117="yes",F117="yes",H117="covered"),1,IF(H117="partial",0.5,0))</f>
        <v>1</v>
      </c>
    </row>
    <row r="118" customFormat="false" ht="54" hidden="false" customHeight="true" outlineLevel="0" collapsed="false">
      <c r="A118" s="31" t="n">
        <v>110</v>
      </c>
      <c r="B118" s="42" t="s">
        <v>55</v>
      </c>
      <c r="C118" s="42" t="s">
        <v>1419</v>
      </c>
      <c r="D118" s="42" t="s">
        <v>1979</v>
      </c>
      <c r="E118" s="34" t="s">
        <v>459</v>
      </c>
      <c r="F118" s="43" t="s">
        <v>459</v>
      </c>
      <c r="G118" s="31" t="s">
        <v>1380</v>
      </c>
      <c r="H118" s="44" t="s">
        <v>461</v>
      </c>
      <c r="I118" s="42" t="s">
        <v>1381</v>
      </c>
      <c r="J118" s="42"/>
      <c r="K118" s="45" t="n">
        <f aca="false">IF(AND(E118="yes",F118="yes",H118="covered"),1,IF(H118="partial",0.5,0))</f>
        <v>1</v>
      </c>
    </row>
    <row r="119" customFormat="false" ht="54" hidden="false" customHeight="true" outlineLevel="0" collapsed="false">
      <c r="A119" s="31" t="n">
        <v>111</v>
      </c>
      <c r="B119" s="42" t="s">
        <v>55</v>
      </c>
      <c r="C119" s="42" t="s">
        <v>61</v>
      </c>
      <c r="D119" s="42" t="s">
        <v>1980</v>
      </c>
      <c r="E119" s="34" t="s">
        <v>459</v>
      </c>
      <c r="F119" s="43" t="s">
        <v>459</v>
      </c>
      <c r="G119" s="31" t="s">
        <v>1380</v>
      </c>
      <c r="H119" s="44" t="s">
        <v>461</v>
      </c>
      <c r="I119" s="42" t="s">
        <v>1381</v>
      </c>
      <c r="J119" s="42"/>
      <c r="K119" s="45" t="n">
        <f aca="false">IF(AND(E119="yes",F119="yes",H119="covered"),1,IF(H119="partial",0.5,0))</f>
        <v>1</v>
      </c>
    </row>
    <row r="120" customFormat="false" ht="54" hidden="false" customHeight="true" outlineLevel="0" collapsed="false">
      <c r="A120" s="31" t="n">
        <v>112</v>
      </c>
      <c r="B120" s="42" t="s">
        <v>1421</v>
      </c>
      <c r="C120" s="42" t="s">
        <v>47</v>
      </c>
      <c r="D120" s="42" t="s">
        <v>1981</v>
      </c>
      <c r="E120" s="34" t="s">
        <v>459</v>
      </c>
      <c r="F120" s="43" t="s">
        <v>459</v>
      </c>
      <c r="G120" s="31" t="s">
        <v>1380</v>
      </c>
      <c r="H120" s="44" t="s">
        <v>461</v>
      </c>
      <c r="I120" s="42" t="s">
        <v>1381</v>
      </c>
      <c r="J120" s="42"/>
      <c r="K120" s="45" t="n">
        <f aca="false">IF(AND(E120="yes",F120="yes",H120="covered"),1,IF(H120="partial",0.5,0))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1982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88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1983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1984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49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1985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49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1986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49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1987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49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1988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49</v>
      </c>
      <c r="D15" s="42" t="s">
        <v>1989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1990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49</v>
      </c>
      <c r="D16" s="42" t="s">
        <v>1991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1992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49</v>
      </c>
      <c r="D17" s="42" t="s">
        <v>1993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1994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49</v>
      </c>
      <c r="D18" s="42" t="s">
        <v>1995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1996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49</v>
      </c>
      <c r="D19" s="42" t="s">
        <v>1997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1998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49</v>
      </c>
      <c r="D20" s="42" t="s">
        <v>1999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2000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468</v>
      </c>
      <c r="C21" s="42" t="s">
        <v>49</v>
      </c>
      <c r="D21" s="42" t="s">
        <v>2001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2000</v>
      </c>
      <c r="J21" s="42"/>
      <c r="K21" s="45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468</v>
      </c>
      <c r="C22" s="42" t="s">
        <v>49</v>
      </c>
      <c r="D22" s="42" t="s">
        <v>2002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2003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468</v>
      </c>
      <c r="C23" s="42" t="s">
        <v>49</v>
      </c>
      <c r="D23" s="42" t="s">
        <v>2004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2005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475</v>
      </c>
      <c r="C24" s="42" t="s">
        <v>476</v>
      </c>
      <c r="D24" s="42" t="s">
        <v>2006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2007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479</v>
      </c>
      <c r="C25" s="42" t="s">
        <v>476</v>
      </c>
      <c r="D25" s="42" t="s">
        <v>2008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2009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479</v>
      </c>
      <c r="C26" s="42" t="s">
        <v>476</v>
      </c>
      <c r="D26" s="42" t="s">
        <v>2010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2009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511</v>
      </c>
      <c r="C27" s="42" t="s">
        <v>476</v>
      </c>
      <c r="D27" s="42" t="s">
        <v>2011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2012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457</v>
      </c>
      <c r="C28" s="42" t="s">
        <v>476</v>
      </c>
      <c r="D28" s="42" t="s">
        <v>1900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2009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774</v>
      </c>
      <c r="C29" s="42" t="s">
        <v>476</v>
      </c>
      <c r="D29" s="42" t="s">
        <v>775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2009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483</v>
      </c>
      <c r="C30" s="42" t="s">
        <v>476</v>
      </c>
      <c r="D30" s="42" t="s">
        <v>2013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2009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475</v>
      </c>
      <c r="C31" s="42" t="s">
        <v>2014</v>
      </c>
      <c r="D31" s="42" t="s">
        <v>582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2015</v>
      </c>
      <c r="J31" s="42"/>
      <c r="K31" s="45" t="n">
        <f aca="false">IF(AND(E31="yes",F31="yes",H31="covered"),1,IF(H31="partial",0.5,0))</f>
        <v>1</v>
      </c>
    </row>
    <row r="32" customFormat="false" ht="30" hidden="false" customHeight="true" outlineLevel="0" collapsed="false">
      <c r="A32" s="31" t="n">
        <v>24</v>
      </c>
      <c r="B32" s="42" t="s">
        <v>479</v>
      </c>
      <c r="C32" s="42" t="s">
        <v>2014</v>
      </c>
      <c r="D32" s="42" t="s">
        <v>2016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2017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479</v>
      </c>
      <c r="C33" s="42" t="s">
        <v>2014</v>
      </c>
      <c r="D33" s="42" t="s">
        <v>2018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2017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511</v>
      </c>
      <c r="C34" s="42" t="s">
        <v>2014</v>
      </c>
      <c r="D34" s="42" t="s">
        <v>2019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1998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488</v>
      </c>
      <c r="C35" s="42" t="s">
        <v>2014</v>
      </c>
      <c r="D35" s="42" t="s">
        <v>2020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1996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488</v>
      </c>
      <c r="C36" s="42" t="s">
        <v>2014</v>
      </c>
      <c r="D36" s="42" t="s">
        <v>2021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1998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488</v>
      </c>
      <c r="C37" s="42" t="s">
        <v>2014</v>
      </c>
      <c r="D37" s="42" t="s">
        <v>2022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2023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488</v>
      </c>
      <c r="C38" s="42" t="s">
        <v>2014</v>
      </c>
      <c r="D38" s="42" t="s">
        <v>2024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2000</v>
      </c>
      <c r="J38" s="42"/>
      <c r="K38" s="45" t="n">
        <f aca="false">IF(AND(E38="yes",F38="yes",H38="covered"),1,IF(H38="partial",0.5,0))</f>
        <v>1</v>
      </c>
    </row>
    <row r="39" customFormat="false" ht="30" hidden="false" customHeight="true" outlineLevel="0" collapsed="false">
      <c r="A39" s="31" t="n">
        <v>31</v>
      </c>
      <c r="B39" s="42" t="s">
        <v>457</v>
      </c>
      <c r="C39" s="42" t="s">
        <v>2014</v>
      </c>
      <c r="D39" s="42" t="s">
        <v>1900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2017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774</v>
      </c>
      <c r="C40" s="42" t="s">
        <v>2014</v>
      </c>
      <c r="D40" s="42" t="s">
        <v>775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2017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483</v>
      </c>
      <c r="C41" s="42" t="s">
        <v>2014</v>
      </c>
      <c r="D41" s="42" t="s">
        <v>2013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2017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475</v>
      </c>
      <c r="C42" s="42" t="s">
        <v>2025</v>
      </c>
      <c r="D42" s="42" t="s">
        <v>2026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2027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479</v>
      </c>
      <c r="C43" s="42" t="s">
        <v>2025</v>
      </c>
      <c r="D43" s="42" t="s">
        <v>2028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2029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479</v>
      </c>
      <c r="C44" s="42" t="s">
        <v>2025</v>
      </c>
      <c r="D44" s="42" t="s">
        <v>2030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2029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505</v>
      </c>
      <c r="C45" s="42" t="s">
        <v>2025</v>
      </c>
      <c r="D45" s="42" t="s">
        <v>2031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2032</v>
      </c>
      <c r="J45" s="42"/>
      <c r="K45" s="45" t="n">
        <f aca="false">IF(AND(E45="yes",F45="yes",H45="covered"),1,IF(H45="partial",0.5,0))</f>
        <v>1</v>
      </c>
    </row>
    <row r="46" customFormat="false" ht="30" hidden="false" customHeight="true" outlineLevel="0" collapsed="false">
      <c r="A46" s="31" t="n">
        <v>38</v>
      </c>
      <c r="B46" s="42" t="s">
        <v>457</v>
      </c>
      <c r="C46" s="42" t="s">
        <v>2025</v>
      </c>
      <c r="D46" s="42" t="s">
        <v>1900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2029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774</v>
      </c>
      <c r="C47" s="42" t="s">
        <v>2025</v>
      </c>
      <c r="D47" s="42" t="s">
        <v>775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2029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483</v>
      </c>
      <c r="C48" s="42" t="s">
        <v>2025</v>
      </c>
      <c r="D48" s="42" t="s">
        <v>2013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2029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475</v>
      </c>
      <c r="C49" s="42" t="s">
        <v>2033</v>
      </c>
      <c r="D49" s="42" t="s">
        <v>2034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2035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479</v>
      </c>
      <c r="C50" s="42" t="s">
        <v>2033</v>
      </c>
      <c r="D50" s="42" t="s">
        <v>2036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2037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479</v>
      </c>
      <c r="C51" s="42" t="s">
        <v>2033</v>
      </c>
      <c r="D51" s="42" t="s">
        <v>2038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2037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511</v>
      </c>
      <c r="C52" s="42" t="s">
        <v>2033</v>
      </c>
      <c r="D52" s="42" t="s">
        <v>2039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2040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505</v>
      </c>
      <c r="C53" s="42" t="s">
        <v>2033</v>
      </c>
      <c r="D53" s="42" t="s">
        <v>2041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2040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531</v>
      </c>
      <c r="C54" s="42" t="s">
        <v>2033</v>
      </c>
      <c r="D54" s="42" t="s">
        <v>2042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2037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488</v>
      </c>
      <c r="C55" s="42" t="s">
        <v>2033</v>
      </c>
      <c r="D55" s="42" t="s">
        <v>2043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2000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457</v>
      </c>
      <c r="C56" s="42" t="s">
        <v>2033</v>
      </c>
      <c r="D56" s="42" t="s">
        <v>1900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2037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774</v>
      </c>
      <c r="C57" s="42" t="s">
        <v>2033</v>
      </c>
      <c r="D57" s="42" t="s">
        <v>775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2037</v>
      </c>
      <c r="J57" s="42"/>
      <c r="K57" s="45" t="n">
        <f aca="false">IF(AND(E57="yes",F57="yes",H57="covered"),1,IF(H57="partial",0.5,0))</f>
        <v>1</v>
      </c>
    </row>
    <row r="58" customFormat="false" ht="30" hidden="false" customHeight="true" outlineLevel="0" collapsed="false">
      <c r="A58" s="31" t="n">
        <v>50</v>
      </c>
      <c r="B58" s="42" t="s">
        <v>483</v>
      </c>
      <c r="C58" s="42" t="s">
        <v>2033</v>
      </c>
      <c r="D58" s="42" t="s">
        <v>2013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2037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475</v>
      </c>
      <c r="C59" s="42" t="s">
        <v>2044</v>
      </c>
      <c r="D59" s="42" t="s">
        <v>2045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2046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479</v>
      </c>
      <c r="C60" s="42" t="s">
        <v>2044</v>
      </c>
      <c r="D60" s="42" t="s">
        <v>621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2047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479</v>
      </c>
      <c r="C61" s="42" t="s">
        <v>2044</v>
      </c>
      <c r="D61" s="42" t="s">
        <v>2048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2047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511</v>
      </c>
      <c r="C62" s="42" t="s">
        <v>2044</v>
      </c>
      <c r="D62" s="42" t="s">
        <v>2049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2047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505</v>
      </c>
      <c r="C63" s="42" t="s">
        <v>2044</v>
      </c>
      <c r="D63" s="42" t="s">
        <v>2050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2047</v>
      </c>
      <c r="J63" s="42"/>
      <c r="K63" s="45" t="n">
        <f aca="false">IF(AND(E63="yes",F63="yes",H63="covered"),1,IF(H63="partial",0.5,0))</f>
        <v>1</v>
      </c>
    </row>
    <row r="64" customFormat="false" ht="30" hidden="false" customHeight="true" outlineLevel="0" collapsed="false">
      <c r="A64" s="31" t="n">
        <v>56</v>
      </c>
      <c r="B64" s="42" t="s">
        <v>488</v>
      </c>
      <c r="C64" s="42" t="s">
        <v>2044</v>
      </c>
      <c r="D64" s="42" t="s">
        <v>2051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2047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488</v>
      </c>
      <c r="C65" s="42" t="s">
        <v>2044</v>
      </c>
      <c r="D65" s="42" t="s">
        <v>2052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1996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457</v>
      </c>
      <c r="C66" s="42" t="s">
        <v>2044</v>
      </c>
      <c r="D66" s="42" t="s">
        <v>1900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2047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774</v>
      </c>
      <c r="C67" s="42" t="s">
        <v>2044</v>
      </c>
      <c r="D67" s="42" t="s">
        <v>775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2047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483</v>
      </c>
      <c r="C68" s="42" t="s">
        <v>2044</v>
      </c>
      <c r="D68" s="42" t="s">
        <v>2013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2047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475</v>
      </c>
      <c r="C69" s="42" t="s">
        <v>43</v>
      </c>
      <c r="D69" s="42" t="s">
        <v>2053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2054</v>
      </c>
      <c r="J69" s="42"/>
      <c r="K69" s="45" t="n">
        <f aca="false">IF(AND(E69="yes",F69="yes",H69="covered"),1,IF(H69="partial",0.5,0))</f>
        <v>1</v>
      </c>
    </row>
    <row r="70" customFormat="false" ht="30" hidden="false" customHeight="true" outlineLevel="0" collapsed="false">
      <c r="A70" s="31" t="n">
        <v>62</v>
      </c>
      <c r="B70" s="42" t="s">
        <v>479</v>
      </c>
      <c r="C70" s="42" t="s">
        <v>43</v>
      </c>
      <c r="D70" s="42" t="s">
        <v>2055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2056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479</v>
      </c>
      <c r="C71" s="42" t="s">
        <v>43</v>
      </c>
      <c r="D71" s="42" t="s">
        <v>2057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2056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511</v>
      </c>
      <c r="C72" s="42" t="s">
        <v>43</v>
      </c>
      <c r="D72" s="42" t="s">
        <v>2058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2059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457</v>
      </c>
      <c r="C73" s="42" t="s">
        <v>43</v>
      </c>
      <c r="D73" s="42" t="s">
        <v>1900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2056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774</v>
      </c>
      <c r="C74" s="42" t="s">
        <v>43</v>
      </c>
      <c r="D74" s="42" t="s">
        <v>775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2056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483</v>
      </c>
      <c r="C75" s="42" t="s">
        <v>43</v>
      </c>
      <c r="D75" s="42" t="s">
        <v>2013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2056</v>
      </c>
      <c r="J75" s="42"/>
      <c r="K75" s="45" t="n">
        <f aca="false">IF(AND(E75="yes",F75="yes",H75="covered"),1,IF(H75="partial",0.5,0))</f>
        <v>1</v>
      </c>
    </row>
    <row r="76" customFormat="false" ht="30" hidden="false" customHeight="true" outlineLevel="0" collapsed="false">
      <c r="A76" s="31" t="n">
        <v>68</v>
      </c>
      <c r="B76" s="42" t="s">
        <v>475</v>
      </c>
      <c r="C76" s="42" t="s">
        <v>502</v>
      </c>
      <c r="D76" s="42" t="s">
        <v>2060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2061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479</v>
      </c>
      <c r="C77" s="42" t="s">
        <v>502</v>
      </c>
      <c r="D77" s="42" t="s">
        <v>2062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2063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479</v>
      </c>
      <c r="C78" s="42" t="s">
        <v>502</v>
      </c>
      <c r="D78" s="42" t="s">
        <v>2064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2063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511</v>
      </c>
      <c r="C79" s="42" t="s">
        <v>502</v>
      </c>
      <c r="D79" s="42" t="s">
        <v>2065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2066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457</v>
      </c>
      <c r="C80" s="42" t="s">
        <v>502</v>
      </c>
      <c r="D80" s="42" t="s">
        <v>1900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2063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774</v>
      </c>
      <c r="C81" s="42" t="s">
        <v>502</v>
      </c>
      <c r="D81" s="42" t="s">
        <v>775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2063</v>
      </c>
      <c r="J81" s="42"/>
      <c r="K81" s="45" t="n">
        <f aca="false">IF(AND(E81="yes",F81="yes",H81="covered"),1,IF(H81="partial",0.5,0))</f>
        <v>1</v>
      </c>
    </row>
    <row r="82" customFormat="false" ht="30" hidden="false" customHeight="true" outlineLevel="0" collapsed="false">
      <c r="A82" s="31" t="n">
        <v>74</v>
      </c>
      <c r="B82" s="42" t="s">
        <v>483</v>
      </c>
      <c r="C82" s="42" t="s">
        <v>502</v>
      </c>
      <c r="D82" s="42" t="s">
        <v>2013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2063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475</v>
      </c>
      <c r="C83" s="42" t="s">
        <v>902</v>
      </c>
      <c r="D83" s="42" t="s">
        <v>2067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2068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479</v>
      </c>
      <c r="C84" s="42" t="s">
        <v>902</v>
      </c>
      <c r="D84" s="42" t="s">
        <v>2069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2003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479</v>
      </c>
      <c r="C85" s="42" t="s">
        <v>902</v>
      </c>
      <c r="D85" s="42" t="s">
        <v>2070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2003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479</v>
      </c>
      <c r="C86" s="42" t="s">
        <v>902</v>
      </c>
      <c r="D86" s="42" t="s">
        <v>2071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2003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511</v>
      </c>
      <c r="C87" s="42" t="s">
        <v>902</v>
      </c>
      <c r="D87" s="42" t="s">
        <v>2072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1992</v>
      </c>
      <c r="J87" s="42"/>
      <c r="K87" s="45" t="n">
        <f aca="false">IF(AND(E87="yes",F87="yes",H87="covered"),1,IF(H87="partial",0.5,0))</f>
        <v>1</v>
      </c>
    </row>
    <row r="88" customFormat="false" ht="30" hidden="false" customHeight="true" outlineLevel="0" collapsed="false">
      <c r="A88" s="31" t="n">
        <v>80</v>
      </c>
      <c r="B88" s="42" t="s">
        <v>505</v>
      </c>
      <c r="C88" s="42" t="s">
        <v>902</v>
      </c>
      <c r="D88" s="42" t="s">
        <v>2073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1992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505</v>
      </c>
      <c r="C89" s="42" t="s">
        <v>902</v>
      </c>
      <c r="D89" s="42" t="s">
        <v>2074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1992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488</v>
      </c>
      <c r="C90" s="42" t="s">
        <v>902</v>
      </c>
      <c r="D90" s="42" t="s">
        <v>2075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2076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457</v>
      </c>
      <c r="C91" s="42" t="s">
        <v>902</v>
      </c>
      <c r="D91" s="42" t="s">
        <v>1900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2003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774</v>
      </c>
      <c r="C92" s="42" t="s">
        <v>902</v>
      </c>
      <c r="D92" s="42" t="s">
        <v>775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2003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483</v>
      </c>
      <c r="C93" s="42" t="s">
        <v>902</v>
      </c>
      <c r="D93" s="42" t="s">
        <v>2013</v>
      </c>
      <c r="E93" s="34" t="s">
        <v>459</v>
      </c>
      <c r="F93" s="43" t="s">
        <v>459</v>
      </c>
      <c r="G93" s="31" t="s">
        <v>543</v>
      </c>
      <c r="H93" s="44" t="s">
        <v>461</v>
      </c>
      <c r="I93" s="42" t="s">
        <v>2003</v>
      </c>
      <c r="J93" s="42"/>
      <c r="K93" s="45" t="n">
        <f aca="false">IF(AND(E93="yes",F93="yes",H93="covered"),1,IF(H93="partial",0.5,0))</f>
        <v>1</v>
      </c>
    </row>
    <row r="94" customFormat="false" ht="30" hidden="false" customHeight="true" outlineLevel="0" collapsed="false">
      <c r="A94" s="31" t="n">
        <v>86</v>
      </c>
      <c r="B94" s="42" t="s">
        <v>738</v>
      </c>
      <c r="C94" s="42" t="s">
        <v>49</v>
      </c>
      <c r="D94" s="42" t="s">
        <v>2077</v>
      </c>
      <c r="E94" s="34" t="s">
        <v>459</v>
      </c>
      <c r="F94" s="43" t="s">
        <v>459</v>
      </c>
      <c r="G94" s="31" t="s">
        <v>543</v>
      </c>
      <c r="H94" s="44" t="s">
        <v>461</v>
      </c>
      <c r="I94" s="42" t="s">
        <v>1986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755</v>
      </c>
      <c r="C95" s="42" t="s">
        <v>49</v>
      </c>
      <c r="D95" s="42" t="s">
        <v>1757</v>
      </c>
      <c r="E95" s="34" t="s">
        <v>459</v>
      </c>
      <c r="F95" s="43" t="s">
        <v>459</v>
      </c>
      <c r="G95" s="31" t="s">
        <v>543</v>
      </c>
      <c r="H95" s="44" t="s">
        <v>461</v>
      </c>
      <c r="I95" s="42" t="s">
        <v>1988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760</v>
      </c>
      <c r="C96" s="42" t="s">
        <v>49</v>
      </c>
      <c r="D96" s="42" t="s">
        <v>2078</v>
      </c>
      <c r="E96" s="34" t="s">
        <v>459</v>
      </c>
      <c r="F96" s="43" t="s">
        <v>459</v>
      </c>
      <c r="G96" s="31" t="s">
        <v>543</v>
      </c>
      <c r="H96" s="44" t="s">
        <v>461</v>
      </c>
      <c r="I96" s="42" t="s">
        <v>1988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/>
      <c r="B97" s="42"/>
      <c r="C97" s="42"/>
      <c r="D97" s="42"/>
      <c r="E97" s="34"/>
      <c r="F97" s="43"/>
      <c r="G97" s="31"/>
      <c r="H97" s="44"/>
      <c r="I97" s="42"/>
      <c r="J97" s="42"/>
      <c r="K97" s="45"/>
    </row>
    <row r="98" customFormat="false" ht="15" hidden="false" customHeight="true" outlineLevel="0" collapsed="false">
      <c r="A98" s="31"/>
      <c r="B98" s="42"/>
      <c r="C98" s="42"/>
      <c r="D98" s="42"/>
      <c r="E98" s="34"/>
      <c r="F98" s="43"/>
      <c r="G98" s="31"/>
      <c r="H98" s="44"/>
      <c r="I98" s="42"/>
      <c r="J98" s="42"/>
      <c r="K98" s="45"/>
    </row>
    <row r="99" customFormat="false" ht="15" hidden="false" customHeight="true" outlineLevel="0" collapsed="false">
      <c r="A99" s="31"/>
      <c r="B99" s="42"/>
      <c r="C99" s="42"/>
      <c r="D99" s="42"/>
      <c r="E99" s="34"/>
      <c r="F99" s="43"/>
      <c r="G99" s="31"/>
      <c r="H99" s="44"/>
      <c r="I99" s="42"/>
      <c r="J99" s="42"/>
      <c r="K99" s="45"/>
    </row>
    <row r="100" customFormat="false" ht="30" hidden="false" customHeight="true" outlineLevel="0" collapsed="false">
      <c r="A100" s="31"/>
      <c r="B100" s="42"/>
      <c r="C100" s="42"/>
      <c r="D100" s="42"/>
      <c r="E100" s="34"/>
      <c r="F100" s="43"/>
      <c r="G100" s="31"/>
      <c r="H100" s="44"/>
      <c r="I100" s="42"/>
      <c r="J100" s="42"/>
      <c r="K100" s="45"/>
    </row>
    <row r="101" customFormat="false" ht="15" hidden="false" customHeight="true" outlineLevel="0" collapsed="false">
      <c r="A101" s="31"/>
      <c r="B101" s="42"/>
      <c r="C101" s="42"/>
      <c r="D101" s="42"/>
      <c r="E101" s="34"/>
      <c r="F101" s="43"/>
      <c r="G101" s="31"/>
      <c r="H101" s="44"/>
      <c r="I101" s="42"/>
      <c r="J101" s="42"/>
      <c r="K101" s="45"/>
    </row>
    <row r="102" customFormat="false" ht="15" hidden="false" customHeight="true" outlineLevel="0" collapsed="false">
      <c r="A102" s="31"/>
      <c r="B102" s="42"/>
      <c r="C102" s="42"/>
      <c r="D102" s="42"/>
      <c r="E102" s="34"/>
      <c r="F102" s="43"/>
      <c r="G102" s="31"/>
      <c r="H102" s="44"/>
      <c r="I102" s="42"/>
      <c r="J102" s="42"/>
      <c r="K102" s="45"/>
    </row>
    <row r="103" customFormat="false" ht="15" hidden="false" customHeight="true" outlineLevel="0" collapsed="false">
      <c r="A103" s="31"/>
      <c r="B103" s="42"/>
      <c r="C103" s="42"/>
      <c r="D103" s="42"/>
      <c r="E103" s="34"/>
      <c r="F103" s="43"/>
      <c r="G103" s="31"/>
      <c r="H103" s="44"/>
      <c r="I103" s="42"/>
      <c r="J103" s="42"/>
      <c r="K103" s="45"/>
    </row>
    <row r="104" customFormat="false" ht="15" hidden="false" customHeight="true" outlineLevel="0" collapsed="false">
      <c r="A104" s="31"/>
      <c r="B104" s="42"/>
      <c r="C104" s="42"/>
      <c r="D104" s="42"/>
      <c r="E104" s="34"/>
      <c r="F104" s="43"/>
      <c r="G104" s="31"/>
      <c r="H104" s="44"/>
      <c r="I104" s="42"/>
      <c r="J104" s="42"/>
      <c r="K104" s="45"/>
    </row>
    <row r="105" customFormat="false" ht="15" hidden="false" customHeight="true" outlineLevel="0" collapsed="false">
      <c r="A105" s="31"/>
      <c r="B105" s="42"/>
      <c r="C105" s="42"/>
      <c r="D105" s="42"/>
      <c r="E105" s="34"/>
      <c r="F105" s="43"/>
      <c r="G105" s="31"/>
      <c r="H105" s="44"/>
      <c r="I105" s="42"/>
      <c r="J105" s="42"/>
      <c r="K105" s="45"/>
    </row>
    <row r="106" customFormat="false" ht="15" hidden="false" customHeight="true" outlineLevel="0" collapsed="false">
      <c r="A106" s="31"/>
      <c r="B106" s="42"/>
      <c r="C106" s="42"/>
      <c r="D106" s="42"/>
      <c r="E106" s="34"/>
      <c r="F106" s="43"/>
      <c r="G106" s="31"/>
      <c r="H106" s="44"/>
      <c r="I106" s="42"/>
      <c r="J106" s="42"/>
      <c r="K106" s="45"/>
    </row>
    <row r="107" customFormat="false" ht="15" hidden="false" customHeight="true" outlineLevel="0" collapsed="false">
      <c r="A107" s="31"/>
      <c r="B107" s="42"/>
      <c r="C107" s="42"/>
      <c r="D107" s="42"/>
      <c r="E107" s="34"/>
      <c r="F107" s="43"/>
      <c r="G107" s="31"/>
      <c r="H107" s="44"/>
      <c r="I107" s="42"/>
      <c r="J107" s="42"/>
      <c r="K107" s="45"/>
    </row>
    <row r="108" customFormat="false" ht="15" hidden="false" customHeight="true" outlineLevel="0" collapsed="false">
      <c r="A108" s="31"/>
      <c r="B108" s="42"/>
      <c r="C108" s="42"/>
      <c r="D108" s="42"/>
      <c r="E108" s="34"/>
      <c r="F108" s="43"/>
      <c r="G108" s="31"/>
      <c r="H108" s="44"/>
      <c r="I108" s="42"/>
      <c r="J108" s="42"/>
      <c r="K108" s="45"/>
    </row>
    <row r="109" customFormat="false" ht="15" hidden="false" customHeight="true" outlineLevel="0" collapsed="false">
      <c r="A109" s="31"/>
      <c r="B109" s="42"/>
      <c r="C109" s="42"/>
      <c r="D109" s="42"/>
      <c r="E109" s="34"/>
      <c r="F109" s="43"/>
      <c r="G109" s="31"/>
      <c r="H109" s="44"/>
      <c r="I109" s="42"/>
      <c r="J109" s="42"/>
      <c r="K109" s="45"/>
    </row>
    <row r="110" customFormat="false" ht="30" hidden="false" customHeight="true" outlineLevel="0" collapsed="false">
      <c r="A110" s="31"/>
      <c r="B110" s="42"/>
      <c r="C110" s="42"/>
      <c r="D110" s="42"/>
      <c r="E110" s="34"/>
      <c r="F110" s="43"/>
      <c r="G110" s="31"/>
      <c r="H110" s="44"/>
      <c r="I110" s="42"/>
      <c r="J110" s="42"/>
      <c r="K110" s="45"/>
    </row>
    <row r="111" customFormat="false" ht="15" hidden="false" customHeight="true" outlineLevel="0" collapsed="false">
      <c r="A111" s="31"/>
      <c r="B111" s="42"/>
      <c r="C111" s="42"/>
      <c r="D111" s="42"/>
      <c r="E111" s="34"/>
      <c r="F111" s="43"/>
      <c r="G111" s="31"/>
      <c r="H111" s="44"/>
      <c r="I111" s="42"/>
      <c r="J111" s="42"/>
      <c r="K111" s="45"/>
    </row>
    <row r="112" customFormat="false" ht="15" hidden="false" customHeight="true" outlineLevel="0" collapsed="false">
      <c r="A112" s="31"/>
      <c r="B112" s="42"/>
      <c r="C112" s="42"/>
      <c r="D112" s="42"/>
      <c r="E112" s="34"/>
      <c r="F112" s="43"/>
      <c r="G112" s="31"/>
      <c r="H112" s="44"/>
      <c r="I112" s="42"/>
      <c r="J112" s="42"/>
      <c r="K112" s="45"/>
    </row>
    <row r="113" customFormat="false" ht="15" hidden="false" customHeight="true" outlineLevel="0" collapsed="false">
      <c r="A113" s="31"/>
      <c r="B113" s="42"/>
      <c r="C113" s="42"/>
      <c r="D113" s="42"/>
      <c r="E113" s="34"/>
      <c r="F113" s="43"/>
      <c r="G113" s="31"/>
      <c r="H113" s="44"/>
      <c r="I113" s="42"/>
      <c r="J113" s="42"/>
      <c r="K113" s="45"/>
    </row>
    <row r="114" customFormat="false" ht="15" hidden="false" customHeight="true" outlineLevel="0" collapsed="false">
      <c r="A114" s="31"/>
      <c r="B114" s="42"/>
      <c r="C114" s="42"/>
      <c r="D114" s="42"/>
      <c r="E114" s="34"/>
      <c r="F114" s="43"/>
      <c r="G114" s="31"/>
      <c r="H114" s="44"/>
      <c r="I114" s="42"/>
      <c r="J114" s="42"/>
      <c r="K114" s="45"/>
    </row>
    <row r="115" customFormat="false" ht="15" hidden="false" customHeight="true" outlineLevel="0" collapsed="false">
      <c r="A115" s="31"/>
      <c r="B115" s="42"/>
      <c r="C115" s="42"/>
      <c r="D115" s="42"/>
      <c r="E115" s="34"/>
      <c r="F115" s="43"/>
      <c r="G115" s="31"/>
      <c r="H115" s="44"/>
      <c r="I115" s="42"/>
      <c r="J115" s="42"/>
      <c r="K115" s="45"/>
    </row>
    <row r="116" customFormat="false" ht="15" hidden="false" customHeight="true" outlineLevel="0" collapsed="false">
      <c r="A116" s="31"/>
      <c r="B116" s="42"/>
      <c r="C116" s="42"/>
      <c r="D116" s="42"/>
      <c r="E116" s="34"/>
      <c r="F116" s="43"/>
      <c r="G116" s="31"/>
      <c r="H116" s="44"/>
      <c r="I116" s="42"/>
      <c r="J116" s="42"/>
      <c r="K116" s="45"/>
    </row>
    <row r="117" customFormat="false" ht="30" hidden="false" customHeight="true" outlineLevel="0" collapsed="false">
      <c r="A117" s="31"/>
      <c r="B117" s="42"/>
      <c r="C117" s="42"/>
      <c r="D117" s="42"/>
      <c r="E117" s="34"/>
      <c r="F117" s="43"/>
      <c r="G117" s="31"/>
      <c r="H117" s="44"/>
      <c r="I117" s="42"/>
      <c r="J117" s="42"/>
      <c r="K117" s="45"/>
    </row>
    <row r="118" customFormat="false" ht="15" hidden="false" customHeight="true" outlineLevel="0" collapsed="false">
      <c r="A118" s="31"/>
      <c r="B118" s="42"/>
      <c r="C118" s="42"/>
      <c r="D118" s="42"/>
      <c r="E118" s="34"/>
      <c r="F118" s="43"/>
      <c r="G118" s="31"/>
      <c r="H118" s="44"/>
      <c r="I118" s="42"/>
      <c r="J118" s="42"/>
      <c r="K118" s="45"/>
    </row>
    <row r="119" customFormat="false" ht="15" hidden="false" customHeight="true" outlineLevel="0" collapsed="false">
      <c r="A119" s="31"/>
      <c r="B119" s="42"/>
      <c r="C119" s="42"/>
      <c r="D119" s="42"/>
      <c r="E119" s="34"/>
      <c r="F119" s="43"/>
      <c r="G119" s="31"/>
      <c r="H119" s="44"/>
      <c r="I119" s="42"/>
      <c r="J119" s="42"/>
      <c r="K119" s="45"/>
    </row>
    <row r="120" customFormat="false" ht="15" hidden="false" customHeight="true" outlineLevel="0" collapsed="false">
      <c r="A120" s="31"/>
      <c r="B120" s="42"/>
      <c r="C120" s="42"/>
      <c r="D120" s="42"/>
      <c r="E120" s="34"/>
      <c r="F120" s="43"/>
      <c r="G120" s="31"/>
      <c r="H120" s="44"/>
      <c r="I120" s="42"/>
      <c r="J120" s="42"/>
      <c r="K120" s="45"/>
    </row>
    <row r="121" customFormat="false" ht="15" hidden="false" customHeight="true" outlineLevel="0" collapsed="false">
      <c r="A121" s="31"/>
      <c r="B121" s="42"/>
      <c r="C121" s="42"/>
      <c r="D121" s="42"/>
      <c r="E121" s="34"/>
      <c r="F121" s="43"/>
      <c r="G121" s="31"/>
      <c r="H121" s="44"/>
      <c r="I121" s="42"/>
      <c r="J121" s="42"/>
      <c r="K121" s="45"/>
    </row>
    <row r="122" customFormat="false" ht="15" hidden="false" customHeight="true" outlineLevel="0" collapsed="false">
      <c r="A122" s="31"/>
      <c r="B122" s="42"/>
      <c r="C122" s="42"/>
      <c r="D122" s="42"/>
      <c r="E122" s="34"/>
      <c r="F122" s="43"/>
      <c r="G122" s="31"/>
      <c r="H122" s="44"/>
      <c r="I122" s="42"/>
      <c r="J122" s="42"/>
      <c r="K122" s="45"/>
    </row>
    <row r="123" customFormat="false" ht="15" hidden="false" customHeight="true" outlineLevel="0" collapsed="false">
      <c r="A123" s="31"/>
      <c r="B123" s="42"/>
      <c r="C123" s="42"/>
      <c r="D123" s="42"/>
      <c r="E123" s="34"/>
      <c r="F123" s="43"/>
      <c r="G123" s="31"/>
      <c r="H123" s="44"/>
      <c r="I123" s="42"/>
      <c r="J123" s="42"/>
      <c r="K123" s="45"/>
    </row>
    <row r="124" customFormat="false" ht="30" hidden="false" customHeight="true" outlineLevel="0" collapsed="false">
      <c r="A124" s="31"/>
      <c r="B124" s="42"/>
      <c r="C124" s="42"/>
      <c r="D124" s="42"/>
      <c r="E124" s="34"/>
      <c r="F124" s="43"/>
      <c r="G124" s="31"/>
      <c r="H124" s="44"/>
      <c r="I124" s="42"/>
      <c r="J124" s="42"/>
      <c r="K124" s="45"/>
    </row>
    <row r="125" customFormat="false" ht="15" hidden="false" customHeight="true" outlineLevel="0" collapsed="false">
      <c r="A125" s="31"/>
      <c r="B125" s="42"/>
      <c r="C125" s="42"/>
      <c r="D125" s="42"/>
      <c r="E125" s="34"/>
      <c r="F125" s="43"/>
      <c r="G125" s="31"/>
      <c r="H125" s="44"/>
      <c r="I125" s="42"/>
      <c r="J125" s="42"/>
      <c r="K125" s="45"/>
    </row>
    <row r="126" customFormat="false" ht="15" hidden="false" customHeight="true" outlineLevel="0" collapsed="false">
      <c r="A126" s="31"/>
      <c r="B126" s="42"/>
      <c r="C126" s="42"/>
      <c r="D126" s="42"/>
      <c r="E126" s="34"/>
      <c r="F126" s="43"/>
      <c r="G126" s="31"/>
      <c r="H126" s="44"/>
      <c r="I126" s="42"/>
      <c r="J126" s="42"/>
      <c r="K126" s="45"/>
    </row>
    <row r="127" customFormat="false" ht="15" hidden="false" customHeight="true" outlineLevel="0" collapsed="false">
      <c r="A127" s="31"/>
      <c r="B127" s="42"/>
      <c r="C127" s="42"/>
      <c r="D127" s="42"/>
      <c r="E127" s="34"/>
      <c r="F127" s="43"/>
      <c r="G127" s="31"/>
      <c r="H127" s="44"/>
      <c r="I127" s="42"/>
      <c r="J127" s="42"/>
      <c r="K127" s="45"/>
    </row>
    <row r="128" customFormat="false" ht="15" hidden="false" customHeight="true" outlineLevel="0" collapsed="false">
      <c r="A128" s="31"/>
      <c r="B128" s="42"/>
      <c r="C128" s="42"/>
      <c r="D128" s="42"/>
      <c r="E128" s="34"/>
      <c r="F128" s="43"/>
      <c r="G128" s="31"/>
      <c r="H128" s="44"/>
      <c r="I128" s="42"/>
      <c r="J128" s="42"/>
      <c r="K128" s="45"/>
    </row>
    <row r="129" customFormat="false" ht="15" hidden="false" customHeight="true" outlineLevel="0" collapsed="false">
      <c r="A129" s="31"/>
      <c r="B129" s="42"/>
      <c r="C129" s="42"/>
      <c r="D129" s="42"/>
      <c r="E129" s="34"/>
      <c r="F129" s="43"/>
      <c r="G129" s="31"/>
      <c r="H129" s="44"/>
      <c r="I129" s="42"/>
      <c r="J129" s="42"/>
      <c r="K129" s="45"/>
    </row>
    <row r="130" customFormat="false" ht="15" hidden="false" customHeight="true" outlineLevel="0" collapsed="false">
      <c r="A130" s="31"/>
      <c r="B130" s="42"/>
      <c r="C130" s="42"/>
      <c r="D130" s="42"/>
      <c r="E130" s="34"/>
      <c r="F130" s="43"/>
      <c r="G130" s="31"/>
      <c r="H130" s="44"/>
      <c r="I130" s="42"/>
      <c r="J130" s="42"/>
      <c r="K130" s="45"/>
    </row>
    <row r="131" customFormat="false" ht="15" hidden="false" customHeight="true" outlineLevel="0" collapsed="false">
      <c r="A131" s="31"/>
      <c r="B131" s="42"/>
      <c r="C131" s="42"/>
      <c r="D131" s="42"/>
      <c r="E131" s="34"/>
      <c r="F131" s="43"/>
      <c r="G131" s="31"/>
      <c r="H131" s="44"/>
      <c r="I131" s="42"/>
      <c r="J131" s="42"/>
      <c r="K131" s="45"/>
    </row>
    <row r="132" customFormat="false" ht="15" hidden="false" customHeight="true" outlineLevel="0" collapsed="false">
      <c r="A132" s="31"/>
      <c r="B132" s="42"/>
      <c r="C132" s="42"/>
      <c r="D132" s="42"/>
      <c r="E132" s="34"/>
      <c r="F132" s="43"/>
      <c r="G132" s="31"/>
      <c r="H132" s="44"/>
      <c r="I132" s="42"/>
      <c r="J132" s="42"/>
      <c r="K132" s="45"/>
    </row>
    <row r="133" customFormat="false" ht="15" hidden="false" customHeight="true" outlineLevel="0" collapsed="false">
      <c r="A133" s="31"/>
      <c r="B133" s="42"/>
      <c r="C133" s="42"/>
      <c r="D133" s="42"/>
      <c r="E133" s="34"/>
      <c r="F133" s="43"/>
      <c r="G133" s="31"/>
      <c r="H133" s="44"/>
      <c r="I133" s="42"/>
      <c r="J133" s="42"/>
      <c r="K133" s="45"/>
    </row>
    <row r="134" customFormat="false" ht="15" hidden="false" customHeight="true" outlineLevel="0" collapsed="false">
      <c r="A134" s="31"/>
      <c r="B134" s="42"/>
      <c r="C134" s="42"/>
      <c r="D134" s="42"/>
      <c r="E134" s="34"/>
      <c r="F134" s="43"/>
      <c r="G134" s="31"/>
      <c r="H134" s="44"/>
      <c r="I134" s="42"/>
      <c r="J134" s="42"/>
      <c r="K134" s="45"/>
    </row>
    <row r="135" customFormat="false" ht="15" hidden="false" customHeight="true" outlineLevel="0" collapsed="false">
      <c r="A135" s="31"/>
      <c r="B135" s="42"/>
      <c r="C135" s="42"/>
      <c r="D135" s="42"/>
      <c r="E135" s="34"/>
      <c r="F135" s="43"/>
      <c r="G135" s="31"/>
      <c r="H135" s="44"/>
      <c r="I135" s="42"/>
      <c r="J135" s="42"/>
      <c r="K135" s="45"/>
    </row>
    <row r="136" customFormat="false" ht="15" hidden="false" customHeight="true" outlineLevel="0" collapsed="false">
      <c r="A136" s="31"/>
      <c r="B136" s="42"/>
      <c r="C136" s="42"/>
      <c r="D136" s="42"/>
      <c r="E136" s="34"/>
      <c r="F136" s="43"/>
      <c r="G136" s="31"/>
      <c r="H136" s="44"/>
      <c r="I136" s="42"/>
      <c r="J136" s="42"/>
      <c r="K136" s="45"/>
    </row>
    <row r="137" customFormat="false" ht="15" hidden="false" customHeight="true" outlineLevel="0" collapsed="false">
      <c r="A137" s="31"/>
      <c r="B137" s="42"/>
      <c r="C137" s="42"/>
      <c r="D137" s="42"/>
      <c r="E137" s="34"/>
      <c r="F137" s="43"/>
      <c r="G137" s="31"/>
      <c r="H137" s="44"/>
      <c r="I137" s="42"/>
      <c r="J137" s="42"/>
      <c r="K137" s="45"/>
    </row>
    <row r="138" customFormat="false" ht="15" hidden="false" customHeight="true" outlineLevel="0" collapsed="false">
      <c r="A138" s="31"/>
      <c r="B138" s="42"/>
      <c r="C138" s="42"/>
      <c r="D138" s="42"/>
      <c r="E138" s="34"/>
      <c r="F138" s="43"/>
      <c r="G138" s="31"/>
      <c r="H138" s="44"/>
      <c r="I138" s="42"/>
      <c r="J138" s="42"/>
      <c r="K138" s="45"/>
    </row>
    <row r="139" customFormat="false" ht="15" hidden="false" customHeight="true" outlineLevel="0" collapsed="false">
      <c r="A139" s="31"/>
      <c r="B139" s="42"/>
      <c r="C139" s="42"/>
      <c r="D139" s="42"/>
      <c r="E139" s="34"/>
      <c r="F139" s="43"/>
      <c r="G139" s="31"/>
      <c r="H139" s="44"/>
      <c r="I139" s="42"/>
      <c r="J139" s="42"/>
      <c r="K139" s="45"/>
    </row>
    <row r="140" customFormat="false" ht="15" hidden="false" customHeight="true" outlineLevel="0" collapsed="false">
      <c r="A140" s="31"/>
      <c r="B140" s="42"/>
      <c r="C140" s="42"/>
      <c r="D140" s="42"/>
      <c r="E140" s="34"/>
      <c r="F140" s="43"/>
      <c r="G140" s="31"/>
      <c r="H140" s="44"/>
      <c r="I140" s="42"/>
      <c r="J140" s="42"/>
      <c r="K140" s="45"/>
    </row>
    <row r="141" customFormat="false" ht="15" hidden="false" customHeight="true" outlineLevel="0" collapsed="false">
      <c r="A141" s="31"/>
      <c r="B141" s="42"/>
      <c r="C141" s="42"/>
      <c r="D141" s="42"/>
      <c r="E141" s="34"/>
      <c r="F141" s="43"/>
      <c r="G141" s="31"/>
      <c r="H141" s="44"/>
      <c r="I141" s="42"/>
      <c r="J141" s="42"/>
      <c r="K141" s="45"/>
    </row>
    <row r="142" customFormat="false" ht="15" hidden="false" customHeight="true" outlineLevel="0" collapsed="false">
      <c r="A142" s="31"/>
      <c r="B142" s="42"/>
      <c r="C142" s="42"/>
      <c r="D142" s="42"/>
      <c r="E142" s="34"/>
      <c r="F142" s="43"/>
      <c r="G142" s="31"/>
      <c r="H142" s="44"/>
      <c r="I142" s="42"/>
      <c r="J142" s="42"/>
      <c r="K142" s="45"/>
    </row>
    <row r="143" customFormat="false" ht="30" hidden="false" customHeight="true" outlineLevel="0" collapsed="false">
      <c r="A143" s="31"/>
      <c r="B143" s="42"/>
      <c r="C143" s="42"/>
      <c r="D143" s="42"/>
      <c r="E143" s="34"/>
      <c r="F143" s="43"/>
      <c r="G143" s="31"/>
      <c r="H143" s="44"/>
      <c r="I143" s="42"/>
      <c r="J143" s="42"/>
      <c r="K143" s="45"/>
    </row>
    <row r="144" customFormat="false" ht="15" hidden="false" customHeight="true" outlineLevel="0" collapsed="false">
      <c r="A144" s="31"/>
      <c r="B144" s="42"/>
      <c r="C144" s="42"/>
      <c r="D144" s="42"/>
      <c r="E144" s="34"/>
      <c r="F144" s="43"/>
      <c r="G144" s="31"/>
      <c r="H144" s="44"/>
      <c r="I144" s="42"/>
      <c r="J144" s="42"/>
      <c r="K144" s="45"/>
    </row>
    <row r="145" customFormat="false" ht="15" hidden="false" customHeight="true" outlineLevel="0" collapsed="false">
      <c r="A145" s="31"/>
      <c r="B145" s="42"/>
      <c r="C145" s="42"/>
      <c r="D145" s="42"/>
      <c r="E145" s="34"/>
      <c r="F145" s="43"/>
      <c r="G145" s="31"/>
      <c r="H145" s="44"/>
      <c r="I145" s="42"/>
      <c r="J145" s="42"/>
      <c r="K145" s="45"/>
    </row>
    <row r="146" customFormat="false" ht="15" hidden="false" customHeight="true" outlineLevel="0" collapsed="false">
      <c r="A146" s="31"/>
      <c r="B146" s="42"/>
      <c r="C146" s="42"/>
      <c r="D146" s="42"/>
      <c r="E146" s="34"/>
      <c r="F146" s="43"/>
      <c r="G146" s="31"/>
      <c r="H146" s="44"/>
      <c r="I146" s="42"/>
      <c r="J146" s="42"/>
      <c r="K146" s="45"/>
    </row>
    <row r="147" customFormat="false" ht="15" hidden="false" customHeight="true" outlineLevel="0" collapsed="false">
      <c r="A147" s="31"/>
      <c r="B147" s="42"/>
      <c r="C147" s="42"/>
      <c r="D147" s="42"/>
      <c r="E147" s="34"/>
      <c r="F147" s="43"/>
      <c r="G147" s="31"/>
      <c r="H147" s="44"/>
      <c r="I147" s="42"/>
      <c r="J147" s="42"/>
      <c r="K147" s="45"/>
    </row>
    <row r="148" customFormat="false" ht="15" hidden="false" customHeight="true" outlineLevel="0" collapsed="false">
      <c r="A148" s="31"/>
      <c r="B148" s="42"/>
      <c r="C148" s="42"/>
      <c r="D148" s="42"/>
      <c r="E148" s="34"/>
      <c r="F148" s="43"/>
      <c r="G148" s="31"/>
      <c r="H148" s="44"/>
      <c r="I148" s="42"/>
      <c r="J148" s="42"/>
      <c r="K148" s="45"/>
    </row>
    <row r="149" customFormat="false" ht="15" hidden="false" customHeight="true" outlineLevel="0" collapsed="false">
      <c r="A149" s="31"/>
      <c r="B149" s="42"/>
      <c r="C149" s="42"/>
      <c r="D149" s="42"/>
      <c r="E149" s="34"/>
      <c r="F149" s="43"/>
      <c r="G149" s="31"/>
      <c r="H149" s="44"/>
      <c r="I149" s="42"/>
      <c r="J149" s="42"/>
      <c r="K149" s="45"/>
    </row>
    <row r="150" customFormat="false" ht="15" hidden="false" customHeight="true" outlineLevel="0" collapsed="false">
      <c r="A150" s="31"/>
      <c r="B150" s="42"/>
      <c r="C150" s="42"/>
      <c r="D150" s="42"/>
      <c r="E150" s="34"/>
      <c r="F150" s="43"/>
      <c r="G150" s="31"/>
      <c r="H150" s="44"/>
      <c r="I150" s="42"/>
      <c r="J150" s="42"/>
      <c r="K150" s="45"/>
    </row>
    <row r="151" customFormat="false" ht="15" hidden="false" customHeight="true" outlineLevel="0" collapsed="false">
      <c r="A151" s="31"/>
      <c r="B151" s="42"/>
      <c r="C151" s="42"/>
      <c r="D151" s="42"/>
      <c r="E151" s="34"/>
      <c r="F151" s="43"/>
      <c r="G151" s="31"/>
      <c r="H151" s="44"/>
      <c r="I151" s="42"/>
      <c r="J151" s="42"/>
      <c r="K151" s="45"/>
    </row>
    <row r="152" customFormat="false" ht="15" hidden="false" customHeight="true" outlineLevel="0" collapsed="false">
      <c r="A152" s="31"/>
      <c r="B152" s="42"/>
      <c r="C152" s="42"/>
      <c r="D152" s="42"/>
      <c r="E152" s="34"/>
      <c r="F152" s="43"/>
      <c r="G152" s="31"/>
      <c r="H152" s="44"/>
      <c r="I152" s="42"/>
      <c r="J152" s="42"/>
      <c r="K152" s="45"/>
    </row>
    <row r="153" customFormat="false" ht="15" hidden="false" customHeight="true" outlineLevel="0" collapsed="false">
      <c r="A153" s="31"/>
      <c r="B153" s="42"/>
      <c r="C153" s="42"/>
      <c r="D153" s="42"/>
      <c r="E153" s="34"/>
      <c r="F153" s="43"/>
      <c r="G153" s="31"/>
      <c r="H153" s="44"/>
      <c r="I153" s="42"/>
      <c r="J153" s="42"/>
      <c r="K153" s="45"/>
    </row>
    <row r="154" customFormat="false" ht="15" hidden="false" customHeight="true" outlineLevel="0" collapsed="false">
      <c r="A154" s="31"/>
      <c r="B154" s="42"/>
      <c r="C154" s="42"/>
      <c r="D154" s="42"/>
      <c r="E154" s="34"/>
      <c r="F154" s="43"/>
      <c r="G154" s="31"/>
      <c r="H154" s="44"/>
      <c r="I154" s="42"/>
      <c r="J154" s="42"/>
      <c r="K154" s="45"/>
    </row>
    <row r="155" customFormat="false" ht="15" hidden="false" customHeight="true" outlineLevel="0" collapsed="false">
      <c r="A155" s="31"/>
      <c r="B155" s="42"/>
      <c r="C155" s="42"/>
      <c r="D155" s="42"/>
      <c r="E155" s="34"/>
      <c r="F155" s="43"/>
      <c r="G155" s="31"/>
      <c r="H155" s="44"/>
      <c r="I155" s="42"/>
      <c r="J155" s="42"/>
      <c r="K155" s="45"/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2079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125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48</v>
      </c>
      <c r="D9" s="42" t="s">
        <v>2080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2081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48</v>
      </c>
      <c r="D10" s="42" t="s">
        <v>2082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2081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738</v>
      </c>
      <c r="D11" s="42" t="s">
        <v>2083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2081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475</v>
      </c>
      <c r="D12" s="42" t="s">
        <v>2084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2081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475</v>
      </c>
      <c r="D13" s="42" t="s">
        <v>2085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2081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2086</v>
      </c>
      <c r="D14" s="42" t="s">
        <v>2087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2081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456</v>
      </c>
      <c r="C15" s="42" t="s">
        <v>457</v>
      </c>
      <c r="D15" s="42" t="s">
        <v>2088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2081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48</v>
      </c>
      <c r="D16" s="42" t="s">
        <v>2089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2081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48</v>
      </c>
      <c r="D17" s="42" t="s">
        <v>2090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2081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48</v>
      </c>
      <c r="D18" s="42" t="s">
        <v>2091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2081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48</v>
      </c>
      <c r="D19" s="42" t="s">
        <v>2092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2081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48</v>
      </c>
      <c r="D20" s="42" t="s">
        <v>2093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2081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468</v>
      </c>
      <c r="C21" s="42" t="s">
        <v>48</v>
      </c>
      <c r="D21" s="42" t="s">
        <v>2094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2081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468</v>
      </c>
      <c r="C22" s="42" t="s">
        <v>48</v>
      </c>
      <c r="D22" s="42" t="s">
        <v>2095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2081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468</v>
      </c>
      <c r="C23" s="42" t="s">
        <v>48</v>
      </c>
      <c r="D23" s="42" t="s">
        <v>2096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2081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468</v>
      </c>
      <c r="C24" s="42" t="s">
        <v>48</v>
      </c>
      <c r="D24" s="42" t="s">
        <v>2097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2081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468</v>
      </c>
      <c r="C25" s="42" t="s">
        <v>48</v>
      </c>
      <c r="D25" s="42" t="s">
        <v>2098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2081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479</v>
      </c>
      <c r="C26" s="42" t="s">
        <v>476</v>
      </c>
      <c r="D26" s="42" t="s">
        <v>2099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2081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882</v>
      </c>
      <c r="C27" s="42" t="s">
        <v>476</v>
      </c>
      <c r="D27" s="42" t="s">
        <v>2100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2081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511</v>
      </c>
      <c r="C28" s="42" t="s">
        <v>476</v>
      </c>
      <c r="D28" s="42" t="s">
        <v>2101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2081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31</v>
      </c>
      <c r="C29" s="42" t="s">
        <v>476</v>
      </c>
      <c r="D29" s="42" t="s">
        <v>2102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2081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2103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2081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2104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2081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2105</v>
      </c>
      <c r="C32" s="42" t="s">
        <v>476</v>
      </c>
      <c r="D32" s="42" t="s">
        <v>2106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2081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457</v>
      </c>
      <c r="C33" s="42" t="s">
        <v>476</v>
      </c>
      <c r="D33" s="42" t="s">
        <v>2107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2081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774</v>
      </c>
      <c r="C34" s="42" t="s">
        <v>476</v>
      </c>
      <c r="D34" s="42" t="s">
        <v>2108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2081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483</v>
      </c>
      <c r="C35" s="42" t="s">
        <v>476</v>
      </c>
      <c r="D35" s="42" t="s">
        <v>2109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2081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479</v>
      </c>
      <c r="C36" s="42" t="s">
        <v>43</v>
      </c>
      <c r="D36" s="42" t="s">
        <v>2110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2081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511</v>
      </c>
      <c r="C37" s="42" t="s">
        <v>43</v>
      </c>
      <c r="D37" s="42" t="s">
        <v>2111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2081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457</v>
      </c>
      <c r="C38" s="42" t="s">
        <v>43</v>
      </c>
      <c r="D38" s="42" t="s">
        <v>2112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2081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774</v>
      </c>
      <c r="C39" s="42" t="s">
        <v>43</v>
      </c>
      <c r="D39" s="42" t="s">
        <v>2113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2081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479</v>
      </c>
      <c r="C40" s="42" t="s">
        <v>2114</v>
      </c>
      <c r="D40" s="42" t="s">
        <v>2115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2081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488</v>
      </c>
      <c r="C41" s="42" t="s">
        <v>2114</v>
      </c>
      <c r="D41" s="42" t="s">
        <v>2116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2081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457</v>
      </c>
      <c r="C42" s="42" t="s">
        <v>2114</v>
      </c>
      <c r="D42" s="42" t="s">
        <v>2117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2081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774</v>
      </c>
      <c r="C43" s="42" t="s">
        <v>2114</v>
      </c>
      <c r="D43" s="42" t="s">
        <v>2118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2081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479</v>
      </c>
      <c r="C44" s="42" t="s">
        <v>2119</v>
      </c>
      <c r="D44" s="42" t="s">
        <v>2120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2081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505</v>
      </c>
      <c r="C45" s="42" t="s">
        <v>2119</v>
      </c>
      <c r="D45" s="42" t="s">
        <v>2121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2081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505</v>
      </c>
      <c r="C46" s="42" t="s">
        <v>2119</v>
      </c>
      <c r="D46" s="42" t="s">
        <v>2122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2081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488</v>
      </c>
      <c r="C47" s="42" t="s">
        <v>2123</v>
      </c>
      <c r="D47" s="42" t="s">
        <v>2124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2081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524</v>
      </c>
      <c r="C48" s="42" t="s">
        <v>2123</v>
      </c>
      <c r="D48" s="42" t="s">
        <v>2125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2081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524</v>
      </c>
      <c r="C49" s="42" t="s">
        <v>2119</v>
      </c>
      <c r="D49" s="42" t="s">
        <v>2126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2081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457</v>
      </c>
      <c r="C50" s="42" t="s">
        <v>2119</v>
      </c>
      <c r="D50" s="42" t="s">
        <v>2127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2081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774</v>
      </c>
      <c r="C51" s="42" t="s">
        <v>2119</v>
      </c>
      <c r="D51" s="42" t="s">
        <v>2128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2081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483</v>
      </c>
      <c r="C52" s="42" t="s">
        <v>2119</v>
      </c>
      <c r="D52" s="42" t="s">
        <v>2129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2081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483</v>
      </c>
      <c r="C53" s="42" t="s">
        <v>2119</v>
      </c>
      <c r="D53" s="42" t="s">
        <v>2130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2081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479</v>
      </c>
      <c r="C54" s="42" t="s">
        <v>2131</v>
      </c>
      <c r="D54" s="42" t="s">
        <v>2132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2081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488</v>
      </c>
      <c r="C55" s="42" t="s">
        <v>2131</v>
      </c>
      <c r="D55" s="42" t="s">
        <v>2133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2081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2134</v>
      </c>
      <c r="C56" s="42" t="s">
        <v>500</v>
      </c>
      <c r="D56" s="42" t="s">
        <v>2135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2081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505</v>
      </c>
      <c r="C57" s="42" t="s">
        <v>500</v>
      </c>
      <c r="D57" s="42" t="s">
        <v>2136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2081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457</v>
      </c>
      <c r="C58" s="42" t="s">
        <v>2131</v>
      </c>
      <c r="D58" s="42" t="s">
        <v>2137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2081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479</v>
      </c>
      <c r="C59" s="42" t="s">
        <v>2138</v>
      </c>
      <c r="D59" s="42" t="s">
        <v>2139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2081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488</v>
      </c>
      <c r="C60" s="42" t="s">
        <v>2140</v>
      </c>
      <c r="D60" s="42" t="s">
        <v>2141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2081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2105</v>
      </c>
      <c r="C61" s="42" t="s">
        <v>902</v>
      </c>
      <c r="D61" s="42" t="s">
        <v>2142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2081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457</v>
      </c>
      <c r="C62" s="42" t="s">
        <v>2138</v>
      </c>
      <c r="D62" s="42" t="s">
        <v>2143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2081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774</v>
      </c>
      <c r="C63" s="42" t="s">
        <v>2138</v>
      </c>
      <c r="D63" s="42" t="s">
        <v>2144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2081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483</v>
      </c>
      <c r="C64" s="42" t="s">
        <v>2138</v>
      </c>
      <c r="D64" s="42" t="s">
        <v>2145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2081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2146</v>
      </c>
      <c r="C65" s="42" t="s">
        <v>959</v>
      </c>
      <c r="D65" s="42" t="s">
        <v>2147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2081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479</v>
      </c>
      <c r="C66" s="42" t="s">
        <v>959</v>
      </c>
      <c r="D66" s="42" t="s">
        <v>2148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2081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505</v>
      </c>
      <c r="C67" s="42" t="s">
        <v>959</v>
      </c>
      <c r="D67" s="42" t="s">
        <v>2149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2081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488</v>
      </c>
      <c r="C68" s="42" t="s">
        <v>959</v>
      </c>
      <c r="D68" s="42" t="s">
        <v>2150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2081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511</v>
      </c>
      <c r="C69" s="42" t="s">
        <v>959</v>
      </c>
      <c r="D69" s="42" t="s">
        <v>2111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2081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2151</v>
      </c>
      <c r="C70" s="42" t="s">
        <v>959</v>
      </c>
      <c r="D70" s="42" t="s">
        <v>2152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2081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457</v>
      </c>
      <c r="C71" s="42" t="s">
        <v>959</v>
      </c>
      <c r="D71" s="42" t="s">
        <v>2153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2081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774</v>
      </c>
      <c r="C72" s="42" t="s">
        <v>959</v>
      </c>
      <c r="D72" s="42" t="s">
        <v>775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2081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483</v>
      </c>
      <c r="C73" s="42" t="s">
        <v>959</v>
      </c>
      <c r="D73" s="42" t="s">
        <v>2154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2081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483</v>
      </c>
      <c r="C74" s="42" t="s">
        <v>959</v>
      </c>
      <c r="D74" s="42" t="s">
        <v>2155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2081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2146</v>
      </c>
      <c r="C75" s="42" t="s">
        <v>2156</v>
      </c>
      <c r="D75" s="42" t="s">
        <v>2157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2081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479</v>
      </c>
      <c r="C76" s="42" t="s">
        <v>2156</v>
      </c>
      <c r="D76" s="42" t="s">
        <v>2158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2081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488</v>
      </c>
      <c r="C77" s="42" t="s">
        <v>2156</v>
      </c>
      <c r="D77" s="42" t="s">
        <v>2159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2081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511</v>
      </c>
      <c r="C78" s="42" t="s">
        <v>2156</v>
      </c>
      <c r="D78" s="42" t="s">
        <v>2111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2081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2151</v>
      </c>
      <c r="C79" s="42" t="s">
        <v>2156</v>
      </c>
      <c r="D79" s="42" t="s">
        <v>2160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2081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524</v>
      </c>
      <c r="C80" s="42" t="s">
        <v>2156</v>
      </c>
      <c r="D80" s="42" t="s">
        <v>2161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2081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457</v>
      </c>
      <c r="C81" s="42" t="s">
        <v>2156</v>
      </c>
      <c r="D81" s="42" t="s">
        <v>2162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2081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774</v>
      </c>
      <c r="C82" s="42" t="s">
        <v>2156</v>
      </c>
      <c r="D82" s="42" t="s">
        <v>775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2081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483</v>
      </c>
      <c r="C83" s="42" t="s">
        <v>2156</v>
      </c>
      <c r="D83" s="42" t="s">
        <v>2163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2081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2146</v>
      </c>
      <c r="C84" s="42" t="s">
        <v>1170</v>
      </c>
      <c r="D84" s="42" t="s">
        <v>2164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2081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479</v>
      </c>
      <c r="C85" s="42" t="s">
        <v>1170</v>
      </c>
      <c r="D85" s="42" t="s">
        <v>2165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2081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488</v>
      </c>
      <c r="C86" s="42" t="s">
        <v>1170</v>
      </c>
      <c r="D86" s="42" t="s">
        <v>2166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2081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488</v>
      </c>
      <c r="C87" s="42" t="s">
        <v>1170</v>
      </c>
      <c r="D87" s="42" t="s">
        <v>2167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2081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511</v>
      </c>
      <c r="C88" s="42" t="s">
        <v>1170</v>
      </c>
      <c r="D88" s="42" t="s">
        <v>2168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2081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457</v>
      </c>
      <c r="C89" s="42" t="s">
        <v>1170</v>
      </c>
      <c r="D89" s="42" t="s">
        <v>2169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2081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774</v>
      </c>
      <c r="C90" s="42" t="s">
        <v>1170</v>
      </c>
      <c r="D90" s="42" t="s">
        <v>775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2081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483</v>
      </c>
      <c r="C91" s="42" t="s">
        <v>1170</v>
      </c>
      <c r="D91" s="42" t="s">
        <v>2170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2081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483</v>
      </c>
      <c r="C92" s="42" t="s">
        <v>1170</v>
      </c>
      <c r="D92" s="42" t="s">
        <v>2171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2081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531</v>
      </c>
      <c r="C93" s="42" t="s">
        <v>48</v>
      </c>
      <c r="D93" s="42" t="s">
        <v>2172</v>
      </c>
      <c r="E93" s="34" t="s">
        <v>459</v>
      </c>
      <c r="F93" s="43" t="s">
        <v>459</v>
      </c>
      <c r="G93" s="31" t="s">
        <v>543</v>
      </c>
      <c r="H93" s="44" t="s">
        <v>461</v>
      </c>
      <c r="I93" s="42" t="s">
        <v>2081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531</v>
      </c>
      <c r="C94" s="42" t="s">
        <v>48</v>
      </c>
      <c r="D94" s="42" t="s">
        <v>2173</v>
      </c>
      <c r="E94" s="34" t="s">
        <v>459</v>
      </c>
      <c r="F94" s="43" t="s">
        <v>459</v>
      </c>
      <c r="G94" s="31" t="s">
        <v>543</v>
      </c>
      <c r="H94" s="44" t="s">
        <v>461</v>
      </c>
      <c r="I94" s="42" t="s">
        <v>2081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531</v>
      </c>
      <c r="C95" s="42" t="s">
        <v>48</v>
      </c>
      <c r="D95" s="42" t="s">
        <v>2174</v>
      </c>
      <c r="E95" s="34" t="s">
        <v>459</v>
      </c>
      <c r="F95" s="43" t="s">
        <v>459</v>
      </c>
      <c r="G95" s="31" t="s">
        <v>543</v>
      </c>
      <c r="H95" s="44" t="s">
        <v>461</v>
      </c>
      <c r="I95" s="42" t="s">
        <v>2081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531</v>
      </c>
      <c r="C96" s="42" t="s">
        <v>48</v>
      </c>
      <c r="D96" s="42" t="s">
        <v>2175</v>
      </c>
      <c r="E96" s="34" t="s">
        <v>459</v>
      </c>
      <c r="F96" s="43" t="s">
        <v>459</v>
      </c>
      <c r="G96" s="31" t="s">
        <v>543</v>
      </c>
      <c r="H96" s="44" t="s">
        <v>461</v>
      </c>
      <c r="I96" s="42" t="s">
        <v>2081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531</v>
      </c>
      <c r="C97" s="42" t="s">
        <v>48</v>
      </c>
      <c r="D97" s="42" t="s">
        <v>2176</v>
      </c>
      <c r="E97" s="34" t="s">
        <v>459</v>
      </c>
      <c r="F97" s="43" t="s">
        <v>459</v>
      </c>
      <c r="G97" s="31" t="s">
        <v>543</v>
      </c>
      <c r="H97" s="44" t="s">
        <v>461</v>
      </c>
      <c r="I97" s="42" t="s">
        <v>2081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751</v>
      </c>
      <c r="C98" s="42" t="s">
        <v>48</v>
      </c>
      <c r="D98" s="42" t="s">
        <v>2177</v>
      </c>
      <c r="E98" s="34" t="s">
        <v>459</v>
      </c>
      <c r="F98" s="43" t="s">
        <v>459</v>
      </c>
      <c r="G98" s="31" t="s">
        <v>543</v>
      </c>
      <c r="H98" s="44" t="s">
        <v>461</v>
      </c>
      <c r="I98" s="42" t="s">
        <v>2081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751</v>
      </c>
      <c r="C99" s="42" t="s">
        <v>48</v>
      </c>
      <c r="D99" s="42" t="s">
        <v>2178</v>
      </c>
      <c r="E99" s="34" t="s">
        <v>459</v>
      </c>
      <c r="F99" s="43" t="s">
        <v>459</v>
      </c>
      <c r="G99" s="31" t="s">
        <v>543</v>
      </c>
      <c r="H99" s="44" t="s">
        <v>461</v>
      </c>
      <c r="I99" s="42" t="s">
        <v>2081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1220</v>
      </c>
      <c r="C100" s="42" t="s">
        <v>48</v>
      </c>
      <c r="D100" s="42" t="s">
        <v>2179</v>
      </c>
      <c r="E100" s="34" t="s">
        <v>459</v>
      </c>
      <c r="F100" s="43" t="s">
        <v>459</v>
      </c>
      <c r="G100" s="31" t="s">
        <v>543</v>
      </c>
      <c r="H100" s="44" t="s">
        <v>461</v>
      </c>
      <c r="I100" s="42" t="s">
        <v>2081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1220</v>
      </c>
      <c r="C101" s="42" t="s">
        <v>48</v>
      </c>
      <c r="D101" s="42" t="s">
        <v>2180</v>
      </c>
      <c r="E101" s="34" t="s">
        <v>459</v>
      </c>
      <c r="F101" s="43" t="s">
        <v>459</v>
      </c>
      <c r="G101" s="31" t="s">
        <v>543</v>
      </c>
      <c r="H101" s="44" t="s">
        <v>461</v>
      </c>
      <c r="I101" s="42" t="s">
        <v>2081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457</v>
      </c>
      <c r="C102" s="42" t="s">
        <v>476</v>
      </c>
      <c r="D102" s="42" t="s">
        <v>2107</v>
      </c>
      <c r="E102" s="34" t="s">
        <v>459</v>
      </c>
      <c r="F102" s="43" t="s">
        <v>459</v>
      </c>
      <c r="G102" s="31" t="s">
        <v>543</v>
      </c>
      <c r="H102" s="44" t="s">
        <v>461</v>
      </c>
      <c r="I102" s="42" t="s">
        <v>2081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457</v>
      </c>
      <c r="C103" s="42" t="s">
        <v>43</v>
      </c>
      <c r="D103" s="42" t="s">
        <v>2112</v>
      </c>
      <c r="E103" s="34" t="s">
        <v>459</v>
      </c>
      <c r="F103" s="43" t="s">
        <v>459</v>
      </c>
      <c r="G103" s="31" t="s">
        <v>543</v>
      </c>
      <c r="H103" s="44" t="s">
        <v>461</v>
      </c>
      <c r="I103" s="42" t="s">
        <v>2081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457</v>
      </c>
      <c r="C104" s="42" t="s">
        <v>2114</v>
      </c>
      <c r="D104" s="42" t="s">
        <v>2117</v>
      </c>
      <c r="E104" s="34" t="s">
        <v>459</v>
      </c>
      <c r="F104" s="43" t="s">
        <v>459</v>
      </c>
      <c r="G104" s="31" t="s">
        <v>543</v>
      </c>
      <c r="H104" s="44" t="s">
        <v>461</v>
      </c>
      <c r="I104" s="42" t="s">
        <v>2081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457</v>
      </c>
      <c r="C105" s="42" t="s">
        <v>2119</v>
      </c>
      <c r="D105" s="42" t="s">
        <v>2127</v>
      </c>
      <c r="E105" s="34" t="s">
        <v>459</v>
      </c>
      <c r="F105" s="43" t="s">
        <v>459</v>
      </c>
      <c r="G105" s="31" t="s">
        <v>543</v>
      </c>
      <c r="H105" s="44" t="s">
        <v>461</v>
      </c>
      <c r="I105" s="42" t="s">
        <v>2081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457</v>
      </c>
      <c r="C106" s="42" t="s">
        <v>2131</v>
      </c>
      <c r="D106" s="42" t="s">
        <v>2137</v>
      </c>
      <c r="E106" s="34" t="s">
        <v>459</v>
      </c>
      <c r="F106" s="43" t="s">
        <v>459</v>
      </c>
      <c r="G106" s="31" t="s">
        <v>543</v>
      </c>
      <c r="H106" s="44" t="s">
        <v>461</v>
      </c>
      <c r="I106" s="42" t="s">
        <v>2081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457</v>
      </c>
      <c r="C107" s="42" t="s">
        <v>2138</v>
      </c>
      <c r="D107" s="42" t="s">
        <v>2143</v>
      </c>
      <c r="E107" s="34" t="s">
        <v>459</v>
      </c>
      <c r="F107" s="43" t="s">
        <v>459</v>
      </c>
      <c r="G107" s="31" t="s">
        <v>543</v>
      </c>
      <c r="H107" s="44" t="s">
        <v>461</v>
      </c>
      <c r="I107" s="42" t="s">
        <v>2081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457</v>
      </c>
      <c r="C108" s="42" t="s">
        <v>959</v>
      </c>
      <c r="D108" s="42" t="s">
        <v>2153</v>
      </c>
      <c r="E108" s="34" t="s">
        <v>459</v>
      </c>
      <c r="F108" s="43" t="s">
        <v>459</v>
      </c>
      <c r="G108" s="31" t="s">
        <v>543</v>
      </c>
      <c r="H108" s="44" t="s">
        <v>461</v>
      </c>
      <c r="I108" s="42" t="s">
        <v>2081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457</v>
      </c>
      <c r="C109" s="42" t="s">
        <v>2156</v>
      </c>
      <c r="D109" s="42" t="s">
        <v>2162</v>
      </c>
      <c r="E109" s="34" t="s">
        <v>459</v>
      </c>
      <c r="F109" s="43" t="s">
        <v>459</v>
      </c>
      <c r="G109" s="31" t="s">
        <v>543</v>
      </c>
      <c r="H109" s="44" t="s">
        <v>461</v>
      </c>
      <c r="I109" s="42" t="s">
        <v>2081</v>
      </c>
      <c r="J109" s="42"/>
      <c r="K109" s="45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2" t="s">
        <v>457</v>
      </c>
      <c r="C110" s="42" t="s">
        <v>1170</v>
      </c>
      <c r="D110" s="42" t="s">
        <v>2169</v>
      </c>
      <c r="E110" s="34" t="s">
        <v>459</v>
      </c>
      <c r="F110" s="43" t="s">
        <v>459</v>
      </c>
      <c r="G110" s="31" t="s">
        <v>543</v>
      </c>
      <c r="H110" s="44" t="s">
        <v>461</v>
      </c>
      <c r="I110" s="42" t="s">
        <v>2081</v>
      </c>
      <c r="J110" s="42"/>
      <c r="K110" s="45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2" t="s">
        <v>483</v>
      </c>
      <c r="C111" s="42" t="s">
        <v>476</v>
      </c>
      <c r="D111" s="42" t="s">
        <v>2181</v>
      </c>
      <c r="E111" s="34" t="s">
        <v>459</v>
      </c>
      <c r="F111" s="43" t="s">
        <v>459</v>
      </c>
      <c r="G111" s="31" t="s">
        <v>543</v>
      </c>
      <c r="H111" s="44" t="s">
        <v>461</v>
      </c>
      <c r="I111" s="42" t="s">
        <v>2081</v>
      </c>
      <c r="J111" s="42"/>
      <c r="K111" s="45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2" t="s">
        <v>483</v>
      </c>
      <c r="C112" s="42" t="s">
        <v>43</v>
      </c>
      <c r="D112" s="42" t="s">
        <v>2182</v>
      </c>
      <c r="E112" s="34" t="s">
        <v>459</v>
      </c>
      <c r="F112" s="43" t="s">
        <v>459</v>
      </c>
      <c r="G112" s="31" t="s">
        <v>543</v>
      </c>
      <c r="H112" s="44" t="s">
        <v>461</v>
      </c>
      <c r="I112" s="42" t="s">
        <v>2081</v>
      </c>
      <c r="J112" s="42"/>
      <c r="K112" s="45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2" t="s">
        <v>483</v>
      </c>
      <c r="C113" s="42" t="s">
        <v>43</v>
      </c>
      <c r="D113" s="42" t="s">
        <v>2183</v>
      </c>
      <c r="E113" s="34" t="s">
        <v>459</v>
      </c>
      <c r="F113" s="43" t="s">
        <v>459</v>
      </c>
      <c r="G113" s="31" t="s">
        <v>543</v>
      </c>
      <c r="H113" s="44" t="s">
        <v>461</v>
      </c>
      <c r="I113" s="42" t="s">
        <v>2081</v>
      </c>
      <c r="J113" s="42"/>
      <c r="K113" s="45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31" t="n">
        <v>106</v>
      </c>
      <c r="B114" s="42" t="s">
        <v>483</v>
      </c>
      <c r="C114" s="42" t="s">
        <v>2114</v>
      </c>
      <c r="D114" s="42" t="s">
        <v>2184</v>
      </c>
      <c r="E114" s="34" t="s">
        <v>459</v>
      </c>
      <c r="F114" s="43" t="s">
        <v>459</v>
      </c>
      <c r="G114" s="31" t="s">
        <v>543</v>
      </c>
      <c r="H114" s="44" t="s">
        <v>461</v>
      </c>
      <c r="I114" s="42" t="s">
        <v>2081</v>
      </c>
      <c r="J114" s="42"/>
      <c r="K114" s="45" t="n">
        <f aca="false">IF(AND(E114="yes",F114="yes",H114="covered"),1,IF(H114="partial",0.5,0))</f>
        <v>1</v>
      </c>
    </row>
    <row r="115" customFormat="false" ht="15" hidden="false" customHeight="true" outlineLevel="0" collapsed="false">
      <c r="A115" s="31" t="n">
        <v>107</v>
      </c>
      <c r="B115" s="42" t="s">
        <v>483</v>
      </c>
      <c r="C115" s="42" t="s">
        <v>2114</v>
      </c>
      <c r="D115" s="42" t="s">
        <v>2185</v>
      </c>
      <c r="E115" s="34" t="s">
        <v>459</v>
      </c>
      <c r="F115" s="43" t="s">
        <v>459</v>
      </c>
      <c r="G115" s="31" t="s">
        <v>543</v>
      </c>
      <c r="H115" s="44" t="s">
        <v>461</v>
      </c>
      <c r="I115" s="42" t="s">
        <v>2081</v>
      </c>
      <c r="J115" s="42"/>
      <c r="K115" s="45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2" t="s">
        <v>483</v>
      </c>
      <c r="C116" s="42" t="s">
        <v>2131</v>
      </c>
      <c r="D116" s="42" t="s">
        <v>2186</v>
      </c>
      <c r="E116" s="34" t="s">
        <v>459</v>
      </c>
      <c r="F116" s="43" t="s">
        <v>459</v>
      </c>
      <c r="G116" s="31" t="s">
        <v>543</v>
      </c>
      <c r="H116" s="44" t="s">
        <v>461</v>
      </c>
      <c r="I116" s="42" t="s">
        <v>2081</v>
      </c>
      <c r="J116" s="42"/>
      <c r="K116" s="45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2" t="s">
        <v>483</v>
      </c>
      <c r="C117" s="42" t="s">
        <v>2131</v>
      </c>
      <c r="D117" s="42" t="s">
        <v>2187</v>
      </c>
      <c r="E117" s="34" t="s">
        <v>459</v>
      </c>
      <c r="F117" s="43" t="s">
        <v>459</v>
      </c>
      <c r="G117" s="31" t="s">
        <v>543</v>
      </c>
      <c r="H117" s="44" t="s">
        <v>461</v>
      </c>
      <c r="I117" s="42" t="s">
        <v>2081</v>
      </c>
      <c r="J117" s="42"/>
      <c r="K117" s="45" t="n">
        <f aca="false">IF(AND(E117="yes",F117="yes",H117="covered"),1,IF(H117="partial",0.5,0))</f>
        <v>1</v>
      </c>
    </row>
    <row r="118" customFormat="false" ht="15" hidden="false" customHeight="true" outlineLevel="0" collapsed="false">
      <c r="A118" s="31" t="n">
        <v>110</v>
      </c>
      <c r="B118" s="42" t="s">
        <v>483</v>
      </c>
      <c r="C118" s="42" t="s">
        <v>2138</v>
      </c>
      <c r="D118" s="42" t="s">
        <v>2188</v>
      </c>
      <c r="E118" s="34" t="s">
        <v>459</v>
      </c>
      <c r="F118" s="43" t="s">
        <v>459</v>
      </c>
      <c r="G118" s="31" t="s">
        <v>543</v>
      </c>
      <c r="H118" s="44" t="s">
        <v>461</v>
      </c>
      <c r="I118" s="42" t="s">
        <v>2081</v>
      </c>
      <c r="J118" s="42"/>
      <c r="K118" s="45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31" t="n">
        <v>111</v>
      </c>
      <c r="B119" s="42" t="s">
        <v>483</v>
      </c>
      <c r="C119" s="42" t="s">
        <v>2156</v>
      </c>
      <c r="D119" s="42" t="s">
        <v>2189</v>
      </c>
      <c r="E119" s="34" t="s">
        <v>459</v>
      </c>
      <c r="F119" s="43" t="s">
        <v>459</v>
      </c>
      <c r="G119" s="31" t="s">
        <v>543</v>
      </c>
      <c r="H119" s="44" t="s">
        <v>461</v>
      </c>
      <c r="I119" s="42" t="s">
        <v>2081</v>
      </c>
      <c r="J119" s="42"/>
      <c r="K119" s="45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31" t="n">
        <v>112</v>
      </c>
      <c r="B120" s="42" t="s">
        <v>457</v>
      </c>
      <c r="C120" s="42" t="s">
        <v>476</v>
      </c>
      <c r="D120" s="42" t="s">
        <v>2190</v>
      </c>
      <c r="E120" s="34" t="s">
        <v>459</v>
      </c>
      <c r="F120" s="43" t="s">
        <v>459</v>
      </c>
      <c r="G120" s="31" t="s">
        <v>543</v>
      </c>
      <c r="H120" s="44" t="s">
        <v>461</v>
      </c>
      <c r="I120" s="42" t="s">
        <v>2081</v>
      </c>
      <c r="J120" s="42"/>
      <c r="K120" s="45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31" t="n">
        <v>113</v>
      </c>
      <c r="B121" s="42" t="s">
        <v>531</v>
      </c>
      <c r="C121" s="42" t="s">
        <v>500</v>
      </c>
      <c r="D121" s="42" t="s">
        <v>2191</v>
      </c>
      <c r="E121" s="34" t="s">
        <v>459</v>
      </c>
      <c r="F121" s="43" t="s">
        <v>459</v>
      </c>
      <c r="G121" s="31" t="s">
        <v>543</v>
      </c>
      <c r="H121" s="44" t="s">
        <v>461</v>
      </c>
      <c r="I121" s="42" t="s">
        <v>2081</v>
      </c>
      <c r="J121" s="42"/>
      <c r="K121" s="45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31" t="n">
        <v>114</v>
      </c>
      <c r="B122" s="42" t="s">
        <v>531</v>
      </c>
      <c r="C122" s="42" t="s">
        <v>500</v>
      </c>
      <c r="D122" s="42" t="s">
        <v>2192</v>
      </c>
      <c r="E122" s="34" t="s">
        <v>459</v>
      </c>
      <c r="F122" s="43" t="s">
        <v>459</v>
      </c>
      <c r="G122" s="31" t="s">
        <v>543</v>
      </c>
      <c r="H122" s="44" t="s">
        <v>461</v>
      </c>
      <c r="I122" s="42" t="s">
        <v>2081</v>
      </c>
      <c r="J122" s="42"/>
      <c r="K122" s="45" t="n">
        <f aca="false">IF(AND(E122="yes",F122="yes",H122="covered"),1,IF(H122="partial",0.5,0))</f>
        <v>1</v>
      </c>
    </row>
    <row r="123" customFormat="false" ht="30" hidden="false" customHeight="true" outlineLevel="0" collapsed="false">
      <c r="A123" s="31" t="n">
        <v>115</v>
      </c>
      <c r="B123" s="42" t="s">
        <v>531</v>
      </c>
      <c r="C123" s="42" t="s">
        <v>476</v>
      </c>
      <c r="D123" s="42" t="s">
        <v>2193</v>
      </c>
      <c r="E123" s="34" t="s">
        <v>459</v>
      </c>
      <c r="F123" s="43" t="s">
        <v>459</v>
      </c>
      <c r="G123" s="31" t="s">
        <v>543</v>
      </c>
      <c r="H123" s="44" t="s">
        <v>461</v>
      </c>
      <c r="I123" s="42" t="s">
        <v>2081</v>
      </c>
      <c r="J123" s="42"/>
      <c r="K123" s="45" t="n">
        <f aca="false">IF(AND(E123="yes",F123="yes",H123="covered"),1,IF(H123="partial",0.5,0))</f>
        <v>1</v>
      </c>
    </row>
    <row r="124" customFormat="false" ht="15" hidden="false" customHeight="true" outlineLevel="0" collapsed="false">
      <c r="A124" s="31" t="n">
        <v>116</v>
      </c>
      <c r="B124" s="42" t="s">
        <v>531</v>
      </c>
      <c r="C124" s="42" t="s">
        <v>476</v>
      </c>
      <c r="D124" s="42" t="s">
        <v>2194</v>
      </c>
      <c r="E124" s="34" t="s">
        <v>459</v>
      </c>
      <c r="F124" s="43" t="s">
        <v>459</v>
      </c>
      <c r="G124" s="31" t="s">
        <v>543</v>
      </c>
      <c r="H124" s="44" t="s">
        <v>461</v>
      </c>
      <c r="I124" s="42" t="s">
        <v>2081</v>
      </c>
      <c r="J124" s="42"/>
      <c r="K124" s="45" t="n">
        <f aca="false">IF(AND(E124="yes",F124="yes",H124="covered"),1,IF(H124="partial",0.5,0))</f>
        <v>1</v>
      </c>
    </row>
    <row r="125" customFormat="false" ht="15" hidden="false" customHeight="true" outlineLevel="0" collapsed="false">
      <c r="A125" s="31" t="n">
        <v>117</v>
      </c>
      <c r="B125" s="42" t="s">
        <v>529</v>
      </c>
      <c r="C125" s="42" t="s">
        <v>48</v>
      </c>
      <c r="D125" s="42" t="s">
        <v>2195</v>
      </c>
      <c r="E125" s="34" t="s">
        <v>459</v>
      </c>
      <c r="F125" s="43" t="s">
        <v>459</v>
      </c>
      <c r="G125" s="31" t="s">
        <v>543</v>
      </c>
      <c r="H125" s="44" t="s">
        <v>461</v>
      </c>
      <c r="I125" s="42" t="s">
        <v>2081</v>
      </c>
      <c r="J125" s="42"/>
      <c r="K125" s="45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31" t="n">
        <v>118</v>
      </c>
      <c r="B126" s="42" t="s">
        <v>529</v>
      </c>
      <c r="C126" s="42" t="s">
        <v>48</v>
      </c>
      <c r="D126" s="42" t="s">
        <v>2196</v>
      </c>
      <c r="E126" s="34" t="s">
        <v>459</v>
      </c>
      <c r="F126" s="43" t="s">
        <v>459</v>
      </c>
      <c r="G126" s="31" t="s">
        <v>543</v>
      </c>
      <c r="H126" s="44" t="s">
        <v>461</v>
      </c>
      <c r="I126" s="42" t="s">
        <v>2081</v>
      </c>
      <c r="J126" s="42"/>
      <c r="K126" s="45" t="n">
        <f aca="false">IF(AND(E126="yes",F126="yes",H126="covered"),1,IF(H126="partial",0.5,0))</f>
        <v>1</v>
      </c>
    </row>
    <row r="127" customFormat="false" ht="15" hidden="false" customHeight="true" outlineLevel="0" collapsed="false">
      <c r="A127" s="31" t="n">
        <v>119</v>
      </c>
      <c r="B127" s="42" t="s">
        <v>751</v>
      </c>
      <c r="C127" s="42" t="s">
        <v>48</v>
      </c>
      <c r="D127" s="42" t="s">
        <v>2197</v>
      </c>
      <c r="E127" s="34" t="s">
        <v>459</v>
      </c>
      <c r="F127" s="43" t="s">
        <v>459</v>
      </c>
      <c r="G127" s="31" t="s">
        <v>543</v>
      </c>
      <c r="H127" s="44" t="s">
        <v>461</v>
      </c>
      <c r="I127" s="42" t="s">
        <v>2081</v>
      </c>
      <c r="J127" s="42"/>
      <c r="K127" s="45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31" t="n">
        <v>120</v>
      </c>
      <c r="B128" s="42" t="s">
        <v>531</v>
      </c>
      <c r="C128" s="42" t="s">
        <v>48</v>
      </c>
      <c r="D128" s="42" t="s">
        <v>2198</v>
      </c>
      <c r="E128" s="34" t="s">
        <v>459</v>
      </c>
      <c r="F128" s="43" t="s">
        <v>459</v>
      </c>
      <c r="G128" s="31" t="s">
        <v>543</v>
      </c>
      <c r="H128" s="44" t="s">
        <v>461</v>
      </c>
      <c r="I128" s="42" t="s">
        <v>2081</v>
      </c>
      <c r="J128" s="42"/>
      <c r="K128" s="45" t="n">
        <f aca="false">IF(AND(E128="yes",F128="yes",H128="covered"),1,IF(H128="partial",0.5,0))</f>
        <v>1</v>
      </c>
    </row>
    <row r="129" customFormat="false" ht="30" hidden="false" customHeight="true" outlineLevel="0" collapsed="false">
      <c r="A129" s="31" t="n">
        <v>121</v>
      </c>
      <c r="B129" s="42" t="s">
        <v>531</v>
      </c>
      <c r="C129" s="42" t="s">
        <v>48</v>
      </c>
      <c r="D129" s="42" t="s">
        <v>2199</v>
      </c>
      <c r="E129" s="34" t="s">
        <v>459</v>
      </c>
      <c r="F129" s="43" t="s">
        <v>459</v>
      </c>
      <c r="G129" s="31" t="s">
        <v>543</v>
      </c>
      <c r="H129" s="44" t="s">
        <v>461</v>
      </c>
      <c r="I129" s="42" t="s">
        <v>2081</v>
      </c>
      <c r="J129" s="42"/>
      <c r="K129" s="45" t="n">
        <f aca="false">IF(AND(E129="yes",F129="yes",H129="covered"),1,IF(H129="partial",0.5,0))</f>
        <v>1</v>
      </c>
    </row>
    <row r="130" customFormat="false" ht="15" hidden="false" customHeight="true" outlineLevel="0" collapsed="false">
      <c r="A130" s="31" t="n">
        <v>122</v>
      </c>
      <c r="B130" s="42" t="s">
        <v>531</v>
      </c>
      <c r="C130" s="42" t="s">
        <v>498</v>
      </c>
      <c r="D130" s="42" t="s">
        <v>2200</v>
      </c>
      <c r="E130" s="34" t="s">
        <v>459</v>
      </c>
      <c r="F130" s="43" t="s">
        <v>459</v>
      </c>
      <c r="G130" s="31" t="s">
        <v>543</v>
      </c>
      <c r="H130" s="44" t="s">
        <v>461</v>
      </c>
      <c r="I130" s="42" t="s">
        <v>2081</v>
      </c>
      <c r="J130" s="42"/>
      <c r="K130" s="45" t="n">
        <f aca="false">IF(AND(E130="yes",F130="yes",H130="covered"),1,IF(H130="partial",0.5,0))</f>
        <v>1</v>
      </c>
    </row>
    <row r="131" customFormat="false" ht="15" hidden="false" customHeight="true" outlineLevel="0" collapsed="false">
      <c r="A131" s="31" t="n">
        <v>123</v>
      </c>
      <c r="B131" s="42" t="s">
        <v>457</v>
      </c>
      <c r="C131" s="42" t="s">
        <v>2131</v>
      </c>
      <c r="D131" s="42" t="s">
        <v>2201</v>
      </c>
      <c r="E131" s="34" t="s">
        <v>459</v>
      </c>
      <c r="F131" s="43" t="s">
        <v>459</v>
      </c>
      <c r="G131" s="31" t="s">
        <v>543</v>
      </c>
      <c r="H131" s="44" t="s">
        <v>461</v>
      </c>
      <c r="I131" s="42" t="s">
        <v>2081</v>
      </c>
      <c r="J131" s="42"/>
      <c r="K131" s="45" t="n">
        <f aca="false">IF(AND(E131="yes",F131="yes",H131="covered"),1,IF(H131="partial",0.5,0))</f>
        <v>1</v>
      </c>
    </row>
    <row r="132" customFormat="false" ht="15" hidden="false" customHeight="true" outlineLevel="0" collapsed="false">
      <c r="A132" s="31" t="n">
        <v>124</v>
      </c>
      <c r="B132" s="42" t="s">
        <v>531</v>
      </c>
      <c r="C132" s="42" t="s">
        <v>2131</v>
      </c>
      <c r="D132" s="42" t="s">
        <v>2202</v>
      </c>
      <c r="E132" s="34" t="s">
        <v>459</v>
      </c>
      <c r="F132" s="43" t="s">
        <v>459</v>
      </c>
      <c r="G132" s="31" t="s">
        <v>543</v>
      </c>
      <c r="H132" s="44" t="s">
        <v>461</v>
      </c>
      <c r="I132" s="42" t="s">
        <v>2081</v>
      </c>
      <c r="J132" s="42"/>
      <c r="K132" s="45" t="n">
        <f aca="false">IF(AND(E132="yes",F132="yes",H132="covered"),1,IF(H132="partial",0.5,0))</f>
        <v>1</v>
      </c>
    </row>
    <row r="133" customFormat="false" ht="15" hidden="false" customHeight="true" outlineLevel="0" collapsed="false">
      <c r="A133" s="31" t="n">
        <v>125</v>
      </c>
      <c r="B133" s="42" t="s">
        <v>531</v>
      </c>
      <c r="C133" s="42" t="s">
        <v>2131</v>
      </c>
      <c r="D133" s="42" t="s">
        <v>2203</v>
      </c>
      <c r="E133" s="34" t="s">
        <v>459</v>
      </c>
      <c r="F133" s="43" t="s">
        <v>459</v>
      </c>
      <c r="G133" s="31" t="s">
        <v>543</v>
      </c>
      <c r="H133" s="44" t="s">
        <v>461</v>
      </c>
      <c r="I133" s="42" t="s">
        <v>2081</v>
      </c>
      <c r="J133" s="42"/>
      <c r="K133" s="45" t="n">
        <f aca="false">IF(AND(E133="yes",F133="yes",H133="covered"),1,IF(H133="partial",0.5,0))</f>
        <v>1</v>
      </c>
    </row>
    <row r="134" customFormat="false" ht="15" hidden="false" customHeight="true" outlineLevel="0" collapsed="false"/>
    <row r="135" customFormat="false" ht="30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30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30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30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30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30" hidden="false" customHeight="true" outlineLevel="0" collapsed="false"/>
    <row r="202" customFormat="false" ht="30" hidden="false" customHeight="true" outlineLevel="0" collapsed="false"/>
    <row r="203" customFormat="false" ht="30" hidden="false" customHeight="true" outlineLevel="0" collapsed="false"/>
    <row r="204" customFormat="false" ht="30" hidden="false" customHeight="true" outlineLevel="0" collapsed="false"/>
    <row r="205" customFormat="false" ht="30" hidden="false" customHeight="true" outlineLevel="0" collapsed="false"/>
    <row r="206" customFormat="false" ht="30" hidden="false" customHeight="true" outlineLevel="0" collapsed="false"/>
  </sheetData>
  <autoFilter ref="A8:K133"/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2204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64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110</v>
      </c>
      <c r="H9" s="44" t="s">
        <v>461</v>
      </c>
      <c r="I9" s="42" t="s">
        <v>2205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110</v>
      </c>
      <c r="H10" s="44" t="s">
        <v>461</v>
      </c>
      <c r="I10" s="42" t="s">
        <v>2205</v>
      </c>
      <c r="J10" s="42"/>
      <c r="K10" s="45" t="n">
        <f aca="false">IF(AND(E10="yes",F10="yes",H10="covered"),1,IF(H10="partial",0.5,0))</f>
        <v>1</v>
      </c>
    </row>
    <row r="11" customFormat="false" ht="45" hidden="false" customHeight="true" outlineLevel="0" collapsed="false">
      <c r="A11" s="31" t="n">
        <v>3</v>
      </c>
      <c r="B11" s="42" t="s">
        <v>456</v>
      </c>
      <c r="C11" s="42" t="s">
        <v>50</v>
      </c>
      <c r="D11" s="42" t="s">
        <v>464</v>
      </c>
      <c r="E11" s="34" t="s">
        <v>459</v>
      </c>
      <c r="F11" s="43" t="s">
        <v>459</v>
      </c>
      <c r="G11" s="31" t="s">
        <v>110</v>
      </c>
      <c r="H11" s="44" t="s">
        <v>461</v>
      </c>
      <c r="I11" s="42" t="s">
        <v>2205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50</v>
      </c>
      <c r="D12" s="42" t="s">
        <v>465</v>
      </c>
      <c r="E12" s="34" t="s">
        <v>459</v>
      </c>
      <c r="F12" s="43" t="s">
        <v>459</v>
      </c>
      <c r="G12" s="31" t="s">
        <v>110</v>
      </c>
      <c r="H12" s="44" t="s">
        <v>461</v>
      </c>
      <c r="I12" s="42" t="s">
        <v>2205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50</v>
      </c>
      <c r="D13" s="42" t="s">
        <v>466</v>
      </c>
      <c r="E13" s="34" t="s">
        <v>459</v>
      </c>
      <c r="F13" s="43" t="s">
        <v>459</v>
      </c>
      <c r="G13" s="31" t="s">
        <v>110</v>
      </c>
      <c r="H13" s="44" t="s">
        <v>461</v>
      </c>
      <c r="I13" s="42" t="s">
        <v>2205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50</v>
      </c>
      <c r="D14" s="42" t="s">
        <v>467</v>
      </c>
      <c r="E14" s="34" t="s">
        <v>459</v>
      </c>
      <c r="F14" s="43" t="s">
        <v>459</v>
      </c>
      <c r="G14" s="31" t="s">
        <v>110</v>
      </c>
      <c r="H14" s="44" t="s">
        <v>461</v>
      </c>
      <c r="I14" s="42" t="s">
        <v>2205</v>
      </c>
      <c r="J14" s="42"/>
      <c r="K14" s="45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50</v>
      </c>
      <c r="D15" s="42" t="s">
        <v>2206</v>
      </c>
      <c r="E15" s="34" t="s">
        <v>459</v>
      </c>
      <c r="F15" s="43" t="s">
        <v>459</v>
      </c>
      <c r="G15" s="31" t="s">
        <v>110</v>
      </c>
      <c r="H15" s="44" t="s">
        <v>461</v>
      </c>
      <c r="I15" s="42" t="s">
        <v>2205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50</v>
      </c>
      <c r="D16" s="42" t="s">
        <v>943</v>
      </c>
      <c r="E16" s="34" t="s">
        <v>459</v>
      </c>
      <c r="F16" s="43" t="s">
        <v>459</v>
      </c>
      <c r="G16" s="31" t="s">
        <v>110</v>
      </c>
      <c r="H16" s="44" t="s">
        <v>461</v>
      </c>
      <c r="I16" s="42" t="s">
        <v>2205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50</v>
      </c>
      <c r="D17" s="42" t="s">
        <v>2207</v>
      </c>
      <c r="E17" s="34" t="s">
        <v>459</v>
      </c>
      <c r="F17" s="43" t="s">
        <v>459</v>
      </c>
      <c r="G17" s="31" t="s">
        <v>110</v>
      </c>
      <c r="H17" s="44" t="s">
        <v>461</v>
      </c>
      <c r="I17" s="42" t="s">
        <v>2205</v>
      </c>
      <c r="J17" s="42"/>
      <c r="K17" s="45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50</v>
      </c>
      <c r="D18" s="42" t="s">
        <v>2208</v>
      </c>
      <c r="E18" s="34" t="s">
        <v>459</v>
      </c>
      <c r="F18" s="43" t="s">
        <v>459</v>
      </c>
      <c r="G18" s="31" t="s">
        <v>110</v>
      </c>
      <c r="H18" s="44" t="s">
        <v>461</v>
      </c>
      <c r="I18" s="42" t="s">
        <v>2205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50</v>
      </c>
      <c r="D19" s="42" t="s">
        <v>2209</v>
      </c>
      <c r="E19" s="34" t="s">
        <v>459</v>
      </c>
      <c r="F19" s="43" t="s">
        <v>459</v>
      </c>
      <c r="G19" s="31" t="s">
        <v>110</v>
      </c>
      <c r="H19" s="44" t="s">
        <v>461</v>
      </c>
      <c r="I19" s="42" t="s">
        <v>2205</v>
      </c>
      <c r="J19" s="42"/>
      <c r="K19" s="45" t="n">
        <f aca="false">IF(AND(E19="yes",F19="yes",H19="covered"),1,IF(H19="partial",0.5,0))</f>
        <v>1</v>
      </c>
    </row>
    <row r="20" customFormat="false" ht="45" hidden="false" customHeight="true" outlineLevel="0" collapsed="false">
      <c r="A20" s="31" t="n">
        <v>12</v>
      </c>
      <c r="B20" s="42" t="s">
        <v>468</v>
      </c>
      <c r="C20" s="42" t="s">
        <v>50</v>
      </c>
      <c r="D20" s="42" t="s">
        <v>2210</v>
      </c>
      <c r="E20" s="34" t="s">
        <v>459</v>
      </c>
      <c r="F20" s="43" t="s">
        <v>459</v>
      </c>
      <c r="G20" s="31" t="s">
        <v>110</v>
      </c>
      <c r="H20" s="44" t="s">
        <v>461</v>
      </c>
      <c r="I20" s="42" t="s">
        <v>2205</v>
      </c>
      <c r="J20" s="42"/>
      <c r="K20" s="45" t="n">
        <f aca="false">IF(AND(E20="yes",F20="yes",H20="covered"),1,IF(H20="partial",0.5,0))</f>
        <v>1</v>
      </c>
    </row>
    <row r="21" customFormat="false" ht="4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110</v>
      </c>
      <c r="H21" s="44" t="s">
        <v>461</v>
      </c>
      <c r="I21" s="42" t="s">
        <v>2205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110</v>
      </c>
      <c r="H22" s="44" t="s">
        <v>461</v>
      </c>
      <c r="I22" s="42" t="s">
        <v>2205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110</v>
      </c>
      <c r="H23" s="44" t="s">
        <v>461</v>
      </c>
      <c r="I23" s="42" t="s">
        <v>2205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110</v>
      </c>
      <c r="H24" s="44" t="s">
        <v>461</v>
      </c>
      <c r="I24" s="42" t="s">
        <v>2205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110</v>
      </c>
      <c r="H25" s="44" t="s">
        <v>461</v>
      </c>
      <c r="I25" s="42" t="s">
        <v>2205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110</v>
      </c>
      <c r="H26" s="44" t="s">
        <v>461</v>
      </c>
      <c r="I26" s="42" t="s">
        <v>2205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489</v>
      </c>
      <c r="E27" s="34" t="s">
        <v>459</v>
      </c>
      <c r="F27" s="43" t="s">
        <v>459</v>
      </c>
      <c r="G27" s="31" t="s">
        <v>110</v>
      </c>
      <c r="H27" s="44" t="s">
        <v>461</v>
      </c>
      <c r="I27" s="42" t="s">
        <v>2205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490</v>
      </c>
      <c r="E28" s="34" t="s">
        <v>459</v>
      </c>
      <c r="F28" s="43" t="s">
        <v>459</v>
      </c>
      <c r="G28" s="31" t="s">
        <v>110</v>
      </c>
      <c r="H28" s="44" t="s">
        <v>461</v>
      </c>
      <c r="I28" s="42" t="s">
        <v>2205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491</v>
      </c>
      <c r="E29" s="34" t="s">
        <v>459</v>
      </c>
      <c r="F29" s="43" t="s">
        <v>459</v>
      </c>
      <c r="G29" s="31" t="s">
        <v>110</v>
      </c>
      <c r="H29" s="44" t="s">
        <v>461</v>
      </c>
      <c r="I29" s="42" t="s">
        <v>2205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2211</v>
      </c>
      <c r="E30" s="34" t="s">
        <v>459</v>
      </c>
      <c r="F30" s="43" t="s">
        <v>459</v>
      </c>
      <c r="G30" s="31" t="s">
        <v>110</v>
      </c>
      <c r="H30" s="44" t="s">
        <v>461</v>
      </c>
      <c r="I30" s="42" t="s">
        <v>2205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2212</v>
      </c>
      <c r="E31" s="34" t="s">
        <v>459</v>
      </c>
      <c r="F31" s="43" t="s">
        <v>459</v>
      </c>
      <c r="G31" s="31" t="s">
        <v>110</v>
      </c>
      <c r="H31" s="44" t="s">
        <v>461</v>
      </c>
      <c r="I31" s="42" t="s">
        <v>2205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2213</v>
      </c>
      <c r="E32" s="34" t="s">
        <v>459</v>
      </c>
      <c r="F32" s="43" t="s">
        <v>459</v>
      </c>
      <c r="G32" s="31" t="s">
        <v>110</v>
      </c>
      <c r="H32" s="44" t="s">
        <v>461</v>
      </c>
      <c r="I32" s="42" t="s">
        <v>2205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2214</v>
      </c>
      <c r="E33" s="34" t="s">
        <v>459</v>
      </c>
      <c r="F33" s="43" t="s">
        <v>459</v>
      </c>
      <c r="G33" s="31" t="s">
        <v>110</v>
      </c>
      <c r="H33" s="44" t="s">
        <v>461</v>
      </c>
      <c r="I33" s="42" t="s">
        <v>2205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476</v>
      </c>
      <c r="D34" s="42" t="s">
        <v>2215</v>
      </c>
      <c r="E34" s="34" t="s">
        <v>459</v>
      </c>
      <c r="F34" s="43" t="s">
        <v>459</v>
      </c>
      <c r="G34" s="31" t="s">
        <v>110</v>
      </c>
      <c r="H34" s="44" t="s">
        <v>461</v>
      </c>
      <c r="I34" s="42" t="s">
        <v>2205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2216</v>
      </c>
      <c r="E35" s="34" t="s">
        <v>459</v>
      </c>
      <c r="F35" s="43" t="s">
        <v>459</v>
      </c>
      <c r="G35" s="31" t="s">
        <v>110</v>
      </c>
      <c r="H35" s="44" t="s">
        <v>461</v>
      </c>
      <c r="I35" s="42" t="s">
        <v>2205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2217</v>
      </c>
      <c r="E36" s="34" t="s">
        <v>459</v>
      </c>
      <c r="F36" s="43" t="s">
        <v>459</v>
      </c>
      <c r="G36" s="31" t="s">
        <v>110</v>
      </c>
      <c r="H36" s="44" t="s">
        <v>461</v>
      </c>
      <c r="I36" s="42" t="s">
        <v>2205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486</v>
      </c>
      <c r="C37" s="42" t="s">
        <v>476</v>
      </c>
      <c r="D37" s="42" t="s">
        <v>2218</v>
      </c>
      <c r="E37" s="34" t="s">
        <v>459</v>
      </c>
      <c r="F37" s="43" t="s">
        <v>459</v>
      </c>
      <c r="G37" s="31" t="s">
        <v>110</v>
      </c>
      <c r="H37" s="44" t="s">
        <v>461</v>
      </c>
      <c r="I37" s="42" t="s">
        <v>2205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488</v>
      </c>
      <c r="C38" s="42" t="s">
        <v>476</v>
      </c>
      <c r="D38" s="42" t="s">
        <v>493</v>
      </c>
      <c r="E38" s="34" t="s">
        <v>459</v>
      </c>
      <c r="F38" s="43" t="s">
        <v>459</v>
      </c>
      <c r="G38" s="31" t="s">
        <v>110</v>
      </c>
      <c r="H38" s="44" t="s">
        <v>461</v>
      </c>
      <c r="I38" s="42" t="s">
        <v>2205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488</v>
      </c>
      <c r="C39" s="42" t="s">
        <v>476</v>
      </c>
      <c r="D39" s="42" t="s">
        <v>951</v>
      </c>
      <c r="E39" s="34" t="s">
        <v>459</v>
      </c>
      <c r="F39" s="43" t="s">
        <v>459</v>
      </c>
      <c r="G39" s="31" t="s">
        <v>110</v>
      </c>
      <c r="H39" s="44" t="s">
        <v>461</v>
      </c>
      <c r="I39" s="42" t="s">
        <v>2205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488</v>
      </c>
      <c r="C40" s="42" t="s">
        <v>476</v>
      </c>
      <c r="D40" s="42" t="s">
        <v>953</v>
      </c>
      <c r="E40" s="34" t="s">
        <v>459</v>
      </c>
      <c r="F40" s="43" t="s">
        <v>459</v>
      </c>
      <c r="G40" s="31" t="s">
        <v>110</v>
      </c>
      <c r="H40" s="44" t="s">
        <v>461</v>
      </c>
      <c r="I40" s="42" t="s">
        <v>2205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488</v>
      </c>
      <c r="C41" s="42" t="s">
        <v>476</v>
      </c>
      <c r="D41" s="42" t="s">
        <v>952</v>
      </c>
      <c r="E41" s="34" t="s">
        <v>459</v>
      </c>
      <c r="F41" s="43" t="s">
        <v>459</v>
      </c>
      <c r="G41" s="31" t="s">
        <v>110</v>
      </c>
      <c r="H41" s="44" t="s">
        <v>461</v>
      </c>
      <c r="I41" s="42" t="s">
        <v>2205</v>
      </c>
      <c r="J41" s="42"/>
      <c r="K41" s="45" t="n">
        <f aca="false">IF(AND(E41="yes",F41="yes",H41="covered"),1,IF(H41="partial",0.5,0))</f>
        <v>1</v>
      </c>
    </row>
    <row r="42" customFormat="false" ht="45" hidden="false" customHeight="true" outlineLevel="0" collapsed="false">
      <c r="A42" s="31" t="n">
        <v>34</v>
      </c>
      <c r="B42" s="42" t="s">
        <v>486</v>
      </c>
      <c r="C42" s="42" t="s">
        <v>476</v>
      </c>
      <c r="D42" s="42" t="s">
        <v>954</v>
      </c>
      <c r="E42" s="34" t="s">
        <v>459</v>
      </c>
      <c r="F42" s="43" t="s">
        <v>459</v>
      </c>
      <c r="G42" s="31" t="s">
        <v>110</v>
      </c>
      <c r="H42" s="44" t="s">
        <v>461</v>
      </c>
      <c r="I42" s="42" t="s">
        <v>2205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486</v>
      </c>
      <c r="C43" s="42" t="s">
        <v>476</v>
      </c>
      <c r="D43" s="42" t="s">
        <v>955</v>
      </c>
      <c r="E43" s="34" t="s">
        <v>459</v>
      </c>
      <c r="F43" s="43" t="s">
        <v>459</v>
      </c>
      <c r="G43" s="31" t="s">
        <v>110</v>
      </c>
      <c r="H43" s="44" t="s">
        <v>461</v>
      </c>
      <c r="I43" s="42" t="s">
        <v>2205</v>
      </c>
      <c r="J43" s="42"/>
      <c r="K43" s="45" t="n">
        <f aca="false">IF(AND(E43="yes",F43="yes",H43="covered"),1,IF(H43="partial",0.5,0))</f>
        <v>1</v>
      </c>
    </row>
    <row r="44" customFormat="false" ht="45" hidden="false" customHeight="true" outlineLevel="0" collapsed="false">
      <c r="A44" s="31" t="n">
        <v>36</v>
      </c>
      <c r="B44" s="42" t="s">
        <v>882</v>
      </c>
      <c r="C44" s="42" t="s">
        <v>476</v>
      </c>
      <c r="D44" s="42" t="s">
        <v>956</v>
      </c>
      <c r="E44" s="34" t="s">
        <v>459</v>
      </c>
      <c r="F44" s="43" t="s">
        <v>459</v>
      </c>
      <c r="G44" s="31" t="s">
        <v>110</v>
      </c>
      <c r="H44" s="44" t="s">
        <v>461</v>
      </c>
      <c r="I44" s="42" t="s">
        <v>2205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882</v>
      </c>
      <c r="C45" s="42" t="s">
        <v>476</v>
      </c>
      <c r="D45" s="42" t="s">
        <v>2219</v>
      </c>
      <c r="E45" s="34" t="s">
        <v>459</v>
      </c>
      <c r="F45" s="43" t="s">
        <v>459</v>
      </c>
      <c r="G45" s="31" t="s">
        <v>110</v>
      </c>
      <c r="H45" s="44" t="s">
        <v>461</v>
      </c>
      <c r="I45" s="42" t="s">
        <v>2205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882</v>
      </c>
      <c r="C46" s="42" t="s">
        <v>476</v>
      </c>
      <c r="D46" s="42" t="s">
        <v>2220</v>
      </c>
      <c r="E46" s="34" t="s">
        <v>459</v>
      </c>
      <c r="F46" s="43" t="s">
        <v>459</v>
      </c>
      <c r="G46" s="31" t="s">
        <v>110</v>
      </c>
      <c r="H46" s="44" t="s">
        <v>461</v>
      </c>
      <c r="I46" s="42" t="s">
        <v>2205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486</v>
      </c>
      <c r="C47" s="42" t="s">
        <v>476</v>
      </c>
      <c r="D47" s="42" t="s">
        <v>495</v>
      </c>
      <c r="E47" s="34" t="s">
        <v>459</v>
      </c>
      <c r="F47" s="43" t="s">
        <v>459</v>
      </c>
      <c r="G47" s="31" t="s">
        <v>110</v>
      </c>
      <c r="H47" s="44" t="s">
        <v>461</v>
      </c>
      <c r="I47" s="42" t="s">
        <v>2205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488</v>
      </c>
      <c r="C48" s="42" t="s">
        <v>476</v>
      </c>
      <c r="D48" s="42" t="s">
        <v>497</v>
      </c>
      <c r="E48" s="34" t="s">
        <v>459</v>
      </c>
      <c r="F48" s="43" t="s">
        <v>459</v>
      </c>
      <c r="G48" s="31" t="s">
        <v>110</v>
      </c>
      <c r="H48" s="44" t="s">
        <v>461</v>
      </c>
      <c r="I48" s="42" t="s">
        <v>2205</v>
      </c>
      <c r="J48" s="42"/>
      <c r="K48" s="45" t="n">
        <f aca="false">IF(AND(E48="yes",F48="yes",H48="covered"),1,IF(H48="partial",0.5,0))</f>
        <v>1</v>
      </c>
    </row>
    <row r="49" customFormat="false" ht="45" hidden="false" customHeight="true" outlineLevel="0" collapsed="false">
      <c r="A49" s="31" t="n">
        <v>41</v>
      </c>
      <c r="B49" s="42" t="s">
        <v>488</v>
      </c>
      <c r="C49" s="42" t="s">
        <v>476</v>
      </c>
      <c r="D49" s="42" t="s">
        <v>957</v>
      </c>
      <c r="E49" s="34" t="s">
        <v>459</v>
      </c>
      <c r="F49" s="43" t="s">
        <v>459</v>
      </c>
      <c r="G49" s="31" t="s">
        <v>110</v>
      </c>
      <c r="H49" s="44" t="s">
        <v>461</v>
      </c>
      <c r="I49" s="42" t="s">
        <v>2205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488</v>
      </c>
      <c r="C50" s="42" t="s">
        <v>476</v>
      </c>
      <c r="D50" s="42" t="s">
        <v>958</v>
      </c>
      <c r="E50" s="34" t="s">
        <v>459</v>
      </c>
      <c r="F50" s="43" t="s">
        <v>459</v>
      </c>
      <c r="G50" s="31" t="s">
        <v>110</v>
      </c>
      <c r="H50" s="44" t="s">
        <v>461</v>
      </c>
      <c r="I50" s="42" t="s">
        <v>2205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505</v>
      </c>
      <c r="C51" s="42" t="s">
        <v>506</v>
      </c>
      <c r="D51" s="42" t="s">
        <v>1631</v>
      </c>
      <c r="E51" s="34" t="s">
        <v>459</v>
      </c>
      <c r="F51" s="43" t="s">
        <v>459</v>
      </c>
      <c r="G51" s="31" t="s">
        <v>110</v>
      </c>
      <c r="H51" s="44" t="s">
        <v>461</v>
      </c>
      <c r="I51" s="42" t="s">
        <v>2205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505</v>
      </c>
      <c r="C52" s="42" t="s">
        <v>506</v>
      </c>
      <c r="D52" s="42" t="s">
        <v>962</v>
      </c>
      <c r="E52" s="34" t="s">
        <v>459</v>
      </c>
      <c r="F52" s="43" t="s">
        <v>459</v>
      </c>
      <c r="G52" s="31" t="s">
        <v>110</v>
      </c>
      <c r="H52" s="44" t="s">
        <v>461</v>
      </c>
      <c r="I52" s="42" t="s">
        <v>2205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505</v>
      </c>
      <c r="C53" s="42" t="s">
        <v>506</v>
      </c>
      <c r="D53" s="42" t="s">
        <v>783</v>
      </c>
      <c r="E53" s="34" t="s">
        <v>459</v>
      </c>
      <c r="F53" s="43" t="s">
        <v>459</v>
      </c>
      <c r="G53" s="31" t="s">
        <v>110</v>
      </c>
      <c r="H53" s="44" t="s">
        <v>461</v>
      </c>
      <c r="I53" s="42" t="s">
        <v>2205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505</v>
      </c>
      <c r="C54" s="42" t="s">
        <v>506</v>
      </c>
      <c r="D54" s="42" t="s">
        <v>963</v>
      </c>
      <c r="E54" s="34" t="s">
        <v>459</v>
      </c>
      <c r="F54" s="43" t="s">
        <v>459</v>
      </c>
      <c r="G54" s="31" t="s">
        <v>110</v>
      </c>
      <c r="H54" s="44" t="s">
        <v>461</v>
      </c>
      <c r="I54" s="42" t="s">
        <v>2205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505</v>
      </c>
      <c r="C55" s="42" t="s">
        <v>506</v>
      </c>
      <c r="D55" s="42" t="s">
        <v>964</v>
      </c>
      <c r="E55" s="34" t="s">
        <v>459</v>
      </c>
      <c r="F55" s="43" t="s">
        <v>459</v>
      </c>
      <c r="G55" s="31" t="s">
        <v>110</v>
      </c>
      <c r="H55" s="44" t="s">
        <v>461</v>
      </c>
      <c r="I55" s="42" t="s">
        <v>2205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505</v>
      </c>
      <c r="C56" s="42" t="s">
        <v>506</v>
      </c>
      <c r="D56" s="42" t="s">
        <v>2221</v>
      </c>
      <c r="E56" s="34" t="s">
        <v>459</v>
      </c>
      <c r="F56" s="43" t="s">
        <v>459</v>
      </c>
      <c r="G56" s="31" t="s">
        <v>110</v>
      </c>
      <c r="H56" s="44" t="s">
        <v>461</v>
      </c>
      <c r="I56" s="42" t="s">
        <v>2205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505</v>
      </c>
      <c r="C57" s="42" t="s">
        <v>506</v>
      </c>
      <c r="D57" s="42" t="s">
        <v>2222</v>
      </c>
      <c r="E57" s="34" t="s">
        <v>459</v>
      </c>
      <c r="F57" s="43" t="s">
        <v>459</v>
      </c>
      <c r="G57" s="31" t="s">
        <v>110</v>
      </c>
      <c r="H57" s="44" t="s">
        <v>461</v>
      </c>
      <c r="I57" s="42" t="s">
        <v>2205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505</v>
      </c>
      <c r="C58" s="42" t="s">
        <v>506</v>
      </c>
      <c r="D58" s="42" t="s">
        <v>2223</v>
      </c>
      <c r="E58" s="34" t="s">
        <v>459</v>
      </c>
      <c r="F58" s="43" t="s">
        <v>459</v>
      </c>
      <c r="G58" s="31" t="s">
        <v>110</v>
      </c>
      <c r="H58" s="44" t="s">
        <v>461</v>
      </c>
      <c r="I58" s="42" t="s">
        <v>2205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505</v>
      </c>
      <c r="C59" s="42" t="s">
        <v>506</v>
      </c>
      <c r="D59" s="42" t="s">
        <v>2224</v>
      </c>
      <c r="E59" s="34" t="s">
        <v>459</v>
      </c>
      <c r="F59" s="43" t="s">
        <v>459</v>
      </c>
      <c r="G59" s="31" t="s">
        <v>110</v>
      </c>
      <c r="H59" s="44" t="s">
        <v>461</v>
      </c>
      <c r="I59" s="42" t="s">
        <v>2205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511</v>
      </c>
      <c r="C60" s="42" t="s">
        <v>506</v>
      </c>
      <c r="D60" s="42" t="s">
        <v>512</v>
      </c>
      <c r="E60" s="34" t="s">
        <v>459</v>
      </c>
      <c r="F60" s="43" t="s">
        <v>459</v>
      </c>
      <c r="G60" s="31" t="s">
        <v>110</v>
      </c>
      <c r="H60" s="44" t="s">
        <v>461</v>
      </c>
      <c r="I60" s="42" t="s">
        <v>2205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511</v>
      </c>
      <c r="C61" s="42" t="s">
        <v>506</v>
      </c>
      <c r="D61" s="42" t="s">
        <v>965</v>
      </c>
      <c r="E61" s="34" t="s">
        <v>459</v>
      </c>
      <c r="F61" s="43" t="s">
        <v>459</v>
      </c>
      <c r="G61" s="31" t="s">
        <v>110</v>
      </c>
      <c r="H61" s="44" t="s">
        <v>461</v>
      </c>
      <c r="I61" s="42" t="s">
        <v>2205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511</v>
      </c>
      <c r="C62" s="42" t="s">
        <v>506</v>
      </c>
      <c r="D62" s="42" t="s">
        <v>966</v>
      </c>
      <c r="E62" s="34" t="s">
        <v>459</v>
      </c>
      <c r="F62" s="43" t="s">
        <v>459</v>
      </c>
      <c r="G62" s="31" t="s">
        <v>110</v>
      </c>
      <c r="H62" s="44" t="s">
        <v>461</v>
      </c>
      <c r="I62" s="42" t="s">
        <v>2205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511</v>
      </c>
      <c r="C63" s="42" t="s">
        <v>506</v>
      </c>
      <c r="D63" s="42" t="s">
        <v>514</v>
      </c>
      <c r="E63" s="34" t="s">
        <v>459</v>
      </c>
      <c r="F63" s="43" t="s">
        <v>459</v>
      </c>
      <c r="G63" s="31" t="s">
        <v>110</v>
      </c>
      <c r="H63" s="44" t="s">
        <v>461</v>
      </c>
      <c r="I63" s="42" t="s">
        <v>2205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488</v>
      </c>
      <c r="C64" s="42" t="s">
        <v>476</v>
      </c>
      <c r="D64" s="42" t="s">
        <v>521</v>
      </c>
      <c r="E64" s="34" t="s">
        <v>459</v>
      </c>
      <c r="F64" s="43" t="s">
        <v>459</v>
      </c>
      <c r="G64" s="31" t="s">
        <v>110</v>
      </c>
      <c r="H64" s="44" t="s">
        <v>461</v>
      </c>
      <c r="I64" s="42" t="s">
        <v>2205</v>
      </c>
      <c r="J64" s="42"/>
      <c r="K64" s="45" t="n">
        <f aca="false">IF(AND(E64="yes",F64="yes",H64="covered"),1,IF(H64="partial",0.5,0))</f>
        <v>1</v>
      </c>
    </row>
    <row r="65" customFormat="false" ht="30" hidden="false" customHeight="true" outlineLevel="0" collapsed="false">
      <c r="A65" s="31" t="n">
        <v>57</v>
      </c>
      <c r="B65" s="42" t="s">
        <v>488</v>
      </c>
      <c r="C65" s="42" t="s">
        <v>476</v>
      </c>
      <c r="D65" s="42" t="s">
        <v>522</v>
      </c>
      <c r="E65" s="34" t="s">
        <v>459</v>
      </c>
      <c r="F65" s="43" t="s">
        <v>459</v>
      </c>
      <c r="G65" s="31" t="s">
        <v>110</v>
      </c>
      <c r="H65" s="44" t="s">
        <v>461</v>
      </c>
      <c r="I65" s="42" t="s">
        <v>2205</v>
      </c>
      <c r="J65" s="42"/>
      <c r="K65" s="45" t="n">
        <f aca="false">IF(AND(E65="yes",F65="yes",H65="covered"),1,IF(H65="partial",0.5,0))</f>
        <v>1</v>
      </c>
    </row>
    <row r="66" customFormat="false" ht="30" hidden="false" customHeight="true" outlineLevel="0" collapsed="false">
      <c r="A66" s="31" t="n">
        <v>58</v>
      </c>
      <c r="B66" s="42" t="s">
        <v>488</v>
      </c>
      <c r="C66" s="42" t="s">
        <v>476</v>
      </c>
      <c r="D66" s="42" t="s">
        <v>523</v>
      </c>
      <c r="E66" s="34" t="s">
        <v>459</v>
      </c>
      <c r="F66" s="43" t="s">
        <v>459</v>
      </c>
      <c r="G66" s="31" t="s">
        <v>110</v>
      </c>
      <c r="H66" s="44" t="s">
        <v>461</v>
      </c>
      <c r="I66" s="42" t="s">
        <v>2205</v>
      </c>
      <c r="J66" s="42"/>
      <c r="K66" s="45" t="n">
        <f aca="false">IF(AND(E66="yes",F66="yes",H66="covered"),1,IF(H66="partial",0.5,0))</f>
        <v>1</v>
      </c>
    </row>
    <row r="67" customFormat="false" ht="30" hidden="false" customHeight="true" outlineLevel="0" collapsed="false">
      <c r="A67" s="31" t="n">
        <v>59</v>
      </c>
      <c r="B67" s="42" t="s">
        <v>488</v>
      </c>
      <c r="C67" s="42" t="s">
        <v>50</v>
      </c>
      <c r="D67" s="42" t="s">
        <v>968</v>
      </c>
      <c r="E67" s="34" t="s">
        <v>459</v>
      </c>
      <c r="F67" s="43" t="s">
        <v>459</v>
      </c>
      <c r="G67" s="31" t="s">
        <v>110</v>
      </c>
      <c r="H67" s="44" t="s">
        <v>461</v>
      </c>
      <c r="I67" s="42" t="s">
        <v>2205</v>
      </c>
      <c r="J67" s="42"/>
      <c r="K67" s="45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31" t="n">
        <v>60</v>
      </c>
      <c r="B68" s="42" t="s">
        <v>488</v>
      </c>
      <c r="C68" s="42" t="s">
        <v>50</v>
      </c>
      <c r="D68" s="42" t="s">
        <v>969</v>
      </c>
      <c r="E68" s="34" t="s">
        <v>459</v>
      </c>
      <c r="F68" s="43" t="s">
        <v>459</v>
      </c>
      <c r="G68" s="31" t="s">
        <v>110</v>
      </c>
      <c r="H68" s="44" t="s">
        <v>461</v>
      </c>
      <c r="I68" s="42" t="s">
        <v>2205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488</v>
      </c>
      <c r="C69" s="42" t="s">
        <v>50</v>
      </c>
      <c r="D69" s="42" t="s">
        <v>970</v>
      </c>
      <c r="E69" s="34" t="s">
        <v>459</v>
      </c>
      <c r="F69" s="43" t="s">
        <v>459</v>
      </c>
      <c r="G69" s="31" t="s">
        <v>110</v>
      </c>
      <c r="H69" s="44" t="s">
        <v>461</v>
      </c>
      <c r="I69" s="42" t="s">
        <v>2205</v>
      </c>
      <c r="J69" s="42"/>
      <c r="K69" s="45" t="n">
        <f aca="false">IF(AND(E69="yes",F69="yes",H69="covered"),1,IF(H69="partial",0.5,0))</f>
        <v>1</v>
      </c>
    </row>
    <row r="70" customFormat="false" ht="30" hidden="false" customHeight="true" outlineLevel="0" collapsed="false">
      <c r="A70" s="31" t="n">
        <v>62</v>
      </c>
      <c r="B70" s="42" t="s">
        <v>488</v>
      </c>
      <c r="C70" s="42" t="s">
        <v>50</v>
      </c>
      <c r="D70" s="42" t="s">
        <v>971</v>
      </c>
      <c r="E70" s="34" t="s">
        <v>459</v>
      </c>
      <c r="F70" s="43" t="s">
        <v>459</v>
      </c>
      <c r="G70" s="31" t="s">
        <v>110</v>
      </c>
      <c r="H70" s="44" t="s">
        <v>461</v>
      </c>
      <c r="I70" s="42" t="s">
        <v>2205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933</v>
      </c>
      <c r="C71" s="42" t="s">
        <v>50</v>
      </c>
      <c r="D71" s="42" t="s">
        <v>972</v>
      </c>
      <c r="E71" s="34" t="s">
        <v>459</v>
      </c>
      <c r="F71" s="43" t="s">
        <v>459</v>
      </c>
      <c r="G71" s="31" t="s">
        <v>110</v>
      </c>
      <c r="H71" s="44" t="s">
        <v>461</v>
      </c>
      <c r="I71" s="42" t="s">
        <v>2205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933</v>
      </c>
      <c r="C72" s="42" t="s">
        <v>50</v>
      </c>
      <c r="D72" s="42" t="s">
        <v>973</v>
      </c>
      <c r="E72" s="34" t="s">
        <v>459</v>
      </c>
      <c r="F72" s="43" t="s">
        <v>459</v>
      </c>
      <c r="G72" s="31" t="s">
        <v>110</v>
      </c>
      <c r="H72" s="44" t="s">
        <v>461</v>
      </c>
      <c r="I72" s="42" t="s">
        <v>2205</v>
      </c>
      <c r="J72" s="42"/>
      <c r="K72" s="45" t="n">
        <f aca="false">IF(AND(E72="yes",F72="yes",H72="covered"),1,IF(H72="partial",0.5,0))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2225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91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459</v>
      </c>
      <c r="F8" s="30" t="s">
        <v>459</v>
      </c>
      <c r="G8" s="30" t="s">
        <v>451</v>
      </c>
      <c r="H8" s="30" t="s">
        <v>461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2226</v>
      </c>
      <c r="H9" s="44" t="s">
        <v>461</v>
      </c>
      <c r="I9" s="42" t="s">
        <v>2227</v>
      </c>
      <c r="J9" s="42"/>
      <c r="K9" s="45" t="n">
        <v>0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2226</v>
      </c>
      <c r="H10" s="44" t="s">
        <v>461</v>
      </c>
      <c r="I10" s="42" t="s">
        <v>2227</v>
      </c>
      <c r="J10" s="42"/>
      <c r="K10" s="45" t="n">
        <v>0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51</v>
      </c>
      <c r="D11" s="42" t="s">
        <v>464</v>
      </c>
      <c r="E11" s="34" t="s">
        <v>459</v>
      </c>
      <c r="F11" s="43" t="s">
        <v>459</v>
      </c>
      <c r="G11" s="31" t="s">
        <v>2226</v>
      </c>
      <c r="H11" s="44" t="s">
        <v>461</v>
      </c>
      <c r="I11" s="42" t="s">
        <v>2227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51</v>
      </c>
      <c r="D12" s="42" t="s">
        <v>465</v>
      </c>
      <c r="E12" s="34" t="s">
        <v>459</v>
      </c>
      <c r="F12" s="43" t="s">
        <v>459</v>
      </c>
      <c r="G12" s="31" t="s">
        <v>2226</v>
      </c>
      <c r="H12" s="44" t="s">
        <v>461</v>
      </c>
      <c r="I12" s="42" t="s">
        <v>2227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51</v>
      </c>
      <c r="D13" s="42" t="s">
        <v>466</v>
      </c>
      <c r="E13" s="34" t="s">
        <v>459</v>
      </c>
      <c r="F13" s="43" t="s">
        <v>459</v>
      </c>
      <c r="G13" s="31" t="s">
        <v>2226</v>
      </c>
      <c r="H13" s="44" t="s">
        <v>461</v>
      </c>
      <c r="I13" s="42" t="s">
        <v>2227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51</v>
      </c>
      <c r="D14" s="42" t="s">
        <v>467</v>
      </c>
      <c r="E14" s="34" t="s">
        <v>459</v>
      </c>
      <c r="F14" s="43" t="s">
        <v>459</v>
      </c>
      <c r="G14" s="31" t="s">
        <v>2226</v>
      </c>
      <c r="H14" s="44" t="s">
        <v>461</v>
      </c>
      <c r="I14" s="42" t="s">
        <v>2227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51</v>
      </c>
      <c r="D15" s="42" t="s">
        <v>2228</v>
      </c>
      <c r="E15" s="34" t="s">
        <v>459</v>
      </c>
      <c r="F15" s="43" t="s">
        <v>459</v>
      </c>
      <c r="G15" s="31" t="s">
        <v>2226</v>
      </c>
      <c r="H15" s="44" t="s">
        <v>461</v>
      </c>
      <c r="I15" s="42" t="s">
        <v>2227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51</v>
      </c>
      <c r="D16" s="42" t="s">
        <v>2229</v>
      </c>
      <c r="E16" s="34" t="s">
        <v>459</v>
      </c>
      <c r="F16" s="43" t="s">
        <v>459</v>
      </c>
      <c r="G16" s="31" t="s">
        <v>2226</v>
      </c>
      <c r="H16" s="44" t="s">
        <v>461</v>
      </c>
      <c r="I16" s="42" t="s">
        <v>2227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51</v>
      </c>
      <c r="D17" s="42" t="s">
        <v>2230</v>
      </c>
      <c r="E17" s="34" t="s">
        <v>459</v>
      </c>
      <c r="F17" s="43" t="s">
        <v>459</v>
      </c>
      <c r="G17" s="31" t="s">
        <v>2226</v>
      </c>
      <c r="H17" s="44" t="s">
        <v>461</v>
      </c>
      <c r="I17" s="42" t="s">
        <v>2227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51</v>
      </c>
      <c r="D18" s="42" t="s">
        <v>2231</v>
      </c>
      <c r="E18" s="34" t="s">
        <v>459</v>
      </c>
      <c r="F18" s="43" t="s">
        <v>459</v>
      </c>
      <c r="G18" s="31" t="s">
        <v>2226</v>
      </c>
      <c r="H18" s="44" t="s">
        <v>461</v>
      </c>
      <c r="I18" s="42" t="s">
        <v>2227</v>
      </c>
      <c r="J18" s="42"/>
      <c r="K18" s="45" t="n">
        <f aca="false">IF(AND(E18="yes",F18="yes",H18="covered"),1,IF(H18="partial",0.5,0))</f>
        <v>1</v>
      </c>
    </row>
    <row r="19" customFormat="false" ht="30" hidden="false" customHeight="true" outlineLevel="0" collapsed="false">
      <c r="A19" s="31" t="n">
        <v>11</v>
      </c>
      <c r="B19" s="42" t="s">
        <v>468</v>
      </c>
      <c r="C19" s="42" t="s">
        <v>51</v>
      </c>
      <c r="D19" s="42" t="s">
        <v>2232</v>
      </c>
      <c r="E19" s="34" t="s">
        <v>459</v>
      </c>
      <c r="F19" s="43" t="s">
        <v>459</v>
      </c>
      <c r="G19" s="31" t="s">
        <v>2226</v>
      </c>
      <c r="H19" s="44" t="s">
        <v>461</v>
      </c>
      <c r="I19" s="42" t="s">
        <v>2227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51</v>
      </c>
      <c r="D20" s="42" t="s">
        <v>2233</v>
      </c>
      <c r="E20" s="34" t="s">
        <v>459</v>
      </c>
      <c r="F20" s="43" t="s">
        <v>459</v>
      </c>
      <c r="G20" s="31" t="s">
        <v>2226</v>
      </c>
      <c r="H20" s="44" t="s">
        <v>461</v>
      </c>
      <c r="I20" s="42" t="s">
        <v>2227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468</v>
      </c>
      <c r="C21" s="42" t="s">
        <v>51</v>
      </c>
      <c r="D21" s="42" t="s">
        <v>2234</v>
      </c>
      <c r="E21" s="34" t="s">
        <v>459</v>
      </c>
      <c r="F21" s="43" t="s">
        <v>459</v>
      </c>
      <c r="G21" s="31" t="s">
        <v>2226</v>
      </c>
      <c r="H21" s="44" t="s">
        <v>461</v>
      </c>
      <c r="I21" s="42" t="s">
        <v>2227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468</v>
      </c>
      <c r="C22" s="42" t="s">
        <v>51</v>
      </c>
      <c r="D22" s="42" t="s">
        <v>1049</v>
      </c>
      <c r="E22" s="34" t="s">
        <v>459</v>
      </c>
      <c r="F22" s="43" t="s">
        <v>459</v>
      </c>
      <c r="G22" s="31" t="s">
        <v>2226</v>
      </c>
      <c r="H22" s="44" t="s">
        <v>461</v>
      </c>
      <c r="I22" s="42" t="s">
        <v>2227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475</v>
      </c>
      <c r="C23" s="42" t="s">
        <v>476</v>
      </c>
      <c r="D23" s="42" t="s">
        <v>477</v>
      </c>
      <c r="E23" s="34" t="s">
        <v>459</v>
      </c>
      <c r="F23" s="43" t="s">
        <v>459</v>
      </c>
      <c r="G23" s="31" t="s">
        <v>2226</v>
      </c>
      <c r="H23" s="44" t="s">
        <v>461</v>
      </c>
      <c r="I23" s="42" t="s">
        <v>2227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475</v>
      </c>
      <c r="C24" s="42" t="s">
        <v>476</v>
      </c>
      <c r="D24" s="42" t="s">
        <v>478</v>
      </c>
      <c r="E24" s="34" t="s">
        <v>459</v>
      </c>
      <c r="F24" s="43" t="s">
        <v>459</v>
      </c>
      <c r="G24" s="31" t="s">
        <v>2226</v>
      </c>
      <c r="H24" s="44" t="s">
        <v>461</v>
      </c>
      <c r="I24" s="42" t="s">
        <v>2227</v>
      </c>
      <c r="J24" s="42"/>
      <c r="K24" s="45" t="n">
        <f aca="false">IF(AND(E24="yes",F24="yes",H24="covered"),1,IF(H24="partial",0.5,0))</f>
        <v>1</v>
      </c>
    </row>
    <row r="25" customFormat="false" ht="30" hidden="false" customHeight="true" outlineLevel="0" collapsed="false">
      <c r="A25" s="31" t="n">
        <v>17</v>
      </c>
      <c r="B25" s="42" t="s">
        <v>479</v>
      </c>
      <c r="C25" s="42" t="s">
        <v>476</v>
      </c>
      <c r="D25" s="42" t="s">
        <v>480</v>
      </c>
      <c r="E25" s="34" t="s">
        <v>459</v>
      </c>
      <c r="F25" s="43" t="s">
        <v>459</v>
      </c>
      <c r="G25" s="31" t="s">
        <v>2226</v>
      </c>
      <c r="H25" s="44" t="s">
        <v>461</v>
      </c>
      <c r="I25" s="42" t="s">
        <v>2227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479</v>
      </c>
      <c r="C26" s="42" t="s">
        <v>476</v>
      </c>
      <c r="D26" s="42" t="s">
        <v>481</v>
      </c>
      <c r="E26" s="34" t="s">
        <v>459</v>
      </c>
      <c r="F26" s="43" t="s">
        <v>459</v>
      </c>
      <c r="G26" s="31" t="s">
        <v>2226</v>
      </c>
      <c r="H26" s="44" t="s">
        <v>461</v>
      </c>
      <c r="I26" s="42" t="s">
        <v>2227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457</v>
      </c>
      <c r="C27" s="42" t="s">
        <v>476</v>
      </c>
      <c r="D27" s="42" t="s">
        <v>482</v>
      </c>
      <c r="E27" s="34" t="s">
        <v>459</v>
      </c>
      <c r="F27" s="43" t="s">
        <v>459</v>
      </c>
      <c r="G27" s="31" t="s">
        <v>2226</v>
      </c>
      <c r="H27" s="44" t="s">
        <v>461</v>
      </c>
      <c r="I27" s="42" t="s">
        <v>2227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774</v>
      </c>
      <c r="C28" s="42" t="s">
        <v>476</v>
      </c>
      <c r="D28" s="42" t="s">
        <v>775</v>
      </c>
      <c r="E28" s="34" t="s">
        <v>459</v>
      </c>
      <c r="F28" s="43" t="s">
        <v>459</v>
      </c>
      <c r="G28" s="31" t="s">
        <v>2226</v>
      </c>
      <c r="H28" s="44" t="s">
        <v>461</v>
      </c>
      <c r="I28" s="42" t="s">
        <v>2227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489</v>
      </c>
      <c r="E29" s="34" t="s">
        <v>459</v>
      </c>
      <c r="F29" s="43" t="s">
        <v>459</v>
      </c>
      <c r="G29" s="31" t="s">
        <v>2226</v>
      </c>
      <c r="H29" s="44" t="s">
        <v>461</v>
      </c>
      <c r="I29" s="42" t="s">
        <v>2227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490</v>
      </c>
      <c r="E30" s="34" t="s">
        <v>459</v>
      </c>
      <c r="F30" s="43" t="s">
        <v>459</v>
      </c>
      <c r="G30" s="31" t="s">
        <v>2226</v>
      </c>
      <c r="H30" s="44" t="s">
        <v>461</v>
      </c>
      <c r="I30" s="42" t="s">
        <v>2227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491</v>
      </c>
      <c r="E31" s="34" t="s">
        <v>459</v>
      </c>
      <c r="F31" s="43" t="s">
        <v>459</v>
      </c>
      <c r="G31" s="31" t="s">
        <v>2226</v>
      </c>
      <c r="H31" s="44" t="s">
        <v>461</v>
      </c>
      <c r="I31" s="42" t="s">
        <v>2227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2235</v>
      </c>
      <c r="E32" s="34" t="s">
        <v>459</v>
      </c>
      <c r="F32" s="43" t="s">
        <v>459</v>
      </c>
      <c r="G32" s="31" t="s">
        <v>2226</v>
      </c>
      <c r="H32" s="44" t="s">
        <v>461</v>
      </c>
      <c r="I32" s="42" t="s">
        <v>2227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487</v>
      </c>
      <c r="E33" s="34" t="s">
        <v>459</v>
      </c>
      <c r="F33" s="43" t="s">
        <v>459</v>
      </c>
      <c r="G33" s="31" t="s">
        <v>2226</v>
      </c>
      <c r="H33" s="44" t="s">
        <v>461</v>
      </c>
      <c r="I33" s="42" t="s">
        <v>2227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476</v>
      </c>
      <c r="D34" s="42" t="s">
        <v>2236</v>
      </c>
      <c r="E34" s="34" t="s">
        <v>459</v>
      </c>
      <c r="F34" s="43" t="s">
        <v>459</v>
      </c>
      <c r="G34" s="31" t="s">
        <v>2226</v>
      </c>
      <c r="H34" s="44" t="s">
        <v>461</v>
      </c>
      <c r="I34" s="42" t="s">
        <v>2227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954</v>
      </c>
      <c r="E35" s="34" t="s">
        <v>459</v>
      </c>
      <c r="F35" s="43" t="s">
        <v>459</v>
      </c>
      <c r="G35" s="31" t="s">
        <v>2226</v>
      </c>
      <c r="H35" s="44" t="s">
        <v>461</v>
      </c>
      <c r="I35" s="42" t="s">
        <v>2227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955</v>
      </c>
      <c r="E36" s="34" t="s">
        <v>459</v>
      </c>
      <c r="F36" s="43" t="s">
        <v>459</v>
      </c>
      <c r="G36" s="31" t="s">
        <v>2226</v>
      </c>
      <c r="H36" s="44" t="s">
        <v>461</v>
      </c>
      <c r="I36" s="42" t="s">
        <v>2227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486</v>
      </c>
      <c r="C37" s="42" t="s">
        <v>476</v>
      </c>
      <c r="D37" s="42" t="s">
        <v>2237</v>
      </c>
      <c r="E37" s="34" t="s">
        <v>459</v>
      </c>
      <c r="F37" s="43" t="s">
        <v>459</v>
      </c>
      <c r="G37" s="31" t="s">
        <v>2226</v>
      </c>
      <c r="H37" s="44" t="s">
        <v>461</v>
      </c>
      <c r="I37" s="42" t="s">
        <v>2227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488</v>
      </c>
      <c r="C38" s="42" t="s">
        <v>476</v>
      </c>
      <c r="D38" s="42" t="s">
        <v>493</v>
      </c>
      <c r="E38" s="34" t="s">
        <v>459</v>
      </c>
      <c r="F38" s="43" t="s">
        <v>459</v>
      </c>
      <c r="G38" s="31" t="s">
        <v>2226</v>
      </c>
      <c r="H38" s="44" t="s">
        <v>461</v>
      </c>
      <c r="I38" s="42" t="s">
        <v>2227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488</v>
      </c>
      <c r="C39" s="42" t="s">
        <v>476</v>
      </c>
      <c r="D39" s="42" t="s">
        <v>951</v>
      </c>
      <c r="E39" s="34" t="s">
        <v>459</v>
      </c>
      <c r="F39" s="43" t="s">
        <v>459</v>
      </c>
      <c r="G39" s="31" t="s">
        <v>2226</v>
      </c>
      <c r="H39" s="44" t="s">
        <v>461</v>
      </c>
      <c r="I39" s="42" t="s">
        <v>2227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488</v>
      </c>
      <c r="C40" s="42" t="s">
        <v>476</v>
      </c>
      <c r="D40" s="42" t="s">
        <v>953</v>
      </c>
      <c r="E40" s="34" t="s">
        <v>459</v>
      </c>
      <c r="F40" s="43" t="s">
        <v>459</v>
      </c>
      <c r="G40" s="31" t="s">
        <v>2226</v>
      </c>
      <c r="H40" s="44" t="s">
        <v>461</v>
      </c>
      <c r="I40" s="42" t="s">
        <v>2227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488</v>
      </c>
      <c r="C41" s="42" t="s">
        <v>476</v>
      </c>
      <c r="D41" s="42" t="s">
        <v>952</v>
      </c>
      <c r="E41" s="34" t="s">
        <v>459</v>
      </c>
      <c r="F41" s="43" t="s">
        <v>459</v>
      </c>
      <c r="G41" s="31" t="s">
        <v>2226</v>
      </c>
      <c r="H41" s="44" t="s">
        <v>461</v>
      </c>
      <c r="I41" s="42" t="s">
        <v>2227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882</v>
      </c>
      <c r="C42" s="42" t="s">
        <v>476</v>
      </c>
      <c r="D42" s="42" t="s">
        <v>956</v>
      </c>
      <c r="E42" s="34" t="s">
        <v>459</v>
      </c>
      <c r="F42" s="43" t="s">
        <v>459</v>
      </c>
      <c r="G42" s="31" t="s">
        <v>2226</v>
      </c>
      <c r="H42" s="44" t="s">
        <v>461</v>
      </c>
      <c r="I42" s="42" t="s">
        <v>2227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486</v>
      </c>
      <c r="C43" s="42" t="s">
        <v>476</v>
      </c>
      <c r="D43" s="42" t="s">
        <v>1062</v>
      </c>
      <c r="E43" s="34" t="s">
        <v>459</v>
      </c>
      <c r="F43" s="43" t="s">
        <v>459</v>
      </c>
      <c r="G43" s="31" t="s">
        <v>2226</v>
      </c>
      <c r="H43" s="44" t="s">
        <v>461</v>
      </c>
      <c r="I43" s="42" t="s">
        <v>2227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486</v>
      </c>
      <c r="C44" s="42" t="s">
        <v>476</v>
      </c>
      <c r="D44" s="42" t="s">
        <v>495</v>
      </c>
      <c r="E44" s="34" t="s">
        <v>459</v>
      </c>
      <c r="F44" s="43" t="s">
        <v>459</v>
      </c>
      <c r="G44" s="31" t="s">
        <v>2226</v>
      </c>
      <c r="H44" s="44" t="s">
        <v>461</v>
      </c>
      <c r="I44" s="42" t="s">
        <v>2227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486</v>
      </c>
      <c r="C45" s="42" t="s">
        <v>476</v>
      </c>
      <c r="D45" s="42" t="s">
        <v>1065</v>
      </c>
      <c r="E45" s="34" t="s">
        <v>459</v>
      </c>
      <c r="F45" s="43" t="s">
        <v>459</v>
      </c>
      <c r="G45" s="31" t="s">
        <v>2226</v>
      </c>
      <c r="H45" s="44" t="s">
        <v>461</v>
      </c>
      <c r="I45" s="42" t="s">
        <v>2227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488</v>
      </c>
      <c r="C46" s="42" t="s">
        <v>476</v>
      </c>
      <c r="D46" s="42" t="s">
        <v>497</v>
      </c>
      <c r="E46" s="34" t="s">
        <v>459</v>
      </c>
      <c r="F46" s="43" t="s">
        <v>459</v>
      </c>
      <c r="G46" s="31" t="s">
        <v>2226</v>
      </c>
      <c r="H46" s="44" t="s">
        <v>461</v>
      </c>
      <c r="I46" s="42" t="s">
        <v>2227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488</v>
      </c>
      <c r="C47" s="42" t="s">
        <v>476</v>
      </c>
      <c r="D47" s="42" t="s">
        <v>957</v>
      </c>
      <c r="E47" s="34" t="s">
        <v>459</v>
      </c>
      <c r="F47" s="43" t="s">
        <v>459</v>
      </c>
      <c r="G47" s="31" t="s">
        <v>2226</v>
      </c>
      <c r="H47" s="44" t="s">
        <v>461</v>
      </c>
      <c r="I47" s="42" t="s">
        <v>2227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488</v>
      </c>
      <c r="C48" s="42" t="s">
        <v>476</v>
      </c>
      <c r="D48" s="42" t="s">
        <v>1602</v>
      </c>
      <c r="E48" s="34" t="s">
        <v>459</v>
      </c>
      <c r="F48" s="43" t="s">
        <v>459</v>
      </c>
      <c r="G48" s="31" t="s">
        <v>2226</v>
      </c>
      <c r="H48" s="44" t="s">
        <v>461</v>
      </c>
      <c r="I48" s="42" t="s">
        <v>2227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488</v>
      </c>
      <c r="C49" s="42" t="s">
        <v>476</v>
      </c>
      <c r="D49" s="42" t="s">
        <v>958</v>
      </c>
      <c r="E49" s="34" t="s">
        <v>459</v>
      </c>
      <c r="F49" s="43" t="s">
        <v>459</v>
      </c>
      <c r="G49" s="31" t="s">
        <v>2226</v>
      </c>
      <c r="H49" s="44" t="s">
        <v>461</v>
      </c>
      <c r="I49" s="42" t="s">
        <v>2227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475</v>
      </c>
      <c r="C50" s="42" t="s">
        <v>41</v>
      </c>
      <c r="D50" s="42" t="s">
        <v>477</v>
      </c>
      <c r="E50" s="34" t="s">
        <v>459</v>
      </c>
      <c r="F50" s="43" t="s">
        <v>459</v>
      </c>
      <c r="G50" s="31" t="s">
        <v>2226</v>
      </c>
      <c r="H50" s="44" t="s">
        <v>461</v>
      </c>
      <c r="I50" s="42" t="s">
        <v>2227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475</v>
      </c>
      <c r="C51" s="42" t="s">
        <v>41</v>
      </c>
      <c r="D51" s="42" t="s">
        <v>478</v>
      </c>
      <c r="E51" s="34" t="s">
        <v>459</v>
      </c>
      <c r="F51" s="43" t="s">
        <v>459</v>
      </c>
      <c r="G51" s="31" t="s">
        <v>2226</v>
      </c>
      <c r="H51" s="44" t="s">
        <v>461</v>
      </c>
      <c r="I51" s="42" t="s">
        <v>2227</v>
      </c>
      <c r="J51" s="42"/>
      <c r="K51" s="45" t="n">
        <f aca="false">IF(AND(E51="yes",F51="yes",H51="covered"),1,IF(H51="partial",0.5,0))</f>
        <v>1</v>
      </c>
    </row>
    <row r="52" customFormat="false" ht="30" hidden="false" customHeight="true" outlineLevel="0" collapsed="false">
      <c r="A52" s="31" t="n">
        <v>44</v>
      </c>
      <c r="B52" s="42" t="s">
        <v>479</v>
      </c>
      <c r="C52" s="42" t="s">
        <v>41</v>
      </c>
      <c r="D52" s="42" t="s">
        <v>480</v>
      </c>
      <c r="E52" s="34" t="s">
        <v>459</v>
      </c>
      <c r="F52" s="43" t="s">
        <v>459</v>
      </c>
      <c r="G52" s="31" t="s">
        <v>2226</v>
      </c>
      <c r="H52" s="44" t="s">
        <v>461</v>
      </c>
      <c r="I52" s="42" t="s">
        <v>2227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479</v>
      </c>
      <c r="C53" s="42" t="s">
        <v>41</v>
      </c>
      <c r="D53" s="42" t="s">
        <v>481</v>
      </c>
      <c r="E53" s="34" t="s">
        <v>459</v>
      </c>
      <c r="F53" s="43" t="s">
        <v>459</v>
      </c>
      <c r="G53" s="31" t="s">
        <v>2226</v>
      </c>
      <c r="H53" s="44" t="s">
        <v>461</v>
      </c>
      <c r="I53" s="42" t="s">
        <v>2227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457</v>
      </c>
      <c r="C54" s="42" t="s">
        <v>41</v>
      </c>
      <c r="D54" s="42" t="s">
        <v>482</v>
      </c>
      <c r="E54" s="34" t="s">
        <v>459</v>
      </c>
      <c r="F54" s="43" t="s">
        <v>459</v>
      </c>
      <c r="G54" s="31" t="s">
        <v>2226</v>
      </c>
      <c r="H54" s="44" t="s">
        <v>461</v>
      </c>
      <c r="I54" s="42" t="s">
        <v>2227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774</v>
      </c>
      <c r="C55" s="42" t="s">
        <v>41</v>
      </c>
      <c r="D55" s="42" t="s">
        <v>775</v>
      </c>
      <c r="E55" s="34" t="s">
        <v>459</v>
      </c>
      <c r="F55" s="43" t="s">
        <v>459</v>
      </c>
      <c r="G55" s="31" t="s">
        <v>2226</v>
      </c>
      <c r="H55" s="44" t="s">
        <v>461</v>
      </c>
      <c r="I55" s="42" t="s">
        <v>2227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486</v>
      </c>
      <c r="C56" s="42" t="s">
        <v>41</v>
      </c>
      <c r="D56" s="42" t="s">
        <v>1302</v>
      </c>
      <c r="E56" s="34" t="s">
        <v>459</v>
      </c>
      <c r="F56" s="43" t="s">
        <v>459</v>
      </c>
      <c r="G56" s="31" t="s">
        <v>2226</v>
      </c>
      <c r="H56" s="44" t="s">
        <v>461</v>
      </c>
      <c r="I56" s="42" t="s">
        <v>2227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882</v>
      </c>
      <c r="C57" s="42" t="s">
        <v>41</v>
      </c>
      <c r="D57" s="42" t="s">
        <v>883</v>
      </c>
      <c r="E57" s="34" t="s">
        <v>459</v>
      </c>
      <c r="F57" s="43" t="s">
        <v>459</v>
      </c>
      <c r="G57" s="31" t="s">
        <v>2226</v>
      </c>
      <c r="H57" s="44" t="s">
        <v>461</v>
      </c>
      <c r="I57" s="42" t="s">
        <v>2227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486</v>
      </c>
      <c r="C58" s="42" t="s">
        <v>41</v>
      </c>
      <c r="D58" s="42" t="s">
        <v>1062</v>
      </c>
      <c r="E58" s="34" t="s">
        <v>459</v>
      </c>
      <c r="F58" s="43" t="s">
        <v>459</v>
      </c>
      <c r="G58" s="31" t="s">
        <v>2226</v>
      </c>
      <c r="H58" s="44" t="s">
        <v>461</v>
      </c>
      <c r="I58" s="42" t="s">
        <v>2227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486</v>
      </c>
      <c r="C59" s="42" t="s">
        <v>41</v>
      </c>
      <c r="D59" s="42" t="s">
        <v>495</v>
      </c>
      <c r="E59" s="34" t="s">
        <v>459</v>
      </c>
      <c r="F59" s="43" t="s">
        <v>459</v>
      </c>
      <c r="G59" s="31" t="s">
        <v>2226</v>
      </c>
      <c r="H59" s="44" t="s">
        <v>461</v>
      </c>
      <c r="I59" s="42" t="s">
        <v>2227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486</v>
      </c>
      <c r="C60" s="42" t="s">
        <v>41</v>
      </c>
      <c r="D60" s="42" t="s">
        <v>2238</v>
      </c>
      <c r="E60" s="34" t="s">
        <v>459</v>
      </c>
      <c r="F60" s="43" t="s">
        <v>459</v>
      </c>
      <c r="G60" s="31" t="s">
        <v>2226</v>
      </c>
      <c r="H60" s="44" t="s">
        <v>461</v>
      </c>
      <c r="I60" s="42" t="s">
        <v>2227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486</v>
      </c>
      <c r="C61" s="42" t="s">
        <v>41</v>
      </c>
      <c r="D61" s="42" t="s">
        <v>1065</v>
      </c>
      <c r="E61" s="34" t="s">
        <v>459</v>
      </c>
      <c r="F61" s="43" t="s">
        <v>459</v>
      </c>
      <c r="G61" s="31" t="s">
        <v>2226</v>
      </c>
      <c r="H61" s="44" t="s">
        <v>461</v>
      </c>
      <c r="I61" s="42" t="s">
        <v>2227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486</v>
      </c>
      <c r="C62" s="42" t="s">
        <v>41</v>
      </c>
      <c r="D62" s="42" t="s">
        <v>888</v>
      </c>
      <c r="E62" s="34" t="s">
        <v>459</v>
      </c>
      <c r="F62" s="43" t="s">
        <v>459</v>
      </c>
      <c r="G62" s="31" t="s">
        <v>2226</v>
      </c>
      <c r="H62" s="44" t="s">
        <v>461</v>
      </c>
      <c r="I62" s="42" t="s">
        <v>2227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488</v>
      </c>
      <c r="C63" s="42" t="s">
        <v>41</v>
      </c>
      <c r="D63" s="42" t="s">
        <v>497</v>
      </c>
      <c r="E63" s="34" t="s">
        <v>459</v>
      </c>
      <c r="F63" s="43" t="s">
        <v>459</v>
      </c>
      <c r="G63" s="31" t="s">
        <v>2226</v>
      </c>
      <c r="H63" s="44" t="s">
        <v>461</v>
      </c>
      <c r="I63" s="42" t="s">
        <v>2227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488</v>
      </c>
      <c r="C64" s="42" t="s">
        <v>41</v>
      </c>
      <c r="D64" s="42" t="s">
        <v>957</v>
      </c>
      <c r="E64" s="34" t="s">
        <v>459</v>
      </c>
      <c r="F64" s="43" t="s">
        <v>459</v>
      </c>
      <c r="G64" s="31" t="s">
        <v>2226</v>
      </c>
      <c r="H64" s="44" t="s">
        <v>461</v>
      </c>
      <c r="I64" s="42" t="s">
        <v>2227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488</v>
      </c>
      <c r="C65" s="42" t="s">
        <v>41</v>
      </c>
      <c r="D65" s="42" t="s">
        <v>958</v>
      </c>
      <c r="E65" s="34" t="s">
        <v>459</v>
      </c>
      <c r="F65" s="43" t="s">
        <v>459</v>
      </c>
      <c r="G65" s="31" t="s">
        <v>2226</v>
      </c>
      <c r="H65" s="44" t="s">
        <v>461</v>
      </c>
      <c r="I65" s="42" t="s">
        <v>2227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475</v>
      </c>
      <c r="C66" s="42" t="s">
        <v>904</v>
      </c>
      <c r="D66" s="42" t="s">
        <v>477</v>
      </c>
      <c r="E66" s="34" t="s">
        <v>459</v>
      </c>
      <c r="F66" s="43" t="s">
        <v>459</v>
      </c>
      <c r="G66" s="31" t="s">
        <v>2226</v>
      </c>
      <c r="H66" s="44" t="s">
        <v>461</v>
      </c>
      <c r="I66" s="42" t="s">
        <v>2227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475</v>
      </c>
      <c r="C67" s="42" t="s">
        <v>904</v>
      </c>
      <c r="D67" s="42" t="s">
        <v>478</v>
      </c>
      <c r="E67" s="34" t="s">
        <v>459</v>
      </c>
      <c r="F67" s="43" t="s">
        <v>459</v>
      </c>
      <c r="G67" s="31" t="s">
        <v>2226</v>
      </c>
      <c r="H67" s="44" t="s">
        <v>461</v>
      </c>
      <c r="I67" s="42" t="s">
        <v>2227</v>
      </c>
      <c r="J67" s="42"/>
      <c r="K67" s="45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31" t="n">
        <v>60</v>
      </c>
      <c r="B68" s="42" t="s">
        <v>479</v>
      </c>
      <c r="C68" s="42" t="s">
        <v>904</v>
      </c>
      <c r="D68" s="42" t="s">
        <v>480</v>
      </c>
      <c r="E68" s="34" t="s">
        <v>459</v>
      </c>
      <c r="F68" s="43" t="s">
        <v>459</v>
      </c>
      <c r="G68" s="31" t="s">
        <v>2226</v>
      </c>
      <c r="H68" s="44" t="s">
        <v>461</v>
      </c>
      <c r="I68" s="42" t="s">
        <v>2227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479</v>
      </c>
      <c r="C69" s="42" t="s">
        <v>904</v>
      </c>
      <c r="D69" s="42" t="s">
        <v>481</v>
      </c>
      <c r="E69" s="34" t="s">
        <v>459</v>
      </c>
      <c r="F69" s="43" t="s">
        <v>459</v>
      </c>
      <c r="G69" s="31" t="s">
        <v>2226</v>
      </c>
      <c r="H69" s="44" t="s">
        <v>461</v>
      </c>
      <c r="I69" s="42" t="s">
        <v>2227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457</v>
      </c>
      <c r="C70" s="42" t="s">
        <v>904</v>
      </c>
      <c r="D70" s="42" t="s">
        <v>482</v>
      </c>
      <c r="E70" s="34" t="s">
        <v>459</v>
      </c>
      <c r="F70" s="43" t="s">
        <v>459</v>
      </c>
      <c r="G70" s="31" t="s">
        <v>2226</v>
      </c>
      <c r="H70" s="44" t="s">
        <v>461</v>
      </c>
      <c r="I70" s="42" t="s">
        <v>2227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774</v>
      </c>
      <c r="C71" s="42" t="s">
        <v>904</v>
      </c>
      <c r="D71" s="42" t="s">
        <v>775</v>
      </c>
      <c r="E71" s="34" t="s">
        <v>459</v>
      </c>
      <c r="F71" s="43" t="s">
        <v>459</v>
      </c>
      <c r="G71" s="31" t="s">
        <v>2226</v>
      </c>
      <c r="H71" s="44" t="s">
        <v>461</v>
      </c>
      <c r="I71" s="42" t="s">
        <v>2227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486</v>
      </c>
      <c r="C72" s="42" t="s">
        <v>904</v>
      </c>
      <c r="D72" s="42" t="s">
        <v>1062</v>
      </c>
      <c r="E72" s="34" t="s">
        <v>459</v>
      </c>
      <c r="F72" s="43" t="s">
        <v>459</v>
      </c>
      <c r="G72" s="31" t="s">
        <v>2226</v>
      </c>
      <c r="H72" s="44" t="s">
        <v>461</v>
      </c>
      <c r="I72" s="42" t="s">
        <v>2227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486</v>
      </c>
      <c r="C73" s="42" t="s">
        <v>904</v>
      </c>
      <c r="D73" s="42" t="s">
        <v>495</v>
      </c>
      <c r="E73" s="34" t="s">
        <v>459</v>
      </c>
      <c r="F73" s="43" t="s">
        <v>459</v>
      </c>
      <c r="G73" s="31" t="s">
        <v>2226</v>
      </c>
      <c r="H73" s="44" t="s">
        <v>461</v>
      </c>
      <c r="I73" s="42" t="s">
        <v>2227</v>
      </c>
      <c r="J73" s="42"/>
      <c r="K73" s="45" t="n">
        <f aca="false">IF(AND(E73="yes",F73="yes",H73="covered"),1,IF(H73="partial",0.5,0))</f>
        <v>1</v>
      </c>
    </row>
    <row r="74" customFormat="false" ht="30" hidden="false" customHeight="true" outlineLevel="0" collapsed="false">
      <c r="A74" s="31" t="n">
        <v>66</v>
      </c>
      <c r="B74" s="42" t="s">
        <v>505</v>
      </c>
      <c r="C74" s="42" t="s">
        <v>506</v>
      </c>
      <c r="D74" s="42" t="s">
        <v>1631</v>
      </c>
      <c r="E74" s="34" t="s">
        <v>459</v>
      </c>
      <c r="F74" s="43" t="s">
        <v>459</v>
      </c>
      <c r="G74" s="31" t="s">
        <v>2226</v>
      </c>
      <c r="H74" s="44" t="s">
        <v>461</v>
      </c>
      <c r="I74" s="42" t="s">
        <v>2227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505</v>
      </c>
      <c r="C75" s="42" t="s">
        <v>506</v>
      </c>
      <c r="D75" s="42" t="s">
        <v>905</v>
      </c>
      <c r="E75" s="34" t="s">
        <v>459</v>
      </c>
      <c r="F75" s="43" t="s">
        <v>459</v>
      </c>
      <c r="G75" s="31" t="s">
        <v>2226</v>
      </c>
      <c r="H75" s="44" t="s">
        <v>461</v>
      </c>
      <c r="I75" s="42" t="s">
        <v>2227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505</v>
      </c>
      <c r="C76" s="42" t="s">
        <v>506</v>
      </c>
      <c r="D76" s="42" t="s">
        <v>962</v>
      </c>
      <c r="E76" s="34" t="s">
        <v>459</v>
      </c>
      <c r="F76" s="43" t="s">
        <v>459</v>
      </c>
      <c r="G76" s="31" t="s">
        <v>2226</v>
      </c>
      <c r="H76" s="44" t="s">
        <v>461</v>
      </c>
      <c r="I76" s="42" t="s">
        <v>2227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505</v>
      </c>
      <c r="C77" s="42" t="s">
        <v>506</v>
      </c>
      <c r="D77" s="42" t="s">
        <v>783</v>
      </c>
      <c r="E77" s="34" t="s">
        <v>459</v>
      </c>
      <c r="F77" s="43" t="s">
        <v>459</v>
      </c>
      <c r="G77" s="31" t="s">
        <v>2226</v>
      </c>
      <c r="H77" s="44" t="s">
        <v>461</v>
      </c>
      <c r="I77" s="42" t="s">
        <v>2227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505</v>
      </c>
      <c r="C78" s="42" t="s">
        <v>506</v>
      </c>
      <c r="D78" s="42" t="s">
        <v>510</v>
      </c>
      <c r="E78" s="34" t="s">
        <v>459</v>
      </c>
      <c r="F78" s="43" t="s">
        <v>459</v>
      </c>
      <c r="G78" s="31" t="s">
        <v>2226</v>
      </c>
      <c r="H78" s="44" t="s">
        <v>461</v>
      </c>
      <c r="I78" s="42" t="s">
        <v>2227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505</v>
      </c>
      <c r="C79" s="42" t="s">
        <v>506</v>
      </c>
      <c r="D79" s="42" t="s">
        <v>964</v>
      </c>
      <c r="E79" s="34" t="s">
        <v>459</v>
      </c>
      <c r="F79" s="43" t="s">
        <v>459</v>
      </c>
      <c r="G79" s="31" t="s">
        <v>2226</v>
      </c>
      <c r="H79" s="44" t="s">
        <v>461</v>
      </c>
      <c r="I79" s="42" t="s">
        <v>2227</v>
      </c>
      <c r="J79" s="42"/>
      <c r="K79" s="45" t="n">
        <f aca="false">IF(AND(E79="yes",F79="yes",H79="covered"),1,IF(H79="partial",0.5,0))</f>
        <v>1</v>
      </c>
    </row>
    <row r="80" customFormat="false" ht="30" hidden="false" customHeight="true" outlineLevel="0" collapsed="false">
      <c r="A80" s="31" t="n">
        <v>72</v>
      </c>
      <c r="B80" s="42" t="s">
        <v>511</v>
      </c>
      <c r="C80" s="42" t="s">
        <v>506</v>
      </c>
      <c r="D80" s="42" t="s">
        <v>512</v>
      </c>
      <c r="E80" s="34" t="s">
        <v>459</v>
      </c>
      <c r="F80" s="43" t="s">
        <v>459</v>
      </c>
      <c r="G80" s="31" t="s">
        <v>2226</v>
      </c>
      <c r="H80" s="44" t="s">
        <v>461</v>
      </c>
      <c r="I80" s="42" t="s">
        <v>2227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511</v>
      </c>
      <c r="C81" s="42" t="s">
        <v>506</v>
      </c>
      <c r="D81" s="42" t="s">
        <v>1691</v>
      </c>
      <c r="E81" s="34" t="s">
        <v>459</v>
      </c>
      <c r="F81" s="43" t="s">
        <v>459</v>
      </c>
      <c r="G81" s="31" t="s">
        <v>2226</v>
      </c>
      <c r="H81" s="44" t="s">
        <v>461</v>
      </c>
      <c r="I81" s="42" t="s">
        <v>2227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511</v>
      </c>
      <c r="C82" s="42" t="s">
        <v>506</v>
      </c>
      <c r="D82" s="42" t="s">
        <v>2239</v>
      </c>
      <c r="E82" s="34" t="s">
        <v>459</v>
      </c>
      <c r="F82" s="43" t="s">
        <v>459</v>
      </c>
      <c r="G82" s="31" t="s">
        <v>2226</v>
      </c>
      <c r="H82" s="44" t="s">
        <v>461</v>
      </c>
      <c r="I82" s="42" t="s">
        <v>2227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511</v>
      </c>
      <c r="C83" s="42" t="s">
        <v>506</v>
      </c>
      <c r="D83" s="42" t="s">
        <v>965</v>
      </c>
      <c r="E83" s="34" t="s">
        <v>459</v>
      </c>
      <c r="F83" s="43" t="s">
        <v>459</v>
      </c>
      <c r="G83" s="31" t="s">
        <v>2226</v>
      </c>
      <c r="H83" s="44" t="s">
        <v>461</v>
      </c>
      <c r="I83" s="42" t="s">
        <v>2227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511</v>
      </c>
      <c r="C84" s="42" t="s">
        <v>506</v>
      </c>
      <c r="D84" s="42" t="s">
        <v>966</v>
      </c>
      <c r="E84" s="34" t="s">
        <v>459</v>
      </c>
      <c r="F84" s="43" t="s">
        <v>459</v>
      </c>
      <c r="G84" s="31" t="s">
        <v>2226</v>
      </c>
      <c r="H84" s="44" t="s">
        <v>461</v>
      </c>
      <c r="I84" s="42" t="s">
        <v>2227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511</v>
      </c>
      <c r="C85" s="42" t="s">
        <v>506</v>
      </c>
      <c r="D85" s="42" t="s">
        <v>1611</v>
      </c>
      <c r="E85" s="34" t="s">
        <v>459</v>
      </c>
      <c r="F85" s="43" t="s">
        <v>459</v>
      </c>
      <c r="G85" s="31" t="s">
        <v>2226</v>
      </c>
      <c r="H85" s="44" t="s">
        <v>461</v>
      </c>
      <c r="I85" s="42" t="s">
        <v>2227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511</v>
      </c>
      <c r="C86" s="42" t="s">
        <v>506</v>
      </c>
      <c r="D86" s="42" t="s">
        <v>514</v>
      </c>
      <c r="E86" s="34" t="s">
        <v>459</v>
      </c>
      <c r="F86" s="43" t="s">
        <v>459</v>
      </c>
      <c r="G86" s="31" t="s">
        <v>2226</v>
      </c>
      <c r="H86" s="44" t="s">
        <v>461</v>
      </c>
      <c r="I86" s="42" t="s">
        <v>2227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483</v>
      </c>
      <c r="C87" s="42" t="s">
        <v>476</v>
      </c>
      <c r="D87" s="42" t="s">
        <v>516</v>
      </c>
      <c r="E87" s="34" t="s">
        <v>459</v>
      </c>
      <c r="F87" s="43" t="s">
        <v>459</v>
      </c>
      <c r="G87" s="31" t="s">
        <v>2226</v>
      </c>
      <c r="H87" s="44" t="s">
        <v>461</v>
      </c>
      <c r="I87" s="42" t="s">
        <v>2227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483</v>
      </c>
      <c r="C88" s="42" t="s">
        <v>476</v>
      </c>
      <c r="D88" s="42" t="s">
        <v>517</v>
      </c>
      <c r="E88" s="34" t="s">
        <v>459</v>
      </c>
      <c r="F88" s="43" t="s">
        <v>459</v>
      </c>
      <c r="G88" s="31" t="s">
        <v>2226</v>
      </c>
      <c r="H88" s="44" t="s">
        <v>461</v>
      </c>
      <c r="I88" s="42" t="s">
        <v>2227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483</v>
      </c>
      <c r="C89" s="42" t="s">
        <v>476</v>
      </c>
      <c r="D89" s="42" t="s">
        <v>519</v>
      </c>
      <c r="E89" s="34" t="s">
        <v>459</v>
      </c>
      <c r="F89" s="43" t="s">
        <v>459</v>
      </c>
      <c r="G89" s="31" t="s">
        <v>2226</v>
      </c>
      <c r="H89" s="44" t="s">
        <v>461</v>
      </c>
      <c r="I89" s="42" t="s">
        <v>2227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483</v>
      </c>
      <c r="C90" s="42" t="s">
        <v>476</v>
      </c>
      <c r="D90" s="42" t="s">
        <v>520</v>
      </c>
      <c r="E90" s="34" t="s">
        <v>459</v>
      </c>
      <c r="F90" s="43" t="s">
        <v>459</v>
      </c>
      <c r="G90" s="31" t="s">
        <v>2226</v>
      </c>
      <c r="H90" s="44" t="s">
        <v>461</v>
      </c>
      <c r="I90" s="42" t="s">
        <v>2227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488</v>
      </c>
      <c r="C91" s="42" t="s">
        <v>476</v>
      </c>
      <c r="D91" s="42" t="s">
        <v>521</v>
      </c>
      <c r="E91" s="34" t="s">
        <v>459</v>
      </c>
      <c r="F91" s="43" t="s">
        <v>459</v>
      </c>
      <c r="G91" s="31" t="s">
        <v>2226</v>
      </c>
      <c r="H91" s="44" t="s">
        <v>461</v>
      </c>
      <c r="I91" s="42" t="s">
        <v>2227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488</v>
      </c>
      <c r="C92" s="42" t="s">
        <v>476</v>
      </c>
      <c r="D92" s="42" t="s">
        <v>522</v>
      </c>
      <c r="E92" s="34" t="s">
        <v>459</v>
      </c>
      <c r="F92" s="43" t="s">
        <v>459</v>
      </c>
      <c r="G92" s="31" t="s">
        <v>2226</v>
      </c>
      <c r="H92" s="44" t="s">
        <v>461</v>
      </c>
      <c r="I92" s="42" t="s">
        <v>2227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488</v>
      </c>
      <c r="C93" s="42" t="s">
        <v>476</v>
      </c>
      <c r="D93" s="42" t="s">
        <v>523</v>
      </c>
      <c r="E93" s="34" t="s">
        <v>459</v>
      </c>
      <c r="F93" s="43" t="s">
        <v>459</v>
      </c>
      <c r="G93" s="31" t="s">
        <v>2226</v>
      </c>
      <c r="H93" s="44" t="s">
        <v>461</v>
      </c>
      <c r="I93" s="42" t="s">
        <v>2227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488</v>
      </c>
      <c r="C94" s="42" t="s">
        <v>51</v>
      </c>
      <c r="D94" s="42" t="s">
        <v>968</v>
      </c>
      <c r="E94" s="34" t="s">
        <v>459</v>
      </c>
      <c r="F94" s="43" t="s">
        <v>459</v>
      </c>
      <c r="G94" s="31" t="s">
        <v>2226</v>
      </c>
      <c r="H94" s="44" t="s">
        <v>461</v>
      </c>
      <c r="I94" s="42" t="s">
        <v>2227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488</v>
      </c>
      <c r="C95" s="42" t="s">
        <v>51</v>
      </c>
      <c r="D95" s="42" t="s">
        <v>969</v>
      </c>
      <c r="E95" s="34" t="s">
        <v>459</v>
      </c>
      <c r="F95" s="43" t="s">
        <v>459</v>
      </c>
      <c r="G95" s="31" t="s">
        <v>2226</v>
      </c>
      <c r="H95" s="44" t="s">
        <v>461</v>
      </c>
      <c r="I95" s="42" t="s">
        <v>2227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488</v>
      </c>
      <c r="C96" s="42" t="s">
        <v>51</v>
      </c>
      <c r="D96" s="42" t="s">
        <v>970</v>
      </c>
      <c r="E96" s="34" t="s">
        <v>459</v>
      </c>
      <c r="F96" s="43" t="s">
        <v>459</v>
      </c>
      <c r="G96" s="31" t="s">
        <v>2226</v>
      </c>
      <c r="H96" s="44" t="s">
        <v>461</v>
      </c>
      <c r="I96" s="42" t="s">
        <v>2227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488</v>
      </c>
      <c r="C97" s="42" t="s">
        <v>51</v>
      </c>
      <c r="D97" s="42" t="s">
        <v>971</v>
      </c>
      <c r="E97" s="34" t="s">
        <v>459</v>
      </c>
      <c r="F97" s="43" t="s">
        <v>459</v>
      </c>
      <c r="G97" s="31" t="s">
        <v>2226</v>
      </c>
      <c r="H97" s="44" t="s">
        <v>461</v>
      </c>
      <c r="I97" s="42" t="s">
        <v>2227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933</v>
      </c>
      <c r="C98" s="42" t="s">
        <v>51</v>
      </c>
      <c r="D98" s="42" t="s">
        <v>972</v>
      </c>
      <c r="E98" s="34" t="s">
        <v>459</v>
      </c>
      <c r="F98" s="43" t="s">
        <v>459</v>
      </c>
      <c r="G98" s="31" t="s">
        <v>2226</v>
      </c>
      <c r="H98" s="44" t="s">
        <v>461</v>
      </c>
      <c r="I98" s="42" t="s">
        <v>2227</v>
      </c>
      <c r="J98" s="42"/>
      <c r="K98" s="45" t="n">
        <f aca="false">IF(AND(E98="yes",F98="yes",H98="covered"),1,IF(H98="partial",0.5,0))</f>
        <v>1</v>
      </c>
    </row>
    <row r="99" customFormat="false" ht="30" hidden="false" customHeight="true" outlineLevel="0" collapsed="false">
      <c r="A99" s="31" t="n">
        <v>91</v>
      </c>
      <c r="B99" s="42" t="s">
        <v>933</v>
      </c>
      <c r="C99" s="42" t="s">
        <v>51</v>
      </c>
      <c r="D99" s="42" t="s">
        <v>973</v>
      </c>
      <c r="E99" s="34" t="s">
        <v>459</v>
      </c>
      <c r="F99" s="43" t="s">
        <v>459</v>
      </c>
      <c r="G99" s="31" t="s">
        <v>2226</v>
      </c>
      <c r="H99" s="44" t="s">
        <v>461</v>
      </c>
      <c r="I99" s="42" t="s">
        <v>2227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30" hidden="false" customHeight="true" outlineLevel="0" collapsed="false"/>
    <row r="106" customFormat="false" ht="30" hidden="false" customHeight="true" outlineLevel="0" collapsed="false"/>
    <row r="107" customFormat="false" ht="30" hidden="false" customHeight="true" outlineLevel="0" collapsed="false"/>
    <row r="108" customFormat="false" ht="30" hidden="false" customHeight="true" outlineLevel="0" collapsed="false"/>
    <row r="109" customFormat="false" ht="15" hidden="false" customHeight="true" outlineLevel="0" collapsed="false"/>
    <row r="110" customFormat="false" ht="30" hidden="false" customHeight="true" outlineLevel="0" collapsed="false"/>
    <row r="111" customFormat="false" ht="30" hidden="false" customHeight="true" outlineLevel="0" collapsed="false"/>
    <row r="112" customFormat="false" ht="30" hidden="false" customHeight="true" outlineLevel="0" collapsed="false"/>
    <row r="113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2240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109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460</v>
      </c>
      <c r="H9" s="44" t="s">
        <v>461</v>
      </c>
      <c r="I9" s="42" t="s">
        <v>2241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460</v>
      </c>
      <c r="H10" s="44" t="s">
        <v>461</v>
      </c>
      <c r="I10" s="42" t="s">
        <v>2241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52</v>
      </c>
      <c r="D11" s="42" t="s">
        <v>464</v>
      </c>
      <c r="E11" s="34" t="s">
        <v>459</v>
      </c>
      <c r="F11" s="43" t="s">
        <v>459</v>
      </c>
      <c r="G11" s="31" t="s">
        <v>460</v>
      </c>
      <c r="H11" s="44" t="s">
        <v>461</v>
      </c>
      <c r="I11" s="42" t="s">
        <v>2241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52</v>
      </c>
      <c r="D12" s="42" t="s">
        <v>465</v>
      </c>
      <c r="E12" s="34" t="s">
        <v>459</v>
      </c>
      <c r="F12" s="43" t="s">
        <v>459</v>
      </c>
      <c r="G12" s="31" t="s">
        <v>460</v>
      </c>
      <c r="H12" s="44" t="s">
        <v>461</v>
      </c>
      <c r="I12" s="42" t="s">
        <v>2241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52</v>
      </c>
      <c r="D13" s="42" t="s">
        <v>466</v>
      </c>
      <c r="E13" s="34" t="s">
        <v>459</v>
      </c>
      <c r="F13" s="43" t="s">
        <v>459</v>
      </c>
      <c r="G13" s="31" t="s">
        <v>460</v>
      </c>
      <c r="H13" s="44" t="s">
        <v>461</v>
      </c>
      <c r="I13" s="42" t="s">
        <v>2241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52</v>
      </c>
      <c r="D14" s="42" t="s">
        <v>467</v>
      </c>
      <c r="E14" s="34" t="s">
        <v>459</v>
      </c>
      <c r="F14" s="43" t="s">
        <v>459</v>
      </c>
      <c r="G14" s="31" t="s">
        <v>460</v>
      </c>
      <c r="H14" s="44" t="s">
        <v>461</v>
      </c>
      <c r="I14" s="42" t="s">
        <v>2241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52</v>
      </c>
      <c r="D15" s="42" t="s">
        <v>2242</v>
      </c>
      <c r="E15" s="34" t="s">
        <v>459</v>
      </c>
      <c r="F15" s="43" t="s">
        <v>459</v>
      </c>
      <c r="G15" s="31" t="s">
        <v>460</v>
      </c>
      <c r="H15" s="44" t="s">
        <v>461</v>
      </c>
      <c r="I15" s="42" t="s">
        <v>2241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52</v>
      </c>
      <c r="D16" s="42" t="s">
        <v>2243</v>
      </c>
      <c r="E16" s="34" t="s">
        <v>459</v>
      </c>
      <c r="F16" s="43" t="s">
        <v>459</v>
      </c>
      <c r="G16" s="31" t="s">
        <v>460</v>
      </c>
      <c r="H16" s="44" t="s">
        <v>461</v>
      </c>
      <c r="I16" s="42" t="s">
        <v>2241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52</v>
      </c>
      <c r="D17" s="42" t="s">
        <v>2244</v>
      </c>
      <c r="E17" s="34" t="s">
        <v>459</v>
      </c>
      <c r="F17" s="43" t="s">
        <v>459</v>
      </c>
      <c r="G17" s="31" t="s">
        <v>460</v>
      </c>
      <c r="H17" s="44" t="s">
        <v>461</v>
      </c>
      <c r="I17" s="42" t="s">
        <v>2241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52</v>
      </c>
      <c r="D18" s="42" t="s">
        <v>2245</v>
      </c>
      <c r="E18" s="34" t="s">
        <v>459</v>
      </c>
      <c r="F18" s="43" t="s">
        <v>459</v>
      </c>
      <c r="G18" s="31" t="s">
        <v>460</v>
      </c>
      <c r="H18" s="44" t="s">
        <v>461</v>
      </c>
      <c r="I18" s="42" t="s">
        <v>2241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52</v>
      </c>
      <c r="D19" s="42" t="s">
        <v>2246</v>
      </c>
      <c r="E19" s="34" t="s">
        <v>459</v>
      </c>
      <c r="F19" s="43" t="s">
        <v>459</v>
      </c>
      <c r="G19" s="31" t="s">
        <v>460</v>
      </c>
      <c r="H19" s="44" t="s">
        <v>461</v>
      </c>
      <c r="I19" s="42" t="s">
        <v>2241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52</v>
      </c>
      <c r="D20" s="42" t="s">
        <v>2247</v>
      </c>
      <c r="E20" s="34" t="s">
        <v>459</v>
      </c>
      <c r="F20" s="43" t="s">
        <v>459</v>
      </c>
      <c r="G20" s="31" t="s">
        <v>460</v>
      </c>
      <c r="H20" s="44" t="s">
        <v>461</v>
      </c>
      <c r="I20" s="42" t="s">
        <v>2241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460</v>
      </c>
      <c r="H21" s="44" t="s">
        <v>461</v>
      </c>
      <c r="I21" s="42" t="s">
        <v>2241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460</v>
      </c>
      <c r="H22" s="44" t="s">
        <v>461</v>
      </c>
      <c r="I22" s="42" t="s">
        <v>2241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460</v>
      </c>
      <c r="H23" s="44" t="s">
        <v>461</v>
      </c>
      <c r="I23" s="42" t="s">
        <v>2241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460</v>
      </c>
      <c r="H24" s="44" t="s">
        <v>461</v>
      </c>
      <c r="I24" s="42" t="s">
        <v>2241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460</v>
      </c>
      <c r="H25" s="44" t="s">
        <v>461</v>
      </c>
      <c r="I25" s="42" t="s">
        <v>2241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460</v>
      </c>
      <c r="H26" s="44" t="s">
        <v>461</v>
      </c>
      <c r="I26" s="42" t="s">
        <v>2241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486</v>
      </c>
      <c r="C27" s="42" t="s">
        <v>476</v>
      </c>
      <c r="D27" s="42" t="s">
        <v>2248</v>
      </c>
      <c r="E27" s="34" t="s">
        <v>459</v>
      </c>
      <c r="F27" s="43" t="s">
        <v>459</v>
      </c>
      <c r="G27" s="31" t="s">
        <v>460</v>
      </c>
      <c r="H27" s="44" t="s">
        <v>461</v>
      </c>
      <c r="I27" s="42" t="s">
        <v>2241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486</v>
      </c>
      <c r="C28" s="42" t="s">
        <v>476</v>
      </c>
      <c r="D28" s="42" t="s">
        <v>2249</v>
      </c>
      <c r="E28" s="34" t="s">
        <v>459</v>
      </c>
      <c r="F28" s="43" t="s">
        <v>459</v>
      </c>
      <c r="G28" s="31" t="s">
        <v>460</v>
      </c>
      <c r="H28" s="44" t="s">
        <v>461</v>
      </c>
      <c r="I28" s="42" t="s">
        <v>2241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2250</v>
      </c>
      <c r="E29" s="34" t="s">
        <v>459</v>
      </c>
      <c r="F29" s="43" t="s">
        <v>459</v>
      </c>
      <c r="G29" s="31" t="s">
        <v>460</v>
      </c>
      <c r="H29" s="44" t="s">
        <v>461</v>
      </c>
      <c r="I29" s="42" t="s">
        <v>2241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2251</v>
      </c>
      <c r="E30" s="34" t="s">
        <v>459</v>
      </c>
      <c r="F30" s="43" t="s">
        <v>459</v>
      </c>
      <c r="G30" s="31" t="s">
        <v>460</v>
      </c>
      <c r="H30" s="44" t="s">
        <v>461</v>
      </c>
      <c r="I30" s="42" t="s">
        <v>2241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2252</v>
      </c>
      <c r="E31" s="34" t="s">
        <v>459</v>
      </c>
      <c r="F31" s="43" t="s">
        <v>459</v>
      </c>
      <c r="G31" s="31" t="s">
        <v>460</v>
      </c>
      <c r="H31" s="44" t="s">
        <v>461</v>
      </c>
      <c r="I31" s="42" t="s">
        <v>2241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2253</v>
      </c>
      <c r="E32" s="34" t="s">
        <v>459</v>
      </c>
      <c r="F32" s="43" t="s">
        <v>459</v>
      </c>
      <c r="G32" s="31" t="s">
        <v>460</v>
      </c>
      <c r="H32" s="44" t="s">
        <v>461</v>
      </c>
      <c r="I32" s="42" t="s">
        <v>2241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488</v>
      </c>
      <c r="C33" s="42" t="s">
        <v>476</v>
      </c>
      <c r="D33" s="42" t="s">
        <v>493</v>
      </c>
      <c r="E33" s="34" t="s">
        <v>459</v>
      </c>
      <c r="F33" s="43" t="s">
        <v>459</v>
      </c>
      <c r="G33" s="31" t="s">
        <v>460</v>
      </c>
      <c r="H33" s="44" t="s">
        <v>461</v>
      </c>
      <c r="I33" s="42" t="s">
        <v>2241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483</v>
      </c>
      <c r="C34" s="42" t="s">
        <v>476</v>
      </c>
      <c r="D34" s="42" t="s">
        <v>484</v>
      </c>
      <c r="E34" s="34" t="s">
        <v>459</v>
      </c>
      <c r="F34" s="43" t="s">
        <v>459</v>
      </c>
      <c r="G34" s="31" t="s">
        <v>460</v>
      </c>
      <c r="H34" s="44" t="s">
        <v>461</v>
      </c>
      <c r="I34" s="42" t="s">
        <v>2241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483</v>
      </c>
      <c r="C35" s="42" t="s">
        <v>476</v>
      </c>
      <c r="D35" s="42" t="s">
        <v>485</v>
      </c>
      <c r="E35" s="34" t="s">
        <v>459</v>
      </c>
      <c r="F35" s="43" t="s">
        <v>459</v>
      </c>
      <c r="G35" s="31" t="s">
        <v>460</v>
      </c>
      <c r="H35" s="44" t="s">
        <v>461</v>
      </c>
      <c r="I35" s="42" t="s">
        <v>2241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495</v>
      </c>
      <c r="E36" s="34" t="s">
        <v>459</v>
      </c>
      <c r="F36" s="43" t="s">
        <v>459</v>
      </c>
      <c r="G36" s="31" t="s">
        <v>460</v>
      </c>
      <c r="H36" s="44" t="s">
        <v>461</v>
      </c>
      <c r="I36" s="42" t="s">
        <v>2241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488</v>
      </c>
      <c r="C37" s="42" t="s">
        <v>476</v>
      </c>
      <c r="D37" s="42" t="s">
        <v>497</v>
      </c>
      <c r="E37" s="34" t="s">
        <v>459</v>
      </c>
      <c r="F37" s="43" t="s">
        <v>459</v>
      </c>
      <c r="G37" s="31" t="s">
        <v>460</v>
      </c>
      <c r="H37" s="44" t="s">
        <v>461</v>
      </c>
      <c r="I37" s="42" t="s">
        <v>2241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475</v>
      </c>
      <c r="C38" s="42" t="s">
        <v>43</v>
      </c>
      <c r="D38" s="42" t="s">
        <v>477</v>
      </c>
      <c r="E38" s="34" t="s">
        <v>459</v>
      </c>
      <c r="F38" s="43" t="s">
        <v>459</v>
      </c>
      <c r="G38" s="31" t="s">
        <v>460</v>
      </c>
      <c r="H38" s="44" t="s">
        <v>461</v>
      </c>
      <c r="I38" s="42" t="s">
        <v>2241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475</v>
      </c>
      <c r="C39" s="42" t="s">
        <v>43</v>
      </c>
      <c r="D39" s="42" t="s">
        <v>478</v>
      </c>
      <c r="E39" s="34" t="s">
        <v>459</v>
      </c>
      <c r="F39" s="43" t="s">
        <v>459</v>
      </c>
      <c r="G39" s="31" t="s">
        <v>460</v>
      </c>
      <c r="H39" s="44" t="s">
        <v>461</v>
      </c>
      <c r="I39" s="42" t="s">
        <v>2241</v>
      </c>
      <c r="J39" s="42"/>
      <c r="K39" s="45" t="n">
        <f aca="false">IF(AND(E39="yes",F39="yes",H39="covered"),1,IF(H39="partial",0.5,0))</f>
        <v>1</v>
      </c>
    </row>
    <row r="40" customFormat="false" ht="30" hidden="false" customHeight="true" outlineLevel="0" collapsed="false">
      <c r="A40" s="31" t="n">
        <v>32</v>
      </c>
      <c r="B40" s="42" t="s">
        <v>479</v>
      </c>
      <c r="C40" s="42" t="s">
        <v>43</v>
      </c>
      <c r="D40" s="42" t="s">
        <v>480</v>
      </c>
      <c r="E40" s="34" t="s">
        <v>459</v>
      </c>
      <c r="F40" s="43" t="s">
        <v>459</v>
      </c>
      <c r="G40" s="31" t="s">
        <v>460</v>
      </c>
      <c r="H40" s="44" t="s">
        <v>461</v>
      </c>
      <c r="I40" s="42" t="s">
        <v>2241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479</v>
      </c>
      <c r="C41" s="42" t="s">
        <v>43</v>
      </c>
      <c r="D41" s="42" t="s">
        <v>481</v>
      </c>
      <c r="E41" s="34" t="s">
        <v>459</v>
      </c>
      <c r="F41" s="43" t="s">
        <v>459</v>
      </c>
      <c r="G41" s="31" t="s">
        <v>460</v>
      </c>
      <c r="H41" s="44" t="s">
        <v>461</v>
      </c>
      <c r="I41" s="42" t="s">
        <v>2241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457</v>
      </c>
      <c r="C42" s="42" t="s">
        <v>43</v>
      </c>
      <c r="D42" s="42" t="s">
        <v>482</v>
      </c>
      <c r="E42" s="34" t="s">
        <v>459</v>
      </c>
      <c r="F42" s="43" t="s">
        <v>459</v>
      </c>
      <c r="G42" s="31" t="s">
        <v>460</v>
      </c>
      <c r="H42" s="44" t="s">
        <v>461</v>
      </c>
      <c r="I42" s="42" t="s">
        <v>2241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774</v>
      </c>
      <c r="C43" s="42" t="s">
        <v>43</v>
      </c>
      <c r="D43" s="42" t="s">
        <v>775</v>
      </c>
      <c r="E43" s="34" t="s">
        <v>459</v>
      </c>
      <c r="F43" s="43" t="s">
        <v>459</v>
      </c>
      <c r="G43" s="31" t="s">
        <v>460</v>
      </c>
      <c r="H43" s="44" t="s">
        <v>461</v>
      </c>
      <c r="I43" s="42" t="s">
        <v>2241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483</v>
      </c>
      <c r="C44" s="42" t="s">
        <v>43</v>
      </c>
      <c r="D44" s="42" t="s">
        <v>484</v>
      </c>
      <c r="E44" s="34" t="s">
        <v>459</v>
      </c>
      <c r="F44" s="43" t="s">
        <v>459</v>
      </c>
      <c r="G44" s="31" t="s">
        <v>460</v>
      </c>
      <c r="H44" s="44" t="s">
        <v>461</v>
      </c>
      <c r="I44" s="42" t="s">
        <v>2241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483</v>
      </c>
      <c r="C45" s="42" t="s">
        <v>43</v>
      </c>
      <c r="D45" s="42" t="s">
        <v>485</v>
      </c>
      <c r="E45" s="34" t="s">
        <v>459</v>
      </c>
      <c r="F45" s="43" t="s">
        <v>459</v>
      </c>
      <c r="G45" s="31" t="s">
        <v>460</v>
      </c>
      <c r="H45" s="44" t="s">
        <v>461</v>
      </c>
      <c r="I45" s="42" t="s">
        <v>2241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486</v>
      </c>
      <c r="C46" s="42" t="s">
        <v>43</v>
      </c>
      <c r="D46" s="42" t="s">
        <v>495</v>
      </c>
      <c r="E46" s="34" t="s">
        <v>459</v>
      </c>
      <c r="F46" s="43" t="s">
        <v>459</v>
      </c>
      <c r="G46" s="31" t="s">
        <v>460</v>
      </c>
      <c r="H46" s="44" t="s">
        <v>461</v>
      </c>
      <c r="I46" s="42" t="s">
        <v>2241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475</v>
      </c>
      <c r="C47" s="42" t="s">
        <v>502</v>
      </c>
      <c r="D47" s="42" t="s">
        <v>477</v>
      </c>
      <c r="E47" s="34" t="s">
        <v>459</v>
      </c>
      <c r="F47" s="43" t="s">
        <v>459</v>
      </c>
      <c r="G47" s="31" t="s">
        <v>460</v>
      </c>
      <c r="H47" s="44" t="s">
        <v>461</v>
      </c>
      <c r="I47" s="42" t="s">
        <v>2241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475</v>
      </c>
      <c r="C48" s="42" t="s">
        <v>502</v>
      </c>
      <c r="D48" s="42" t="s">
        <v>478</v>
      </c>
      <c r="E48" s="34" t="s">
        <v>459</v>
      </c>
      <c r="F48" s="43" t="s">
        <v>459</v>
      </c>
      <c r="G48" s="31" t="s">
        <v>460</v>
      </c>
      <c r="H48" s="44" t="s">
        <v>461</v>
      </c>
      <c r="I48" s="42" t="s">
        <v>2241</v>
      </c>
      <c r="J48" s="42"/>
      <c r="K48" s="45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31" t="n">
        <v>41</v>
      </c>
      <c r="B49" s="42" t="s">
        <v>479</v>
      </c>
      <c r="C49" s="42" t="s">
        <v>502</v>
      </c>
      <c r="D49" s="42" t="s">
        <v>480</v>
      </c>
      <c r="E49" s="34" t="s">
        <v>459</v>
      </c>
      <c r="F49" s="43" t="s">
        <v>459</v>
      </c>
      <c r="G49" s="31" t="s">
        <v>460</v>
      </c>
      <c r="H49" s="44" t="s">
        <v>461</v>
      </c>
      <c r="I49" s="42" t="s">
        <v>2241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479</v>
      </c>
      <c r="C50" s="42" t="s">
        <v>502</v>
      </c>
      <c r="D50" s="42" t="s">
        <v>481</v>
      </c>
      <c r="E50" s="34" t="s">
        <v>459</v>
      </c>
      <c r="F50" s="43" t="s">
        <v>459</v>
      </c>
      <c r="G50" s="31" t="s">
        <v>460</v>
      </c>
      <c r="H50" s="44" t="s">
        <v>461</v>
      </c>
      <c r="I50" s="42" t="s">
        <v>2241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457</v>
      </c>
      <c r="C51" s="42" t="s">
        <v>502</v>
      </c>
      <c r="D51" s="42" t="s">
        <v>482</v>
      </c>
      <c r="E51" s="34" t="s">
        <v>459</v>
      </c>
      <c r="F51" s="43" t="s">
        <v>459</v>
      </c>
      <c r="G51" s="31" t="s">
        <v>460</v>
      </c>
      <c r="H51" s="44" t="s">
        <v>461</v>
      </c>
      <c r="I51" s="42" t="s">
        <v>2241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774</v>
      </c>
      <c r="C52" s="42" t="s">
        <v>502</v>
      </c>
      <c r="D52" s="42" t="s">
        <v>775</v>
      </c>
      <c r="E52" s="34" t="s">
        <v>459</v>
      </c>
      <c r="F52" s="43" t="s">
        <v>459</v>
      </c>
      <c r="G52" s="31" t="s">
        <v>460</v>
      </c>
      <c r="H52" s="44" t="s">
        <v>461</v>
      </c>
      <c r="I52" s="42" t="s">
        <v>2241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486</v>
      </c>
      <c r="C53" s="42" t="s">
        <v>502</v>
      </c>
      <c r="D53" s="42" t="s">
        <v>2249</v>
      </c>
      <c r="E53" s="34" t="s">
        <v>459</v>
      </c>
      <c r="F53" s="43" t="s">
        <v>459</v>
      </c>
      <c r="G53" s="31" t="s">
        <v>460</v>
      </c>
      <c r="H53" s="44" t="s">
        <v>461</v>
      </c>
      <c r="I53" s="42" t="s">
        <v>2241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882</v>
      </c>
      <c r="C54" s="42" t="s">
        <v>502</v>
      </c>
      <c r="D54" s="42" t="s">
        <v>883</v>
      </c>
      <c r="E54" s="34" t="s">
        <v>459</v>
      </c>
      <c r="F54" s="43" t="s">
        <v>459</v>
      </c>
      <c r="G54" s="31" t="s">
        <v>460</v>
      </c>
      <c r="H54" s="44" t="s">
        <v>461</v>
      </c>
      <c r="I54" s="42" t="s">
        <v>2241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483</v>
      </c>
      <c r="C55" s="42" t="s">
        <v>502</v>
      </c>
      <c r="D55" s="42" t="s">
        <v>484</v>
      </c>
      <c r="E55" s="34" t="s">
        <v>459</v>
      </c>
      <c r="F55" s="43" t="s">
        <v>459</v>
      </c>
      <c r="G55" s="31" t="s">
        <v>460</v>
      </c>
      <c r="H55" s="44" t="s">
        <v>461</v>
      </c>
      <c r="I55" s="42" t="s">
        <v>2241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483</v>
      </c>
      <c r="C56" s="42" t="s">
        <v>502</v>
      </c>
      <c r="D56" s="42" t="s">
        <v>485</v>
      </c>
      <c r="E56" s="34" t="s">
        <v>459</v>
      </c>
      <c r="F56" s="43" t="s">
        <v>459</v>
      </c>
      <c r="G56" s="31" t="s">
        <v>460</v>
      </c>
      <c r="H56" s="44" t="s">
        <v>461</v>
      </c>
      <c r="I56" s="42" t="s">
        <v>2241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486</v>
      </c>
      <c r="C57" s="42" t="s">
        <v>502</v>
      </c>
      <c r="D57" s="42" t="s">
        <v>495</v>
      </c>
      <c r="E57" s="34" t="s">
        <v>459</v>
      </c>
      <c r="F57" s="43" t="s">
        <v>459</v>
      </c>
      <c r="G57" s="31" t="s">
        <v>460</v>
      </c>
      <c r="H57" s="44" t="s">
        <v>461</v>
      </c>
      <c r="I57" s="42" t="s">
        <v>2241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486</v>
      </c>
      <c r="C58" s="42" t="s">
        <v>502</v>
      </c>
      <c r="D58" s="42" t="s">
        <v>499</v>
      </c>
      <c r="E58" s="34" t="s">
        <v>459</v>
      </c>
      <c r="F58" s="43" t="s">
        <v>459</v>
      </c>
      <c r="G58" s="31" t="s">
        <v>460</v>
      </c>
      <c r="H58" s="44" t="s">
        <v>461</v>
      </c>
      <c r="I58" s="42" t="s">
        <v>2241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486</v>
      </c>
      <c r="C59" s="42" t="s">
        <v>502</v>
      </c>
      <c r="D59" s="42" t="s">
        <v>2254</v>
      </c>
      <c r="E59" s="34" t="s">
        <v>459</v>
      </c>
      <c r="F59" s="43" t="s">
        <v>459</v>
      </c>
      <c r="G59" s="31" t="s">
        <v>460</v>
      </c>
      <c r="H59" s="44" t="s">
        <v>461</v>
      </c>
      <c r="I59" s="42" t="s">
        <v>2241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488</v>
      </c>
      <c r="C60" s="42" t="s">
        <v>502</v>
      </c>
      <c r="D60" s="42" t="s">
        <v>497</v>
      </c>
      <c r="E60" s="34" t="s">
        <v>459</v>
      </c>
      <c r="F60" s="43" t="s">
        <v>459</v>
      </c>
      <c r="G60" s="31" t="s">
        <v>460</v>
      </c>
      <c r="H60" s="44" t="s">
        <v>461</v>
      </c>
      <c r="I60" s="42" t="s">
        <v>2241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475</v>
      </c>
      <c r="C61" s="42" t="s">
        <v>2255</v>
      </c>
      <c r="D61" s="42" t="s">
        <v>2256</v>
      </c>
      <c r="E61" s="34" t="s">
        <v>459</v>
      </c>
      <c r="F61" s="43" t="s">
        <v>459</v>
      </c>
      <c r="G61" s="31" t="s">
        <v>460</v>
      </c>
      <c r="H61" s="44" t="s">
        <v>461</v>
      </c>
      <c r="I61" s="42" t="s">
        <v>2241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479</v>
      </c>
      <c r="C62" s="42" t="s">
        <v>2255</v>
      </c>
      <c r="D62" s="42" t="s">
        <v>2257</v>
      </c>
      <c r="E62" s="34" t="s">
        <v>459</v>
      </c>
      <c r="F62" s="43" t="s">
        <v>459</v>
      </c>
      <c r="G62" s="31" t="s">
        <v>460</v>
      </c>
      <c r="H62" s="44" t="s">
        <v>461</v>
      </c>
      <c r="I62" s="42" t="s">
        <v>2241</v>
      </c>
      <c r="J62" s="42"/>
      <c r="K62" s="45" t="n">
        <f aca="false">IF(AND(E62="yes",F62="yes",H62="covered"),1,IF(H62="partial",0.5,0))</f>
        <v>1</v>
      </c>
    </row>
    <row r="63" customFormat="false" ht="30" hidden="false" customHeight="true" outlineLevel="0" collapsed="false">
      <c r="A63" s="31" t="n">
        <v>55</v>
      </c>
      <c r="B63" s="42" t="s">
        <v>475</v>
      </c>
      <c r="C63" s="42" t="s">
        <v>502</v>
      </c>
      <c r="D63" s="42" t="s">
        <v>2256</v>
      </c>
      <c r="E63" s="34" t="s">
        <v>459</v>
      </c>
      <c r="F63" s="43" t="s">
        <v>459</v>
      </c>
      <c r="G63" s="31" t="s">
        <v>460</v>
      </c>
      <c r="H63" s="44" t="s">
        <v>461</v>
      </c>
      <c r="I63" s="42" t="s">
        <v>2241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479</v>
      </c>
      <c r="C64" s="42" t="s">
        <v>502</v>
      </c>
      <c r="D64" s="42" t="s">
        <v>2257</v>
      </c>
      <c r="E64" s="34" t="s">
        <v>459</v>
      </c>
      <c r="F64" s="43" t="s">
        <v>459</v>
      </c>
      <c r="G64" s="31" t="s">
        <v>460</v>
      </c>
      <c r="H64" s="44" t="s">
        <v>461</v>
      </c>
      <c r="I64" s="42" t="s">
        <v>2241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475</v>
      </c>
      <c r="C65" s="42" t="s">
        <v>901</v>
      </c>
      <c r="D65" s="42" t="s">
        <v>2256</v>
      </c>
      <c r="E65" s="34" t="s">
        <v>459</v>
      </c>
      <c r="F65" s="43" t="s">
        <v>459</v>
      </c>
      <c r="G65" s="31" t="s">
        <v>460</v>
      </c>
      <c r="H65" s="44" t="s">
        <v>461</v>
      </c>
      <c r="I65" s="42" t="s">
        <v>2241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479</v>
      </c>
      <c r="C66" s="42" t="s">
        <v>901</v>
      </c>
      <c r="D66" s="42" t="s">
        <v>2257</v>
      </c>
      <c r="E66" s="34" t="s">
        <v>459</v>
      </c>
      <c r="F66" s="43" t="s">
        <v>459</v>
      </c>
      <c r="G66" s="31" t="s">
        <v>460</v>
      </c>
      <c r="H66" s="44" t="s">
        <v>461</v>
      </c>
      <c r="I66" s="42" t="s">
        <v>2241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475</v>
      </c>
      <c r="C67" s="42" t="s">
        <v>901</v>
      </c>
      <c r="D67" s="42" t="s">
        <v>477</v>
      </c>
      <c r="E67" s="34" t="s">
        <v>459</v>
      </c>
      <c r="F67" s="43" t="s">
        <v>459</v>
      </c>
      <c r="G67" s="31" t="s">
        <v>460</v>
      </c>
      <c r="H67" s="44" t="s">
        <v>461</v>
      </c>
      <c r="I67" s="42" t="s">
        <v>2241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475</v>
      </c>
      <c r="C68" s="42" t="s">
        <v>901</v>
      </c>
      <c r="D68" s="42" t="s">
        <v>478</v>
      </c>
      <c r="E68" s="34" t="s">
        <v>459</v>
      </c>
      <c r="F68" s="43" t="s">
        <v>459</v>
      </c>
      <c r="G68" s="31" t="s">
        <v>460</v>
      </c>
      <c r="H68" s="44" t="s">
        <v>461</v>
      </c>
      <c r="I68" s="42" t="s">
        <v>2241</v>
      </c>
      <c r="J68" s="42"/>
      <c r="K68" s="45" t="n">
        <f aca="false">IF(AND(E68="yes",F68="yes",H68="covered"),1,IF(H68="partial",0.5,0))</f>
        <v>1</v>
      </c>
    </row>
    <row r="69" customFormat="false" ht="30" hidden="false" customHeight="true" outlineLevel="0" collapsed="false">
      <c r="A69" s="31" t="n">
        <v>61</v>
      </c>
      <c r="B69" s="42" t="s">
        <v>479</v>
      </c>
      <c r="C69" s="42" t="s">
        <v>901</v>
      </c>
      <c r="D69" s="42" t="s">
        <v>480</v>
      </c>
      <c r="E69" s="34" t="s">
        <v>459</v>
      </c>
      <c r="F69" s="43" t="s">
        <v>459</v>
      </c>
      <c r="G69" s="31" t="s">
        <v>460</v>
      </c>
      <c r="H69" s="44" t="s">
        <v>461</v>
      </c>
      <c r="I69" s="42" t="s">
        <v>2241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479</v>
      </c>
      <c r="C70" s="42" t="s">
        <v>901</v>
      </c>
      <c r="D70" s="42" t="s">
        <v>481</v>
      </c>
      <c r="E70" s="34" t="s">
        <v>459</v>
      </c>
      <c r="F70" s="43" t="s">
        <v>459</v>
      </c>
      <c r="G70" s="31" t="s">
        <v>460</v>
      </c>
      <c r="H70" s="44" t="s">
        <v>461</v>
      </c>
      <c r="I70" s="42" t="s">
        <v>2241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457</v>
      </c>
      <c r="C71" s="42" t="s">
        <v>901</v>
      </c>
      <c r="D71" s="42" t="s">
        <v>482</v>
      </c>
      <c r="E71" s="34" t="s">
        <v>459</v>
      </c>
      <c r="F71" s="43" t="s">
        <v>459</v>
      </c>
      <c r="G71" s="31" t="s">
        <v>460</v>
      </c>
      <c r="H71" s="44" t="s">
        <v>461</v>
      </c>
      <c r="I71" s="42" t="s">
        <v>2241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774</v>
      </c>
      <c r="C72" s="42" t="s">
        <v>901</v>
      </c>
      <c r="D72" s="42" t="s">
        <v>775</v>
      </c>
      <c r="E72" s="34" t="s">
        <v>459</v>
      </c>
      <c r="F72" s="43" t="s">
        <v>459</v>
      </c>
      <c r="G72" s="31" t="s">
        <v>460</v>
      </c>
      <c r="H72" s="44" t="s">
        <v>461</v>
      </c>
      <c r="I72" s="42" t="s">
        <v>2241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483</v>
      </c>
      <c r="C73" s="42" t="s">
        <v>901</v>
      </c>
      <c r="D73" s="42" t="s">
        <v>484</v>
      </c>
      <c r="E73" s="34" t="s">
        <v>459</v>
      </c>
      <c r="F73" s="43" t="s">
        <v>459</v>
      </c>
      <c r="G73" s="31" t="s">
        <v>460</v>
      </c>
      <c r="H73" s="44" t="s">
        <v>461</v>
      </c>
      <c r="I73" s="42" t="s">
        <v>2241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483</v>
      </c>
      <c r="C74" s="42" t="s">
        <v>901</v>
      </c>
      <c r="D74" s="42" t="s">
        <v>485</v>
      </c>
      <c r="E74" s="34" t="s">
        <v>459</v>
      </c>
      <c r="F74" s="43" t="s">
        <v>459</v>
      </c>
      <c r="G74" s="31" t="s">
        <v>460</v>
      </c>
      <c r="H74" s="44" t="s">
        <v>461</v>
      </c>
      <c r="I74" s="42" t="s">
        <v>2241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486</v>
      </c>
      <c r="C75" s="42" t="s">
        <v>901</v>
      </c>
      <c r="D75" s="42" t="s">
        <v>495</v>
      </c>
      <c r="E75" s="34" t="s">
        <v>459</v>
      </c>
      <c r="F75" s="43" t="s">
        <v>459</v>
      </c>
      <c r="G75" s="31" t="s">
        <v>460</v>
      </c>
      <c r="H75" s="44" t="s">
        <v>461</v>
      </c>
      <c r="I75" s="42" t="s">
        <v>2241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475</v>
      </c>
      <c r="C76" s="42" t="s">
        <v>2258</v>
      </c>
      <c r="D76" s="42" t="s">
        <v>477</v>
      </c>
      <c r="E76" s="34" t="s">
        <v>459</v>
      </c>
      <c r="F76" s="43" t="s">
        <v>459</v>
      </c>
      <c r="G76" s="31" t="s">
        <v>460</v>
      </c>
      <c r="H76" s="44" t="s">
        <v>461</v>
      </c>
      <c r="I76" s="42" t="s">
        <v>2241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475</v>
      </c>
      <c r="C77" s="42" t="s">
        <v>2258</v>
      </c>
      <c r="D77" s="42" t="s">
        <v>478</v>
      </c>
      <c r="E77" s="34" t="s">
        <v>459</v>
      </c>
      <c r="F77" s="43" t="s">
        <v>459</v>
      </c>
      <c r="G77" s="31" t="s">
        <v>460</v>
      </c>
      <c r="H77" s="44" t="s">
        <v>461</v>
      </c>
      <c r="I77" s="42" t="s">
        <v>2241</v>
      </c>
      <c r="J77" s="42"/>
      <c r="K77" s="45" t="n">
        <f aca="false">IF(AND(E77="yes",F77="yes",H77="covered"),1,IF(H77="partial",0.5,0))</f>
        <v>1</v>
      </c>
    </row>
    <row r="78" customFormat="false" ht="30" hidden="false" customHeight="true" outlineLevel="0" collapsed="false">
      <c r="A78" s="31" t="n">
        <v>70</v>
      </c>
      <c r="B78" s="42" t="s">
        <v>479</v>
      </c>
      <c r="C78" s="42" t="s">
        <v>2258</v>
      </c>
      <c r="D78" s="42" t="s">
        <v>480</v>
      </c>
      <c r="E78" s="34" t="s">
        <v>459</v>
      </c>
      <c r="F78" s="43" t="s">
        <v>459</v>
      </c>
      <c r="G78" s="31" t="s">
        <v>460</v>
      </c>
      <c r="H78" s="44" t="s">
        <v>461</v>
      </c>
      <c r="I78" s="42" t="s">
        <v>2241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479</v>
      </c>
      <c r="C79" s="42" t="s">
        <v>2258</v>
      </c>
      <c r="D79" s="42" t="s">
        <v>481</v>
      </c>
      <c r="E79" s="34" t="s">
        <v>459</v>
      </c>
      <c r="F79" s="43" t="s">
        <v>459</v>
      </c>
      <c r="G79" s="31" t="s">
        <v>460</v>
      </c>
      <c r="H79" s="44" t="s">
        <v>461</v>
      </c>
      <c r="I79" s="42" t="s">
        <v>2241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457</v>
      </c>
      <c r="C80" s="42" t="s">
        <v>2258</v>
      </c>
      <c r="D80" s="42" t="s">
        <v>482</v>
      </c>
      <c r="E80" s="34" t="s">
        <v>459</v>
      </c>
      <c r="F80" s="43" t="s">
        <v>459</v>
      </c>
      <c r="G80" s="31" t="s">
        <v>460</v>
      </c>
      <c r="H80" s="44" t="s">
        <v>461</v>
      </c>
      <c r="I80" s="42" t="s">
        <v>2241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774</v>
      </c>
      <c r="C81" s="42" t="s">
        <v>2258</v>
      </c>
      <c r="D81" s="42" t="s">
        <v>775</v>
      </c>
      <c r="E81" s="34" t="s">
        <v>459</v>
      </c>
      <c r="F81" s="43" t="s">
        <v>459</v>
      </c>
      <c r="G81" s="31" t="s">
        <v>460</v>
      </c>
      <c r="H81" s="44" t="s">
        <v>461</v>
      </c>
      <c r="I81" s="42" t="s">
        <v>2241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882</v>
      </c>
      <c r="C82" s="42" t="s">
        <v>2258</v>
      </c>
      <c r="D82" s="42" t="s">
        <v>883</v>
      </c>
      <c r="E82" s="34" t="s">
        <v>459</v>
      </c>
      <c r="F82" s="43" t="s">
        <v>459</v>
      </c>
      <c r="G82" s="31" t="s">
        <v>460</v>
      </c>
      <c r="H82" s="44" t="s">
        <v>461</v>
      </c>
      <c r="I82" s="42" t="s">
        <v>2241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483</v>
      </c>
      <c r="C83" s="42" t="s">
        <v>2258</v>
      </c>
      <c r="D83" s="42" t="s">
        <v>484</v>
      </c>
      <c r="E83" s="34" t="s">
        <v>459</v>
      </c>
      <c r="F83" s="43" t="s">
        <v>459</v>
      </c>
      <c r="G83" s="31" t="s">
        <v>460</v>
      </c>
      <c r="H83" s="44" t="s">
        <v>461</v>
      </c>
      <c r="I83" s="42" t="s">
        <v>2241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483</v>
      </c>
      <c r="C84" s="42" t="s">
        <v>2258</v>
      </c>
      <c r="D84" s="42" t="s">
        <v>485</v>
      </c>
      <c r="E84" s="34" t="s">
        <v>459</v>
      </c>
      <c r="F84" s="43" t="s">
        <v>459</v>
      </c>
      <c r="G84" s="31" t="s">
        <v>460</v>
      </c>
      <c r="H84" s="44" t="s">
        <v>461</v>
      </c>
      <c r="I84" s="42" t="s">
        <v>2241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486</v>
      </c>
      <c r="C85" s="42" t="s">
        <v>2258</v>
      </c>
      <c r="D85" s="42" t="s">
        <v>495</v>
      </c>
      <c r="E85" s="34" t="s">
        <v>459</v>
      </c>
      <c r="F85" s="43" t="s">
        <v>459</v>
      </c>
      <c r="G85" s="31" t="s">
        <v>460</v>
      </c>
      <c r="H85" s="44" t="s">
        <v>461</v>
      </c>
      <c r="I85" s="42" t="s">
        <v>2241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486</v>
      </c>
      <c r="C86" s="42" t="s">
        <v>2258</v>
      </c>
      <c r="D86" s="42" t="s">
        <v>2259</v>
      </c>
      <c r="E86" s="34" t="s">
        <v>459</v>
      </c>
      <c r="F86" s="43" t="s">
        <v>459</v>
      </c>
      <c r="G86" s="31" t="s">
        <v>460</v>
      </c>
      <c r="H86" s="44" t="s">
        <v>461</v>
      </c>
      <c r="I86" s="42" t="s">
        <v>2241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488</v>
      </c>
      <c r="C87" s="42" t="s">
        <v>2258</v>
      </c>
      <c r="D87" s="42" t="s">
        <v>497</v>
      </c>
      <c r="E87" s="34" t="s">
        <v>459</v>
      </c>
      <c r="F87" s="43" t="s">
        <v>459</v>
      </c>
      <c r="G87" s="31" t="s">
        <v>460</v>
      </c>
      <c r="H87" s="44" t="s">
        <v>461</v>
      </c>
      <c r="I87" s="42" t="s">
        <v>2241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475</v>
      </c>
      <c r="C88" s="42" t="s">
        <v>2255</v>
      </c>
      <c r="D88" s="42" t="s">
        <v>477</v>
      </c>
      <c r="E88" s="34" t="s">
        <v>459</v>
      </c>
      <c r="F88" s="43" t="s">
        <v>459</v>
      </c>
      <c r="G88" s="31" t="s">
        <v>460</v>
      </c>
      <c r="H88" s="44" t="s">
        <v>461</v>
      </c>
      <c r="I88" s="42" t="s">
        <v>2241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475</v>
      </c>
      <c r="C89" s="42" t="s">
        <v>2255</v>
      </c>
      <c r="D89" s="42" t="s">
        <v>478</v>
      </c>
      <c r="E89" s="34" t="s">
        <v>459</v>
      </c>
      <c r="F89" s="43" t="s">
        <v>459</v>
      </c>
      <c r="G89" s="31" t="s">
        <v>460</v>
      </c>
      <c r="H89" s="44" t="s">
        <v>461</v>
      </c>
      <c r="I89" s="42" t="s">
        <v>2241</v>
      </c>
      <c r="J89" s="42"/>
      <c r="K89" s="45" t="n">
        <f aca="false">IF(AND(E89="yes",F89="yes",H89="covered"),1,IF(H89="partial",0.5,0))</f>
        <v>1</v>
      </c>
    </row>
    <row r="90" customFormat="false" ht="30" hidden="false" customHeight="true" outlineLevel="0" collapsed="false">
      <c r="A90" s="31" t="n">
        <v>82</v>
      </c>
      <c r="B90" s="42" t="s">
        <v>479</v>
      </c>
      <c r="C90" s="42" t="s">
        <v>2255</v>
      </c>
      <c r="D90" s="42" t="s">
        <v>480</v>
      </c>
      <c r="E90" s="34" t="s">
        <v>459</v>
      </c>
      <c r="F90" s="43" t="s">
        <v>459</v>
      </c>
      <c r="G90" s="31" t="s">
        <v>460</v>
      </c>
      <c r="H90" s="44" t="s">
        <v>461</v>
      </c>
      <c r="I90" s="42" t="s">
        <v>2241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479</v>
      </c>
      <c r="C91" s="42" t="s">
        <v>2255</v>
      </c>
      <c r="D91" s="42" t="s">
        <v>481</v>
      </c>
      <c r="E91" s="34" t="s">
        <v>459</v>
      </c>
      <c r="F91" s="43" t="s">
        <v>459</v>
      </c>
      <c r="G91" s="31" t="s">
        <v>460</v>
      </c>
      <c r="H91" s="44" t="s">
        <v>461</v>
      </c>
      <c r="I91" s="42" t="s">
        <v>2241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457</v>
      </c>
      <c r="C92" s="42" t="s">
        <v>2255</v>
      </c>
      <c r="D92" s="42" t="s">
        <v>482</v>
      </c>
      <c r="E92" s="34" t="s">
        <v>459</v>
      </c>
      <c r="F92" s="43" t="s">
        <v>459</v>
      </c>
      <c r="G92" s="31" t="s">
        <v>460</v>
      </c>
      <c r="H92" s="44" t="s">
        <v>461</v>
      </c>
      <c r="I92" s="42" t="s">
        <v>2241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774</v>
      </c>
      <c r="C93" s="42" t="s">
        <v>2255</v>
      </c>
      <c r="D93" s="42" t="s">
        <v>775</v>
      </c>
      <c r="E93" s="34" t="s">
        <v>459</v>
      </c>
      <c r="F93" s="43" t="s">
        <v>459</v>
      </c>
      <c r="G93" s="31" t="s">
        <v>460</v>
      </c>
      <c r="H93" s="44" t="s">
        <v>461</v>
      </c>
      <c r="I93" s="42" t="s">
        <v>2241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882</v>
      </c>
      <c r="C94" s="42" t="s">
        <v>2255</v>
      </c>
      <c r="D94" s="42" t="s">
        <v>883</v>
      </c>
      <c r="E94" s="34" t="s">
        <v>459</v>
      </c>
      <c r="F94" s="43" t="s">
        <v>459</v>
      </c>
      <c r="G94" s="31" t="s">
        <v>460</v>
      </c>
      <c r="H94" s="44" t="s">
        <v>461</v>
      </c>
      <c r="I94" s="42" t="s">
        <v>2241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483</v>
      </c>
      <c r="C95" s="42" t="s">
        <v>2255</v>
      </c>
      <c r="D95" s="42" t="s">
        <v>484</v>
      </c>
      <c r="E95" s="34" t="s">
        <v>459</v>
      </c>
      <c r="F95" s="43" t="s">
        <v>459</v>
      </c>
      <c r="G95" s="31" t="s">
        <v>460</v>
      </c>
      <c r="H95" s="44" t="s">
        <v>461</v>
      </c>
      <c r="I95" s="42" t="s">
        <v>2241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483</v>
      </c>
      <c r="C96" s="42" t="s">
        <v>2255</v>
      </c>
      <c r="D96" s="42" t="s">
        <v>485</v>
      </c>
      <c r="E96" s="34" t="s">
        <v>459</v>
      </c>
      <c r="F96" s="43" t="s">
        <v>459</v>
      </c>
      <c r="G96" s="31" t="s">
        <v>460</v>
      </c>
      <c r="H96" s="44" t="s">
        <v>461</v>
      </c>
      <c r="I96" s="42" t="s">
        <v>2241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486</v>
      </c>
      <c r="C97" s="42" t="s">
        <v>2255</v>
      </c>
      <c r="D97" s="42" t="s">
        <v>495</v>
      </c>
      <c r="E97" s="34" t="s">
        <v>459</v>
      </c>
      <c r="F97" s="43" t="s">
        <v>459</v>
      </c>
      <c r="G97" s="31" t="s">
        <v>460</v>
      </c>
      <c r="H97" s="44" t="s">
        <v>461</v>
      </c>
      <c r="I97" s="42" t="s">
        <v>2241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486</v>
      </c>
      <c r="C98" s="42" t="s">
        <v>2255</v>
      </c>
      <c r="D98" s="42" t="s">
        <v>2259</v>
      </c>
      <c r="E98" s="34" t="s">
        <v>459</v>
      </c>
      <c r="F98" s="43" t="s">
        <v>459</v>
      </c>
      <c r="G98" s="31" t="s">
        <v>460</v>
      </c>
      <c r="H98" s="44" t="s">
        <v>461</v>
      </c>
      <c r="I98" s="42" t="s">
        <v>2241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488</v>
      </c>
      <c r="C99" s="42" t="s">
        <v>2255</v>
      </c>
      <c r="D99" s="42" t="s">
        <v>497</v>
      </c>
      <c r="E99" s="34" t="s">
        <v>459</v>
      </c>
      <c r="F99" s="43" t="s">
        <v>459</v>
      </c>
      <c r="G99" s="31" t="s">
        <v>460</v>
      </c>
      <c r="H99" s="44" t="s">
        <v>461</v>
      </c>
      <c r="I99" s="42" t="s">
        <v>2241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475</v>
      </c>
      <c r="C100" s="42" t="s">
        <v>2258</v>
      </c>
      <c r="D100" s="42" t="s">
        <v>2256</v>
      </c>
      <c r="E100" s="34" t="s">
        <v>459</v>
      </c>
      <c r="F100" s="43" t="s">
        <v>459</v>
      </c>
      <c r="G100" s="31" t="s">
        <v>460</v>
      </c>
      <c r="H100" s="44" t="s">
        <v>461</v>
      </c>
      <c r="I100" s="42" t="s">
        <v>2241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479</v>
      </c>
      <c r="C101" s="42" t="s">
        <v>2258</v>
      </c>
      <c r="D101" s="42" t="s">
        <v>2257</v>
      </c>
      <c r="E101" s="34" t="s">
        <v>459</v>
      </c>
      <c r="F101" s="43" t="s">
        <v>459</v>
      </c>
      <c r="G101" s="31" t="s">
        <v>460</v>
      </c>
      <c r="H101" s="44" t="s">
        <v>461</v>
      </c>
      <c r="I101" s="42" t="s">
        <v>2241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505</v>
      </c>
      <c r="C102" s="42" t="s">
        <v>506</v>
      </c>
      <c r="D102" s="42" t="s">
        <v>890</v>
      </c>
      <c r="E102" s="34" t="s">
        <v>459</v>
      </c>
      <c r="F102" s="43" t="s">
        <v>459</v>
      </c>
      <c r="G102" s="31" t="s">
        <v>460</v>
      </c>
      <c r="H102" s="44" t="s">
        <v>461</v>
      </c>
      <c r="I102" s="42" t="s">
        <v>2241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505</v>
      </c>
      <c r="C103" s="42" t="s">
        <v>506</v>
      </c>
      <c r="D103" s="42" t="s">
        <v>905</v>
      </c>
      <c r="E103" s="34" t="s">
        <v>459</v>
      </c>
      <c r="F103" s="43" t="s">
        <v>459</v>
      </c>
      <c r="G103" s="31" t="s">
        <v>460</v>
      </c>
      <c r="H103" s="44" t="s">
        <v>461</v>
      </c>
      <c r="I103" s="42" t="s">
        <v>2241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505</v>
      </c>
      <c r="C104" s="42" t="s">
        <v>506</v>
      </c>
      <c r="D104" s="42" t="s">
        <v>783</v>
      </c>
      <c r="E104" s="34" t="s">
        <v>459</v>
      </c>
      <c r="F104" s="43" t="s">
        <v>459</v>
      </c>
      <c r="G104" s="31" t="s">
        <v>460</v>
      </c>
      <c r="H104" s="44" t="s">
        <v>461</v>
      </c>
      <c r="I104" s="42" t="s">
        <v>2241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511</v>
      </c>
      <c r="C105" s="42" t="s">
        <v>506</v>
      </c>
      <c r="D105" s="42" t="s">
        <v>2260</v>
      </c>
      <c r="E105" s="34" t="s">
        <v>459</v>
      </c>
      <c r="F105" s="43" t="s">
        <v>459</v>
      </c>
      <c r="G105" s="31" t="s">
        <v>460</v>
      </c>
      <c r="H105" s="44" t="s">
        <v>461</v>
      </c>
      <c r="I105" s="42" t="s">
        <v>2241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511</v>
      </c>
      <c r="C106" s="42" t="s">
        <v>506</v>
      </c>
      <c r="D106" s="42" t="s">
        <v>512</v>
      </c>
      <c r="E106" s="34" t="s">
        <v>459</v>
      </c>
      <c r="F106" s="43" t="s">
        <v>459</v>
      </c>
      <c r="G106" s="31" t="s">
        <v>460</v>
      </c>
      <c r="H106" s="44" t="s">
        <v>461</v>
      </c>
      <c r="I106" s="42" t="s">
        <v>2241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511</v>
      </c>
      <c r="C107" s="42" t="s">
        <v>506</v>
      </c>
      <c r="D107" s="42" t="s">
        <v>2261</v>
      </c>
      <c r="E107" s="34" t="s">
        <v>459</v>
      </c>
      <c r="F107" s="43" t="s">
        <v>459</v>
      </c>
      <c r="G107" s="31" t="s">
        <v>460</v>
      </c>
      <c r="H107" s="44" t="s">
        <v>461</v>
      </c>
      <c r="I107" s="42" t="s">
        <v>2241</v>
      </c>
      <c r="J107" s="42"/>
      <c r="K107" s="45" t="n">
        <f aca="false">IF(AND(E107="yes",F107="yes",H107="covered"),1,IF(H107="partial",0.5,0))</f>
        <v>1</v>
      </c>
    </row>
    <row r="108" customFormat="false" ht="30" hidden="false" customHeight="true" outlineLevel="0" collapsed="false">
      <c r="A108" s="31" t="n">
        <v>100</v>
      </c>
      <c r="B108" s="42" t="s">
        <v>511</v>
      </c>
      <c r="C108" s="42" t="s">
        <v>506</v>
      </c>
      <c r="D108" s="42" t="s">
        <v>514</v>
      </c>
      <c r="E108" s="34" t="s">
        <v>459</v>
      </c>
      <c r="F108" s="43" t="s">
        <v>459</v>
      </c>
      <c r="G108" s="31" t="s">
        <v>460</v>
      </c>
      <c r="H108" s="44" t="s">
        <v>461</v>
      </c>
      <c r="I108" s="42" t="s">
        <v>2241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511</v>
      </c>
      <c r="C109" s="42" t="s">
        <v>506</v>
      </c>
      <c r="D109" s="42" t="s">
        <v>515</v>
      </c>
      <c r="E109" s="34" t="s">
        <v>459</v>
      </c>
      <c r="F109" s="43" t="s">
        <v>459</v>
      </c>
      <c r="G109" s="31" t="s">
        <v>460</v>
      </c>
      <c r="H109" s="44" t="s">
        <v>461</v>
      </c>
      <c r="I109" s="42" t="s">
        <v>2241</v>
      </c>
      <c r="J109" s="42"/>
      <c r="K109" s="45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2" t="s">
        <v>483</v>
      </c>
      <c r="C110" s="42" t="s">
        <v>52</v>
      </c>
      <c r="D110" s="42" t="s">
        <v>516</v>
      </c>
      <c r="E110" s="34" t="s">
        <v>459</v>
      </c>
      <c r="F110" s="43" t="s">
        <v>459</v>
      </c>
      <c r="G110" s="31" t="s">
        <v>460</v>
      </c>
      <c r="H110" s="44" t="s">
        <v>461</v>
      </c>
      <c r="I110" s="42" t="s">
        <v>2241</v>
      </c>
      <c r="J110" s="42"/>
      <c r="K110" s="45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2" t="s">
        <v>483</v>
      </c>
      <c r="C111" s="42" t="s">
        <v>52</v>
      </c>
      <c r="D111" s="42" t="s">
        <v>517</v>
      </c>
      <c r="E111" s="34" t="s">
        <v>459</v>
      </c>
      <c r="F111" s="43" t="s">
        <v>459</v>
      </c>
      <c r="G111" s="31" t="s">
        <v>460</v>
      </c>
      <c r="H111" s="44" t="s">
        <v>461</v>
      </c>
      <c r="I111" s="42" t="s">
        <v>2241</v>
      </c>
      <c r="J111" s="42"/>
      <c r="K111" s="45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2" t="s">
        <v>483</v>
      </c>
      <c r="C112" s="42" t="s">
        <v>52</v>
      </c>
      <c r="D112" s="42" t="s">
        <v>519</v>
      </c>
      <c r="E112" s="34" t="s">
        <v>459</v>
      </c>
      <c r="F112" s="43" t="s">
        <v>459</v>
      </c>
      <c r="G112" s="31" t="s">
        <v>460</v>
      </c>
      <c r="H112" s="44" t="s">
        <v>461</v>
      </c>
      <c r="I112" s="42" t="s">
        <v>2241</v>
      </c>
      <c r="J112" s="42"/>
      <c r="K112" s="45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2" t="s">
        <v>483</v>
      </c>
      <c r="C113" s="42" t="s">
        <v>52</v>
      </c>
      <c r="D113" s="42" t="s">
        <v>520</v>
      </c>
      <c r="E113" s="34" t="s">
        <v>459</v>
      </c>
      <c r="F113" s="43" t="s">
        <v>459</v>
      </c>
      <c r="G113" s="31" t="s">
        <v>460</v>
      </c>
      <c r="H113" s="44" t="s">
        <v>461</v>
      </c>
      <c r="I113" s="42" t="s">
        <v>2241</v>
      </c>
      <c r="J113" s="42"/>
      <c r="K113" s="45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31" t="n">
        <v>106</v>
      </c>
      <c r="B114" s="42" t="s">
        <v>488</v>
      </c>
      <c r="C114" s="42" t="s">
        <v>476</v>
      </c>
      <c r="D114" s="42" t="s">
        <v>521</v>
      </c>
      <c r="E114" s="34" t="s">
        <v>459</v>
      </c>
      <c r="F114" s="43" t="s">
        <v>459</v>
      </c>
      <c r="G114" s="31" t="s">
        <v>460</v>
      </c>
      <c r="H114" s="44" t="s">
        <v>461</v>
      </c>
      <c r="I114" s="42" t="s">
        <v>2241</v>
      </c>
      <c r="J114" s="42"/>
      <c r="K114" s="45" t="n">
        <f aca="false">IF(AND(E114="yes",F114="yes",H114="covered"),1,IF(H114="partial",0.5,0))</f>
        <v>1</v>
      </c>
    </row>
    <row r="115" customFormat="false" ht="15" hidden="false" customHeight="true" outlineLevel="0" collapsed="false">
      <c r="A115" s="31" t="n">
        <v>107</v>
      </c>
      <c r="B115" s="42" t="s">
        <v>488</v>
      </c>
      <c r="C115" s="42" t="s">
        <v>476</v>
      </c>
      <c r="D115" s="42" t="s">
        <v>522</v>
      </c>
      <c r="E115" s="34" t="s">
        <v>459</v>
      </c>
      <c r="F115" s="43" t="s">
        <v>459</v>
      </c>
      <c r="G115" s="31" t="s">
        <v>460</v>
      </c>
      <c r="H115" s="44" t="s">
        <v>461</v>
      </c>
      <c r="I115" s="42" t="s">
        <v>2241</v>
      </c>
      <c r="J115" s="42"/>
      <c r="K115" s="45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2" t="s">
        <v>488</v>
      </c>
      <c r="C116" s="42" t="s">
        <v>476</v>
      </c>
      <c r="D116" s="42" t="s">
        <v>523</v>
      </c>
      <c r="E116" s="34" t="s">
        <v>459</v>
      </c>
      <c r="F116" s="43" t="s">
        <v>459</v>
      </c>
      <c r="G116" s="31" t="s">
        <v>460</v>
      </c>
      <c r="H116" s="44" t="s">
        <v>461</v>
      </c>
      <c r="I116" s="42" t="s">
        <v>2241</v>
      </c>
      <c r="J116" s="42"/>
      <c r="K116" s="45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2" t="s">
        <v>531</v>
      </c>
      <c r="C117" s="42" t="s">
        <v>52</v>
      </c>
      <c r="D117" s="42" t="s">
        <v>2262</v>
      </c>
      <c r="E117" s="34" t="s">
        <v>459</v>
      </c>
      <c r="F117" s="43" t="s">
        <v>459</v>
      </c>
      <c r="G117" s="31" t="s">
        <v>460</v>
      </c>
      <c r="H117" s="44" t="s">
        <v>461</v>
      </c>
      <c r="I117" s="42" t="s">
        <v>2241</v>
      </c>
      <c r="J117" s="42"/>
      <c r="K117" s="45" t="n">
        <f aca="false">IF(AND(E117="yes",F117="yes",H117="covered"),1,IF(H117="partial",0.5,0))</f>
        <v>1</v>
      </c>
    </row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2263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80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2226</v>
      </c>
      <c r="H9" s="44" t="s">
        <v>461</v>
      </c>
      <c r="I9" s="42" t="s">
        <v>2264</v>
      </c>
      <c r="J9" s="42"/>
      <c r="K9" s="45" t="n">
        <v>0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2226</v>
      </c>
      <c r="H10" s="44" t="s">
        <v>461</v>
      </c>
      <c r="I10" s="42" t="s">
        <v>2264</v>
      </c>
      <c r="J10" s="42"/>
      <c r="K10" s="45" t="n">
        <v>0</v>
      </c>
    </row>
    <row r="11" customFormat="false" ht="45" hidden="false" customHeight="true" outlineLevel="0" collapsed="false">
      <c r="A11" s="31" t="n">
        <v>3</v>
      </c>
      <c r="B11" s="42" t="s">
        <v>456</v>
      </c>
      <c r="C11" s="42" t="s">
        <v>53</v>
      </c>
      <c r="D11" s="42" t="s">
        <v>464</v>
      </c>
      <c r="E11" s="34" t="s">
        <v>459</v>
      </c>
      <c r="F11" s="43" t="s">
        <v>459</v>
      </c>
      <c r="G11" s="31" t="s">
        <v>2226</v>
      </c>
      <c r="H11" s="44" t="s">
        <v>461</v>
      </c>
      <c r="I11" s="42" t="s">
        <v>2264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53</v>
      </c>
      <c r="D12" s="42" t="s">
        <v>465</v>
      </c>
      <c r="E12" s="34" t="s">
        <v>459</v>
      </c>
      <c r="F12" s="43" t="s">
        <v>459</v>
      </c>
      <c r="G12" s="31" t="s">
        <v>2226</v>
      </c>
      <c r="H12" s="44" t="s">
        <v>461</v>
      </c>
      <c r="I12" s="42" t="s">
        <v>2264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53</v>
      </c>
      <c r="D13" s="42" t="s">
        <v>466</v>
      </c>
      <c r="E13" s="34" t="s">
        <v>459</v>
      </c>
      <c r="F13" s="43" t="s">
        <v>459</v>
      </c>
      <c r="G13" s="31" t="s">
        <v>2226</v>
      </c>
      <c r="H13" s="44" t="s">
        <v>461</v>
      </c>
      <c r="I13" s="42" t="s">
        <v>2265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53</v>
      </c>
      <c r="D14" s="42" t="s">
        <v>467</v>
      </c>
      <c r="E14" s="34" t="s">
        <v>459</v>
      </c>
      <c r="F14" s="43" t="s">
        <v>459</v>
      </c>
      <c r="G14" s="31" t="s">
        <v>2226</v>
      </c>
      <c r="H14" s="44" t="s">
        <v>461</v>
      </c>
      <c r="I14" s="42" t="s">
        <v>2264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53</v>
      </c>
      <c r="D15" s="42" t="s">
        <v>2266</v>
      </c>
      <c r="E15" s="34" t="s">
        <v>459</v>
      </c>
      <c r="F15" s="43" t="s">
        <v>459</v>
      </c>
      <c r="G15" s="31" t="s">
        <v>2226</v>
      </c>
      <c r="H15" s="44" t="s">
        <v>461</v>
      </c>
      <c r="I15" s="42" t="s">
        <v>2264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53</v>
      </c>
      <c r="D16" s="42" t="s">
        <v>2267</v>
      </c>
      <c r="E16" s="34" t="s">
        <v>459</v>
      </c>
      <c r="F16" s="43" t="s">
        <v>459</v>
      </c>
      <c r="G16" s="31" t="s">
        <v>2226</v>
      </c>
      <c r="H16" s="44" t="s">
        <v>461</v>
      </c>
      <c r="I16" s="42" t="s">
        <v>2264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53</v>
      </c>
      <c r="D17" s="42" t="s">
        <v>2268</v>
      </c>
      <c r="E17" s="34" t="s">
        <v>459</v>
      </c>
      <c r="F17" s="43" t="s">
        <v>459</v>
      </c>
      <c r="G17" s="31" t="s">
        <v>2226</v>
      </c>
      <c r="H17" s="44" t="s">
        <v>461</v>
      </c>
      <c r="I17" s="42" t="s">
        <v>2264</v>
      </c>
      <c r="J17" s="42"/>
      <c r="K17" s="45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53</v>
      </c>
      <c r="D18" s="42" t="s">
        <v>2269</v>
      </c>
      <c r="E18" s="34" t="s">
        <v>459</v>
      </c>
      <c r="F18" s="43" t="s">
        <v>459</v>
      </c>
      <c r="G18" s="31" t="s">
        <v>2226</v>
      </c>
      <c r="H18" s="44" t="s">
        <v>461</v>
      </c>
      <c r="I18" s="42" t="s">
        <v>2264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53</v>
      </c>
      <c r="D19" s="42" t="s">
        <v>2270</v>
      </c>
      <c r="E19" s="34" t="s">
        <v>459</v>
      </c>
      <c r="F19" s="43" t="s">
        <v>459</v>
      </c>
      <c r="G19" s="31" t="s">
        <v>2226</v>
      </c>
      <c r="H19" s="44" t="s">
        <v>461</v>
      </c>
      <c r="I19" s="42" t="s">
        <v>2264</v>
      </c>
      <c r="J19" s="42"/>
      <c r="K19" s="45" t="n">
        <f aca="false">IF(AND(E19="yes",F19="yes",H19="covered"),1,IF(H19="partial",0.5,0))</f>
        <v>1</v>
      </c>
    </row>
    <row r="20" customFormat="false" ht="45" hidden="false" customHeight="true" outlineLevel="0" collapsed="false">
      <c r="A20" s="31" t="n">
        <v>12</v>
      </c>
      <c r="B20" s="42" t="s">
        <v>468</v>
      </c>
      <c r="C20" s="42" t="s">
        <v>53</v>
      </c>
      <c r="D20" s="42" t="s">
        <v>2271</v>
      </c>
      <c r="E20" s="34" t="s">
        <v>459</v>
      </c>
      <c r="F20" s="43" t="s">
        <v>459</v>
      </c>
      <c r="G20" s="31" t="s">
        <v>2226</v>
      </c>
      <c r="H20" s="44" t="s">
        <v>461</v>
      </c>
      <c r="I20" s="42" t="s">
        <v>2264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2226</v>
      </c>
      <c r="H21" s="44" t="s">
        <v>461</v>
      </c>
      <c r="I21" s="42" t="s">
        <v>2264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2226</v>
      </c>
      <c r="H22" s="44" t="s">
        <v>461</v>
      </c>
      <c r="I22" s="42" t="s">
        <v>2272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486</v>
      </c>
      <c r="C23" s="42" t="s">
        <v>476</v>
      </c>
      <c r="D23" s="42" t="s">
        <v>2273</v>
      </c>
      <c r="E23" s="34" t="s">
        <v>459</v>
      </c>
      <c r="F23" s="43" t="s">
        <v>459</v>
      </c>
      <c r="G23" s="31" t="s">
        <v>2226</v>
      </c>
      <c r="H23" s="44" t="s">
        <v>461</v>
      </c>
      <c r="I23" s="42" t="s">
        <v>2264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488</v>
      </c>
      <c r="C24" s="42" t="s">
        <v>476</v>
      </c>
      <c r="D24" s="42" t="s">
        <v>2274</v>
      </c>
      <c r="E24" s="34" t="s">
        <v>459</v>
      </c>
      <c r="F24" s="43" t="s">
        <v>459</v>
      </c>
      <c r="G24" s="31" t="s">
        <v>2226</v>
      </c>
      <c r="H24" s="44" t="s">
        <v>461</v>
      </c>
      <c r="I24" s="42" t="s">
        <v>2264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488</v>
      </c>
      <c r="C25" s="42" t="s">
        <v>476</v>
      </c>
      <c r="D25" s="42" t="s">
        <v>2275</v>
      </c>
      <c r="E25" s="34" t="s">
        <v>459</v>
      </c>
      <c r="F25" s="43" t="s">
        <v>459</v>
      </c>
      <c r="G25" s="31" t="s">
        <v>2226</v>
      </c>
      <c r="H25" s="44" t="s">
        <v>461</v>
      </c>
      <c r="I25" s="42" t="s">
        <v>2264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488</v>
      </c>
      <c r="C26" s="42" t="s">
        <v>476</v>
      </c>
      <c r="D26" s="42" t="s">
        <v>493</v>
      </c>
      <c r="E26" s="34" t="s">
        <v>459</v>
      </c>
      <c r="F26" s="43" t="s">
        <v>459</v>
      </c>
      <c r="G26" s="31" t="s">
        <v>2226</v>
      </c>
      <c r="H26" s="44" t="s">
        <v>461</v>
      </c>
      <c r="I26" s="42" t="s">
        <v>2264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951</v>
      </c>
      <c r="E27" s="34" t="s">
        <v>459</v>
      </c>
      <c r="F27" s="43" t="s">
        <v>459</v>
      </c>
      <c r="G27" s="31" t="s">
        <v>2226</v>
      </c>
      <c r="H27" s="44" t="s">
        <v>461</v>
      </c>
      <c r="I27" s="42" t="s">
        <v>2264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953</v>
      </c>
      <c r="E28" s="34" t="s">
        <v>459</v>
      </c>
      <c r="F28" s="43" t="s">
        <v>459</v>
      </c>
      <c r="G28" s="31" t="s">
        <v>2226</v>
      </c>
      <c r="H28" s="44" t="s">
        <v>461</v>
      </c>
      <c r="I28" s="42" t="s">
        <v>2264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952</v>
      </c>
      <c r="E29" s="34" t="s">
        <v>459</v>
      </c>
      <c r="F29" s="43" t="s">
        <v>459</v>
      </c>
      <c r="G29" s="31" t="s">
        <v>2226</v>
      </c>
      <c r="H29" s="44" t="s">
        <v>461</v>
      </c>
      <c r="I29" s="42" t="s">
        <v>2264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475</v>
      </c>
      <c r="C30" s="42" t="s">
        <v>2276</v>
      </c>
      <c r="D30" s="42" t="s">
        <v>477</v>
      </c>
      <c r="E30" s="34" t="s">
        <v>459</v>
      </c>
      <c r="F30" s="43" t="s">
        <v>459</v>
      </c>
      <c r="G30" s="31" t="s">
        <v>2226</v>
      </c>
      <c r="H30" s="44" t="s">
        <v>461</v>
      </c>
      <c r="I30" s="42" t="s">
        <v>2264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475</v>
      </c>
      <c r="C31" s="42" t="s">
        <v>2276</v>
      </c>
      <c r="D31" s="42" t="s">
        <v>478</v>
      </c>
      <c r="E31" s="34" t="s">
        <v>459</v>
      </c>
      <c r="F31" s="43" t="s">
        <v>459</v>
      </c>
      <c r="G31" s="31" t="s">
        <v>2226</v>
      </c>
      <c r="H31" s="44" t="s">
        <v>461</v>
      </c>
      <c r="I31" s="42" t="s">
        <v>2272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479</v>
      </c>
      <c r="C32" s="42" t="s">
        <v>2276</v>
      </c>
      <c r="D32" s="42" t="s">
        <v>480</v>
      </c>
      <c r="E32" s="34" t="s">
        <v>459</v>
      </c>
      <c r="F32" s="43" t="s">
        <v>459</v>
      </c>
      <c r="G32" s="31" t="s">
        <v>2226</v>
      </c>
      <c r="H32" s="44" t="s">
        <v>461</v>
      </c>
      <c r="I32" s="42" t="s">
        <v>2264</v>
      </c>
      <c r="J32" s="42"/>
      <c r="K32" s="45" t="n">
        <f aca="false">IF(AND(E32="yes",F32="yes",H32="covered"),1,IF(H32="partial",0.5,0))</f>
        <v>1</v>
      </c>
    </row>
    <row r="33" customFormat="false" ht="45" hidden="false" customHeight="true" outlineLevel="0" collapsed="false">
      <c r="A33" s="31" t="n">
        <v>25</v>
      </c>
      <c r="B33" s="42" t="s">
        <v>479</v>
      </c>
      <c r="C33" s="42" t="s">
        <v>2276</v>
      </c>
      <c r="D33" s="42" t="s">
        <v>481</v>
      </c>
      <c r="E33" s="34" t="s">
        <v>459</v>
      </c>
      <c r="F33" s="43" t="s">
        <v>459</v>
      </c>
      <c r="G33" s="31" t="s">
        <v>2226</v>
      </c>
      <c r="H33" s="44" t="s">
        <v>461</v>
      </c>
      <c r="I33" s="42" t="s">
        <v>2264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457</v>
      </c>
      <c r="C34" s="42" t="s">
        <v>2276</v>
      </c>
      <c r="D34" s="42" t="s">
        <v>482</v>
      </c>
      <c r="E34" s="34" t="s">
        <v>459</v>
      </c>
      <c r="F34" s="43" t="s">
        <v>459</v>
      </c>
      <c r="G34" s="31" t="s">
        <v>2226</v>
      </c>
      <c r="H34" s="44" t="s">
        <v>461</v>
      </c>
      <c r="I34" s="42" t="s">
        <v>2264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774</v>
      </c>
      <c r="C35" s="42" t="s">
        <v>2276</v>
      </c>
      <c r="D35" s="42" t="s">
        <v>775</v>
      </c>
      <c r="E35" s="34" t="s">
        <v>459</v>
      </c>
      <c r="F35" s="43" t="s">
        <v>459</v>
      </c>
      <c r="G35" s="31" t="s">
        <v>2226</v>
      </c>
      <c r="H35" s="44" t="s">
        <v>461</v>
      </c>
      <c r="I35" s="42" t="s">
        <v>2264</v>
      </c>
      <c r="J35" s="42"/>
      <c r="K35" s="45" t="n">
        <f aca="false">IF(AND(E35="yes",F35="yes",H35="covered"),1,IF(H35="partial",0.5,0))</f>
        <v>1</v>
      </c>
    </row>
    <row r="36" customFormat="false" ht="30" hidden="false" customHeight="true" outlineLevel="0" collapsed="false">
      <c r="A36" s="31" t="n">
        <v>28</v>
      </c>
      <c r="B36" s="42" t="s">
        <v>486</v>
      </c>
      <c r="C36" s="42" t="s">
        <v>2276</v>
      </c>
      <c r="D36" s="42" t="s">
        <v>2273</v>
      </c>
      <c r="E36" s="34" t="s">
        <v>459</v>
      </c>
      <c r="F36" s="43" t="s">
        <v>459</v>
      </c>
      <c r="G36" s="31" t="s">
        <v>2226</v>
      </c>
      <c r="H36" s="44" t="s">
        <v>461</v>
      </c>
      <c r="I36" s="42" t="s">
        <v>2264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486</v>
      </c>
      <c r="C37" s="42" t="s">
        <v>2276</v>
      </c>
      <c r="D37" s="42" t="s">
        <v>2277</v>
      </c>
      <c r="E37" s="34" t="s">
        <v>459</v>
      </c>
      <c r="F37" s="43" t="s">
        <v>459</v>
      </c>
      <c r="G37" s="31" t="s">
        <v>2226</v>
      </c>
      <c r="H37" s="44" t="s">
        <v>461</v>
      </c>
      <c r="I37" s="42" t="s">
        <v>2264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2276</v>
      </c>
      <c r="D38" s="42" t="s">
        <v>1062</v>
      </c>
      <c r="E38" s="34" t="s">
        <v>459</v>
      </c>
      <c r="F38" s="43" t="s">
        <v>459</v>
      </c>
      <c r="G38" s="31" t="s">
        <v>2226</v>
      </c>
      <c r="H38" s="44" t="s">
        <v>461</v>
      </c>
      <c r="I38" s="42" t="s">
        <v>2264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2276</v>
      </c>
      <c r="D39" s="42" t="s">
        <v>495</v>
      </c>
      <c r="E39" s="34" t="s">
        <v>459</v>
      </c>
      <c r="F39" s="43" t="s">
        <v>459</v>
      </c>
      <c r="G39" s="31" t="s">
        <v>2226</v>
      </c>
      <c r="H39" s="44" t="s">
        <v>461</v>
      </c>
      <c r="I39" s="42" t="s">
        <v>2264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2276</v>
      </c>
      <c r="D40" s="42" t="s">
        <v>499</v>
      </c>
      <c r="E40" s="34" t="s">
        <v>459</v>
      </c>
      <c r="F40" s="43" t="s">
        <v>459</v>
      </c>
      <c r="G40" s="31" t="s">
        <v>2226</v>
      </c>
      <c r="H40" s="44" t="s">
        <v>461</v>
      </c>
      <c r="I40" s="42" t="s">
        <v>2264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475</v>
      </c>
      <c r="C41" s="42" t="s">
        <v>41</v>
      </c>
      <c r="D41" s="42" t="s">
        <v>477</v>
      </c>
      <c r="E41" s="34" t="s">
        <v>459</v>
      </c>
      <c r="F41" s="43" t="s">
        <v>459</v>
      </c>
      <c r="G41" s="31" t="s">
        <v>2226</v>
      </c>
      <c r="H41" s="44" t="s">
        <v>461</v>
      </c>
      <c r="I41" s="42" t="s">
        <v>2264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475</v>
      </c>
      <c r="C42" s="42" t="s">
        <v>41</v>
      </c>
      <c r="D42" s="42" t="s">
        <v>478</v>
      </c>
      <c r="E42" s="34" t="s">
        <v>459</v>
      </c>
      <c r="F42" s="43" t="s">
        <v>459</v>
      </c>
      <c r="G42" s="31" t="s">
        <v>2226</v>
      </c>
      <c r="H42" s="44" t="s">
        <v>461</v>
      </c>
      <c r="I42" s="42" t="s">
        <v>2272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479</v>
      </c>
      <c r="C43" s="42" t="s">
        <v>41</v>
      </c>
      <c r="D43" s="42" t="s">
        <v>480</v>
      </c>
      <c r="E43" s="34" t="s">
        <v>459</v>
      </c>
      <c r="F43" s="43" t="s">
        <v>459</v>
      </c>
      <c r="G43" s="31" t="s">
        <v>2226</v>
      </c>
      <c r="H43" s="44" t="s">
        <v>461</v>
      </c>
      <c r="I43" s="42" t="s">
        <v>2264</v>
      </c>
      <c r="J43" s="42"/>
      <c r="K43" s="45" t="n">
        <f aca="false">IF(AND(E43="yes",F43="yes",H43="covered"),1,IF(H43="partial",0.5,0))</f>
        <v>1</v>
      </c>
    </row>
    <row r="44" customFormat="false" ht="45" hidden="false" customHeight="true" outlineLevel="0" collapsed="false">
      <c r="A44" s="31" t="n">
        <v>36</v>
      </c>
      <c r="B44" s="42" t="s">
        <v>479</v>
      </c>
      <c r="C44" s="42" t="s">
        <v>41</v>
      </c>
      <c r="D44" s="42" t="s">
        <v>481</v>
      </c>
      <c r="E44" s="34" t="s">
        <v>459</v>
      </c>
      <c r="F44" s="43" t="s">
        <v>459</v>
      </c>
      <c r="G44" s="31" t="s">
        <v>2226</v>
      </c>
      <c r="H44" s="44" t="s">
        <v>461</v>
      </c>
      <c r="I44" s="42" t="s">
        <v>2264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457</v>
      </c>
      <c r="C45" s="42" t="s">
        <v>41</v>
      </c>
      <c r="D45" s="42" t="s">
        <v>482</v>
      </c>
      <c r="E45" s="34" t="s">
        <v>459</v>
      </c>
      <c r="F45" s="43" t="s">
        <v>459</v>
      </c>
      <c r="G45" s="31" t="s">
        <v>2226</v>
      </c>
      <c r="H45" s="44" t="s">
        <v>461</v>
      </c>
      <c r="I45" s="42" t="s">
        <v>2264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774</v>
      </c>
      <c r="C46" s="42" t="s">
        <v>41</v>
      </c>
      <c r="D46" s="42" t="s">
        <v>775</v>
      </c>
      <c r="E46" s="34" t="s">
        <v>459</v>
      </c>
      <c r="F46" s="43" t="s">
        <v>459</v>
      </c>
      <c r="G46" s="31" t="s">
        <v>2226</v>
      </c>
      <c r="H46" s="44" t="s">
        <v>461</v>
      </c>
      <c r="I46" s="42" t="s">
        <v>2264</v>
      </c>
      <c r="J46" s="42"/>
      <c r="K46" s="45" t="n">
        <f aca="false">IF(AND(E46="yes",F46="yes",H46="covered"),1,IF(H46="partial",0.5,0))</f>
        <v>1</v>
      </c>
    </row>
    <row r="47" customFormat="false" ht="30" hidden="false" customHeight="true" outlineLevel="0" collapsed="false">
      <c r="A47" s="31" t="n">
        <v>39</v>
      </c>
      <c r="B47" s="42" t="s">
        <v>483</v>
      </c>
      <c r="C47" s="42" t="s">
        <v>41</v>
      </c>
      <c r="D47" s="42" t="s">
        <v>484</v>
      </c>
      <c r="E47" s="34" t="s">
        <v>459</v>
      </c>
      <c r="F47" s="43" t="s">
        <v>459</v>
      </c>
      <c r="G47" s="31" t="s">
        <v>2226</v>
      </c>
      <c r="H47" s="44" t="s">
        <v>461</v>
      </c>
      <c r="I47" s="42" t="s">
        <v>2264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483</v>
      </c>
      <c r="C48" s="42" t="s">
        <v>41</v>
      </c>
      <c r="D48" s="42" t="s">
        <v>485</v>
      </c>
      <c r="E48" s="34" t="s">
        <v>459</v>
      </c>
      <c r="F48" s="43" t="s">
        <v>459</v>
      </c>
      <c r="G48" s="31" t="s">
        <v>2226</v>
      </c>
      <c r="H48" s="44" t="s">
        <v>461</v>
      </c>
      <c r="I48" s="42" t="s">
        <v>2264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486</v>
      </c>
      <c r="C49" s="42" t="s">
        <v>41</v>
      </c>
      <c r="D49" s="42" t="s">
        <v>1062</v>
      </c>
      <c r="E49" s="34" t="s">
        <v>459</v>
      </c>
      <c r="F49" s="43" t="s">
        <v>459</v>
      </c>
      <c r="G49" s="31" t="s">
        <v>2226</v>
      </c>
      <c r="H49" s="44" t="s">
        <v>461</v>
      </c>
      <c r="I49" s="42" t="s">
        <v>2264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486</v>
      </c>
      <c r="C50" s="42" t="s">
        <v>41</v>
      </c>
      <c r="D50" s="42" t="s">
        <v>495</v>
      </c>
      <c r="E50" s="34" t="s">
        <v>459</v>
      </c>
      <c r="F50" s="43" t="s">
        <v>459</v>
      </c>
      <c r="G50" s="31" t="s">
        <v>2226</v>
      </c>
      <c r="H50" s="44" t="s">
        <v>461</v>
      </c>
      <c r="I50" s="42" t="s">
        <v>2264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486</v>
      </c>
      <c r="C51" s="42" t="s">
        <v>41</v>
      </c>
      <c r="D51" s="42" t="s">
        <v>499</v>
      </c>
      <c r="E51" s="34" t="s">
        <v>459</v>
      </c>
      <c r="F51" s="43" t="s">
        <v>459</v>
      </c>
      <c r="G51" s="31" t="s">
        <v>2226</v>
      </c>
      <c r="H51" s="44" t="s">
        <v>461</v>
      </c>
      <c r="I51" s="42" t="s">
        <v>2264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488</v>
      </c>
      <c r="C52" s="42" t="s">
        <v>41</v>
      </c>
      <c r="D52" s="42" t="s">
        <v>497</v>
      </c>
      <c r="E52" s="34" t="s">
        <v>459</v>
      </c>
      <c r="F52" s="43" t="s">
        <v>459</v>
      </c>
      <c r="G52" s="31" t="s">
        <v>2226</v>
      </c>
      <c r="H52" s="44" t="s">
        <v>461</v>
      </c>
      <c r="I52" s="42" t="s">
        <v>2264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488</v>
      </c>
      <c r="C53" s="42" t="s">
        <v>41</v>
      </c>
      <c r="D53" s="42" t="s">
        <v>957</v>
      </c>
      <c r="E53" s="34" t="s">
        <v>459</v>
      </c>
      <c r="F53" s="43" t="s">
        <v>459</v>
      </c>
      <c r="G53" s="31" t="s">
        <v>2226</v>
      </c>
      <c r="H53" s="44" t="s">
        <v>461</v>
      </c>
      <c r="I53" s="42" t="s">
        <v>2264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488</v>
      </c>
      <c r="C54" s="42" t="s">
        <v>41</v>
      </c>
      <c r="D54" s="42" t="s">
        <v>1602</v>
      </c>
      <c r="E54" s="34" t="s">
        <v>459</v>
      </c>
      <c r="F54" s="43" t="s">
        <v>459</v>
      </c>
      <c r="G54" s="31" t="s">
        <v>2226</v>
      </c>
      <c r="H54" s="44" t="s">
        <v>461</v>
      </c>
      <c r="I54" s="42" t="s">
        <v>2264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488</v>
      </c>
      <c r="C55" s="42" t="s">
        <v>41</v>
      </c>
      <c r="D55" s="42" t="s">
        <v>958</v>
      </c>
      <c r="E55" s="34" t="s">
        <v>459</v>
      </c>
      <c r="F55" s="43" t="s">
        <v>459</v>
      </c>
      <c r="G55" s="31" t="s">
        <v>2226</v>
      </c>
      <c r="H55" s="44" t="s">
        <v>461</v>
      </c>
      <c r="I55" s="42" t="s">
        <v>2264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475</v>
      </c>
      <c r="C56" s="42" t="s">
        <v>71</v>
      </c>
      <c r="D56" s="42" t="s">
        <v>477</v>
      </c>
      <c r="E56" s="34" t="s">
        <v>459</v>
      </c>
      <c r="F56" s="43" t="s">
        <v>459</v>
      </c>
      <c r="G56" s="31" t="s">
        <v>2226</v>
      </c>
      <c r="H56" s="44" t="s">
        <v>461</v>
      </c>
      <c r="I56" s="42" t="s">
        <v>2264</v>
      </c>
      <c r="J56" s="42"/>
      <c r="K56" s="45" t="n">
        <f aca="false">IF(AND(E56="yes",F56="yes",H56="covered"),1,IF(H56="partial",0.5,0))</f>
        <v>1</v>
      </c>
    </row>
    <row r="57" customFormat="false" ht="45" hidden="false" customHeight="true" outlineLevel="0" collapsed="false">
      <c r="A57" s="31" t="n">
        <v>49</v>
      </c>
      <c r="B57" s="42" t="s">
        <v>475</v>
      </c>
      <c r="C57" s="42" t="s">
        <v>71</v>
      </c>
      <c r="D57" s="42" t="s">
        <v>478</v>
      </c>
      <c r="E57" s="34" t="s">
        <v>459</v>
      </c>
      <c r="F57" s="43" t="s">
        <v>459</v>
      </c>
      <c r="G57" s="31" t="s">
        <v>2226</v>
      </c>
      <c r="H57" s="44" t="s">
        <v>461</v>
      </c>
      <c r="I57" s="42" t="s">
        <v>2272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479</v>
      </c>
      <c r="C58" s="42" t="s">
        <v>71</v>
      </c>
      <c r="D58" s="42" t="s">
        <v>480</v>
      </c>
      <c r="E58" s="34" t="s">
        <v>459</v>
      </c>
      <c r="F58" s="43" t="s">
        <v>459</v>
      </c>
      <c r="G58" s="31" t="s">
        <v>2226</v>
      </c>
      <c r="H58" s="44" t="s">
        <v>461</v>
      </c>
      <c r="I58" s="42" t="s">
        <v>2264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479</v>
      </c>
      <c r="C59" s="42" t="s">
        <v>71</v>
      </c>
      <c r="D59" s="42" t="s">
        <v>481</v>
      </c>
      <c r="E59" s="34" t="s">
        <v>459</v>
      </c>
      <c r="F59" s="43" t="s">
        <v>459</v>
      </c>
      <c r="G59" s="31" t="s">
        <v>2226</v>
      </c>
      <c r="H59" s="44" t="s">
        <v>461</v>
      </c>
      <c r="I59" s="42" t="s">
        <v>2264</v>
      </c>
      <c r="J59" s="42"/>
      <c r="K59" s="45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31" t="n">
        <v>52</v>
      </c>
      <c r="B60" s="42" t="s">
        <v>457</v>
      </c>
      <c r="C60" s="42" t="s">
        <v>71</v>
      </c>
      <c r="D60" s="42" t="s">
        <v>482</v>
      </c>
      <c r="E60" s="34" t="s">
        <v>459</v>
      </c>
      <c r="F60" s="43" t="s">
        <v>459</v>
      </c>
      <c r="G60" s="31" t="s">
        <v>2226</v>
      </c>
      <c r="H60" s="44" t="s">
        <v>461</v>
      </c>
      <c r="I60" s="42" t="s">
        <v>2264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774</v>
      </c>
      <c r="C61" s="42" t="s">
        <v>71</v>
      </c>
      <c r="D61" s="42" t="s">
        <v>775</v>
      </c>
      <c r="E61" s="34" t="s">
        <v>459</v>
      </c>
      <c r="F61" s="43" t="s">
        <v>459</v>
      </c>
      <c r="G61" s="31" t="s">
        <v>2226</v>
      </c>
      <c r="H61" s="44" t="s">
        <v>461</v>
      </c>
      <c r="I61" s="42" t="s">
        <v>2264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483</v>
      </c>
      <c r="C62" s="42" t="s">
        <v>71</v>
      </c>
      <c r="D62" s="42" t="s">
        <v>484</v>
      </c>
      <c r="E62" s="34" t="s">
        <v>459</v>
      </c>
      <c r="F62" s="43" t="s">
        <v>459</v>
      </c>
      <c r="G62" s="31" t="s">
        <v>2226</v>
      </c>
      <c r="H62" s="44" t="s">
        <v>461</v>
      </c>
      <c r="I62" s="42" t="s">
        <v>2264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483</v>
      </c>
      <c r="C63" s="42" t="s">
        <v>71</v>
      </c>
      <c r="D63" s="42" t="s">
        <v>485</v>
      </c>
      <c r="E63" s="34" t="s">
        <v>459</v>
      </c>
      <c r="F63" s="43" t="s">
        <v>459</v>
      </c>
      <c r="G63" s="31" t="s">
        <v>2226</v>
      </c>
      <c r="H63" s="44" t="s">
        <v>461</v>
      </c>
      <c r="I63" s="42" t="s">
        <v>2264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486</v>
      </c>
      <c r="C64" s="42" t="s">
        <v>71</v>
      </c>
      <c r="D64" s="42" t="s">
        <v>1062</v>
      </c>
      <c r="E64" s="34" t="s">
        <v>459</v>
      </c>
      <c r="F64" s="43" t="s">
        <v>459</v>
      </c>
      <c r="G64" s="31" t="s">
        <v>2226</v>
      </c>
      <c r="H64" s="44" t="s">
        <v>461</v>
      </c>
      <c r="I64" s="42" t="s">
        <v>2264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486</v>
      </c>
      <c r="C65" s="42" t="s">
        <v>71</v>
      </c>
      <c r="D65" s="42" t="s">
        <v>495</v>
      </c>
      <c r="E65" s="34" t="s">
        <v>459</v>
      </c>
      <c r="F65" s="43" t="s">
        <v>459</v>
      </c>
      <c r="G65" s="31" t="s">
        <v>2226</v>
      </c>
      <c r="H65" s="44" t="s">
        <v>461</v>
      </c>
      <c r="I65" s="42" t="s">
        <v>2264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486</v>
      </c>
      <c r="C66" s="42" t="s">
        <v>71</v>
      </c>
      <c r="D66" s="42" t="s">
        <v>499</v>
      </c>
      <c r="E66" s="34" t="s">
        <v>459</v>
      </c>
      <c r="F66" s="43" t="s">
        <v>459</v>
      </c>
      <c r="G66" s="31" t="s">
        <v>2226</v>
      </c>
      <c r="H66" s="44" t="s">
        <v>461</v>
      </c>
      <c r="I66" s="42" t="s">
        <v>2264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488</v>
      </c>
      <c r="C67" s="42" t="s">
        <v>71</v>
      </c>
      <c r="D67" s="42" t="s">
        <v>497</v>
      </c>
      <c r="E67" s="34" t="s">
        <v>459</v>
      </c>
      <c r="F67" s="43" t="s">
        <v>459</v>
      </c>
      <c r="G67" s="31" t="s">
        <v>2226</v>
      </c>
      <c r="H67" s="44" t="s">
        <v>461</v>
      </c>
      <c r="I67" s="42" t="s">
        <v>2264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488</v>
      </c>
      <c r="C68" s="42" t="s">
        <v>71</v>
      </c>
      <c r="D68" s="42" t="s">
        <v>957</v>
      </c>
      <c r="E68" s="34" t="s">
        <v>459</v>
      </c>
      <c r="F68" s="43" t="s">
        <v>459</v>
      </c>
      <c r="G68" s="31" t="s">
        <v>2226</v>
      </c>
      <c r="H68" s="44" t="s">
        <v>461</v>
      </c>
      <c r="I68" s="42" t="s">
        <v>2264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488</v>
      </c>
      <c r="C69" s="42" t="s">
        <v>71</v>
      </c>
      <c r="D69" s="42" t="s">
        <v>1602</v>
      </c>
      <c r="E69" s="34" t="s">
        <v>459</v>
      </c>
      <c r="F69" s="43" t="s">
        <v>459</v>
      </c>
      <c r="G69" s="31" t="s">
        <v>2226</v>
      </c>
      <c r="H69" s="44" t="s">
        <v>461</v>
      </c>
      <c r="I69" s="42" t="s">
        <v>2264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488</v>
      </c>
      <c r="C70" s="42" t="s">
        <v>71</v>
      </c>
      <c r="D70" s="42" t="s">
        <v>958</v>
      </c>
      <c r="E70" s="34" t="s">
        <v>459</v>
      </c>
      <c r="F70" s="43" t="s">
        <v>459</v>
      </c>
      <c r="G70" s="31" t="s">
        <v>2226</v>
      </c>
      <c r="H70" s="44" t="s">
        <v>461</v>
      </c>
      <c r="I70" s="42" t="s">
        <v>2264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505</v>
      </c>
      <c r="C71" s="42" t="s">
        <v>506</v>
      </c>
      <c r="D71" s="42" t="s">
        <v>905</v>
      </c>
      <c r="E71" s="34" t="s">
        <v>459</v>
      </c>
      <c r="F71" s="43" t="s">
        <v>459</v>
      </c>
      <c r="G71" s="31" t="s">
        <v>2226</v>
      </c>
      <c r="H71" s="44" t="s">
        <v>461</v>
      </c>
      <c r="I71" s="42" t="s">
        <v>2264</v>
      </c>
      <c r="J71" s="42"/>
      <c r="K71" s="45" t="n">
        <f aca="false">IF(AND(E71="yes",F71="yes",H71="covered"),1,IF(H71="partial",0.5,0))</f>
        <v>1</v>
      </c>
    </row>
    <row r="72" customFormat="false" ht="45" hidden="false" customHeight="true" outlineLevel="0" collapsed="false">
      <c r="A72" s="31" t="n">
        <v>64</v>
      </c>
      <c r="B72" s="42" t="s">
        <v>505</v>
      </c>
      <c r="C72" s="42" t="s">
        <v>506</v>
      </c>
      <c r="D72" s="42" t="s">
        <v>962</v>
      </c>
      <c r="E72" s="34" t="s">
        <v>459</v>
      </c>
      <c r="F72" s="43" t="s">
        <v>459</v>
      </c>
      <c r="G72" s="31" t="s">
        <v>2226</v>
      </c>
      <c r="H72" s="44" t="s">
        <v>461</v>
      </c>
      <c r="I72" s="42" t="s">
        <v>2264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505</v>
      </c>
      <c r="C73" s="42" t="s">
        <v>506</v>
      </c>
      <c r="D73" s="42" t="s">
        <v>783</v>
      </c>
      <c r="E73" s="34" t="s">
        <v>459</v>
      </c>
      <c r="F73" s="43" t="s">
        <v>459</v>
      </c>
      <c r="G73" s="31" t="s">
        <v>2226</v>
      </c>
      <c r="H73" s="44" t="s">
        <v>461</v>
      </c>
      <c r="I73" s="42" t="s">
        <v>2264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505</v>
      </c>
      <c r="C74" s="42" t="s">
        <v>506</v>
      </c>
      <c r="D74" s="42" t="s">
        <v>963</v>
      </c>
      <c r="E74" s="34" t="s">
        <v>459</v>
      </c>
      <c r="F74" s="43" t="s">
        <v>459</v>
      </c>
      <c r="G74" s="31" t="s">
        <v>2226</v>
      </c>
      <c r="H74" s="44" t="s">
        <v>461</v>
      </c>
      <c r="I74" s="42" t="s">
        <v>2264</v>
      </c>
      <c r="J74" s="42"/>
      <c r="K74" s="45" t="n">
        <f aca="false">IF(AND(E74="yes",F74="yes",H74="covered"),1,IF(H74="partial",0.5,0))</f>
        <v>1</v>
      </c>
    </row>
    <row r="75" customFormat="false" ht="30" hidden="false" customHeight="true" outlineLevel="0" collapsed="false">
      <c r="A75" s="31" t="n">
        <v>67</v>
      </c>
      <c r="B75" s="42" t="s">
        <v>505</v>
      </c>
      <c r="C75" s="42" t="s">
        <v>506</v>
      </c>
      <c r="D75" s="42" t="s">
        <v>964</v>
      </c>
      <c r="E75" s="34" t="s">
        <v>459</v>
      </c>
      <c r="F75" s="43" t="s">
        <v>459</v>
      </c>
      <c r="G75" s="31" t="s">
        <v>2226</v>
      </c>
      <c r="H75" s="44" t="s">
        <v>461</v>
      </c>
      <c r="I75" s="42" t="s">
        <v>2264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511</v>
      </c>
      <c r="C76" s="42" t="s">
        <v>506</v>
      </c>
      <c r="D76" s="42" t="s">
        <v>512</v>
      </c>
      <c r="E76" s="34" t="s">
        <v>459</v>
      </c>
      <c r="F76" s="43" t="s">
        <v>459</v>
      </c>
      <c r="G76" s="31" t="s">
        <v>2226</v>
      </c>
      <c r="H76" s="44" t="s">
        <v>461</v>
      </c>
      <c r="I76" s="42" t="s">
        <v>2264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511</v>
      </c>
      <c r="C77" s="42" t="s">
        <v>506</v>
      </c>
      <c r="D77" s="42" t="s">
        <v>965</v>
      </c>
      <c r="E77" s="34" t="s">
        <v>459</v>
      </c>
      <c r="F77" s="43" t="s">
        <v>459</v>
      </c>
      <c r="G77" s="31" t="s">
        <v>2226</v>
      </c>
      <c r="H77" s="44" t="s">
        <v>461</v>
      </c>
      <c r="I77" s="42" t="s">
        <v>2264</v>
      </c>
      <c r="J77" s="42"/>
      <c r="K77" s="45" t="n">
        <f aca="false">IF(AND(E77="yes",F77="yes",H77="covered"),1,IF(H77="partial",0.5,0))</f>
        <v>1</v>
      </c>
    </row>
    <row r="78" customFormat="false" ht="45" hidden="false" customHeight="true" outlineLevel="0" collapsed="false">
      <c r="A78" s="31" t="n">
        <v>70</v>
      </c>
      <c r="B78" s="42" t="s">
        <v>511</v>
      </c>
      <c r="C78" s="42" t="s">
        <v>506</v>
      </c>
      <c r="D78" s="42" t="s">
        <v>966</v>
      </c>
      <c r="E78" s="34" t="s">
        <v>459</v>
      </c>
      <c r="F78" s="43" t="s">
        <v>459</v>
      </c>
      <c r="G78" s="31" t="s">
        <v>2226</v>
      </c>
      <c r="H78" s="44" t="s">
        <v>461</v>
      </c>
      <c r="I78" s="42" t="s">
        <v>2264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511</v>
      </c>
      <c r="C79" s="42" t="s">
        <v>506</v>
      </c>
      <c r="D79" s="42" t="s">
        <v>1611</v>
      </c>
      <c r="E79" s="34" t="s">
        <v>459</v>
      </c>
      <c r="F79" s="43" t="s">
        <v>459</v>
      </c>
      <c r="G79" s="31" t="s">
        <v>2226</v>
      </c>
      <c r="H79" s="44" t="s">
        <v>461</v>
      </c>
      <c r="I79" s="42" t="s">
        <v>2264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511</v>
      </c>
      <c r="C80" s="42" t="s">
        <v>506</v>
      </c>
      <c r="D80" s="42" t="s">
        <v>514</v>
      </c>
      <c r="E80" s="34" t="s">
        <v>459</v>
      </c>
      <c r="F80" s="43" t="s">
        <v>459</v>
      </c>
      <c r="G80" s="31" t="s">
        <v>2226</v>
      </c>
      <c r="H80" s="44" t="s">
        <v>461</v>
      </c>
      <c r="I80" s="42" t="s">
        <v>2264</v>
      </c>
      <c r="J80" s="42"/>
      <c r="K80" s="45" t="n">
        <f aca="false">IF(AND(E80="yes",F80="yes",H80="covered"),1,IF(H80="partial",0.5,0))</f>
        <v>1</v>
      </c>
    </row>
    <row r="81" customFormat="false" ht="30" hidden="false" customHeight="true" outlineLevel="0" collapsed="false">
      <c r="A81" s="31" t="n">
        <v>73</v>
      </c>
      <c r="B81" s="42" t="s">
        <v>511</v>
      </c>
      <c r="C81" s="42" t="s">
        <v>506</v>
      </c>
      <c r="D81" s="42" t="s">
        <v>515</v>
      </c>
      <c r="E81" s="34" t="s">
        <v>459</v>
      </c>
      <c r="F81" s="43" t="s">
        <v>459</v>
      </c>
      <c r="G81" s="31" t="s">
        <v>2226</v>
      </c>
      <c r="H81" s="44" t="s">
        <v>461</v>
      </c>
      <c r="I81" s="42" t="s">
        <v>2264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488</v>
      </c>
      <c r="C82" s="42" t="s">
        <v>476</v>
      </c>
      <c r="D82" s="42" t="s">
        <v>521</v>
      </c>
      <c r="E82" s="34" t="s">
        <v>459</v>
      </c>
      <c r="F82" s="43" t="s">
        <v>459</v>
      </c>
      <c r="G82" s="31" t="s">
        <v>2226</v>
      </c>
      <c r="H82" s="44" t="s">
        <v>461</v>
      </c>
      <c r="I82" s="42" t="s">
        <v>2264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488</v>
      </c>
      <c r="C83" s="42" t="s">
        <v>476</v>
      </c>
      <c r="D83" s="42" t="s">
        <v>522</v>
      </c>
      <c r="E83" s="34" t="s">
        <v>459</v>
      </c>
      <c r="F83" s="43" t="s">
        <v>459</v>
      </c>
      <c r="G83" s="31" t="s">
        <v>2226</v>
      </c>
      <c r="H83" s="44" t="s">
        <v>461</v>
      </c>
      <c r="I83" s="42" t="s">
        <v>2264</v>
      </c>
      <c r="J83" s="42"/>
      <c r="K83" s="45" t="n">
        <f aca="false">IF(AND(E83="yes",F83="yes",H83="covered"),1,IF(H83="partial",0.5,0))</f>
        <v>1</v>
      </c>
    </row>
    <row r="84" customFormat="false" ht="45" hidden="false" customHeight="true" outlineLevel="0" collapsed="false">
      <c r="A84" s="31" t="n">
        <v>76</v>
      </c>
      <c r="B84" s="42" t="s">
        <v>488</v>
      </c>
      <c r="C84" s="42" t="s">
        <v>476</v>
      </c>
      <c r="D84" s="42" t="s">
        <v>523</v>
      </c>
      <c r="E84" s="34" t="s">
        <v>459</v>
      </c>
      <c r="F84" s="43" t="s">
        <v>459</v>
      </c>
      <c r="G84" s="31" t="s">
        <v>2226</v>
      </c>
      <c r="H84" s="44" t="s">
        <v>461</v>
      </c>
      <c r="I84" s="42" t="s">
        <v>2272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488</v>
      </c>
      <c r="C85" s="42" t="s">
        <v>53</v>
      </c>
      <c r="D85" s="42" t="s">
        <v>968</v>
      </c>
      <c r="E85" s="34" t="s">
        <v>459</v>
      </c>
      <c r="F85" s="43" t="s">
        <v>459</v>
      </c>
      <c r="G85" s="31" t="s">
        <v>2226</v>
      </c>
      <c r="H85" s="44" t="s">
        <v>461</v>
      </c>
      <c r="I85" s="42" t="s">
        <v>2264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488</v>
      </c>
      <c r="C86" s="42" t="s">
        <v>53</v>
      </c>
      <c r="D86" s="42" t="s">
        <v>969</v>
      </c>
      <c r="E86" s="34" t="s">
        <v>459</v>
      </c>
      <c r="F86" s="43" t="s">
        <v>459</v>
      </c>
      <c r="G86" s="31" t="s">
        <v>2226</v>
      </c>
      <c r="H86" s="44" t="s">
        <v>461</v>
      </c>
      <c r="I86" s="42" t="s">
        <v>2264</v>
      </c>
      <c r="J86" s="42"/>
      <c r="K86" s="45" t="n">
        <f aca="false">IF(AND(E86="yes",F86="yes",H86="covered"),1,IF(H86="partial",0.5,0))</f>
        <v>1</v>
      </c>
    </row>
    <row r="87" customFormat="false" ht="30" hidden="false" customHeight="true" outlineLevel="0" collapsed="false">
      <c r="A87" s="31" t="n">
        <v>79</v>
      </c>
      <c r="B87" s="42" t="s">
        <v>488</v>
      </c>
      <c r="C87" s="42" t="s">
        <v>53</v>
      </c>
      <c r="D87" s="42" t="s">
        <v>970</v>
      </c>
      <c r="E87" s="34" t="s">
        <v>459</v>
      </c>
      <c r="F87" s="43" t="s">
        <v>459</v>
      </c>
      <c r="G87" s="31" t="s">
        <v>2226</v>
      </c>
      <c r="H87" s="44" t="s">
        <v>461</v>
      </c>
      <c r="I87" s="42" t="s">
        <v>2264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488</v>
      </c>
      <c r="C88" s="42" t="s">
        <v>53</v>
      </c>
      <c r="D88" s="42" t="s">
        <v>971</v>
      </c>
      <c r="E88" s="34" t="s">
        <v>459</v>
      </c>
      <c r="F88" s="43" t="s">
        <v>459</v>
      </c>
      <c r="G88" s="31" t="s">
        <v>2226</v>
      </c>
      <c r="H88" s="44" t="s">
        <v>461</v>
      </c>
      <c r="I88" s="42" t="s">
        <v>2264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30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45" hidden="false" customHeight="true" outlineLevel="0" collapsed="false"/>
    <row r="108" customFormat="false" ht="30" hidden="false" customHeight="true" outlineLevel="0" collapsed="false"/>
    <row r="109" customFormat="false" ht="30" hidden="false" customHeight="true" outlineLevel="0" collapsed="false"/>
    <row r="110" customFormat="false" ht="30" hidden="false" customHeight="true" outlineLevel="0" collapsed="false"/>
    <row r="111" customFormat="false" ht="30" hidden="false" customHeight="true" outlineLevel="0" collapsed="false"/>
    <row r="112" customFormat="false" ht="45" hidden="false" customHeight="true" outlineLevel="0" collapsed="false"/>
    <row r="113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2278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145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2279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2279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54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2279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54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2279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54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2279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54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2279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54</v>
      </c>
      <c r="D15" s="42" t="s">
        <v>1044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2279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54</v>
      </c>
      <c r="D16" s="42" t="s">
        <v>2280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2279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54</v>
      </c>
      <c r="D17" s="42" t="s">
        <v>2281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2279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54</v>
      </c>
      <c r="D18" s="42" t="s">
        <v>1732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2279</v>
      </c>
      <c r="J18" s="42"/>
      <c r="K18" s="45" t="n">
        <f aca="false">IF(AND(E18="yes",F18="yes",H18="covered"),1,IF(H18="partial",0.5,0))</f>
        <v>1</v>
      </c>
    </row>
    <row r="19" customFormat="false" ht="45" hidden="false" customHeight="true" outlineLevel="0" collapsed="false">
      <c r="A19" s="31" t="n">
        <v>11</v>
      </c>
      <c r="B19" s="42" t="s">
        <v>468</v>
      </c>
      <c r="C19" s="42" t="s">
        <v>54</v>
      </c>
      <c r="D19" s="42" t="s">
        <v>2282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2279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54</v>
      </c>
      <c r="D20" s="42" t="s">
        <v>2283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2279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468</v>
      </c>
      <c r="C21" s="42" t="s">
        <v>54</v>
      </c>
      <c r="D21" s="42" t="s">
        <v>2284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2279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468</v>
      </c>
      <c r="C22" s="42" t="s">
        <v>54</v>
      </c>
      <c r="D22" s="42" t="s">
        <v>2285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2279</v>
      </c>
      <c r="J22" s="42"/>
      <c r="K22" s="45" t="n">
        <f aca="false">IF(AND(E22="yes",F22="yes",H22="covered"),1,IF(H22="partial",0.5,0))</f>
        <v>1</v>
      </c>
    </row>
    <row r="23" customFormat="false" ht="45" hidden="false" customHeight="true" outlineLevel="0" collapsed="false">
      <c r="A23" s="31" t="n">
        <v>15</v>
      </c>
      <c r="B23" s="42" t="s">
        <v>475</v>
      </c>
      <c r="C23" s="42" t="s">
        <v>476</v>
      </c>
      <c r="D23" s="42" t="s">
        <v>477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2279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475</v>
      </c>
      <c r="C24" s="42" t="s">
        <v>476</v>
      </c>
      <c r="D24" s="42" t="s">
        <v>478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2279</v>
      </c>
      <c r="J24" s="42"/>
      <c r="K24" s="45" t="n">
        <f aca="false">IF(AND(E24="yes",F24="yes",H24="covered"),1,IF(H24="partial",0.5,0))</f>
        <v>1</v>
      </c>
    </row>
    <row r="25" customFormat="false" ht="30" hidden="false" customHeight="true" outlineLevel="0" collapsed="false">
      <c r="A25" s="31" t="n">
        <v>17</v>
      </c>
      <c r="B25" s="42" t="s">
        <v>479</v>
      </c>
      <c r="C25" s="42" t="s">
        <v>476</v>
      </c>
      <c r="D25" s="42" t="s">
        <v>2286</v>
      </c>
      <c r="E25" s="34" t="s">
        <v>459</v>
      </c>
      <c r="F25" s="43" t="s">
        <v>459</v>
      </c>
      <c r="G25" s="31" t="s">
        <v>2287</v>
      </c>
      <c r="H25" s="44" t="s">
        <v>461</v>
      </c>
      <c r="I25" s="42" t="s">
        <v>2288</v>
      </c>
      <c r="J25" s="42"/>
      <c r="K25" s="45" t="n">
        <f aca="false">IF(AND(E25="yes",F25="yes",H25="covered"),1,IF(H25="partial",0.5,0))</f>
        <v>1</v>
      </c>
    </row>
    <row r="26" customFormat="false" ht="45" hidden="false" customHeight="true" outlineLevel="0" collapsed="false">
      <c r="A26" s="31" t="n">
        <v>18</v>
      </c>
      <c r="B26" s="42" t="s">
        <v>479</v>
      </c>
      <c r="C26" s="42" t="s">
        <v>476</v>
      </c>
      <c r="D26" s="42" t="s">
        <v>1958</v>
      </c>
      <c r="E26" s="34" t="s">
        <v>459</v>
      </c>
      <c r="F26" s="43" t="s">
        <v>459</v>
      </c>
      <c r="G26" s="31" t="s">
        <v>2289</v>
      </c>
      <c r="H26" s="44" t="s">
        <v>461</v>
      </c>
      <c r="I26" s="42" t="s">
        <v>2290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457</v>
      </c>
      <c r="C27" s="42" t="s">
        <v>476</v>
      </c>
      <c r="D27" s="42" t="s">
        <v>2291</v>
      </c>
      <c r="E27" s="34" t="s">
        <v>459</v>
      </c>
      <c r="F27" s="43" t="s">
        <v>459</v>
      </c>
      <c r="G27" s="31" t="s">
        <v>2292</v>
      </c>
      <c r="H27" s="44" t="s">
        <v>461</v>
      </c>
      <c r="I27" s="42" t="s">
        <v>2293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774</v>
      </c>
      <c r="C28" s="42" t="s">
        <v>476</v>
      </c>
      <c r="D28" s="42" t="s">
        <v>2294</v>
      </c>
      <c r="E28" s="34" t="s">
        <v>459</v>
      </c>
      <c r="F28" s="43" t="s">
        <v>459</v>
      </c>
      <c r="G28" s="31" t="s">
        <v>2295</v>
      </c>
      <c r="H28" s="44" t="s">
        <v>461</v>
      </c>
      <c r="I28" s="42" t="s">
        <v>2296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999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2279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1000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2279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1001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2279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1056</v>
      </c>
      <c r="C32" s="42" t="s">
        <v>476</v>
      </c>
      <c r="D32" s="42" t="s">
        <v>2297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2279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2298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2279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1056</v>
      </c>
      <c r="C34" s="42" t="s">
        <v>476</v>
      </c>
      <c r="D34" s="42" t="s">
        <v>2299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2279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488</v>
      </c>
      <c r="C35" s="42" t="s">
        <v>476</v>
      </c>
      <c r="D35" s="42" t="s">
        <v>493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2279</v>
      </c>
      <c r="J35" s="42"/>
      <c r="K35" s="45" t="n">
        <f aca="false">IF(AND(E35="yes",F35="yes",H35="covered"),1,IF(H35="partial",0.5,0))</f>
        <v>1</v>
      </c>
    </row>
    <row r="36" customFormat="false" ht="45" hidden="false" customHeight="true" outlineLevel="0" collapsed="false">
      <c r="A36" s="31" t="n">
        <v>28</v>
      </c>
      <c r="B36" s="42" t="s">
        <v>475</v>
      </c>
      <c r="C36" s="42" t="s">
        <v>55</v>
      </c>
      <c r="D36" s="42" t="s">
        <v>477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2279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475</v>
      </c>
      <c r="C37" s="42" t="s">
        <v>55</v>
      </c>
      <c r="D37" s="42" t="s">
        <v>478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2279</v>
      </c>
      <c r="J37" s="42"/>
      <c r="K37" s="45" t="n">
        <f aca="false">IF(AND(E37="yes",F37="yes",H37="covered"),1,IF(H37="partial",0.5,0))</f>
        <v>1</v>
      </c>
    </row>
    <row r="38" customFormat="false" ht="45" hidden="false" customHeight="true" outlineLevel="0" collapsed="false">
      <c r="A38" s="31" t="n">
        <v>30</v>
      </c>
      <c r="B38" s="42" t="s">
        <v>479</v>
      </c>
      <c r="C38" s="42" t="s">
        <v>55</v>
      </c>
      <c r="D38" s="42" t="s">
        <v>2300</v>
      </c>
      <c r="E38" s="34" t="s">
        <v>459</v>
      </c>
      <c r="F38" s="43" t="s">
        <v>459</v>
      </c>
      <c r="G38" s="31" t="s">
        <v>2301</v>
      </c>
      <c r="H38" s="44" t="s">
        <v>461</v>
      </c>
      <c r="I38" s="42" t="s">
        <v>2302</v>
      </c>
      <c r="J38" s="42"/>
      <c r="K38" s="45" t="n">
        <f aca="false">IF(AND(E38="yes",F38="yes",H38="covered"),1,IF(H38="partial",0.5,0))</f>
        <v>1</v>
      </c>
    </row>
    <row r="39" customFormat="false" ht="45" hidden="false" customHeight="true" outlineLevel="0" collapsed="false">
      <c r="A39" s="31" t="n">
        <v>31</v>
      </c>
      <c r="B39" s="42" t="s">
        <v>479</v>
      </c>
      <c r="C39" s="42" t="s">
        <v>55</v>
      </c>
      <c r="D39" s="42" t="s">
        <v>2303</v>
      </c>
      <c r="E39" s="34" t="s">
        <v>459</v>
      </c>
      <c r="F39" s="43" t="s">
        <v>459</v>
      </c>
      <c r="G39" s="31" t="s">
        <v>2304</v>
      </c>
      <c r="H39" s="44" t="s">
        <v>461</v>
      </c>
      <c r="I39" s="42" t="s">
        <v>2305</v>
      </c>
      <c r="J39" s="42"/>
      <c r="K39" s="45" t="n">
        <f aca="false">IF(AND(E39="yes",F39="yes",H39="covered"),1,IF(H39="partial",0.5,0))</f>
        <v>1</v>
      </c>
    </row>
    <row r="40" customFormat="false" ht="45" hidden="false" customHeight="true" outlineLevel="0" collapsed="false">
      <c r="A40" s="31" t="n">
        <v>32</v>
      </c>
      <c r="B40" s="42" t="s">
        <v>457</v>
      </c>
      <c r="C40" s="42" t="s">
        <v>55</v>
      </c>
      <c r="D40" s="42" t="s">
        <v>2306</v>
      </c>
      <c r="E40" s="34" t="s">
        <v>459</v>
      </c>
      <c r="F40" s="43" t="s">
        <v>459</v>
      </c>
      <c r="G40" s="31" t="s">
        <v>2307</v>
      </c>
      <c r="H40" s="44" t="s">
        <v>461</v>
      </c>
      <c r="I40" s="42" t="s">
        <v>2308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774</v>
      </c>
      <c r="C41" s="42" t="s">
        <v>55</v>
      </c>
      <c r="D41" s="42" t="s">
        <v>2309</v>
      </c>
      <c r="E41" s="34" t="s">
        <v>459</v>
      </c>
      <c r="F41" s="43" t="s">
        <v>459</v>
      </c>
      <c r="G41" s="31" t="s">
        <v>2310</v>
      </c>
      <c r="H41" s="44" t="s">
        <v>461</v>
      </c>
      <c r="I41" s="42" t="s">
        <v>2311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1056</v>
      </c>
      <c r="C42" s="42" t="s">
        <v>55</v>
      </c>
      <c r="D42" s="42" t="s">
        <v>1057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2279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488</v>
      </c>
      <c r="C43" s="42" t="s">
        <v>55</v>
      </c>
      <c r="D43" s="42" t="s">
        <v>493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2279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475</v>
      </c>
      <c r="C44" s="42" t="s">
        <v>2312</v>
      </c>
      <c r="D44" s="42" t="s">
        <v>477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2279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475</v>
      </c>
      <c r="C45" s="42" t="s">
        <v>2312</v>
      </c>
      <c r="D45" s="42" t="s">
        <v>478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2279</v>
      </c>
      <c r="J45" s="42"/>
      <c r="K45" s="45" t="n">
        <f aca="false">IF(AND(E45="yes",F45="yes",H45="covered"),1,IF(H45="partial",0.5,0))</f>
        <v>1</v>
      </c>
    </row>
    <row r="46" customFormat="false" ht="30" hidden="false" customHeight="true" outlineLevel="0" collapsed="false">
      <c r="A46" s="31" t="n">
        <v>38</v>
      </c>
      <c r="B46" s="42" t="s">
        <v>479</v>
      </c>
      <c r="C46" s="42" t="s">
        <v>2312</v>
      </c>
      <c r="D46" s="42" t="s">
        <v>480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2279</v>
      </c>
      <c r="J46" s="42"/>
      <c r="K46" s="45" t="n">
        <f aca="false">IF(AND(E46="yes",F46="yes",H46="covered"),1,IF(H46="partial",0.5,0))</f>
        <v>1</v>
      </c>
    </row>
    <row r="47" customFormat="false" ht="45" hidden="false" customHeight="true" outlineLevel="0" collapsed="false">
      <c r="A47" s="31" t="n">
        <v>39</v>
      </c>
      <c r="B47" s="42" t="s">
        <v>479</v>
      </c>
      <c r="C47" s="42" t="s">
        <v>2312</v>
      </c>
      <c r="D47" s="42" t="s">
        <v>481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2279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457</v>
      </c>
      <c r="C48" s="42" t="s">
        <v>2312</v>
      </c>
      <c r="D48" s="42" t="s">
        <v>482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2279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774</v>
      </c>
      <c r="C49" s="42" t="s">
        <v>2312</v>
      </c>
      <c r="D49" s="42" t="s">
        <v>775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2279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483</v>
      </c>
      <c r="C50" s="42" t="s">
        <v>2312</v>
      </c>
      <c r="D50" s="42" t="s">
        <v>484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2279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483</v>
      </c>
      <c r="C51" s="42" t="s">
        <v>2312</v>
      </c>
      <c r="D51" s="42" t="s">
        <v>485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2279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486</v>
      </c>
      <c r="C52" s="42" t="s">
        <v>2312</v>
      </c>
      <c r="D52" s="42" t="s">
        <v>1062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2279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486</v>
      </c>
      <c r="C53" s="42" t="s">
        <v>2312</v>
      </c>
      <c r="D53" s="42" t="s">
        <v>495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2279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475</v>
      </c>
      <c r="C54" s="42" t="s">
        <v>498</v>
      </c>
      <c r="D54" s="42" t="s">
        <v>477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2279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475</v>
      </c>
      <c r="C55" s="42" t="s">
        <v>498</v>
      </c>
      <c r="D55" s="42" t="s">
        <v>478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2279</v>
      </c>
      <c r="J55" s="42"/>
      <c r="K55" s="45" t="n">
        <f aca="false">IF(AND(E55="yes",F55="yes",H55="covered"),1,IF(H55="partial",0.5,0))</f>
        <v>1</v>
      </c>
    </row>
    <row r="56" customFormat="false" ht="30" hidden="false" customHeight="true" outlineLevel="0" collapsed="false">
      <c r="A56" s="31" t="n">
        <v>48</v>
      </c>
      <c r="B56" s="42" t="s">
        <v>479</v>
      </c>
      <c r="C56" s="42" t="s">
        <v>498</v>
      </c>
      <c r="D56" s="42" t="s">
        <v>480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2279</v>
      </c>
      <c r="J56" s="42"/>
      <c r="K56" s="45" t="n">
        <f aca="false">IF(AND(E56="yes",F56="yes",H56="covered"),1,IF(H56="partial",0.5,0))</f>
        <v>1</v>
      </c>
    </row>
    <row r="57" customFormat="false" ht="45" hidden="false" customHeight="true" outlineLevel="0" collapsed="false">
      <c r="A57" s="31" t="n">
        <v>49</v>
      </c>
      <c r="B57" s="42" t="s">
        <v>479</v>
      </c>
      <c r="C57" s="42" t="s">
        <v>498</v>
      </c>
      <c r="D57" s="42" t="s">
        <v>481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2279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457</v>
      </c>
      <c r="C58" s="42" t="s">
        <v>498</v>
      </c>
      <c r="D58" s="42" t="s">
        <v>482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2279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774</v>
      </c>
      <c r="C59" s="42" t="s">
        <v>498</v>
      </c>
      <c r="D59" s="42" t="s">
        <v>775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2279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483</v>
      </c>
      <c r="C60" s="42" t="s">
        <v>498</v>
      </c>
      <c r="D60" s="42" t="s">
        <v>484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2279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483</v>
      </c>
      <c r="C61" s="42" t="s">
        <v>498</v>
      </c>
      <c r="D61" s="42" t="s">
        <v>485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2279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486</v>
      </c>
      <c r="C62" s="42" t="s">
        <v>498</v>
      </c>
      <c r="D62" s="42" t="s">
        <v>1062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2279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486</v>
      </c>
      <c r="C63" s="42" t="s">
        <v>498</v>
      </c>
      <c r="D63" s="42" t="s">
        <v>495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2279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486</v>
      </c>
      <c r="C64" s="42" t="s">
        <v>498</v>
      </c>
      <c r="D64" s="42" t="s">
        <v>499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2279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486</v>
      </c>
      <c r="C65" s="42" t="s">
        <v>498</v>
      </c>
      <c r="D65" s="42" t="s">
        <v>2313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2279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488</v>
      </c>
      <c r="C66" s="42" t="s">
        <v>498</v>
      </c>
      <c r="D66" s="42" t="s">
        <v>497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2279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475</v>
      </c>
      <c r="C67" s="42" t="s">
        <v>500</v>
      </c>
      <c r="D67" s="42" t="s">
        <v>477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2279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475</v>
      </c>
      <c r="C68" s="42" t="s">
        <v>500</v>
      </c>
      <c r="D68" s="42" t="s">
        <v>478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2279</v>
      </c>
      <c r="J68" s="42"/>
      <c r="K68" s="45" t="n">
        <f aca="false">IF(AND(E68="yes",F68="yes",H68="covered"),1,IF(H68="partial",0.5,0))</f>
        <v>1</v>
      </c>
    </row>
    <row r="69" customFormat="false" ht="30" hidden="false" customHeight="true" outlineLevel="0" collapsed="false">
      <c r="A69" s="31" t="n">
        <v>61</v>
      </c>
      <c r="B69" s="42" t="s">
        <v>479</v>
      </c>
      <c r="C69" s="42" t="s">
        <v>500</v>
      </c>
      <c r="D69" s="42" t="s">
        <v>480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2279</v>
      </c>
      <c r="J69" s="42"/>
      <c r="K69" s="45" t="n">
        <f aca="false">IF(AND(E69="yes",F69="yes",H69="covered"),1,IF(H69="partial",0.5,0))</f>
        <v>1</v>
      </c>
    </row>
    <row r="70" customFormat="false" ht="45" hidden="false" customHeight="true" outlineLevel="0" collapsed="false">
      <c r="A70" s="31" t="n">
        <v>62</v>
      </c>
      <c r="B70" s="42" t="s">
        <v>479</v>
      </c>
      <c r="C70" s="42" t="s">
        <v>500</v>
      </c>
      <c r="D70" s="42" t="s">
        <v>481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2279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457</v>
      </c>
      <c r="C71" s="42" t="s">
        <v>500</v>
      </c>
      <c r="D71" s="42" t="s">
        <v>482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2279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774</v>
      </c>
      <c r="C72" s="42" t="s">
        <v>500</v>
      </c>
      <c r="D72" s="42" t="s">
        <v>775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2279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1056</v>
      </c>
      <c r="C73" s="42" t="s">
        <v>500</v>
      </c>
      <c r="D73" s="42" t="s">
        <v>1748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2279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1056</v>
      </c>
      <c r="C74" s="42" t="s">
        <v>500</v>
      </c>
      <c r="D74" s="42" t="s">
        <v>1749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2279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1056</v>
      </c>
      <c r="C75" s="42" t="s">
        <v>500</v>
      </c>
      <c r="D75" s="42" t="s">
        <v>1750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2279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882</v>
      </c>
      <c r="C76" s="42" t="s">
        <v>500</v>
      </c>
      <c r="D76" s="42" t="s">
        <v>956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2279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486</v>
      </c>
      <c r="C77" s="42" t="s">
        <v>500</v>
      </c>
      <c r="D77" s="42" t="s">
        <v>1062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2279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486</v>
      </c>
      <c r="C78" s="42" t="s">
        <v>500</v>
      </c>
      <c r="D78" s="42" t="s">
        <v>495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2279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486</v>
      </c>
      <c r="C79" s="42" t="s">
        <v>500</v>
      </c>
      <c r="D79" s="42" t="s">
        <v>499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2279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1056</v>
      </c>
      <c r="C80" s="42" t="s">
        <v>500</v>
      </c>
      <c r="D80" s="42" t="s">
        <v>2314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2279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486</v>
      </c>
      <c r="C81" s="42" t="s">
        <v>500</v>
      </c>
      <c r="D81" s="42" t="s">
        <v>1453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2279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475</v>
      </c>
      <c r="C82" s="42" t="s">
        <v>1751</v>
      </c>
      <c r="D82" s="42" t="s">
        <v>477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2279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475</v>
      </c>
      <c r="C83" s="42" t="s">
        <v>1751</v>
      </c>
      <c r="D83" s="42" t="s">
        <v>478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2279</v>
      </c>
      <c r="J83" s="42"/>
      <c r="K83" s="45" t="n">
        <f aca="false">IF(AND(E83="yes",F83="yes",H83="covered"),1,IF(H83="partial",0.5,0))</f>
        <v>1</v>
      </c>
    </row>
    <row r="84" customFormat="false" ht="30" hidden="false" customHeight="true" outlineLevel="0" collapsed="false">
      <c r="A84" s="31" t="n">
        <v>76</v>
      </c>
      <c r="B84" s="42" t="s">
        <v>479</v>
      </c>
      <c r="C84" s="42" t="s">
        <v>1751</v>
      </c>
      <c r="D84" s="42" t="s">
        <v>480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2279</v>
      </c>
      <c r="J84" s="42"/>
      <c r="K84" s="45" t="n">
        <f aca="false">IF(AND(E84="yes",F84="yes",H84="covered"),1,IF(H84="partial",0.5,0))</f>
        <v>1</v>
      </c>
    </row>
    <row r="85" customFormat="false" ht="45" hidden="false" customHeight="true" outlineLevel="0" collapsed="false">
      <c r="A85" s="31" t="n">
        <v>77</v>
      </c>
      <c r="B85" s="42" t="s">
        <v>479</v>
      </c>
      <c r="C85" s="42" t="s">
        <v>1751</v>
      </c>
      <c r="D85" s="42" t="s">
        <v>481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2279</v>
      </c>
      <c r="J85" s="42"/>
      <c r="K85" s="45" t="n">
        <f aca="false">IF(AND(E85="yes",F85="yes",H85="covered"),1,IF(H85="partial",0.5,0))</f>
        <v>1</v>
      </c>
    </row>
    <row r="86" customFormat="false" ht="45" hidden="false" customHeight="true" outlineLevel="0" collapsed="false">
      <c r="A86" s="31" t="n">
        <v>78</v>
      </c>
      <c r="B86" s="42" t="s">
        <v>457</v>
      </c>
      <c r="C86" s="42" t="s">
        <v>1751</v>
      </c>
      <c r="D86" s="42" t="s">
        <v>482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2279</v>
      </c>
      <c r="J86" s="42"/>
      <c r="K86" s="45" t="n">
        <f aca="false">IF(AND(E86="yes",F86="yes",H86="covered"),1,IF(H86="partial",0.5,0))</f>
        <v>1</v>
      </c>
    </row>
    <row r="87" customFormat="false" ht="45" hidden="false" customHeight="true" outlineLevel="0" collapsed="false">
      <c r="A87" s="31" t="n">
        <v>79</v>
      </c>
      <c r="B87" s="42" t="s">
        <v>774</v>
      </c>
      <c r="C87" s="42" t="s">
        <v>1751</v>
      </c>
      <c r="D87" s="42" t="s">
        <v>775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2279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486</v>
      </c>
      <c r="C88" s="42" t="s">
        <v>1751</v>
      </c>
      <c r="D88" s="42" t="s">
        <v>2315</v>
      </c>
      <c r="E88" s="34" t="s">
        <v>459</v>
      </c>
      <c r="F88" s="43" t="s">
        <v>459</v>
      </c>
      <c r="G88" s="31" t="s">
        <v>2316</v>
      </c>
      <c r="H88" s="44" t="s">
        <v>461</v>
      </c>
      <c r="I88" s="42" t="s">
        <v>2317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486</v>
      </c>
      <c r="C89" s="42" t="s">
        <v>1751</v>
      </c>
      <c r="D89" s="42" t="s">
        <v>2318</v>
      </c>
      <c r="E89" s="34" t="s">
        <v>459</v>
      </c>
      <c r="F89" s="43" t="s">
        <v>459</v>
      </c>
      <c r="G89" s="31" t="s">
        <v>2319</v>
      </c>
      <c r="H89" s="44" t="s">
        <v>461</v>
      </c>
      <c r="I89" s="42" t="s">
        <v>2320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486</v>
      </c>
      <c r="C90" s="42" t="s">
        <v>1751</v>
      </c>
      <c r="D90" s="42" t="s">
        <v>1062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2279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486</v>
      </c>
      <c r="C91" s="42" t="s">
        <v>1751</v>
      </c>
      <c r="D91" s="42" t="s">
        <v>495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2279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1056</v>
      </c>
      <c r="C92" s="42" t="s">
        <v>1751</v>
      </c>
      <c r="D92" s="42" t="s">
        <v>2314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2279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475</v>
      </c>
      <c r="C93" s="42" t="s">
        <v>1400</v>
      </c>
      <c r="D93" s="42" t="s">
        <v>477</v>
      </c>
      <c r="E93" s="34" t="s">
        <v>459</v>
      </c>
      <c r="F93" s="43" t="s">
        <v>459</v>
      </c>
      <c r="G93" s="31" t="s">
        <v>543</v>
      </c>
      <c r="H93" s="44" t="s">
        <v>461</v>
      </c>
      <c r="I93" s="42" t="s">
        <v>2279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475</v>
      </c>
      <c r="C94" s="42" t="s">
        <v>1400</v>
      </c>
      <c r="D94" s="42" t="s">
        <v>478</v>
      </c>
      <c r="E94" s="34" t="s">
        <v>459</v>
      </c>
      <c r="F94" s="43" t="s">
        <v>459</v>
      </c>
      <c r="G94" s="31" t="s">
        <v>543</v>
      </c>
      <c r="H94" s="44" t="s">
        <v>461</v>
      </c>
      <c r="I94" s="42" t="s">
        <v>2279</v>
      </c>
      <c r="J94" s="42"/>
      <c r="K94" s="45" t="n">
        <f aca="false">IF(AND(E94="yes",F94="yes",H94="covered"),1,IF(H94="partial",0.5,0))</f>
        <v>1</v>
      </c>
    </row>
    <row r="95" customFormat="false" ht="30" hidden="false" customHeight="true" outlineLevel="0" collapsed="false">
      <c r="A95" s="31" t="n">
        <v>87</v>
      </c>
      <c r="B95" s="42" t="s">
        <v>479</v>
      </c>
      <c r="C95" s="42" t="s">
        <v>1400</v>
      </c>
      <c r="D95" s="42" t="s">
        <v>480</v>
      </c>
      <c r="E95" s="34" t="s">
        <v>459</v>
      </c>
      <c r="F95" s="43" t="s">
        <v>459</v>
      </c>
      <c r="G95" s="31" t="s">
        <v>543</v>
      </c>
      <c r="H95" s="44" t="s">
        <v>461</v>
      </c>
      <c r="I95" s="42" t="s">
        <v>2279</v>
      </c>
      <c r="J95" s="42"/>
      <c r="K95" s="45" t="n">
        <f aca="false">IF(AND(E95="yes",F95="yes",H95="covered"),1,IF(H95="partial",0.5,0))</f>
        <v>1</v>
      </c>
    </row>
    <row r="96" customFormat="false" ht="45" hidden="false" customHeight="true" outlineLevel="0" collapsed="false">
      <c r="A96" s="31" t="n">
        <v>88</v>
      </c>
      <c r="B96" s="42" t="s">
        <v>479</v>
      </c>
      <c r="C96" s="42" t="s">
        <v>1400</v>
      </c>
      <c r="D96" s="42" t="s">
        <v>481</v>
      </c>
      <c r="E96" s="34" t="s">
        <v>459</v>
      </c>
      <c r="F96" s="43" t="s">
        <v>459</v>
      </c>
      <c r="G96" s="31" t="s">
        <v>543</v>
      </c>
      <c r="H96" s="44" t="s">
        <v>461</v>
      </c>
      <c r="I96" s="42" t="s">
        <v>2279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457</v>
      </c>
      <c r="C97" s="42" t="s">
        <v>1400</v>
      </c>
      <c r="D97" s="42" t="s">
        <v>482</v>
      </c>
      <c r="E97" s="34" t="s">
        <v>459</v>
      </c>
      <c r="F97" s="43" t="s">
        <v>459</v>
      </c>
      <c r="G97" s="31" t="s">
        <v>543</v>
      </c>
      <c r="H97" s="44" t="s">
        <v>461</v>
      </c>
      <c r="I97" s="42" t="s">
        <v>2279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774</v>
      </c>
      <c r="C98" s="42" t="s">
        <v>1400</v>
      </c>
      <c r="D98" s="42" t="s">
        <v>775</v>
      </c>
      <c r="E98" s="34" t="s">
        <v>459</v>
      </c>
      <c r="F98" s="43" t="s">
        <v>459</v>
      </c>
      <c r="G98" s="31" t="s">
        <v>543</v>
      </c>
      <c r="H98" s="44" t="s">
        <v>461</v>
      </c>
      <c r="I98" s="42" t="s">
        <v>2279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483</v>
      </c>
      <c r="C99" s="42" t="s">
        <v>1400</v>
      </c>
      <c r="D99" s="42" t="s">
        <v>484</v>
      </c>
      <c r="E99" s="34" t="s">
        <v>459</v>
      </c>
      <c r="F99" s="43" t="s">
        <v>459</v>
      </c>
      <c r="G99" s="31" t="s">
        <v>543</v>
      </c>
      <c r="H99" s="44" t="s">
        <v>461</v>
      </c>
      <c r="I99" s="42" t="s">
        <v>2279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483</v>
      </c>
      <c r="C100" s="42" t="s">
        <v>1400</v>
      </c>
      <c r="D100" s="42" t="s">
        <v>485</v>
      </c>
      <c r="E100" s="34" t="s">
        <v>459</v>
      </c>
      <c r="F100" s="43" t="s">
        <v>459</v>
      </c>
      <c r="G100" s="31" t="s">
        <v>543</v>
      </c>
      <c r="H100" s="44" t="s">
        <v>461</v>
      </c>
      <c r="I100" s="42" t="s">
        <v>2279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486</v>
      </c>
      <c r="C101" s="42" t="s">
        <v>1400</v>
      </c>
      <c r="D101" s="42" t="s">
        <v>1062</v>
      </c>
      <c r="E101" s="34" t="s">
        <v>459</v>
      </c>
      <c r="F101" s="43" t="s">
        <v>459</v>
      </c>
      <c r="G101" s="31" t="s">
        <v>543</v>
      </c>
      <c r="H101" s="44" t="s">
        <v>461</v>
      </c>
      <c r="I101" s="42" t="s">
        <v>2279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505</v>
      </c>
      <c r="C102" s="42" t="s">
        <v>506</v>
      </c>
      <c r="D102" s="42" t="s">
        <v>507</v>
      </c>
      <c r="E102" s="34" t="s">
        <v>459</v>
      </c>
      <c r="F102" s="43" t="s">
        <v>459</v>
      </c>
      <c r="G102" s="31" t="s">
        <v>543</v>
      </c>
      <c r="H102" s="44" t="s">
        <v>461</v>
      </c>
      <c r="I102" s="42" t="s">
        <v>2279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505</v>
      </c>
      <c r="C103" s="42" t="s">
        <v>506</v>
      </c>
      <c r="D103" s="42" t="s">
        <v>508</v>
      </c>
      <c r="E103" s="34" t="s">
        <v>459</v>
      </c>
      <c r="F103" s="43" t="s">
        <v>459</v>
      </c>
      <c r="G103" s="31" t="s">
        <v>543</v>
      </c>
      <c r="H103" s="44" t="s">
        <v>461</v>
      </c>
      <c r="I103" s="42" t="s">
        <v>2279</v>
      </c>
      <c r="J103" s="42"/>
      <c r="K103" s="45" t="n">
        <f aca="false">IF(AND(E103="yes",F103="yes",H103="covered"),1,IF(H103="partial",0.5,0))</f>
        <v>1</v>
      </c>
    </row>
    <row r="104" customFormat="false" ht="30" hidden="false" customHeight="true" outlineLevel="0" collapsed="false">
      <c r="A104" s="31" t="n">
        <v>96</v>
      </c>
      <c r="B104" s="42" t="s">
        <v>505</v>
      </c>
      <c r="C104" s="42" t="s">
        <v>506</v>
      </c>
      <c r="D104" s="42" t="s">
        <v>509</v>
      </c>
      <c r="E104" s="34" t="s">
        <v>459</v>
      </c>
      <c r="F104" s="43" t="s">
        <v>459</v>
      </c>
      <c r="G104" s="31" t="s">
        <v>543</v>
      </c>
      <c r="H104" s="44" t="s">
        <v>461</v>
      </c>
      <c r="I104" s="42" t="s">
        <v>2279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505</v>
      </c>
      <c r="C105" s="42" t="s">
        <v>506</v>
      </c>
      <c r="D105" s="42" t="s">
        <v>1069</v>
      </c>
      <c r="E105" s="34" t="s">
        <v>459</v>
      </c>
      <c r="F105" s="43" t="s">
        <v>459</v>
      </c>
      <c r="G105" s="31" t="s">
        <v>543</v>
      </c>
      <c r="H105" s="44" t="s">
        <v>461</v>
      </c>
      <c r="I105" s="42" t="s">
        <v>2279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505</v>
      </c>
      <c r="C106" s="42" t="s">
        <v>506</v>
      </c>
      <c r="D106" s="42" t="s">
        <v>905</v>
      </c>
      <c r="E106" s="34" t="s">
        <v>459</v>
      </c>
      <c r="F106" s="43" t="s">
        <v>459</v>
      </c>
      <c r="G106" s="31" t="s">
        <v>543</v>
      </c>
      <c r="H106" s="44" t="s">
        <v>461</v>
      </c>
      <c r="I106" s="42" t="s">
        <v>2279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505</v>
      </c>
      <c r="C107" s="42" t="s">
        <v>506</v>
      </c>
      <c r="D107" s="42" t="s">
        <v>783</v>
      </c>
      <c r="E107" s="34" t="s">
        <v>459</v>
      </c>
      <c r="F107" s="43" t="s">
        <v>459</v>
      </c>
      <c r="G107" s="31" t="s">
        <v>543</v>
      </c>
      <c r="H107" s="44" t="s">
        <v>461</v>
      </c>
      <c r="I107" s="42" t="s">
        <v>2279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505</v>
      </c>
      <c r="C108" s="42" t="s">
        <v>506</v>
      </c>
      <c r="D108" s="42" t="s">
        <v>1970</v>
      </c>
      <c r="E108" s="34" t="s">
        <v>459</v>
      </c>
      <c r="F108" s="43" t="s">
        <v>459</v>
      </c>
      <c r="G108" s="31" t="s">
        <v>543</v>
      </c>
      <c r="H108" s="44" t="s">
        <v>461</v>
      </c>
      <c r="I108" s="42" t="s">
        <v>2279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511</v>
      </c>
      <c r="C109" s="42" t="s">
        <v>506</v>
      </c>
      <c r="D109" s="42" t="s">
        <v>512</v>
      </c>
      <c r="E109" s="34" t="s">
        <v>459</v>
      </c>
      <c r="F109" s="43" t="s">
        <v>459</v>
      </c>
      <c r="G109" s="31" t="s">
        <v>543</v>
      </c>
      <c r="H109" s="44" t="s">
        <v>461</v>
      </c>
      <c r="I109" s="42" t="s">
        <v>2279</v>
      </c>
      <c r="J109" s="42"/>
      <c r="K109" s="45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2" t="s">
        <v>511</v>
      </c>
      <c r="C110" s="42" t="s">
        <v>506</v>
      </c>
      <c r="D110" s="42" t="s">
        <v>1073</v>
      </c>
      <c r="E110" s="34" t="s">
        <v>459</v>
      </c>
      <c r="F110" s="43" t="s">
        <v>459</v>
      </c>
      <c r="G110" s="31" t="s">
        <v>543</v>
      </c>
      <c r="H110" s="44" t="s">
        <v>461</v>
      </c>
      <c r="I110" s="42" t="s">
        <v>2279</v>
      </c>
      <c r="J110" s="42"/>
      <c r="K110" s="45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2" t="s">
        <v>511</v>
      </c>
      <c r="C111" s="42" t="s">
        <v>506</v>
      </c>
      <c r="D111" s="42" t="s">
        <v>2321</v>
      </c>
      <c r="E111" s="34" t="s">
        <v>459</v>
      </c>
      <c r="F111" s="43" t="s">
        <v>459</v>
      </c>
      <c r="G111" s="31" t="s">
        <v>543</v>
      </c>
      <c r="H111" s="44" t="s">
        <v>461</v>
      </c>
      <c r="I111" s="42" t="s">
        <v>2279</v>
      </c>
      <c r="J111" s="42"/>
      <c r="K111" s="45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2" t="s">
        <v>511</v>
      </c>
      <c r="C112" s="42" t="s">
        <v>506</v>
      </c>
      <c r="D112" s="42" t="s">
        <v>514</v>
      </c>
      <c r="E112" s="34" t="s">
        <v>459</v>
      </c>
      <c r="F112" s="43" t="s">
        <v>459</v>
      </c>
      <c r="G112" s="31" t="s">
        <v>543</v>
      </c>
      <c r="H112" s="44" t="s">
        <v>461</v>
      </c>
      <c r="I112" s="42" t="s">
        <v>2279</v>
      </c>
      <c r="J112" s="42"/>
      <c r="K112" s="45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2" t="s">
        <v>511</v>
      </c>
      <c r="C113" s="42" t="s">
        <v>506</v>
      </c>
      <c r="D113" s="42" t="s">
        <v>515</v>
      </c>
      <c r="E113" s="34" t="s">
        <v>459</v>
      </c>
      <c r="F113" s="43" t="s">
        <v>459</v>
      </c>
      <c r="G113" s="31" t="s">
        <v>543</v>
      </c>
      <c r="H113" s="44" t="s">
        <v>461</v>
      </c>
      <c r="I113" s="42" t="s">
        <v>2279</v>
      </c>
      <c r="J113" s="42"/>
      <c r="K113" s="45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31" t="n">
        <v>106</v>
      </c>
      <c r="B114" s="42" t="s">
        <v>511</v>
      </c>
      <c r="C114" s="42" t="s">
        <v>506</v>
      </c>
      <c r="D114" s="42" t="s">
        <v>2322</v>
      </c>
      <c r="E114" s="34" t="s">
        <v>459</v>
      </c>
      <c r="F114" s="43" t="s">
        <v>459</v>
      </c>
      <c r="G114" s="31" t="s">
        <v>543</v>
      </c>
      <c r="H114" s="44" t="s">
        <v>461</v>
      </c>
      <c r="I114" s="42" t="s">
        <v>2279</v>
      </c>
      <c r="J114" s="42"/>
      <c r="K114" s="45" t="n">
        <f aca="false">IF(AND(E114="yes",F114="yes",H114="covered"),1,IF(H114="partial",0.5,0))</f>
        <v>1</v>
      </c>
    </row>
    <row r="115" customFormat="false" ht="30" hidden="false" customHeight="true" outlineLevel="0" collapsed="false">
      <c r="A115" s="31" t="n">
        <v>107</v>
      </c>
      <c r="B115" s="42" t="s">
        <v>483</v>
      </c>
      <c r="C115" s="42" t="s">
        <v>54</v>
      </c>
      <c r="D115" s="42" t="s">
        <v>516</v>
      </c>
      <c r="E115" s="34" t="s">
        <v>459</v>
      </c>
      <c r="F115" s="43" t="s">
        <v>459</v>
      </c>
      <c r="G115" s="31" t="s">
        <v>543</v>
      </c>
      <c r="H115" s="44" t="s">
        <v>461</v>
      </c>
      <c r="I115" s="42" t="s">
        <v>2279</v>
      </c>
      <c r="J115" s="42"/>
      <c r="K115" s="45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2" t="s">
        <v>483</v>
      </c>
      <c r="C116" s="42" t="s">
        <v>54</v>
      </c>
      <c r="D116" s="42" t="s">
        <v>517</v>
      </c>
      <c r="E116" s="34" t="s">
        <v>459</v>
      </c>
      <c r="F116" s="43" t="s">
        <v>459</v>
      </c>
      <c r="G116" s="31" t="s">
        <v>543</v>
      </c>
      <c r="H116" s="44" t="s">
        <v>461</v>
      </c>
      <c r="I116" s="42" t="s">
        <v>2279</v>
      </c>
      <c r="J116" s="42"/>
      <c r="K116" s="45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2" t="s">
        <v>483</v>
      </c>
      <c r="C117" s="42" t="s">
        <v>54</v>
      </c>
      <c r="D117" s="42" t="s">
        <v>518</v>
      </c>
      <c r="E117" s="34" t="s">
        <v>459</v>
      </c>
      <c r="F117" s="43" t="s">
        <v>459</v>
      </c>
      <c r="G117" s="31" t="s">
        <v>543</v>
      </c>
      <c r="H117" s="44" t="s">
        <v>461</v>
      </c>
      <c r="I117" s="42" t="s">
        <v>2279</v>
      </c>
      <c r="J117" s="42"/>
      <c r="K117" s="45" t="n">
        <f aca="false">IF(AND(E117="yes",F117="yes",H117="covered"),1,IF(H117="partial",0.5,0))</f>
        <v>1</v>
      </c>
    </row>
    <row r="118" customFormat="false" ht="15" hidden="false" customHeight="true" outlineLevel="0" collapsed="false">
      <c r="A118" s="31" t="n">
        <v>110</v>
      </c>
      <c r="B118" s="42" t="s">
        <v>483</v>
      </c>
      <c r="C118" s="42" t="s">
        <v>54</v>
      </c>
      <c r="D118" s="42" t="s">
        <v>519</v>
      </c>
      <c r="E118" s="34" t="s">
        <v>459</v>
      </c>
      <c r="F118" s="43" t="s">
        <v>459</v>
      </c>
      <c r="G118" s="31" t="s">
        <v>543</v>
      </c>
      <c r="H118" s="44" t="s">
        <v>461</v>
      </c>
      <c r="I118" s="42" t="s">
        <v>2279</v>
      </c>
      <c r="J118" s="42"/>
      <c r="K118" s="45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31" t="n">
        <v>111</v>
      </c>
      <c r="B119" s="42" t="s">
        <v>483</v>
      </c>
      <c r="C119" s="42" t="s">
        <v>54</v>
      </c>
      <c r="D119" s="42" t="s">
        <v>520</v>
      </c>
      <c r="E119" s="34" t="s">
        <v>459</v>
      </c>
      <c r="F119" s="43" t="s">
        <v>459</v>
      </c>
      <c r="G119" s="31" t="s">
        <v>543</v>
      </c>
      <c r="H119" s="44" t="s">
        <v>461</v>
      </c>
      <c r="I119" s="42" t="s">
        <v>2279</v>
      </c>
      <c r="J119" s="42"/>
      <c r="K119" s="45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31" t="n">
        <v>112</v>
      </c>
      <c r="B120" s="42" t="s">
        <v>488</v>
      </c>
      <c r="C120" s="42" t="s">
        <v>476</v>
      </c>
      <c r="D120" s="42" t="s">
        <v>521</v>
      </c>
      <c r="E120" s="34" t="s">
        <v>459</v>
      </c>
      <c r="F120" s="43" t="s">
        <v>459</v>
      </c>
      <c r="G120" s="31" t="s">
        <v>543</v>
      </c>
      <c r="H120" s="44" t="s">
        <v>461</v>
      </c>
      <c r="I120" s="42" t="s">
        <v>2279</v>
      </c>
      <c r="J120" s="42"/>
      <c r="K120" s="45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31" t="n">
        <v>113</v>
      </c>
      <c r="B121" s="42" t="s">
        <v>488</v>
      </c>
      <c r="C121" s="42" t="s">
        <v>476</v>
      </c>
      <c r="D121" s="42" t="s">
        <v>522</v>
      </c>
      <c r="E121" s="34" t="s">
        <v>459</v>
      </c>
      <c r="F121" s="43" t="s">
        <v>459</v>
      </c>
      <c r="G121" s="31" t="s">
        <v>543</v>
      </c>
      <c r="H121" s="44" t="s">
        <v>461</v>
      </c>
      <c r="I121" s="42" t="s">
        <v>2279</v>
      </c>
      <c r="J121" s="42"/>
      <c r="K121" s="45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31" t="n">
        <v>114</v>
      </c>
      <c r="B122" s="42" t="s">
        <v>488</v>
      </c>
      <c r="C122" s="42" t="s">
        <v>476</v>
      </c>
      <c r="D122" s="42" t="s">
        <v>523</v>
      </c>
      <c r="E122" s="34" t="s">
        <v>459</v>
      </c>
      <c r="F122" s="43" t="s">
        <v>459</v>
      </c>
      <c r="G122" s="31" t="s">
        <v>543</v>
      </c>
      <c r="H122" s="44" t="s">
        <v>461</v>
      </c>
      <c r="I122" s="42" t="s">
        <v>2279</v>
      </c>
      <c r="J122" s="42"/>
      <c r="K122" s="45" t="n">
        <f aca="false">IF(AND(E122="yes",F122="yes",H122="covered"),1,IF(H122="partial",0.5,0))</f>
        <v>1</v>
      </c>
    </row>
    <row r="123" customFormat="false" ht="15" hidden="false" customHeight="true" outlineLevel="0" collapsed="false">
      <c r="A123" s="31" t="n">
        <v>115</v>
      </c>
      <c r="B123" s="42" t="s">
        <v>524</v>
      </c>
      <c r="C123" s="42" t="s">
        <v>498</v>
      </c>
      <c r="D123" s="42" t="s">
        <v>525</v>
      </c>
      <c r="E123" s="34" t="s">
        <v>459</v>
      </c>
      <c r="F123" s="43" t="s">
        <v>459</v>
      </c>
      <c r="G123" s="31" t="s">
        <v>543</v>
      </c>
      <c r="H123" s="44" t="s">
        <v>461</v>
      </c>
      <c r="I123" s="42" t="s">
        <v>2279</v>
      </c>
      <c r="J123" s="42"/>
      <c r="K123" s="45" t="n">
        <f aca="false">IF(AND(E123="yes",F123="yes",H123="covered"),1,IF(H123="partial",0.5,0))</f>
        <v>1</v>
      </c>
    </row>
    <row r="124" customFormat="false" ht="15" hidden="false" customHeight="true" outlineLevel="0" collapsed="false">
      <c r="A124" s="31" t="n">
        <v>116</v>
      </c>
      <c r="B124" s="42" t="s">
        <v>524</v>
      </c>
      <c r="C124" s="42" t="s">
        <v>498</v>
      </c>
      <c r="D124" s="42" t="s">
        <v>526</v>
      </c>
      <c r="E124" s="34" t="s">
        <v>459</v>
      </c>
      <c r="F124" s="43" t="s">
        <v>459</v>
      </c>
      <c r="G124" s="31" t="s">
        <v>543</v>
      </c>
      <c r="H124" s="44" t="s">
        <v>461</v>
      </c>
      <c r="I124" s="42" t="s">
        <v>2279</v>
      </c>
      <c r="J124" s="42"/>
      <c r="K124" s="45" t="n">
        <f aca="false">IF(AND(E124="yes",F124="yes",H124="covered"),1,IF(H124="partial",0.5,0))</f>
        <v>1</v>
      </c>
    </row>
    <row r="125" customFormat="false" ht="15" hidden="false" customHeight="true" outlineLevel="0" collapsed="false">
      <c r="A125" s="31" t="n">
        <v>117</v>
      </c>
      <c r="B125" s="42" t="s">
        <v>524</v>
      </c>
      <c r="C125" s="42" t="s">
        <v>498</v>
      </c>
      <c r="D125" s="42" t="s">
        <v>527</v>
      </c>
      <c r="E125" s="34" t="s">
        <v>459</v>
      </c>
      <c r="F125" s="43" t="s">
        <v>459</v>
      </c>
      <c r="G125" s="31" t="s">
        <v>543</v>
      </c>
      <c r="H125" s="44" t="s">
        <v>461</v>
      </c>
      <c r="I125" s="42" t="s">
        <v>2279</v>
      </c>
      <c r="J125" s="42"/>
      <c r="K125" s="45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31" t="n">
        <v>118</v>
      </c>
      <c r="B126" s="42" t="s">
        <v>524</v>
      </c>
      <c r="C126" s="42" t="s">
        <v>498</v>
      </c>
      <c r="D126" s="42" t="s">
        <v>528</v>
      </c>
      <c r="E126" s="34" t="s">
        <v>459</v>
      </c>
      <c r="F126" s="43" t="s">
        <v>459</v>
      </c>
      <c r="G126" s="31" t="s">
        <v>543</v>
      </c>
      <c r="H126" s="44" t="s">
        <v>461</v>
      </c>
      <c r="I126" s="42" t="s">
        <v>2279</v>
      </c>
      <c r="J126" s="42"/>
      <c r="K126" s="45" t="n">
        <f aca="false">IF(AND(E126="yes",F126="yes",H126="covered"),1,IF(H126="partial",0.5,0))</f>
        <v>1</v>
      </c>
    </row>
    <row r="127" customFormat="false" ht="15" hidden="false" customHeight="true" outlineLevel="0" collapsed="false">
      <c r="A127" s="31" t="n">
        <v>119</v>
      </c>
      <c r="B127" s="42" t="s">
        <v>529</v>
      </c>
      <c r="C127" s="42" t="s">
        <v>498</v>
      </c>
      <c r="D127" s="42" t="s">
        <v>530</v>
      </c>
      <c r="E127" s="34" t="s">
        <v>459</v>
      </c>
      <c r="F127" s="43" t="s">
        <v>459</v>
      </c>
      <c r="G127" s="31" t="s">
        <v>543</v>
      </c>
      <c r="H127" s="44" t="s">
        <v>461</v>
      </c>
      <c r="I127" s="42" t="s">
        <v>2279</v>
      </c>
      <c r="J127" s="42"/>
      <c r="K127" s="45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31" t="n">
        <v>120</v>
      </c>
      <c r="B128" s="42" t="s">
        <v>751</v>
      </c>
      <c r="C128" s="42" t="s">
        <v>54</v>
      </c>
      <c r="D128" s="42" t="s">
        <v>1457</v>
      </c>
      <c r="E128" s="34" t="s">
        <v>459</v>
      </c>
      <c r="F128" s="43" t="s">
        <v>459</v>
      </c>
      <c r="G128" s="31" t="s">
        <v>2323</v>
      </c>
      <c r="H128" s="44" t="s">
        <v>461</v>
      </c>
      <c r="I128" s="42" t="s">
        <v>2324</v>
      </c>
      <c r="J128" s="42"/>
      <c r="K128" s="45" t="n">
        <f aca="false">IF(AND(E128="yes",F128="yes",H128="covered"),1,IF(H128="partial",0.5,0))</f>
        <v>1</v>
      </c>
    </row>
    <row r="129" customFormat="false" ht="15" hidden="false" customHeight="true" outlineLevel="0" collapsed="false">
      <c r="A129" s="31" t="n">
        <v>121</v>
      </c>
      <c r="B129" s="42" t="s">
        <v>751</v>
      </c>
      <c r="C129" s="42" t="s">
        <v>54</v>
      </c>
      <c r="D129" s="42" t="s">
        <v>1458</v>
      </c>
      <c r="E129" s="34" t="s">
        <v>459</v>
      </c>
      <c r="F129" s="43" t="s">
        <v>459</v>
      </c>
      <c r="G129" s="31" t="s">
        <v>543</v>
      </c>
      <c r="H129" s="44" t="s">
        <v>461</v>
      </c>
      <c r="I129" s="42" t="s">
        <v>2279</v>
      </c>
      <c r="J129" s="42"/>
      <c r="K129" s="45" t="n">
        <f aca="false">IF(AND(E129="yes",F129="yes",H129="covered"),1,IF(H129="partial",0.5,0))</f>
        <v>1</v>
      </c>
    </row>
    <row r="130" customFormat="false" ht="45" hidden="false" customHeight="true" outlineLevel="0" collapsed="false">
      <c r="A130" s="31" t="n">
        <v>122</v>
      </c>
      <c r="B130" s="42" t="s">
        <v>751</v>
      </c>
      <c r="C130" s="42" t="s">
        <v>54</v>
      </c>
      <c r="D130" s="42" t="s">
        <v>1459</v>
      </c>
      <c r="E130" s="34" t="s">
        <v>459</v>
      </c>
      <c r="F130" s="43" t="s">
        <v>459</v>
      </c>
      <c r="G130" s="31" t="s">
        <v>543</v>
      </c>
      <c r="H130" s="44" t="s">
        <v>461</v>
      </c>
      <c r="I130" s="42" t="s">
        <v>2279</v>
      </c>
      <c r="J130" s="42"/>
      <c r="K130" s="45" t="n">
        <f aca="false">IF(AND(E130="yes",F130="yes",H130="covered"),1,IF(H130="partial",0.5,0))</f>
        <v>1</v>
      </c>
    </row>
    <row r="131" customFormat="false" ht="45" hidden="false" customHeight="true" outlineLevel="0" collapsed="false">
      <c r="A131" s="31" t="n">
        <v>123</v>
      </c>
      <c r="B131" s="42" t="s">
        <v>529</v>
      </c>
      <c r="C131" s="42" t="s">
        <v>54</v>
      </c>
      <c r="D131" s="42" t="s">
        <v>1460</v>
      </c>
      <c r="E131" s="34" t="s">
        <v>459</v>
      </c>
      <c r="F131" s="43" t="s">
        <v>459</v>
      </c>
      <c r="G131" s="31" t="s">
        <v>543</v>
      </c>
      <c r="H131" s="44" t="s">
        <v>461</v>
      </c>
      <c r="I131" s="42" t="s">
        <v>2279</v>
      </c>
      <c r="J131" s="42"/>
      <c r="K131" s="45" t="n">
        <f aca="false">IF(AND(E131="yes",F131="yes",H131="covered"),1,IF(H131="partial",0.5,0))</f>
        <v>1</v>
      </c>
    </row>
    <row r="132" customFormat="false" ht="15" hidden="false" customHeight="true" outlineLevel="0" collapsed="false">
      <c r="A132" s="31" t="n">
        <v>124</v>
      </c>
      <c r="B132" s="42" t="s">
        <v>529</v>
      </c>
      <c r="C132" s="42" t="s">
        <v>54</v>
      </c>
      <c r="D132" s="42" t="s">
        <v>1461</v>
      </c>
      <c r="E132" s="34" t="s">
        <v>459</v>
      </c>
      <c r="F132" s="43" t="s">
        <v>459</v>
      </c>
      <c r="G132" s="31" t="s">
        <v>2325</v>
      </c>
      <c r="H132" s="44" t="s">
        <v>461</v>
      </c>
      <c r="I132" s="42" t="s">
        <v>2326</v>
      </c>
      <c r="J132" s="42"/>
      <c r="K132" s="45" t="n">
        <f aca="false">IF(AND(E132="yes",F132="yes",H132="covered"),1,IF(H132="partial",0.5,0))</f>
        <v>1</v>
      </c>
    </row>
    <row r="133" customFormat="false" ht="45" hidden="false" customHeight="true" outlineLevel="0" collapsed="false">
      <c r="A133" s="31" t="n">
        <v>125</v>
      </c>
      <c r="B133" s="42" t="s">
        <v>1973</v>
      </c>
      <c r="C133" s="42" t="s">
        <v>54</v>
      </c>
      <c r="D133" s="42" t="s">
        <v>274</v>
      </c>
      <c r="E133" s="34" t="s">
        <v>459</v>
      </c>
      <c r="F133" s="43" t="s">
        <v>459</v>
      </c>
      <c r="G133" s="31" t="s">
        <v>1078</v>
      </c>
      <c r="H133" s="44" t="s">
        <v>461</v>
      </c>
      <c r="I133" s="42" t="s">
        <v>1079</v>
      </c>
      <c r="J133" s="42"/>
      <c r="K133" s="45" t="n">
        <f aca="false">IF(AND(E133="yes",F133="yes",H133="covered"),1,IF(H133="partial",0.5,0))</f>
        <v>1</v>
      </c>
    </row>
    <row r="134" customFormat="false" ht="15" hidden="false" customHeight="true" outlineLevel="0" collapsed="false">
      <c r="A134" s="31" t="n">
        <v>126</v>
      </c>
      <c r="B134" s="42" t="s">
        <v>55</v>
      </c>
      <c r="C134" s="42" t="s">
        <v>54</v>
      </c>
      <c r="D134" s="42" t="s">
        <v>1074</v>
      </c>
      <c r="E134" s="34" t="s">
        <v>459</v>
      </c>
      <c r="F134" s="43" t="s">
        <v>459</v>
      </c>
      <c r="G134" s="31" t="s">
        <v>543</v>
      </c>
      <c r="H134" s="44" t="s">
        <v>461</v>
      </c>
      <c r="I134" s="42" t="s">
        <v>2279</v>
      </c>
      <c r="J134" s="42"/>
      <c r="K134" s="45" t="n">
        <f aca="false">IF(AND(E134="yes",F134="yes",H134="covered"),1,IF(H134="partial",0.5,0))</f>
        <v>1</v>
      </c>
    </row>
    <row r="135" customFormat="false" ht="15" hidden="false" customHeight="true" outlineLevel="0" collapsed="false">
      <c r="A135" s="31" t="n">
        <v>127</v>
      </c>
      <c r="B135" s="42" t="s">
        <v>55</v>
      </c>
      <c r="C135" s="42" t="s">
        <v>54</v>
      </c>
      <c r="D135" s="42" t="s">
        <v>1075</v>
      </c>
      <c r="E135" s="34" t="s">
        <v>459</v>
      </c>
      <c r="F135" s="43" t="s">
        <v>459</v>
      </c>
      <c r="G135" s="31" t="s">
        <v>2327</v>
      </c>
      <c r="H135" s="44" t="s">
        <v>461</v>
      </c>
      <c r="I135" s="42" t="s">
        <v>2328</v>
      </c>
      <c r="J135" s="42"/>
      <c r="K135" s="45" t="n">
        <f aca="false">IF(AND(E135="yes",F135="yes",H135="covered"),1,IF(H135="partial",0.5,0))</f>
        <v>1</v>
      </c>
    </row>
    <row r="136" customFormat="false" ht="45" hidden="false" customHeight="true" outlineLevel="0" collapsed="false">
      <c r="A136" s="31" t="n">
        <v>128</v>
      </c>
      <c r="B136" s="42" t="s">
        <v>1056</v>
      </c>
      <c r="C136" s="42" t="s">
        <v>54</v>
      </c>
      <c r="D136" s="42" t="s">
        <v>1076</v>
      </c>
      <c r="E136" s="34" t="s">
        <v>459</v>
      </c>
      <c r="F136" s="43" t="s">
        <v>459</v>
      </c>
      <c r="G136" s="31" t="s">
        <v>543</v>
      </c>
      <c r="H136" s="44" t="s">
        <v>461</v>
      </c>
      <c r="I136" s="42" t="s">
        <v>2279</v>
      </c>
      <c r="J136" s="42"/>
      <c r="K136" s="45" t="n">
        <f aca="false">IF(AND(E136="yes",F136="yes",H136="covered"),1,IF(H136="partial",0.5,0))</f>
        <v>1</v>
      </c>
    </row>
    <row r="137" customFormat="false" ht="30" hidden="false" customHeight="true" outlineLevel="0" collapsed="false">
      <c r="A137" s="31" t="n">
        <v>129</v>
      </c>
      <c r="B137" s="42" t="s">
        <v>1056</v>
      </c>
      <c r="C137" s="42" t="s">
        <v>54</v>
      </c>
      <c r="D137" s="42" t="s">
        <v>1077</v>
      </c>
      <c r="E137" s="34" t="s">
        <v>459</v>
      </c>
      <c r="F137" s="43" t="s">
        <v>459</v>
      </c>
      <c r="G137" s="31" t="s">
        <v>543</v>
      </c>
      <c r="H137" s="44" t="s">
        <v>461</v>
      </c>
      <c r="I137" s="42" t="s">
        <v>2279</v>
      </c>
      <c r="J137" s="42"/>
      <c r="K137" s="45" t="n">
        <f aca="false">IF(AND(E137="yes",F137="yes",H137="covered"),1,IF(H137="partial",0.5,0))</f>
        <v>1</v>
      </c>
    </row>
    <row r="138" customFormat="false" ht="45" hidden="false" customHeight="true" outlineLevel="0" collapsed="false">
      <c r="A138" s="31" t="n">
        <v>130</v>
      </c>
      <c r="B138" s="42" t="s">
        <v>1056</v>
      </c>
      <c r="C138" s="42" t="s">
        <v>54</v>
      </c>
      <c r="D138" s="42" t="s">
        <v>266</v>
      </c>
      <c r="E138" s="34" t="s">
        <v>459</v>
      </c>
      <c r="F138" s="43" t="s">
        <v>459</v>
      </c>
      <c r="G138" s="31" t="s">
        <v>1078</v>
      </c>
      <c r="H138" s="44" t="s">
        <v>461</v>
      </c>
      <c r="I138" s="42" t="s">
        <v>1079</v>
      </c>
      <c r="J138" s="42"/>
      <c r="K138" s="45" t="n">
        <f aca="false">IF(AND(E138="yes",F138="yes",H138="covered"),1,IF(H138="partial",0.5,0))</f>
        <v>1</v>
      </c>
    </row>
    <row r="139" customFormat="false" ht="15" hidden="false" customHeight="true" outlineLevel="0" collapsed="false">
      <c r="A139" s="31" t="n">
        <v>131</v>
      </c>
      <c r="B139" s="42" t="s">
        <v>1056</v>
      </c>
      <c r="C139" s="42" t="s">
        <v>54</v>
      </c>
      <c r="D139" s="42" t="s">
        <v>1080</v>
      </c>
      <c r="E139" s="34" t="s">
        <v>459</v>
      </c>
      <c r="F139" s="43" t="s">
        <v>459</v>
      </c>
      <c r="G139" s="31" t="s">
        <v>2329</v>
      </c>
      <c r="H139" s="44" t="s">
        <v>461</v>
      </c>
      <c r="I139" s="42" t="s">
        <v>2330</v>
      </c>
      <c r="J139" s="42"/>
      <c r="K139" s="45" t="n">
        <f aca="false">IF(AND(E139="yes",F139="yes",H139="covered"),1,IF(H139="partial",0.5,0))</f>
        <v>1</v>
      </c>
    </row>
    <row r="140" customFormat="false" ht="45" hidden="false" customHeight="true" outlineLevel="0" collapsed="false">
      <c r="A140" s="31" t="n">
        <v>132</v>
      </c>
      <c r="B140" s="42" t="s">
        <v>468</v>
      </c>
      <c r="C140" s="42" t="s">
        <v>54</v>
      </c>
      <c r="D140" s="42" t="s">
        <v>2331</v>
      </c>
      <c r="E140" s="34" t="s">
        <v>459</v>
      </c>
      <c r="F140" s="43" t="s">
        <v>459</v>
      </c>
      <c r="G140" s="31" t="s">
        <v>2332</v>
      </c>
      <c r="H140" s="44" t="s">
        <v>461</v>
      </c>
      <c r="I140" s="42" t="s">
        <v>2333</v>
      </c>
      <c r="J140" s="42"/>
      <c r="K140" s="45" t="n">
        <f aca="false">IF(AND(E140="yes",F140="yes",H140="covered"),1,IF(H140="partial",0.5,0))</f>
        <v>1</v>
      </c>
    </row>
    <row r="141" customFormat="false" ht="45" hidden="false" customHeight="true" outlineLevel="0" collapsed="false">
      <c r="A141" s="31" t="n">
        <v>133</v>
      </c>
      <c r="B141" s="42" t="s">
        <v>475</v>
      </c>
      <c r="C141" s="42" t="s">
        <v>668</v>
      </c>
      <c r="D141" s="42" t="s">
        <v>2334</v>
      </c>
      <c r="E141" s="34" t="s">
        <v>459</v>
      </c>
      <c r="F141" s="43" t="s">
        <v>459</v>
      </c>
      <c r="G141" s="31" t="s">
        <v>2332</v>
      </c>
      <c r="H141" s="44" t="s">
        <v>461</v>
      </c>
      <c r="I141" s="42" t="s">
        <v>2333</v>
      </c>
      <c r="J141" s="42"/>
      <c r="K141" s="45" t="n">
        <f aca="false">IF(AND(E141="yes",F141="yes",H141="covered"),1,IF(H141="partial",0.5,0))</f>
        <v>1</v>
      </c>
    </row>
    <row r="142" customFormat="false" ht="45" hidden="false" customHeight="true" outlineLevel="0" collapsed="false">
      <c r="A142" s="31" t="n">
        <v>134</v>
      </c>
      <c r="B142" s="42" t="s">
        <v>479</v>
      </c>
      <c r="C142" s="42" t="s">
        <v>668</v>
      </c>
      <c r="D142" s="42" t="s">
        <v>2335</v>
      </c>
      <c r="E142" s="34" t="s">
        <v>459</v>
      </c>
      <c r="F142" s="43" t="s">
        <v>459</v>
      </c>
      <c r="G142" s="31" t="s">
        <v>2332</v>
      </c>
      <c r="H142" s="44" t="s">
        <v>461</v>
      </c>
      <c r="I142" s="42" t="s">
        <v>2333</v>
      </c>
      <c r="J142" s="42"/>
      <c r="K142" s="45" t="n">
        <f aca="false">IF(AND(E142="yes",F142="yes",H142="covered"),1,IF(H142="partial",0.5,0))</f>
        <v>1</v>
      </c>
    </row>
    <row r="143" customFormat="false" ht="45" hidden="false" customHeight="true" outlineLevel="0" collapsed="false">
      <c r="A143" s="31" t="n">
        <v>135</v>
      </c>
      <c r="B143" s="42" t="s">
        <v>475</v>
      </c>
      <c r="C143" s="42" t="s">
        <v>686</v>
      </c>
      <c r="D143" s="42" t="s">
        <v>2336</v>
      </c>
      <c r="E143" s="34" t="s">
        <v>459</v>
      </c>
      <c r="F143" s="43" t="s">
        <v>459</v>
      </c>
      <c r="G143" s="31" t="s">
        <v>2332</v>
      </c>
      <c r="H143" s="44" t="s">
        <v>461</v>
      </c>
      <c r="I143" s="42" t="s">
        <v>2333</v>
      </c>
      <c r="J143" s="42"/>
      <c r="K143" s="45" t="n">
        <f aca="false">IF(AND(E143="yes",F143="yes",H143="covered"),1,IF(H143="partial",0.5,0))</f>
        <v>1</v>
      </c>
    </row>
    <row r="144" customFormat="false" ht="45" hidden="false" customHeight="true" outlineLevel="0" collapsed="false">
      <c r="A144" s="31" t="n">
        <v>136</v>
      </c>
      <c r="B144" s="42" t="s">
        <v>479</v>
      </c>
      <c r="C144" s="42" t="s">
        <v>686</v>
      </c>
      <c r="D144" s="42" t="s">
        <v>2337</v>
      </c>
      <c r="E144" s="34" t="s">
        <v>459</v>
      </c>
      <c r="F144" s="43" t="s">
        <v>459</v>
      </c>
      <c r="G144" s="31" t="s">
        <v>2332</v>
      </c>
      <c r="H144" s="44" t="s">
        <v>461</v>
      </c>
      <c r="I144" s="42" t="s">
        <v>2333</v>
      </c>
      <c r="J144" s="42"/>
      <c r="K144" s="45" t="n">
        <f aca="false">IF(AND(E144="yes",F144="yes",H144="covered"),1,IF(H144="partial",0.5,0))</f>
        <v>1</v>
      </c>
    </row>
    <row r="145" customFormat="false" ht="45" hidden="false" customHeight="true" outlineLevel="0" collapsed="false">
      <c r="A145" s="31" t="n">
        <v>137</v>
      </c>
      <c r="B145" s="42" t="s">
        <v>505</v>
      </c>
      <c r="C145" s="42" t="s">
        <v>500</v>
      </c>
      <c r="D145" s="42" t="s">
        <v>2338</v>
      </c>
      <c r="E145" s="34" t="s">
        <v>459</v>
      </c>
      <c r="F145" s="43" t="s">
        <v>459</v>
      </c>
      <c r="G145" s="31" t="s">
        <v>2332</v>
      </c>
      <c r="H145" s="44" t="s">
        <v>461</v>
      </c>
      <c r="I145" s="42" t="s">
        <v>2333</v>
      </c>
      <c r="J145" s="42"/>
      <c r="K145" s="45" t="n">
        <f aca="false">IF(AND(E145="yes",F145="yes",H145="covered"),1,IF(H145="partial",0.5,0))</f>
        <v>1</v>
      </c>
    </row>
    <row r="146" customFormat="false" ht="45" hidden="false" customHeight="true" outlineLevel="0" collapsed="false">
      <c r="A146" s="31" t="n">
        <v>138</v>
      </c>
      <c r="B146" s="42" t="s">
        <v>882</v>
      </c>
      <c r="C146" s="42" t="s">
        <v>500</v>
      </c>
      <c r="D146" s="42" t="s">
        <v>2339</v>
      </c>
      <c r="E146" s="34" t="s">
        <v>459</v>
      </c>
      <c r="F146" s="43" t="s">
        <v>459</v>
      </c>
      <c r="G146" s="31" t="s">
        <v>2332</v>
      </c>
      <c r="H146" s="44" t="s">
        <v>461</v>
      </c>
      <c r="I146" s="42" t="s">
        <v>2333</v>
      </c>
      <c r="J146" s="42"/>
      <c r="K146" s="45" t="n">
        <f aca="false">IF(AND(E146="yes",F146="yes",H146="covered"),1,IF(H146="partial",0.5,0))</f>
        <v>1</v>
      </c>
    </row>
    <row r="147" customFormat="false" ht="45" hidden="false" customHeight="true" outlineLevel="0" collapsed="false">
      <c r="A147" s="31" t="n">
        <v>139</v>
      </c>
      <c r="B147" s="42" t="s">
        <v>529</v>
      </c>
      <c r="C147" s="42" t="s">
        <v>500</v>
      </c>
      <c r="D147" s="42" t="s">
        <v>2340</v>
      </c>
      <c r="E147" s="34" t="s">
        <v>459</v>
      </c>
      <c r="F147" s="43" t="s">
        <v>459</v>
      </c>
      <c r="G147" s="31" t="s">
        <v>2332</v>
      </c>
      <c r="H147" s="44" t="s">
        <v>461</v>
      </c>
      <c r="I147" s="42" t="s">
        <v>2333</v>
      </c>
      <c r="J147" s="42"/>
      <c r="K147" s="45" t="n">
        <f aca="false">IF(AND(E147="yes",F147="yes",H147="covered"),1,IF(H147="partial",0.5,0))</f>
        <v>1</v>
      </c>
    </row>
    <row r="148" customFormat="false" ht="45" hidden="false" customHeight="true" outlineLevel="0" collapsed="false">
      <c r="A148" s="31" t="n">
        <v>140</v>
      </c>
      <c r="B148" s="42" t="s">
        <v>529</v>
      </c>
      <c r="C148" s="42" t="s">
        <v>500</v>
      </c>
      <c r="D148" s="42" t="s">
        <v>2341</v>
      </c>
      <c r="E148" s="34" t="s">
        <v>459</v>
      </c>
      <c r="F148" s="43" t="s">
        <v>459</v>
      </c>
      <c r="G148" s="31" t="s">
        <v>2332</v>
      </c>
      <c r="H148" s="44" t="s">
        <v>461</v>
      </c>
      <c r="I148" s="42" t="s">
        <v>2333</v>
      </c>
      <c r="J148" s="42"/>
      <c r="K148" s="45" t="n">
        <f aca="false">IF(AND(E148="yes",F148="yes",H148="covered"),1,IF(H148="partial",0.5,0))</f>
        <v>1</v>
      </c>
    </row>
    <row r="149" customFormat="false" ht="45" hidden="false" customHeight="true" outlineLevel="0" collapsed="false">
      <c r="A149" s="31" t="n">
        <v>141</v>
      </c>
      <c r="B149" s="42" t="s">
        <v>529</v>
      </c>
      <c r="C149" s="42" t="s">
        <v>500</v>
      </c>
      <c r="D149" s="42" t="s">
        <v>2342</v>
      </c>
      <c r="E149" s="34" t="s">
        <v>459</v>
      </c>
      <c r="F149" s="43" t="s">
        <v>459</v>
      </c>
      <c r="G149" s="31" t="s">
        <v>2332</v>
      </c>
      <c r="H149" s="44" t="s">
        <v>461</v>
      </c>
      <c r="I149" s="42" t="s">
        <v>2333</v>
      </c>
      <c r="J149" s="42"/>
      <c r="K149" s="45" t="n">
        <f aca="false">IF(AND(E149="yes",F149="yes",H149="covered"),1,IF(H149="partial",0.5,0))</f>
        <v>1</v>
      </c>
    </row>
    <row r="150" customFormat="false" ht="45" hidden="false" customHeight="true" outlineLevel="0" collapsed="false">
      <c r="A150" s="31" t="n">
        <v>142</v>
      </c>
      <c r="B150" s="42" t="s">
        <v>529</v>
      </c>
      <c r="C150" s="42" t="s">
        <v>500</v>
      </c>
      <c r="D150" s="42" t="s">
        <v>2343</v>
      </c>
      <c r="E150" s="34" t="s">
        <v>459</v>
      </c>
      <c r="F150" s="43" t="s">
        <v>459</v>
      </c>
      <c r="G150" s="31" t="s">
        <v>2332</v>
      </c>
      <c r="H150" s="44" t="s">
        <v>461</v>
      </c>
      <c r="I150" s="42" t="s">
        <v>2333</v>
      </c>
      <c r="J150" s="42"/>
      <c r="K150" s="45" t="n">
        <f aca="false">IF(AND(E150="yes",F150="yes",H150="covered"),1,IF(H150="partial",0.5,0))</f>
        <v>1</v>
      </c>
    </row>
    <row r="151" customFormat="false" ht="45" hidden="false" customHeight="true" outlineLevel="0" collapsed="false">
      <c r="A151" s="31" t="n">
        <v>143</v>
      </c>
      <c r="B151" s="42" t="s">
        <v>529</v>
      </c>
      <c r="C151" s="42" t="s">
        <v>500</v>
      </c>
      <c r="D151" s="42" t="s">
        <v>2344</v>
      </c>
      <c r="E151" s="34" t="s">
        <v>459</v>
      </c>
      <c r="F151" s="43" t="s">
        <v>459</v>
      </c>
      <c r="G151" s="31" t="s">
        <v>2332</v>
      </c>
      <c r="H151" s="44" t="s">
        <v>461</v>
      </c>
      <c r="I151" s="42" t="s">
        <v>2333</v>
      </c>
      <c r="J151" s="42"/>
      <c r="K151" s="45" t="n">
        <f aca="false">IF(AND(E151="yes",F151="yes",H151="covered"),1,IF(H151="partial",0.5,0))</f>
        <v>1</v>
      </c>
    </row>
    <row r="152" customFormat="false" ht="45" hidden="false" customHeight="true" outlineLevel="0" collapsed="false">
      <c r="A152" s="31" t="n">
        <v>144</v>
      </c>
      <c r="B152" s="42" t="s">
        <v>529</v>
      </c>
      <c r="C152" s="42" t="s">
        <v>500</v>
      </c>
      <c r="D152" s="42" t="s">
        <v>2345</v>
      </c>
      <c r="E152" s="34" t="s">
        <v>459</v>
      </c>
      <c r="F152" s="43" t="s">
        <v>459</v>
      </c>
      <c r="G152" s="31" t="s">
        <v>2332</v>
      </c>
      <c r="H152" s="44" t="s">
        <v>461</v>
      </c>
      <c r="I152" s="42" t="s">
        <v>2333</v>
      </c>
      <c r="J152" s="42"/>
      <c r="K152" s="45" t="n">
        <f aca="false">IF(AND(E152="yes",F152="yes",H152="covered"),1,IF(H152="partial",0.5,0))</f>
        <v>1</v>
      </c>
    </row>
    <row r="153" customFormat="false" ht="45" hidden="false" customHeight="true" outlineLevel="0" collapsed="false">
      <c r="A153" s="31" t="n">
        <v>145</v>
      </c>
      <c r="B153" s="42" t="s">
        <v>2346</v>
      </c>
      <c r="C153" s="42" t="s">
        <v>500</v>
      </c>
      <c r="D153" s="42" t="s">
        <v>2347</v>
      </c>
      <c r="E153" s="34" t="s">
        <v>459</v>
      </c>
      <c r="F153" s="43" t="s">
        <v>459</v>
      </c>
      <c r="G153" s="31" t="s">
        <v>2332</v>
      </c>
      <c r="H153" s="44" t="s">
        <v>461</v>
      </c>
      <c r="I153" s="42" t="s">
        <v>2333</v>
      </c>
      <c r="J153" s="42"/>
      <c r="K153" s="45" t="n">
        <f aca="false">IF(AND(E153="yes",F153="yes",H153="covered"),1,IF(H153="partial",0.5,0))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2348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IFERROR(SUM(K9:K31)/COUNTA(A9:A31),0)</f>
        <v>1</v>
      </c>
      <c r="C4" s="28" t="s">
        <v>8</v>
      </c>
      <c r="D4" s="40" t="n">
        <f aca="false">COUNTIF(H9:H31,"covered")</f>
        <v>23</v>
      </c>
      <c r="E4" s="28" t="s">
        <v>9</v>
      </c>
      <c r="F4" s="40" t="n">
        <f aca="false">COUNTIF(H9:H31,"partial")</f>
        <v>0</v>
      </c>
      <c r="G4" s="28" t="s">
        <v>10</v>
      </c>
      <c r="H4" s="40" t="n">
        <f aca="false">COUNTIF(H9:H31,"missing")</f>
        <v>0</v>
      </c>
      <c r="I4" s="28" t="s">
        <v>11</v>
      </c>
      <c r="J4" s="40" t="n">
        <f aca="false">COUNTIF(F9:F31,"no")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47" t="n">
        <v>1</v>
      </c>
      <c r="B9" s="48" t="s">
        <v>456</v>
      </c>
      <c r="C9" s="48" t="s">
        <v>457</v>
      </c>
      <c r="D9" s="48" t="s">
        <v>458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1333</v>
      </c>
      <c r="J9" s="48"/>
      <c r="K9" s="49" t="n">
        <f aca="false">IF(H9="covered",1,IF(H9="partial",0.5,0))</f>
        <v>1</v>
      </c>
    </row>
    <row r="10" customFormat="false" ht="15" hidden="false" customHeight="true" outlineLevel="0" collapsed="false">
      <c r="A10" s="47" t="n">
        <v>2</v>
      </c>
      <c r="B10" s="48" t="s">
        <v>456</v>
      </c>
      <c r="C10" s="48" t="s">
        <v>457</v>
      </c>
      <c r="D10" s="48" t="s">
        <v>463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1333</v>
      </c>
      <c r="J10" s="48"/>
      <c r="K10" s="49" t="n">
        <f aca="false">IF(H10="covered",1,IF(H10="partial",0.5,0))</f>
        <v>1</v>
      </c>
    </row>
    <row r="11" customFormat="false" ht="15" hidden="false" customHeight="true" outlineLevel="0" collapsed="false">
      <c r="A11" s="47" t="n">
        <v>3</v>
      </c>
      <c r="B11" s="48" t="s">
        <v>456</v>
      </c>
      <c r="C11" s="48" t="s">
        <v>55</v>
      </c>
      <c r="D11" s="48" t="s">
        <v>464</v>
      </c>
      <c r="E11" s="47" t="s">
        <v>459</v>
      </c>
      <c r="F11" s="47" t="s">
        <v>459</v>
      </c>
      <c r="G11" s="47" t="s">
        <v>110</v>
      </c>
      <c r="H11" s="47" t="s">
        <v>461</v>
      </c>
      <c r="I11" s="48" t="s">
        <v>2349</v>
      </c>
      <c r="J11" s="48"/>
      <c r="K11" s="49" t="n">
        <f aca="false">IF(H11="covered",1,IF(H11="partial",0.5,0))</f>
        <v>1</v>
      </c>
    </row>
    <row r="12" customFormat="false" ht="15" hidden="false" customHeight="true" outlineLevel="0" collapsed="false">
      <c r="A12" s="47" t="n">
        <v>4</v>
      </c>
      <c r="B12" s="48" t="s">
        <v>456</v>
      </c>
      <c r="C12" s="48" t="s">
        <v>55</v>
      </c>
      <c r="D12" s="48" t="s">
        <v>465</v>
      </c>
      <c r="E12" s="47" t="s">
        <v>459</v>
      </c>
      <c r="F12" s="47" t="s">
        <v>459</v>
      </c>
      <c r="G12" s="47" t="s">
        <v>110</v>
      </c>
      <c r="H12" s="47" t="s">
        <v>461</v>
      </c>
      <c r="I12" s="48" t="s">
        <v>2349</v>
      </c>
      <c r="J12" s="48"/>
      <c r="K12" s="49" t="n">
        <f aca="false">IF(H12="covered",1,IF(H12="partial",0.5,0))</f>
        <v>1</v>
      </c>
    </row>
    <row r="13" customFormat="false" ht="15" hidden="false" customHeight="true" outlineLevel="0" collapsed="false">
      <c r="A13" s="47" t="n">
        <v>5</v>
      </c>
      <c r="B13" s="48" t="s">
        <v>456</v>
      </c>
      <c r="C13" s="48" t="s">
        <v>55</v>
      </c>
      <c r="D13" s="48" t="s">
        <v>466</v>
      </c>
      <c r="E13" s="47" t="s">
        <v>459</v>
      </c>
      <c r="F13" s="47" t="s">
        <v>459</v>
      </c>
      <c r="G13" s="47" t="s">
        <v>110</v>
      </c>
      <c r="H13" s="47" t="s">
        <v>461</v>
      </c>
      <c r="I13" s="48" t="s">
        <v>2349</v>
      </c>
      <c r="J13" s="48"/>
      <c r="K13" s="49" t="n">
        <f aca="false">IF(H13="covered",1,IF(H13="partial",0.5,0))</f>
        <v>1</v>
      </c>
    </row>
    <row r="14" customFormat="false" ht="15" hidden="false" customHeight="true" outlineLevel="0" collapsed="false">
      <c r="A14" s="47" t="n">
        <v>6</v>
      </c>
      <c r="B14" s="48" t="s">
        <v>456</v>
      </c>
      <c r="C14" s="48" t="s">
        <v>55</v>
      </c>
      <c r="D14" s="48" t="s">
        <v>467</v>
      </c>
      <c r="E14" s="47" t="s">
        <v>459</v>
      </c>
      <c r="F14" s="47" t="s">
        <v>459</v>
      </c>
      <c r="G14" s="47" t="s">
        <v>110</v>
      </c>
      <c r="H14" s="47" t="s">
        <v>461</v>
      </c>
      <c r="I14" s="48" t="s">
        <v>2349</v>
      </c>
      <c r="J14" s="48"/>
      <c r="K14" s="49" t="n">
        <f aca="false">IF(H14="covered",1,IF(H14="partial",0.5,0))</f>
        <v>1</v>
      </c>
    </row>
    <row r="15" customFormat="false" ht="15" hidden="false" customHeight="true" outlineLevel="0" collapsed="false">
      <c r="A15" s="47" t="n">
        <v>7</v>
      </c>
      <c r="B15" s="48" t="s">
        <v>468</v>
      </c>
      <c r="C15" s="48" t="s">
        <v>55</v>
      </c>
      <c r="D15" s="48" t="s">
        <v>2350</v>
      </c>
      <c r="E15" s="47" t="s">
        <v>459</v>
      </c>
      <c r="F15" s="47" t="s">
        <v>459</v>
      </c>
      <c r="G15" s="47" t="s">
        <v>110</v>
      </c>
      <c r="H15" s="47" t="s">
        <v>461</v>
      </c>
      <c r="I15" s="48" t="s">
        <v>2349</v>
      </c>
      <c r="J15" s="48"/>
      <c r="K15" s="49" t="n">
        <f aca="false">IF(H15="covered",1,IF(H15="partial",0.5,0))</f>
        <v>1</v>
      </c>
    </row>
    <row r="16" customFormat="false" ht="15" hidden="false" customHeight="true" outlineLevel="0" collapsed="false">
      <c r="A16" s="47" t="n">
        <v>8</v>
      </c>
      <c r="B16" s="48" t="s">
        <v>468</v>
      </c>
      <c r="C16" s="48" t="s">
        <v>55</v>
      </c>
      <c r="D16" s="48" t="s">
        <v>2351</v>
      </c>
      <c r="E16" s="47" t="s">
        <v>459</v>
      </c>
      <c r="F16" s="47" t="s">
        <v>459</v>
      </c>
      <c r="G16" s="47" t="s">
        <v>110</v>
      </c>
      <c r="H16" s="47" t="s">
        <v>461</v>
      </c>
      <c r="I16" s="48" t="s">
        <v>2349</v>
      </c>
      <c r="J16" s="48"/>
      <c r="K16" s="49" t="n">
        <f aca="false">IF(H16="covered",1,IF(H16="partial",0.5,0))</f>
        <v>1</v>
      </c>
    </row>
    <row r="17" customFormat="false" ht="15" hidden="false" customHeight="true" outlineLevel="0" collapsed="false">
      <c r="A17" s="47" t="n">
        <v>9</v>
      </c>
      <c r="B17" s="48" t="s">
        <v>468</v>
      </c>
      <c r="C17" s="48" t="s">
        <v>55</v>
      </c>
      <c r="D17" s="48" t="s">
        <v>2352</v>
      </c>
      <c r="E17" s="47" t="s">
        <v>459</v>
      </c>
      <c r="F17" s="47" t="s">
        <v>459</v>
      </c>
      <c r="G17" s="47" t="s">
        <v>110</v>
      </c>
      <c r="H17" s="47" t="s">
        <v>461</v>
      </c>
      <c r="I17" s="48" t="s">
        <v>2349</v>
      </c>
      <c r="J17" s="48"/>
      <c r="K17" s="49" t="n">
        <f aca="false">IF(H17="covered",1,IF(H17="partial",0.5,0))</f>
        <v>1</v>
      </c>
    </row>
    <row r="18" customFormat="false" ht="15" hidden="false" customHeight="true" outlineLevel="0" collapsed="false">
      <c r="A18" s="47" t="n">
        <v>10</v>
      </c>
      <c r="B18" s="48" t="s">
        <v>468</v>
      </c>
      <c r="C18" s="48" t="s">
        <v>55</v>
      </c>
      <c r="D18" s="48" t="s">
        <v>2353</v>
      </c>
      <c r="E18" s="47" t="s">
        <v>459</v>
      </c>
      <c r="F18" s="47" t="s">
        <v>459</v>
      </c>
      <c r="G18" s="47" t="s">
        <v>110</v>
      </c>
      <c r="H18" s="47" t="s">
        <v>461</v>
      </c>
      <c r="I18" s="48" t="s">
        <v>2349</v>
      </c>
      <c r="J18" s="48"/>
      <c r="K18" s="49" t="n">
        <f aca="false">IF(H18="covered",1,IF(H18="partial",0.5,0))</f>
        <v>1</v>
      </c>
    </row>
    <row r="19" customFormat="false" ht="15" hidden="false" customHeight="true" outlineLevel="0" collapsed="false">
      <c r="A19" s="47" t="n">
        <v>11</v>
      </c>
      <c r="B19" s="48" t="s">
        <v>475</v>
      </c>
      <c r="C19" s="48" t="s">
        <v>55</v>
      </c>
      <c r="D19" s="48" t="s">
        <v>2354</v>
      </c>
      <c r="E19" s="47" t="s">
        <v>459</v>
      </c>
      <c r="F19" s="47" t="s">
        <v>459</v>
      </c>
      <c r="G19" s="47" t="s">
        <v>110</v>
      </c>
      <c r="H19" s="47" t="s">
        <v>461</v>
      </c>
      <c r="I19" s="48" t="s">
        <v>2349</v>
      </c>
      <c r="J19" s="48"/>
      <c r="K19" s="49" t="n">
        <f aca="false">IF(H19="covered",1,IF(H19="partial",0.5,0))</f>
        <v>1</v>
      </c>
    </row>
    <row r="20" customFormat="false" ht="30" hidden="false" customHeight="true" outlineLevel="0" collapsed="false">
      <c r="A20" s="47" t="n">
        <v>12</v>
      </c>
      <c r="B20" s="48" t="s">
        <v>475</v>
      </c>
      <c r="C20" s="48" t="s">
        <v>55</v>
      </c>
      <c r="D20" s="48" t="s">
        <v>478</v>
      </c>
      <c r="E20" s="47" t="s">
        <v>459</v>
      </c>
      <c r="F20" s="47" t="s">
        <v>459</v>
      </c>
      <c r="G20" s="47" t="s">
        <v>110</v>
      </c>
      <c r="H20" s="47" t="s">
        <v>461</v>
      </c>
      <c r="I20" s="48" t="s">
        <v>2349</v>
      </c>
      <c r="J20" s="48"/>
      <c r="K20" s="49" t="n">
        <f aca="false">IF(H20="covered",1,IF(H20="partial",0.5,0))</f>
        <v>1</v>
      </c>
    </row>
    <row r="21" customFormat="false" ht="30" hidden="false" customHeight="true" outlineLevel="0" collapsed="false">
      <c r="A21" s="47" t="n">
        <v>13</v>
      </c>
      <c r="B21" s="48" t="s">
        <v>479</v>
      </c>
      <c r="C21" s="48" t="s">
        <v>55</v>
      </c>
      <c r="D21" s="48" t="s">
        <v>2355</v>
      </c>
      <c r="E21" s="47" t="s">
        <v>459</v>
      </c>
      <c r="F21" s="47" t="s">
        <v>459</v>
      </c>
      <c r="G21" s="47" t="s">
        <v>110</v>
      </c>
      <c r="H21" s="47" t="s">
        <v>461</v>
      </c>
      <c r="I21" s="48" t="s">
        <v>2349</v>
      </c>
      <c r="J21" s="48"/>
      <c r="K21" s="49" t="n">
        <f aca="false">IF(H21="covered",1,IF(H21="partial",0.5,0))</f>
        <v>1</v>
      </c>
    </row>
    <row r="22" customFormat="false" ht="15" hidden="false" customHeight="true" outlineLevel="0" collapsed="false">
      <c r="A22" s="47" t="n">
        <v>14</v>
      </c>
      <c r="B22" s="48" t="s">
        <v>479</v>
      </c>
      <c r="C22" s="48" t="s">
        <v>55</v>
      </c>
      <c r="D22" s="48" t="s">
        <v>2356</v>
      </c>
      <c r="E22" s="47" t="s">
        <v>459</v>
      </c>
      <c r="F22" s="47" t="s">
        <v>459</v>
      </c>
      <c r="G22" s="47" t="s">
        <v>110</v>
      </c>
      <c r="H22" s="47" t="s">
        <v>461</v>
      </c>
      <c r="I22" s="48" t="s">
        <v>2349</v>
      </c>
      <c r="J22" s="48"/>
      <c r="K22" s="49" t="n">
        <f aca="false">IF(H22="covered",1,IF(H22="partial",0.5,0))</f>
        <v>1</v>
      </c>
    </row>
    <row r="23" customFormat="false" ht="15" hidden="false" customHeight="true" outlineLevel="0" collapsed="false">
      <c r="A23" s="47" t="n">
        <v>15</v>
      </c>
      <c r="B23" s="48" t="s">
        <v>457</v>
      </c>
      <c r="C23" s="48" t="s">
        <v>2357</v>
      </c>
      <c r="D23" s="48" t="s">
        <v>2358</v>
      </c>
      <c r="E23" s="47" t="s">
        <v>459</v>
      </c>
      <c r="F23" s="47" t="s">
        <v>459</v>
      </c>
      <c r="G23" s="47" t="s">
        <v>110</v>
      </c>
      <c r="H23" s="47" t="s">
        <v>461</v>
      </c>
      <c r="I23" s="48" t="s">
        <v>2349</v>
      </c>
      <c r="J23" s="48"/>
      <c r="K23" s="49" t="n">
        <f aca="false">IF(H23="covered",1,IF(H23="partial",0.5,0))</f>
        <v>1</v>
      </c>
    </row>
    <row r="24" customFormat="false" ht="15" hidden="false" customHeight="true" outlineLevel="0" collapsed="false">
      <c r="A24" s="47" t="n">
        <v>16</v>
      </c>
      <c r="B24" s="48" t="s">
        <v>475</v>
      </c>
      <c r="C24" s="48" t="s">
        <v>2357</v>
      </c>
      <c r="D24" s="48" t="s">
        <v>2359</v>
      </c>
      <c r="E24" s="47" t="s">
        <v>459</v>
      </c>
      <c r="F24" s="47" t="s">
        <v>459</v>
      </c>
      <c r="G24" s="47" t="s">
        <v>110</v>
      </c>
      <c r="H24" s="47" t="s">
        <v>461</v>
      </c>
      <c r="I24" s="48" t="s">
        <v>2349</v>
      </c>
      <c r="J24" s="48"/>
      <c r="K24" s="49" t="n">
        <f aca="false">IF(H24="covered",1,IF(H24="partial",0.5,0))</f>
        <v>1</v>
      </c>
    </row>
    <row r="25" customFormat="false" ht="15" hidden="false" customHeight="true" outlineLevel="0" collapsed="false">
      <c r="A25" s="47" t="n">
        <v>17</v>
      </c>
      <c r="B25" s="48" t="s">
        <v>475</v>
      </c>
      <c r="C25" s="48" t="s">
        <v>2357</v>
      </c>
      <c r="D25" s="48" t="s">
        <v>2360</v>
      </c>
      <c r="E25" s="47" t="s">
        <v>459</v>
      </c>
      <c r="F25" s="47" t="s">
        <v>459</v>
      </c>
      <c r="G25" s="47" t="s">
        <v>110</v>
      </c>
      <c r="H25" s="47" t="s">
        <v>461</v>
      </c>
      <c r="I25" s="48" t="s">
        <v>2349</v>
      </c>
      <c r="J25" s="48"/>
      <c r="K25" s="49" t="n">
        <f aca="false">IF(H25="covered",1,IF(H25="partial",0.5,0))</f>
        <v>1</v>
      </c>
    </row>
    <row r="26" customFormat="false" ht="30" hidden="false" customHeight="true" outlineLevel="0" collapsed="false">
      <c r="A26" s="47" t="n">
        <v>18</v>
      </c>
      <c r="B26" s="48" t="s">
        <v>479</v>
      </c>
      <c r="C26" s="48" t="s">
        <v>2357</v>
      </c>
      <c r="D26" s="48" t="s">
        <v>2361</v>
      </c>
      <c r="E26" s="47" t="s">
        <v>459</v>
      </c>
      <c r="F26" s="47" t="s">
        <v>459</v>
      </c>
      <c r="G26" s="47" t="s">
        <v>110</v>
      </c>
      <c r="H26" s="47" t="s">
        <v>461</v>
      </c>
      <c r="I26" s="48" t="s">
        <v>2349</v>
      </c>
      <c r="J26" s="48"/>
      <c r="K26" s="49" t="n">
        <f aca="false">IF(H26="covered",1,IF(H26="partial",0.5,0))</f>
        <v>1</v>
      </c>
    </row>
    <row r="27" customFormat="false" ht="15" hidden="false" customHeight="true" outlineLevel="0" collapsed="false">
      <c r="A27" s="47" t="n">
        <v>19</v>
      </c>
      <c r="B27" s="48" t="s">
        <v>479</v>
      </c>
      <c r="C27" s="48" t="s">
        <v>2357</v>
      </c>
      <c r="D27" s="48" t="s">
        <v>2362</v>
      </c>
      <c r="E27" s="47" t="s">
        <v>459</v>
      </c>
      <c r="F27" s="47" t="s">
        <v>459</v>
      </c>
      <c r="G27" s="47" t="s">
        <v>110</v>
      </c>
      <c r="H27" s="47" t="s">
        <v>461</v>
      </c>
      <c r="I27" s="48" t="s">
        <v>2349</v>
      </c>
      <c r="J27" s="48"/>
      <c r="K27" s="49" t="n">
        <f aca="false">IF(H27="covered",1,IF(H27="partial",0.5,0))</f>
        <v>1</v>
      </c>
    </row>
    <row r="28" customFormat="false" ht="15" hidden="false" customHeight="true" outlineLevel="0" collapsed="false">
      <c r="A28" s="47" t="n">
        <v>20</v>
      </c>
      <c r="B28" s="48" t="s">
        <v>457</v>
      </c>
      <c r="C28" s="48" t="s">
        <v>2357</v>
      </c>
      <c r="D28" s="48" t="s">
        <v>2363</v>
      </c>
      <c r="E28" s="47" t="s">
        <v>459</v>
      </c>
      <c r="F28" s="47" t="s">
        <v>459</v>
      </c>
      <c r="G28" s="47" t="s">
        <v>110</v>
      </c>
      <c r="H28" s="47" t="s">
        <v>461</v>
      </c>
      <c r="I28" s="48" t="s">
        <v>2349</v>
      </c>
      <c r="J28" s="48"/>
      <c r="K28" s="49" t="n">
        <f aca="false">IF(H28="covered",1,IF(H28="partial",0.5,0))</f>
        <v>1</v>
      </c>
    </row>
    <row r="29" customFormat="false" ht="15" hidden="false" customHeight="true" outlineLevel="0" collapsed="false">
      <c r="A29" s="47" t="n">
        <v>21</v>
      </c>
      <c r="B29" s="48" t="s">
        <v>794</v>
      </c>
      <c r="C29" s="48" t="s">
        <v>55</v>
      </c>
      <c r="D29" s="48" t="s">
        <v>2364</v>
      </c>
      <c r="E29" s="47" t="s">
        <v>459</v>
      </c>
      <c r="F29" s="47" t="s">
        <v>459</v>
      </c>
      <c r="G29" s="47" t="s">
        <v>110</v>
      </c>
      <c r="H29" s="47" t="s">
        <v>461</v>
      </c>
      <c r="I29" s="48" t="s">
        <v>2349</v>
      </c>
      <c r="J29" s="48"/>
      <c r="K29" s="49" t="n">
        <f aca="false">IF(H29="covered",1,IF(H29="partial",0.5,0))</f>
        <v>1</v>
      </c>
    </row>
    <row r="30" customFormat="false" ht="15" hidden="false" customHeight="true" outlineLevel="0" collapsed="false">
      <c r="A30" s="47" t="n">
        <v>22</v>
      </c>
      <c r="B30" s="48" t="s">
        <v>794</v>
      </c>
      <c r="C30" s="48" t="s">
        <v>55</v>
      </c>
      <c r="D30" s="48" t="s">
        <v>2365</v>
      </c>
      <c r="E30" s="47" t="s">
        <v>459</v>
      </c>
      <c r="F30" s="47" t="s">
        <v>459</v>
      </c>
      <c r="G30" s="47" t="s">
        <v>110</v>
      </c>
      <c r="H30" s="47" t="s">
        <v>461</v>
      </c>
      <c r="I30" s="48" t="s">
        <v>2349</v>
      </c>
      <c r="J30" s="48"/>
      <c r="K30" s="49" t="n">
        <f aca="false">IF(H30="covered",1,IF(H30="partial",0.5,0))</f>
        <v>1</v>
      </c>
    </row>
    <row r="31" customFormat="false" ht="15" hidden="false" customHeight="true" outlineLevel="0" collapsed="false">
      <c r="A31" s="47" t="n">
        <v>23</v>
      </c>
      <c r="B31" s="48" t="s">
        <v>794</v>
      </c>
      <c r="C31" s="48" t="s">
        <v>55</v>
      </c>
      <c r="D31" s="48" t="s">
        <v>2366</v>
      </c>
      <c r="E31" s="47" t="s">
        <v>459</v>
      </c>
      <c r="F31" s="47" t="s">
        <v>459</v>
      </c>
      <c r="G31" s="47" t="s">
        <v>110</v>
      </c>
      <c r="H31" s="47" t="s">
        <v>461</v>
      </c>
      <c r="I31" s="48" t="s">
        <v>2349</v>
      </c>
      <c r="J31" s="48"/>
      <c r="K31" s="49" t="n">
        <f aca="false">IF(H31="covered",1,IF(H31="partial",0.5,0))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2367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42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51" t="n">
        <v>1</v>
      </c>
      <c r="B9" s="52" t="s">
        <v>456</v>
      </c>
      <c r="C9" s="52" t="s">
        <v>457</v>
      </c>
      <c r="D9" s="52" t="s">
        <v>458</v>
      </c>
      <c r="E9" s="51" t="s">
        <v>459</v>
      </c>
      <c r="F9" s="51" t="s">
        <v>459</v>
      </c>
      <c r="G9" s="51" t="s">
        <v>907</v>
      </c>
      <c r="H9" s="51" t="s">
        <v>461</v>
      </c>
      <c r="I9" s="52" t="s">
        <v>2368</v>
      </c>
      <c r="J9" s="52"/>
      <c r="K9" s="53" t="n">
        <f aca="false">IF(AND(E9="yes",F9="yes",H9="covered"),1,IF(H9="partial",0.5,0))</f>
        <v>1</v>
      </c>
    </row>
    <row r="10" customFormat="false" ht="15" hidden="false" customHeight="true" outlineLevel="0" collapsed="false">
      <c r="A10" s="51" t="n">
        <v>2</v>
      </c>
      <c r="B10" s="52" t="s">
        <v>456</v>
      </c>
      <c r="C10" s="52" t="s">
        <v>457</v>
      </c>
      <c r="D10" s="52" t="s">
        <v>463</v>
      </c>
      <c r="E10" s="51" t="s">
        <v>459</v>
      </c>
      <c r="F10" s="51" t="s">
        <v>459</v>
      </c>
      <c r="G10" s="51" t="s">
        <v>907</v>
      </c>
      <c r="H10" s="51" t="s">
        <v>461</v>
      </c>
      <c r="I10" s="52" t="s">
        <v>2368</v>
      </c>
      <c r="J10" s="52"/>
      <c r="K10" s="53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51" t="n">
        <v>3</v>
      </c>
      <c r="B11" s="52" t="s">
        <v>456</v>
      </c>
      <c r="C11" s="52" t="s">
        <v>56</v>
      </c>
      <c r="D11" s="52" t="s">
        <v>464</v>
      </c>
      <c r="E11" s="51" t="s">
        <v>459</v>
      </c>
      <c r="F11" s="51" t="s">
        <v>459</v>
      </c>
      <c r="G11" s="51" t="s">
        <v>907</v>
      </c>
      <c r="H11" s="51" t="s">
        <v>461</v>
      </c>
      <c r="I11" s="52" t="s">
        <v>2368</v>
      </c>
      <c r="J11" s="52"/>
      <c r="K11" s="53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51" t="n">
        <v>4</v>
      </c>
      <c r="B12" s="52" t="s">
        <v>456</v>
      </c>
      <c r="C12" s="52" t="s">
        <v>56</v>
      </c>
      <c r="D12" s="52" t="s">
        <v>465</v>
      </c>
      <c r="E12" s="51" t="s">
        <v>459</v>
      </c>
      <c r="F12" s="51" t="s">
        <v>459</v>
      </c>
      <c r="G12" s="51" t="s">
        <v>907</v>
      </c>
      <c r="H12" s="51" t="s">
        <v>461</v>
      </c>
      <c r="I12" s="52" t="s">
        <v>2368</v>
      </c>
      <c r="J12" s="52"/>
      <c r="K12" s="53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51" t="n">
        <v>5</v>
      </c>
      <c r="B13" s="52" t="s">
        <v>456</v>
      </c>
      <c r="C13" s="52" t="s">
        <v>56</v>
      </c>
      <c r="D13" s="52" t="s">
        <v>466</v>
      </c>
      <c r="E13" s="51" t="s">
        <v>459</v>
      </c>
      <c r="F13" s="51" t="s">
        <v>459</v>
      </c>
      <c r="G13" s="51" t="s">
        <v>907</v>
      </c>
      <c r="H13" s="51" t="s">
        <v>461</v>
      </c>
      <c r="I13" s="52" t="s">
        <v>2368</v>
      </c>
      <c r="J13" s="52"/>
      <c r="K13" s="53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51" t="n">
        <v>6</v>
      </c>
      <c r="B14" s="52" t="s">
        <v>456</v>
      </c>
      <c r="C14" s="52" t="s">
        <v>56</v>
      </c>
      <c r="D14" s="52" t="s">
        <v>467</v>
      </c>
      <c r="E14" s="51" t="s">
        <v>459</v>
      </c>
      <c r="F14" s="51" t="s">
        <v>459</v>
      </c>
      <c r="G14" s="51" t="s">
        <v>907</v>
      </c>
      <c r="H14" s="51" t="s">
        <v>461</v>
      </c>
      <c r="I14" s="52" t="s">
        <v>2368</v>
      </c>
      <c r="J14" s="52"/>
      <c r="K14" s="53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51" t="n">
        <v>7</v>
      </c>
      <c r="B15" s="52" t="s">
        <v>468</v>
      </c>
      <c r="C15" s="52" t="s">
        <v>56</v>
      </c>
      <c r="D15" s="52" t="s">
        <v>2369</v>
      </c>
      <c r="E15" s="51" t="s">
        <v>459</v>
      </c>
      <c r="F15" s="51" t="s">
        <v>459</v>
      </c>
      <c r="G15" s="51" t="s">
        <v>907</v>
      </c>
      <c r="H15" s="51" t="s">
        <v>461</v>
      </c>
      <c r="I15" s="52" t="s">
        <v>2368</v>
      </c>
      <c r="J15" s="52"/>
      <c r="K15" s="53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51" t="n">
        <v>8</v>
      </c>
      <c r="B16" s="52" t="s">
        <v>468</v>
      </c>
      <c r="C16" s="52" t="s">
        <v>56</v>
      </c>
      <c r="D16" s="52" t="s">
        <v>2370</v>
      </c>
      <c r="E16" s="51" t="s">
        <v>459</v>
      </c>
      <c r="F16" s="51" t="s">
        <v>459</v>
      </c>
      <c r="G16" s="51" t="s">
        <v>907</v>
      </c>
      <c r="H16" s="51" t="s">
        <v>461</v>
      </c>
      <c r="I16" s="52" t="s">
        <v>2368</v>
      </c>
      <c r="J16" s="52"/>
      <c r="K16" s="53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51" t="n">
        <v>9</v>
      </c>
      <c r="B17" s="52" t="s">
        <v>468</v>
      </c>
      <c r="C17" s="52" t="s">
        <v>56</v>
      </c>
      <c r="D17" s="52" t="s">
        <v>2371</v>
      </c>
      <c r="E17" s="51" t="s">
        <v>459</v>
      </c>
      <c r="F17" s="51" t="s">
        <v>459</v>
      </c>
      <c r="G17" s="51" t="s">
        <v>907</v>
      </c>
      <c r="H17" s="51" t="s">
        <v>461</v>
      </c>
      <c r="I17" s="52" t="s">
        <v>2368</v>
      </c>
      <c r="J17" s="52"/>
      <c r="K17" s="53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51" t="n">
        <v>10</v>
      </c>
      <c r="B18" s="52" t="s">
        <v>468</v>
      </c>
      <c r="C18" s="52" t="s">
        <v>56</v>
      </c>
      <c r="D18" s="52" t="s">
        <v>2372</v>
      </c>
      <c r="E18" s="51" t="s">
        <v>459</v>
      </c>
      <c r="F18" s="51" t="s">
        <v>459</v>
      </c>
      <c r="G18" s="51" t="s">
        <v>907</v>
      </c>
      <c r="H18" s="51" t="s">
        <v>461</v>
      </c>
      <c r="I18" s="52" t="s">
        <v>2368</v>
      </c>
      <c r="J18" s="52"/>
      <c r="K18" s="53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51" t="n">
        <v>11</v>
      </c>
      <c r="B19" s="52" t="s">
        <v>468</v>
      </c>
      <c r="C19" s="52" t="s">
        <v>56</v>
      </c>
      <c r="D19" s="52" t="s">
        <v>2373</v>
      </c>
      <c r="E19" s="51" t="s">
        <v>459</v>
      </c>
      <c r="F19" s="51" t="s">
        <v>459</v>
      </c>
      <c r="G19" s="51" t="s">
        <v>907</v>
      </c>
      <c r="H19" s="51" t="s">
        <v>461</v>
      </c>
      <c r="I19" s="52" t="s">
        <v>2368</v>
      </c>
      <c r="J19" s="52"/>
      <c r="K19" s="53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51" t="n">
        <v>12</v>
      </c>
      <c r="B20" s="52" t="s">
        <v>468</v>
      </c>
      <c r="C20" s="52" t="s">
        <v>56</v>
      </c>
      <c r="D20" s="52" t="s">
        <v>2374</v>
      </c>
      <c r="E20" s="51" t="s">
        <v>459</v>
      </c>
      <c r="F20" s="51" t="s">
        <v>459</v>
      </c>
      <c r="G20" s="51" t="s">
        <v>907</v>
      </c>
      <c r="H20" s="51" t="s">
        <v>461</v>
      </c>
      <c r="I20" s="52" t="s">
        <v>2368</v>
      </c>
      <c r="J20" s="52"/>
      <c r="K20" s="53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51" t="n">
        <v>13</v>
      </c>
      <c r="B21" s="52" t="s">
        <v>475</v>
      </c>
      <c r="C21" s="52" t="s">
        <v>476</v>
      </c>
      <c r="D21" s="52" t="s">
        <v>477</v>
      </c>
      <c r="E21" s="51" t="s">
        <v>459</v>
      </c>
      <c r="F21" s="51" t="s">
        <v>459</v>
      </c>
      <c r="G21" s="51" t="s">
        <v>907</v>
      </c>
      <c r="H21" s="51" t="s">
        <v>461</v>
      </c>
      <c r="I21" s="52" t="s">
        <v>2368</v>
      </c>
      <c r="J21" s="52"/>
      <c r="K21" s="53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51" t="n">
        <v>14</v>
      </c>
      <c r="B22" s="52" t="s">
        <v>475</v>
      </c>
      <c r="C22" s="52" t="s">
        <v>476</v>
      </c>
      <c r="D22" s="52" t="s">
        <v>478</v>
      </c>
      <c r="E22" s="51" t="s">
        <v>459</v>
      </c>
      <c r="F22" s="51" t="s">
        <v>459</v>
      </c>
      <c r="G22" s="51" t="s">
        <v>907</v>
      </c>
      <c r="H22" s="51" t="s">
        <v>461</v>
      </c>
      <c r="I22" s="52" t="s">
        <v>2368</v>
      </c>
      <c r="J22" s="52"/>
      <c r="K22" s="53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51" t="n">
        <v>15</v>
      </c>
      <c r="B23" s="52" t="s">
        <v>479</v>
      </c>
      <c r="C23" s="52" t="s">
        <v>476</v>
      </c>
      <c r="D23" s="52" t="s">
        <v>480</v>
      </c>
      <c r="E23" s="51" t="s">
        <v>459</v>
      </c>
      <c r="F23" s="51" t="s">
        <v>459</v>
      </c>
      <c r="G23" s="51" t="s">
        <v>907</v>
      </c>
      <c r="H23" s="51" t="s">
        <v>461</v>
      </c>
      <c r="I23" s="52" t="s">
        <v>2368</v>
      </c>
      <c r="J23" s="52"/>
      <c r="K23" s="53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51" t="n">
        <v>16</v>
      </c>
      <c r="B24" s="52" t="s">
        <v>479</v>
      </c>
      <c r="C24" s="52" t="s">
        <v>476</v>
      </c>
      <c r="D24" s="52" t="s">
        <v>481</v>
      </c>
      <c r="E24" s="51" t="s">
        <v>459</v>
      </c>
      <c r="F24" s="51" t="s">
        <v>459</v>
      </c>
      <c r="G24" s="51" t="s">
        <v>907</v>
      </c>
      <c r="H24" s="51" t="s">
        <v>461</v>
      </c>
      <c r="I24" s="52" t="s">
        <v>2368</v>
      </c>
      <c r="J24" s="52"/>
      <c r="K24" s="53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51" t="n">
        <v>17</v>
      </c>
      <c r="B25" s="52" t="s">
        <v>457</v>
      </c>
      <c r="C25" s="52" t="s">
        <v>476</v>
      </c>
      <c r="D25" s="52" t="s">
        <v>482</v>
      </c>
      <c r="E25" s="51" t="s">
        <v>459</v>
      </c>
      <c r="F25" s="51" t="s">
        <v>459</v>
      </c>
      <c r="G25" s="51" t="s">
        <v>907</v>
      </c>
      <c r="H25" s="51" t="s">
        <v>461</v>
      </c>
      <c r="I25" s="52" t="s">
        <v>2368</v>
      </c>
      <c r="J25" s="52"/>
      <c r="K25" s="53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51" t="n">
        <v>18</v>
      </c>
      <c r="B26" s="52" t="s">
        <v>774</v>
      </c>
      <c r="C26" s="52" t="s">
        <v>476</v>
      </c>
      <c r="D26" s="52" t="s">
        <v>775</v>
      </c>
      <c r="E26" s="51" t="s">
        <v>459</v>
      </c>
      <c r="F26" s="51" t="s">
        <v>459</v>
      </c>
      <c r="G26" s="51" t="s">
        <v>907</v>
      </c>
      <c r="H26" s="51" t="s">
        <v>461</v>
      </c>
      <c r="I26" s="52" t="s">
        <v>2368</v>
      </c>
      <c r="J26" s="52"/>
      <c r="K26" s="53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51" t="n">
        <v>19</v>
      </c>
      <c r="B27" s="52" t="s">
        <v>488</v>
      </c>
      <c r="C27" s="52" t="s">
        <v>476</v>
      </c>
      <c r="D27" s="52" t="s">
        <v>493</v>
      </c>
      <c r="E27" s="51" t="s">
        <v>459</v>
      </c>
      <c r="F27" s="51" t="s">
        <v>459</v>
      </c>
      <c r="G27" s="51" t="s">
        <v>907</v>
      </c>
      <c r="H27" s="51" t="s">
        <v>461</v>
      </c>
      <c r="I27" s="52" t="s">
        <v>2368</v>
      </c>
      <c r="J27" s="52"/>
      <c r="K27" s="53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51" t="n">
        <v>20</v>
      </c>
      <c r="B28" s="52" t="s">
        <v>488</v>
      </c>
      <c r="C28" s="52" t="s">
        <v>476</v>
      </c>
      <c r="D28" s="52" t="s">
        <v>923</v>
      </c>
      <c r="E28" s="51" t="s">
        <v>459</v>
      </c>
      <c r="F28" s="51" t="s">
        <v>459</v>
      </c>
      <c r="G28" s="51" t="s">
        <v>907</v>
      </c>
      <c r="H28" s="51" t="s">
        <v>461</v>
      </c>
      <c r="I28" s="52" t="s">
        <v>2368</v>
      </c>
      <c r="J28" s="52"/>
      <c r="K28" s="53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51" t="n">
        <v>21</v>
      </c>
      <c r="B29" s="52" t="s">
        <v>488</v>
      </c>
      <c r="C29" s="52" t="s">
        <v>476</v>
      </c>
      <c r="D29" s="52" t="s">
        <v>924</v>
      </c>
      <c r="E29" s="51" t="s">
        <v>459</v>
      </c>
      <c r="F29" s="51" t="s">
        <v>459</v>
      </c>
      <c r="G29" s="51" t="s">
        <v>907</v>
      </c>
      <c r="H29" s="51" t="s">
        <v>461</v>
      </c>
      <c r="I29" s="52" t="s">
        <v>2368</v>
      </c>
      <c r="J29" s="52"/>
      <c r="K29" s="53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51" t="n">
        <v>22</v>
      </c>
      <c r="B30" s="52" t="s">
        <v>488</v>
      </c>
      <c r="C30" s="52" t="s">
        <v>476</v>
      </c>
      <c r="D30" s="52" t="s">
        <v>2375</v>
      </c>
      <c r="E30" s="51" t="s">
        <v>459</v>
      </c>
      <c r="F30" s="51" t="s">
        <v>459</v>
      </c>
      <c r="G30" s="51" t="s">
        <v>907</v>
      </c>
      <c r="H30" s="51" t="s">
        <v>461</v>
      </c>
      <c r="I30" s="52" t="s">
        <v>2368</v>
      </c>
      <c r="J30" s="52"/>
      <c r="K30" s="53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51" t="n">
        <v>23</v>
      </c>
      <c r="B31" s="52" t="s">
        <v>488</v>
      </c>
      <c r="C31" s="52" t="s">
        <v>476</v>
      </c>
      <c r="D31" s="52" t="s">
        <v>2376</v>
      </c>
      <c r="E31" s="51" t="s">
        <v>459</v>
      </c>
      <c r="F31" s="51" t="s">
        <v>459</v>
      </c>
      <c r="G31" s="51" t="s">
        <v>907</v>
      </c>
      <c r="H31" s="51" t="s">
        <v>461</v>
      </c>
      <c r="I31" s="52" t="s">
        <v>2368</v>
      </c>
      <c r="J31" s="52"/>
      <c r="K31" s="53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51" t="n">
        <v>24</v>
      </c>
      <c r="B32" s="52" t="s">
        <v>488</v>
      </c>
      <c r="C32" s="52" t="s">
        <v>476</v>
      </c>
      <c r="D32" s="52" t="s">
        <v>2377</v>
      </c>
      <c r="E32" s="51" t="s">
        <v>459</v>
      </c>
      <c r="F32" s="51" t="s">
        <v>459</v>
      </c>
      <c r="G32" s="51" t="s">
        <v>907</v>
      </c>
      <c r="H32" s="51" t="s">
        <v>461</v>
      </c>
      <c r="I32" s="52" t="s">
        <v>2368</v>
      </c>
      <c r="J32" s="52"/>
      <c r="K32" s="53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51" t="n">
        <v>25</v>
      </c>
      <c r="B33" s="52" t="s">
        <v>488</v>
      </c>
      <c r="C33" s="52" t="s">
        <v>476</v>
      </c>
      <c r="D33" s="52" t="s">
        <v>2378</v>
      </c>
      <c r="E33" s="51" t="s">
        <v>459</v>
      </c>
      <c r="F33" s="51" t="s">
        <v>459</v>
      </c>
      <c r="G33" s="51" t="s">
        <v>907</v>
      </c>
      <c r="H33" s="51" t="s">
        <v>461</v>
      </c>
      <c r="I33" s="52" t="s">
        <v>2368</v>
      </c>
      <c r="J33" s="52"/>
      <c r="K33" s="53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51" t="n">
        <v>26</v>
      </c>
      <c r="B34" s="52" t="s">
        <v>488</v>
      </c>
      <c r="C34" s="52" t="s">
        <v>476</v>
      </c>
      <c r="D34" s="52" t="s">
        <v>2379</v>
      </c>
      <c r="E34" s="51" t="s">
        <v>459</v>
      </c>
      <c r="F34" s="51" t="s">
        <v>459</v>
      </c>
      <c r="G34" s="51" t="s">
        <v>907</v>
      </c>
      <c r="H34" s="51" t="s">
        <v>461</v>
      </c>
      <c r="I34" s="52" t="s">
        <v>2368</v>
      </c>
      <c r="J34" s="52"/>
      <c r="K34" s="53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51" t="n">
        <v>27</v>
      </c>
      <c r="B35" s="52" t="s">
        <v>488</v>
      </c>
      <c r="C35" s="52" t="s">
        <v>476</v>
      </c>
      <c r="D35" s="52" t="s">
        <v>2380</v>
      </c>
      <c r="E35" s="51" t="s">
        <v>459</v>
      </c>
      <c r="F35" s="51" t="s">
        <v>459</v>
      </c>
      <c r="G35" s="51" t="s">
        <v>907</v>
      </c>
      <c r="H35" s="51" t="s">
        <v>461</v>
      </c>
      <c r="I35" s="52" t="s">
        <v>2368</v>
      </c>
      <c r="J35" s="52"/>
      <c r="K35" s="53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51" t="n">
        <v>28</v>
      </c>
      <c r="B36" s="52" t="s">
        <v>483</v>
      </c>
      <c r="C36" s="52" t="s">
        <v>476</v>
      </c>
      <c r="D36" s="52" t="s">
        <v>484</v>
      </c>
      <c r="E36" s="51" t="s">
        <v>459</v>
      </c>
      <c r="F36" s="51" t="s">
        <v>459</v>
      </c>
      <c r="G36" s="51" t="s">
        <v>907</v>
      </c>
      <c r="H36" s="51" t="s">
        <v>461</v>
      </c>
      <c r="I36" s="52" t="s">
        <v>2368</v>
      </c>
      <c r="J36" s="52"/>
      <c r="K36" s="53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51" t="n">
        <v>29</v>
      </c>
      <c r="B37" s="52" t="s">
        <v>483</v>
      </c>
      <c r="C37" s="52" t="s">
        <v>476</v>
      </c>
      <c r="D37" s="52" t="s">
        <v>485</v>
      </c>
      <c r="E37" s="51" t="s">
        <v>459</v>
      </c>
      <c r="F37" s="51" t="s">
        <v>459</v>
      </c>
      <c r="G37" s="51" t="s">
        <v>907</v>
      </c>
      <c r="H37" s="51" t="s">
        <v>461</v>
      </c>
      <c r="I37" s="52" t="s">
        <v>2368</v>
      </c>
      <c r="J37" s="52"/>
      <c r="K37" s="53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51" t="n">
        <v>30</v>
      </c>
      <c r="B38" s="52" t="s">
        <v>486</v>
      </c>
      <c r="C38" s="52" t="s">
        <v>476</v>
      </c>
      <c r="D38" s="52" t="s">
        <v>495</v>
      </c>
      <c r="E38" s="51" t="s">
        <v>459</v>
      </c>
      <c r="F38" s="51" t="s">
        <v>459</v>
      </c>
      <c r="G38" s="51" t="s">
        <v>907</v>
      </c>
      <c r="H38" s="51" t="s">
        <v>461</v>
      </c>
      <c r="I38" s="52" t="s">
        <v>2368</v>
      </c>
      <c r="J38" s="52"/>
      <c r="K38" s="53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51" t="n">
        <v>31</v>
      </c>
      <c r="B39" s="52" t="s">
        <v>488</v>
      </c>
      <c r="C39" s="52" t="s">
        <v>476</v>
      </c>
      <c r="D39" s="52" t="s">
        <v>497</v>
      </c>
      <c r="E39" s="51" t="s">
        <v>459</v>
      </c>
      <c r="F39" s="51" t="s">
        <v>459</v>
      </c>
      <c r="G39" s="51" t="s">
        <v>907</v>
      </c>
      <c r="H39" s="51" t="s">
        <v>461</v>
      </c>
      <c r="I39" s="52" t="s">
        <v>2368</v>
      </c>
      <c r="J39" s="52"/>
      <c r="K39" s="53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51" t="n">
        <v>32</v>
      </c>
      <c r="B40" s="52" t="s">
        <v>486</v>
      </c>
      <c r="C40" s="52" t="s">
        <v>476</v>
      </c>
      <c r="D40" s="52" t="s">
        <v>2381</v>
      </c>
      <c r="E40" s="51" t="s">
        <v>459</v>
      </c>
      <c r="F40" s="51" t="s">
        <v>459</v>
      </c>
      <c r="G40" s="51" t="s">
        <v>907</v>
      </c>
      <c r="H40" s="51" t="s">
        <v>461</v>
      </c>
      <c r="I40" s="52" t="s">
        <v>2368</v>
      </c>
      <c r="J40" s="52"/>
      <c r="K40" s="53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51" t="n">
        <v>33</v>
      </c>
      <c r="B41" s="52" t="s">
        <v>505</v>
      </c>
      <c r="C41" s="52" t="s">
        <v>506</v>
      </c>
      <c r="D41" s="52" t="s">
        <v>508</v>
      </c>
      <c r="E41" s="51" t="s">
        <v>459</v>
      </c>
      <c r="F41" s="51" t="s">
        <v>459</v>
      </c>
      <c r="G41" s="51" t="s">
        <v>907</v>
      </c>
      <c r="H41" s="51" t="s">
        <v>461</v>
      </c>
      <c r="I41" s="52" t="s">
        <v>2368</v>
      </c>
      <c r="J41" s="52"/>
      <c r="K41" s="53" t="n">
        <f aca="false">IF(AND(E41="yes",F41="yes",H41="covered"),1,IF(H41="partial",0.5,0))</f>
        <v>1</v>
      </c>
    </row>
    <row r="42" customFormat="false" ht="30" hidden="false" customHeight="true" outlineLevel="0" collapsed="false">
      <c r="A42" s="51" t="n">
        <v>34</v>
      </c>
      <c r="B42" s="52" t="s">
        <v>511</v>
      </c>
      <c r="C42" s="52" t="s">
        <v>506</v>
      </c>
      <c r="D42" s="52" t="s">
        <v>512</v>
      </c>
      <c r="E42" s="51" t="s">
        <v>459</v>
      </c>
      <c r="F42" s="51" t="s">
        <v>459</v>
      </c>
      <c r="G42" s="51" t="s">
        <v>907</v>
      </c>
      <c r="H42" s="51" t="s">
        <v>461</v>
      </c>
      <c r="I42" s="52" t="s">
        <v>2368</v>
      </c>
      <c r="J42" s="52"/>
      <c r="K42" s="53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51" t="n">
        <v>35</v>
      </c>
      <c r="B43" s="52" t="s">
        <v>511</v>
      </c>
      <c r="C43" s="52" t="s">
        <v>506</v>
      </c>
      <c r="D43" s="52" t="s">
        <v>2382</v>
      </c>
      <c r="E43" s="51" t="s">
        <v>459</v>
      </c>
      <c r="F43" s="51" t="s">
        <v>459</v>
      </c>
      <c r="G43" s="51" t="s">
        <v>907</v>
      </c>
      <c r="H43" s="51" t="s">
        <v>461</v>
      </c>
      <c r="I43" s="52" t="s">
        <v>2368</v>
      </c>
      <c r="J43" s="52"/>
      <c r="K43" s="53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51" t="n">
        <v>36</v>
      </c>
      <c r="B44" s="52" t="s">
        <v>511</v>
      </c>
      <c r="C44" s="52" t="s">
        <v>506</v>
      </c>
      <c r="D44" s="52" t="s">
        <v>514</v>
      </c>
      <c r="E44" s="51" t="s">
        <v>459</v>
      </c>
      <c r="F44" s="51" t="s">
        <v>459</v>
      </c>
      <c r="G44" s="51" t="s">
        <v>907</v>
      </c>
      <c r="H44" s="51" t="s">
        <v>461</v>
      </c>
      <c r="I44" s="52" t="s">
        <v>2368</v>
      </c>
      <c r="J44" s="52"/>
      <c r="K44" s="53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51" t="n">
        <v>37</v>
      </c>
      <c r="B45" s="52" t="s">
        <v>483</v>
      </c>
      <c r="C45" s="52" t="s">
        <v>56</v>
      </c>
      <c r="D45" s="52" t="s">
        <v>516</v>
      </c>
      <c r="E45" s="51" t="s">
        <v>459</v>
      </c>
      <c r="F45" s="51" t="s">
        <v>459</v>
      </c>
      <c r="G45" s="51" t="s">
        <v>907</v>
      </c>
      <c r="H45" s="51" t="s">
        <v>461</v>
      </c>
      <c r="I45" s="52" t="s">
        <v>2368</v>
      </c>
      <c r="J45" s="52"/>
      <c r="K45" s="53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51" t="n">
        <v>38</v>
      </c>
      <c r="B46" s="52" t="s">
        <v>483</v>
      </c>
      <c r="C46" s="52" t="s">
        <v>56</v>
      </c>
      <c r="D46" s="52" t="s">
        <v>517</v>
      </c>
      <c r="E46" s="51" t="s">
        <v>459</v>
      </c>
      <c r="F46" s="51" t="s">
        <v>459</v>
      </c>
      <c r="G46" s="51" t="s">
        <v>907</v>
      </c>
      <c r="H46" s="51" t="s">
        <v>461</v>
      </c>
      <c r="I46" s="52" t="s">
        <v>2368</v>
      </c>
      <c r="J46" s="52"/>
      <c r="K46" s="53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51" t="n">
        <v>39</v>
      </c>
      <c r="B47" s="52" t="s">
        <v>483</v>
      </c>
      <c r="C47" s="52" t="s">
        <v>56</v>
      </c>
      <c r="D47" s="52" t="s">
        <v>518</v>
      </c>
      <c r="E47" s="51" t="s">
        <v>459</v>
      </c>
      <c r="F47" s="51" t="s">
        <v>459</v>
      </c>
      <c r="G47" s="51" t="s">
        <v>907</v>
      </c>
      <c r="H47" s="51" t="s">
        <v>461</v>
      </c>
      <c r="I47" s="52" t="s">
        <v>2368</v>
      </c>
      <c r="J47" s="52"/>
      <c r="K47" s="53" t="n">
        <f aca="false">IF(AND(E47="yes",F47="yes",H47="covered"),1,IF(H47="partial",0.5,0))</f>
        <v>1</v>
      </c>
    </row>
    <row r="48" customFormat="false" ht="60" hidden="false" customHeight="true" outlineLevel="0" collapsed="false">
      <c r="A48" s="51" t="n">
        <v>40</v>
      </c>
      <c r="B48" s="52" t="s">
        <v>483</v>
      </c>
      <c r="C48" s="52" t="s">
        <v>56</v>
      </c>
      <c r="D48" s="52" t="s">
        <v>519</v>
      </c>
      <c r="E48" s="51" t="s">
        <v>459</v>
      </c>
      <c r="F48" s="51" t="s">
        <v>459</v>
      </c>
      <c r="G48" s="51" t="s">
        <v>907</v>
      </c>
      <c r="H48" s="51" t="s">
        <v>461</v>
      </c>
      <c r="I48" s="52" t="s">
        <v>2368</v>
      </c>
      <c r="J48" s="52"/>
      <c r="K48" s="53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51" t="n">
        <v>41</v>
      </c>
      <c r="B49" s="52" t="s">
        <v>483</v>
      </c>
      <c r="C49" s="52" t="s">
        <v>56</v>
      </c>
      <c r="D49" s="52" t="s">
        <v>520</v>
      </c>
      <c r="E49" s="51" t="s">
        <v>459</v>
      </c>
      <c r="F49" s="51" t="s">
        <v>459</v>
      </c>
      <c r="G49" s="51" t="s">
        <v>907</v>
      </c>
      <c r="H49" s="51" t="s">
        <v>461</v>
      </c>
      <c r="I49" s="52" t="s">
        <v>2368</v>
      </c>
      <c r="J49" s="52"/>
      <c r="K49" s="53" t="n">
        <f aca="false">IF(AND(E49="yes",F49="yes",H49="covered"),1,IF(H49="partial",0.5,0))</f>
        <v>1</v>
      </c>
    </row>
    <row r="50" customFormat="false" ht="60" hidden="false" customHeight="true" outlineLevel="0" collapsed="false">
      <c r="A50" s="51" t="n">
        <v>42</v>
      </c>
      <c r="B50" s="52" t="s">
        <v>1220</v>
      </c>
      <c r="C50" s="52" t="s">
        <v>2383</v>
      </c>
      <c r="D50" s="52" t="s">
        <v>2384</v>
      </c>
      <c r="E50" s="51" t="s">
        <v>459</v>
      </c>
      <c r="F50" s="51" t="s">
        <v>459</v>
      </c>
      <c r="G50" s="51" t="s">
        <v>907</v>
      </c>
      <c r="H50" s="51" t="s">
        <v>461</v>
      </c>
      <c r="I50" s="52" t="s">
        <v>2368</v>
      </c>
      <c r="J50" s="52"/>
      <c r="K50" s="53" t="n">
        <f aca="false">IF(AND(E50="yes",F50="yes",H50="covered"),1,IF(H50="partial",0.5,0))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2385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IFERROR(SUM(K9:K67)/COUNTA(A9:A67),0)</f>
        <v>1</v>
      </c>
      <c r="C4" s="28" t="s">
        <v>8</v>
      </c>
      <c r="D4" s="40" t="n">
        <f aca="false">COUNTIF(H9:H67,"covered")</f>
        <v>59</v>
      </c>
      <c r="E4" s="28" t="s">
        <v>9</v>
      </c>
      <c r="F4" s="40" t="n">
        <f aca="false">COUNTIF(H9:H67,"partial")</f>
        <v>0</v>
      </c>
      <c r="G4" s="28" t="s">
        <v>10</v>
      </c>
      <c r="H4" s="40" t="n">
        <f aca="false">COUNTIF(H9:H67,"missing")</f>
        <v>0</v>
      </c>
      <c r="I4" s="28" t="s">
        <v>11</v>
      </c>
      <c r="J4" s="40" t="n">
        <f aca="false">COUNTIF(F9:F67,"no")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34" t="s">
        <v>459</v>
      </c>
      <c r="G9" s="31" t="s">
        <v>110</v>
      </c>
      <c r="H9" s="50" t="s">
        <v>461</v>
      </c>
      <c r="I9" s="42" t="s">
        <v>1333</v>
      </c>
      <c r="J9" s="42"/>
      <c r="K9" s="45" t="n">
        <f aca="false">IF(AND(E9="yes",F9="yes",H9="covered"),1,IF(AND(E9="yes",H9="partial"),0.5,0))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34" t="s">
        <v>459</v>
      </c>
      <c r="G10" s="31" t="s">
        <v>110</v>
      </c>
      <c r="H10" s="50" t="s">
        <v>461</v>
      </c>
      <c r="I10" s="42" t="s">
        <v>1333</v>
      </c>
      <c r="J10" s="42"/>
      <c r="K10" s="45" t="n">
        <f aca="false">IF(AND(E10="yes",F10="yes",H10="covered"),1,IF(AND(E10="yes",H10="partial"),0.5,0))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57</v>
      </c>
      <c r="D11" s="42" t="s">
        <v>464</v>
      </c>
      <c r="E11" s="34" t="s">
        <v>459</v>
      </c>
      <c r="F11" s="34" t="s">
        <v>459</v>
      </c>
      <c r="G11" s="31" t="s">
        <v>110</v>
      </c>
      <c r="H11" s="50" t="s">
        <v>461</v>
      </c>
      <c r="I11" s="42" t="s">
        <v>2386</v>
      </c>
      <c r="J11" s="42"/>
      <c r="K11" s="45" t="n">
        <f aca="false">IF(AND(E11="yes",F11="yes",H11="covered"),1,IF(AND(E11="yes",H11="partial"),0.5,0))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57</v>
      </c>
      <c r="D12" s="42" t="s">
        <v>465</v>
      </c>
      <c r="E12" s="34" t="s">
        <v>459</v>
      </c>
      <c r="F12" s="34" t="s">
        <v>459</v>
      </c>
      <c r="G12" s="31" t="s">
        <v>110</v>
      </c>
      <c r="H12" s="50" t="s">
        <v>461</v>
      </c>
      <c r="I12" s="42" t="s">
        <v>2386</v>
      </c>
      <c r="J12" s="42"/>
      <c r="K12" s="45" t="n">
        <f aca="false">IF(AND(E12="yes",F12="yes",H12="covered"),1,IF(AND(E12="yes",H12="partial"),0.5,0))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57</v>
      </c>
      <c r="D13" s="42" t="s">
        <v>466</v>
      </c>
      <c r="E13" s="34" t="s">
        <v>459</v>
      </c>
      <c r="F13" s="34" t="s">
        <v>459</v>
      </c>
      <c r="G13" s="31" t="s">
        <v>110</v>
      </c>
      <c r="H13" s="50" t="s">
        <v>461</v>
      </c>
      <c r="I13" s="42" t="s">
        <v>2386</v>
      </c>
      <c r="J13" s="42"/>
      <c r="K13" s="45" t="n">
        <f aca="false">IF(AND(E13="yes",F13="yes",H13="covered"),1,IF(AND(E13="yes",H13="partial"),0.5,0))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57</v>
      </c>
      <c r="D14" s="42" t="s">
        <v>467</v>
      </c>
      <c r="E14" s="34" t="s">
        <v>459</v>
      </c>
      <c r="F14" s="34" t="s">
        <v>459</v>
      </c>
      <c r="G14" s="31" t="s">
        <v>110</v>
      </c>
      <c r="H14" s="50" t="s">
        <v>461</v>
      </c>
      <c r="I14" s="42" t="s">
        <v>2386</v>
      </c>
      <c r="J14" s="42"/>
      <c r="K14" s="45" t="n">
        <f aca="false">IF(AND(E14="yes",F14="yes",H14="covered"),1,IF(AND(E14="yes",H14="partial"),0.5,0))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57</v>
      </c>
      <c r="D15" s="42" t="s">
        <v>2387</v>
      </c>
      <c r="E15" s="34" t="s">
        <v>459</v>
      </c>
      <c r="F15" s="34" t="s">
        <v>459</v>
      </c>
      <c r="G15" s="31" t="s">
        <v>110</v>
      </c>
      <c r="H15" s="50" t="s">
        <v>461</v>
      </c>
      <c r="I15" s="42" t="s">
        <v>2386</v>
      </c>
      <c r="J15" s="42"/>
      <c r="K15" s="45" t="n">
        <f aca="false">IF(AND(E15="yes",F15="yes",H15="covered"),1,IF(AND(E15="yes",H15="partial"),0.5,0))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57</v>
      </c>
      <c r="D16" s="42" t="s">
        <v>2388</v>
      </c>
      <c r="E16" s="34" t="s">
        <v>459</v>
      </c>
      <c r="F16" s="34" t="s">
        <v>459</v>
      </c>
      <c r="G16" s="31" t="s">
        <v>110</v>
      </c>
      <c r="H16" s="50" t="s">
        <v>461</v>
      </c>
      <c r="I16" s="42" t="s">
        <v>2386</v>
      </c>
      <c r="J16" s="42"/>
      <c r="K16" s="45" t="n">
        <f aca="false">IF(AND(E16="yes",F16="yes",H16="covered"),1,IF(AND(E16="yes",H16="partial"),0.5,0))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57</v>
      </c>
      <c r="D17" s="42" t="s">
        <v>2389</v>
      </c>
      <c r="E17" s="34" t="s">
        <v>459</v>
      </c>
      <c r="F17" s="34" t="s">
        <v>459</v>
      </c>
      <c r="G17" s="31" t="s">
        <v>110</v>
      </c>
      <c r="H17" s="50" t="s">
        <v>461</v>
      </c>
      <c r="I17" s="42" t="s">
        <v>2386</v>
      </c>
      <c r="J17" s="42"/>
      <c r="K17" s="45" t="n">
        <f aca="false">IF(AND(E17="yes",F17="yes",H17="covered"),1,IF(AND(E17="yes",H17="partial"),0.5,0))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57</v>
      </c>
      <c r="D18" s="42" t="s">
        <v>2390</v>
      </c>
      <c r="E18" s="34" t="s">
        <v>459</v>
      </c>
      <c r="F18" s="34" t="s">
        <v>459</v>
      </c>
      <c r="G18" s="31" t="s">
        <v>110</v>
      </c>
      <c r="H18" s="50" t="s">
        <v>461</v>
      </c>
      <c r="I18" s="42" t="s">
        <v>2386</v>
      </c>
      <c r="J18" s="42"/>
      <c r="K18" s="45" t="n">
        <f aca="false">IF(AND(E18="yes",F18="yes",H18="covered"),1,IF(AND(E18="yes",H18="partial"),0.5,0))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57</v>
      </c>
      <c r="D19" s="42" t="s">
        <v>2391</v>
      </c>
      <c r="E19" s="34" t="s">
        <v>459</v>
      </c>
      <c r="F19" s="34" t="s">
        <v>459</v>
      </c>
      <c r="G19" s="31" t="s">
        <v>110</v>
      </c>
      <c r="H19" s="50" t="s">
        <v>461</v>
      </c>
      <c r="I19" s="42" t="s">
        <v>2386</v>
      </c>
      <c r="J19" s="42"/>
      <c r="K19" s="45" t="n">
        <f aca="false">IF(AND(E19="yes",F19="yes",H19="covered"),1,IF(AND(E19="yes",H19="partial"),0.5,0))</f>
        <v>1</v>
      </c>
    </row>
    <row r="20" customFormat="false" ht="1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477</v>
      </c>
      <c r="E20" s="34" t="s">
        <v>459</v>
      </c>
      <c r="F20" s="34" t="s">
        <v>459</v>
      </c>
      <c r="G20" s="31" t="s">
        <v>110</v>
      </c>
      <c r="H20" s="50" t="s">
        <v>461</v>
      </c>
      <c r="I20" s="42" t="s">
        <v>2386</v>
      </c>
      <c r="J20" s="42"/>
      <c r="K20" s="45" t="n">
        <f aca="false">IF(AND(E20="yes",F20="yes",H20="covered"),1,IF(AND(E20="yes",H20="partial"),0.5,0))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478</v>
      </c>
      <c r="E21" s="34" t="s">
        <v>459</v>
      </c>
      <c r="F21" s="34" t="s">
        <v>459</v>
      </c>
      <c r="G21" s="31" t="s">
        <v>110</v>
      </c>
      <c r="H21" s="50" t="s">
        <v>461</v>
      </c>
      <c r="I21" s="42" t="s">
        <v>2386</v>
      </c>
      <c r="J21" s="42"/>
      <c r="K21" s="45" t="n">
        <f aca="false">IF(AND(E21="yes",F21="yes",H21="covered"),1,IF(AND(E21="yes",H21="partial"),0.5,0))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480</v>
      </c>
      <c r="E22" s="34" t="s">
        <v>459</v>
      </c>
      <c r="F22" s="34" t="s">
        <v>459</v>
      </c>
      <c r="G22" s="31" t="s">
        <v>110</v>
      </c>
      <c r="H22" s="50" t="s">
        <v>461</v>
      </c>
      <c r="I22" s="42" t="s">
        <v>2386</v>
      </c>
      <c r="J22" s="42"/>
      <c r="K22" s="45" t="n">
        <f aca="false">IF(AND(E22="yes",F22="yes",H22="covered"),1,IF(AND(E22="yes",H22="partial"),0.5,0))</f>
        <v>1</v>
      </c>
    </row>
    <row r="23" customFormat="false" ht="1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481</v>
      </c>
      <c r="E23" s="34" t="s">
        <v>459</v>
      </c>
      <c r="F23" s="34" t="s">
        <v>459</v>
      </c>
      <c r="G23" s="31" t="s">
        <v>110</v>
      </c>
      <c r="H23" s="50" t="s">
        <v>461</v>
      </c>
      <c r="I23" s="42" t="s">
        <v>2386</v>
      </c>
      <c r="J23" s="42"/>
      <c r="K23" s="45" t="n">
        <f aca="false">IF(AND(E23="yes",F23="yes",H23="covered"),1,IF(AND(E23="yes",H23="partial"),0.5,0))</f>
        <v>1</v>
      </c>
    </row>
    <row r="24" customFormat="false" ht="15" hidden="false" customHeight="true" outlineLevel="0" collapsed="false">
      <c r="A24" s="31" t="n">
        <v>16</v>
      </c>
      <c r="B24" s="42" t="s">
        <v>457</v>
      </c>
      <c r="C24" s="42" t="s">
        <v>476</v>
      </c>
      <c r="D24" s="42" t="s">
        <v>482</v>
      </c>
      <c r="E24" s="34" t="s">
        <v>459</v>
      </c>
      <c r="F24" s="34" t="s">
        <v>459</v>
      </c>
      <c r="G24" s="31" t="s">
        <v>110</v>
      </c>
      <c r="H24" s="50" t="s">
        <v>461</v>
      </c>
      <c r="I24" s="42" t="s">
        <v>2386</v>
      </c>
      <c r="J24" s="42"/>
      <c r="K24" s="45" t="n">
        <f aca="false">IF(AND(E24="yes",F24="yes",H24="covered"),1,IF(AND(E24="yes",H24="partial"),0.5,0))</f>
        <v>1</v>
      </c>
    </row>
    <row r="25" customFormat="false" ht="15" hidden="false" customHeight="true" outlineLevel="0" collapsed="false">
      <c r="A25" s="31" t="n">
        <v>17</v>
      </c>
      <c r="B25" s="42" t="s">
        <v>774</v>
      </c>
      <c r="C25" s="42" t="s">
        <v>476</v>
      </c>
      <c r="D25" s="42" t="s">
        <v>775</v>
      </c>
      <c r="E25" s="34" t="s">
        <v>459</v>
      </c>
      <c r="F25" s="34" t="s">
        <v>459</v>
      </c>
      <c r="G25" s="31" t="s">
        <v>110</v>
      </c>
      <c r="H25" s="50" t="s">
        <v>461</v>
      </c>
      <c r="I25" s="42" t="s">
        <v>2386</v>
      </c>
      <c r="J25" s="42"/>
      <c r="K25" s="45" t="n">
        <f aca="false">IF(AND(E25="yes",F25="yes",H25="covered"),1,IF(AND(E25="yes",H25="partial"),0.5,0))</f>
        <v>1</v>
      </c>
    </row>
    <row r="26" customFormat="false" ht="15" hidden="false" customHeight="true" outlineLevel="0" collapsed="false">
      <c r="A26" s="31" t="n">
        <v>18</v>
      </c>
      <c r="B26" s="42" t="s">
        <v>483</v>
      </c>
      <c r="C26" s="42" t="s">
        <v>476</v>
      </c>
      <c r="D26" s="42" t="s">
        <v>484</v>
      </c>
      <c r="E26" s="34" t="s">
        <v>459</v>
      </c>
      <c r="F26" s="34" t="s">
        <v>459</v>
      </c>
      <c r="G26" s="31" t="s">
        <v>110</v>
      </c>
      <c r="H26" s="50" t="s">
        <v>461</v>
      </c>
      <c r="I26" s="42" t="s">
        <v>2386</v>
      </c>
      <c r="J26" s="42"/>
      <c r="K26" s="45" t="n">
        <f aca="false">IF(AND(E26="yes",F26="yes",H26="covered"),1,IF(AND(E26="yes",H26="partial"),0.5,0))</f>
        <v>1</v>
      </c>
    </row>
    <row r="27" customFormat="false" ht="15" hidden="false" customHeight="true" outlineLevel="0" collapsed="false">
      <c r="A27" s="31" t="n">
        <v>19</v>
      </c>
      <c r="B27" s="42" t="s">
        <v>483</v>
      </c>
      <c r="C27" s="42" t="s">
        <v>476</v>
      </c>
      <c r="D27" s="42" t="s">
        <v>485</v>
      </c>
      <c r="E27" s="34" t="s">
        <v>459</v>
      </c>
      <c r="F27" s="34" t="s">
        <v>459</v>
      </c>
      <c r="G27" s="31" t="s">
        <v>110</v>
      </c>
      <c r="H27" s="50" t="s">
        <v>461</v>
      </c>
      <c r="I27" s="42" t="s">
        <v>2386</v>
      </c>
      <c r="J27" s="42"/>
      <c r="K27" s="45" t="n">
        <f aca="false">IF(AND(E27="yes",F27="yes",H27="covered"),1,IF(AND(E27="yes",H27="partial"),0.5,0))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489</v>
      </c>
      <c r="E28" s="34" t="s">
        <v>459</v>
      </c>
      <c r="F28" s="34" t="s">
        <v>459</v>
      </c>
      <c r="G28" s="31" t="s">
        <v>110</v>
      </c>
      <c r="H28" s="50" t="s">
        <v>461</v>
      </c>
      <c r="I28" s="42" t="s">
        <v>2386</v>
      </c>
      <c r="J28" s="42"/>
      <c r="K28" s="45" t="n">
        <f aca="false">IF(AND(E28="yes",F28="yes",H28="covered"),1,IF(AND(E28="yes",H28="partial"),0.5,0))</f>
        <v>1</v>
      </c>
    </row>
    <row r="29" customFormat="false" ht="15" hidden="false" customHeight="true" outlineLevel="0" collapsed="false">
      <c r="A29" s="31" t="n">
        <v>21</v>
      </c>
      <c r="B29" s="42" t="s">
        <v>486</v>
      </c>
      <c r="C29" s="42" t="s">
        <v>476</v>
      </c>
      <c r="D29" s="42" t="s">
        <v>2211</v>
      </c>
      <c r="E29" s="34" t="s">
        <v>459</v>
      </c>
      <c r="F29" s="34" t="s">
        <v>459</v>
      </c>
      <c r="G29" s="31" t="s">
        <v>110</v>
      </c>
      <c r="H29" s="50" t="s">
        <v>461</v>
      </c>
      <c r="I29" s="42" t="s">
        <v>2386</v>
      </c>
      <c r="J29" s="42"/>
      <c r="K29" s="45" t="n">
        <f aca="false">IF(AND(E29="yes",F29="yes",H29="covered"),1,IF(AND(E29="yes",H29="partial"),0.5,0))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2212</v>
      </c>
      <c r="E30" s="34" t="s">
        <v>459</v>
      </c>
      <c r="F30" s="34" t="s">
        <v>459</v>
      </c>
      <c r="G30" s="31" t="s">
        <v>110</v>
      </c>
      <c r="H30" s="50" t="s">
        <v>461</v>
      </c>
      <c r="I30" s="42" t="s">
        <v>2386</v>
      </c>
      <c r="J30" s="42"/>
      <c r="K30" s="45" t="n">
        <f aca="false">IF(AND(E30="yes",F30="yes",H30="covered"),1,IF(AND(E30="yes",H30="partial"),0.5,0))</f>
        <v>1</v>
      </c>
    </row>
    <row r="31" customFormat="false" ht="15" hidden="false" customHeight="true" outlineLevel="0" collapsed="false">
      <c r="A31" s="31" t="n">
        <v>23</v>
      </c>
      <c r="B31" s="42" t="s">
        <v>882</v>
      </c>
      <c r="C31" s="42" t="s">
        <v>476</v>
      </c>
      <c r="D31" s="42" t="s">
        <v>2392</v>
      </c>
      <c r="E31" s="34" t="s">
        <v>459</v>
      </c>
      <c r="F31" s="34" t="s">
        <v>459</v>
      </c>
      <c r="G31" s="31" t="s">
        <v>110</v>
      </c>
      <c r="H31" s="50" t="s">
        <v>461</v>
      </c>
      <c r="I31" s="42" t="s">
        <v>2386</v>
      </c>
      <c r="J31" s="42"/>
      <c r="K31" s="45" t="n">
        <f aca="false">IF(AND(E31="yes",F31="yes",H31="covered"),1,IF(AND(E31="yes",H31="partial"),0.5,0))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2393</v>
      </c>
      <c r="E32" s="34" t="s">
        <v>459</v>
      </c>
      <c r="F32" s="34" t="s">
        <v>459</v>
      </c>
      <c r="G32" s="31" t="s">
        <v>110</v>
      </c>
      <c r="H32" s="50" t="s">
        <v>461</v>
      </c>
      <c r="I32" s="42" t="s">
        <v>2386</v>
      </c>
      <c r="J32" s="42"/>
      <c r="K32" s="45" t="n">
        <f aca="false">IF(AND(E32="yes",F32="yes",H32="covered"),1,IF(AND(E32="yes",H32="partial"),0.5,0))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495</v>
      </c>
      <c r="E33" s="34" t="s">
        <v>459</v>
      </c>
      <c r="F33" s="34" t="s">
        <v>459</v>
      </c>
      <c r="G33" s="31" t="s">
        <v>110</v>
      </c>
      <c r="H33" s="50" t="s">
        <v>461</v>
      </c>
      <c r="I33" s="42" t="s">
        <v>2386</v>
      </c>
      <c r="J33" s="42"/>
      <c r="K33" s="45" t="n">
        <f aca="false">IF(AND(E33="yes",F33="yes",H33="covered"),1,IF(AND(E33="yes",H33="partial"),0.5,0))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476</v>
      </c>
      <c r="D34" s="42" t="s">
        <v>499</v>
      </c>
      <c r="E34" s="34" t="s">
        <v>459</v>
      </c>
      <c r="F34" s="34" t="s">
        <v>459</v>
      </c>
      <c r="G34" s="31" t="s">
        <v>110</v>
      </c>
      <c r="H34" s="50" t="s">
        <v>461</v>
      </c>
      <c r="I34" s="42" t="s">
        <v>2386</v>
      </c>
      <c r="J34" s="42"/>
      <c r="K34" s="45" t="n">
        <f aca="false">IF(AND(E34="yes",F34="yes",H34="covered"),1,IF(AND(E34="yes",H34="partial"),0.5,0))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2394</v>
      </c>
      <c r="E35" s="34" t="s">
        <v>459</v>
      </c>
      <c r="F35" s="34" t="s">
        <v>459</v>
      </c>
      <c r="G35" s="31" t="s">
        <v>110</v>
      </c>
      <c r="H35" s="50" t="s">
        <v>461</v>
      </c>
      <c r="I35" s="42" t="s">
        <v>2386</v>
      </c>
      <c r="J35" s="42"/>
      <c r="K35" s="45" t="n">
        <f aca="false">IF(AND(E35="yes",F35="yes",H35="covered"),1,IF(AND(E35="yes",H35="partial"),0.5,0))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2395</v>
      </c>
      <c r="E36" s="34" t="s">
        <v>459</v>
      </c>
      <c r="F36" s="34" t="s">
        <v>459</v>
      </c>
      <c r="G36" s="31" t="s">
        <v>110</v>
      </c>
      <c r="H36" s="50" t="s">
        <v>461</v>
      </c>
      <c r="I36" s="42" t="s">
        <v>2386</v>
      </c>
      <c r="J36" s="42"/>
      <c r="K36" s="45" t="n">
        <f aca="false">IF(AND(E36="yes",F36="yes",H36="covered"),1,IF(AND(E36="yes",H36="partial"),0.5,0))</f>
        <v>1</v>
      </c>
    </row>
    <row r="37" customFormat="false" ht="15" hidden="false" customHeight="true" outlineLevel="0" collapsed="false">
      <c r="A37" s="31" t="n">
        <v>29</v>
      </c>
      <c r="B37" s="42" t="s">
        <v>488</v>
      </c>
      <c r="C37" s="42" t="s">
        <v>476</v>
      </c>
      <c r="D37" s="42" t="s">
        <v>887</v>
      </c>
      <c r="E37" s="34" t="s">
        <v>459</v>
      </c>
      <c r="F37" s="34" t="s">
        <v>459</v>
      </c>
      <c r="G37" s="31" t="s">
        <v>110</v>
      </c>
      <c r="H37" s="50" t="s">
        <v>461</v>
      </c>
      <c r="I37" s="42" t="s">
        <v>2386</v>
      </c>
      <c r="J37" s="42"/>
      <c r="K37" s="45" t="n">
        <f aca="false">IF(AND(E37="yes",F37="yes",H37="covered"),1,IF(AND(E37="yes",H37="partial"),0.5,0))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476</v>
      </c>
      <c r="D38" s="42" t="s">
        <v>2396</v>
      </c>
      <c r="E38" s="34" t="s">
        <v>459</v>
      </c>
      <c r="F38" s="34" t="s">
        <v>459</v>
      </c>
      <c r="G38" s="31" t="s">
        <v>110</v>
      </c>
      <c r="H38" s="50" t="s">
        <v>461</v>
      </c>
      <c r="I38" s="42" t="s">
        <v>2386</v>
      </c>
      <c r="J38" s="42"/>
      <c r="K38" s="45" t="n">
        <f aca="false">IF(AND(E38="yes",F38="yes",H38="covered"),1,IF(AND(E38="yes",H38="partial"),0.5,0))</f>
        <v>1</v>
      </c>
    </row>
    <row r="39" customFormat="false" ht="15" hidden="false" customHeight="true" outlineLevel="0" collapsed="false">
      <c r="A39" s="31" t="n">
        <v>31</v>
      </c>
      <c r="B39" s="42" t="s">
        <v>475</v>
      </c>
      <c r="C39" s="42" t="s">
        <v>959</v>
      </c>
      <c r="D39" s="42" t="s">
        <v>477</v>
      </c>
      <c r="E39" s="34" t="s">
        <v>459</v>
      </c>
      <c r="F39" s="34" t="s">
        <v>459</v>
      </c>
      <c r="G39" s="31" t="s">
        <v>110</v>
      </c>
      <c r="H39" s="50" t="s">
        <v>461</v>
      </c>
      <c r="I39" s="42" t="s">
        <v>2386</v>
      </c>
      <c r="J39" s="42"/>
      <c r="K39" s="45" t="n">
        <f aca="false">IF(AND(E39="yes",F39="yes",H39="covered"),1,IF(AND(E39="yes",H39="partial"),0.5,0))</f>
        <v>1</v>
      </c>
    </row>
    <row r="40" customFormat="false" ht="15" hidden="false" customHeight="true" outlineLevel="0" collapsed="false">
      <c r="A40" s="31" t="n">
        <v>32</v>
      </c>
      <c r="B40" s="42" t="s">
        <v>475</v>
      </c>
      <c r="C40" s="42" t="s">
        <v>959</v>
      </c>
      <c r="D40" s="42" t="s">
        <v>478</v>
      </c>
      <c r="E40" s="34" t="s">
        <v>459</v>
      </c>
      <c r="F40" s="34" t="s">
        <v>459</v>
      </c>
      <c r="G40" s="31" t="s">
        <v>110</v>
      </c>
      <c r="H40" s="50" t="s">
        <v>461</v>
      </c>
      <c r="I40" s="42" t="s">
        <v>2386</v>
      </c>
      <c r="J40" s="42"/>
      <c r="K40" s="45" t="n">
        <f aca="false">IF(AND(E40="yes",F40="yes",H40="covered"),1,IF(AND(E40="yes",H40="partial"),0.5,0))</f>
        <v>1</v>
      </c>
    </row>
    <row r="41" customFormat="false" ht="30" hidden="false" customHeight="true" outlineLevel="0" collapsed="false">
      <c r="A41" s="31" t="n">
        <v>33</v>
      </c>
      <c r="B41" s="42" t="s">
        <v>479</v>
      </c>
      <c r="C41" s="42" t="s">
        <v>959</v>
      </c>
      <c r="D41" s="42" t="s">
        <v>480</v>
      </c>
      <c r="E41" s="34" t="s">
        <v>459</v>
      </c>
      <c r="F41" s="34" t="s">
        <v>459</v>
      </c>
      <c r="G41" s="31" t="s">
        <v>110</v>
      </c>
      <c r="H41" s="50" t="s">
        <v>461</v>
      </c>
      <c r="I41" s="42" t="s">
        <v>2386</v>
      </c>
      <c r="J41" s="42"/>
      <c r="K41" s="45" t="n">
        <f aca="false">IF(AND(E41="yes",F41="yes",H41="covered"),1,IF(AND(E41="yes",H41="partial"),0.5,0))</f>
        <v>1</v>
      </c>
    </row>
    <row r="42" customFormat="false" ht="15" hidden="false" customHeight="true" outlineLevel="0" collapsed="false">
      <c r="A42" s="31" t="n">
        <v>34</v>
      </c>
      <c r="B42" s="42" t="s">
        <v>479</v>
      </c>
      <c r="C42" s="42" t="s">
        <v>959</v>
      </c>
      <c r="D42" s="42" t="s">
        <v>481</v>
      </c>
      <c r="E42" s="34" t="s">
        <v>459</v>
      </c>
      <c r="F42" s="34" t="s">
        <v>459</v>
      </c>
      <c r="G42" s="31" t="s">
        <v>110</v>
      </c>
      <c r="H42" s="50" t="s">
        <v>461</v>
      </c>
      <c r="I42" s="42" t="s">
        <v>2386</v>
      </c>
      <c r="J42" s="42"/>
      <c r="K42" s="45" t="n">
        <f aca="false">IF(AND(E42="yes",F42="yes",H42="covered"),1,IF(AND(E42="yes",H42="partial"),0.5,0))</f>
        <v>1</v>
      </c>
    </row>
    <row r="43" customFormat="false" ht="15" hidden="false" customHeight="true" outlineLevel="0" collapsed="false">
      <c r="A43" s="31" t="n">
        <v>35</v>
      </c>
      <c r="B43" s="42" t="s">
        <v>457</v>
      </c>
      <c r="C43" s="42" t="s">
        <v>959</v>
      </c>
      <c r="D43" s="42" t="s">
        <v>482</v>
      </c>
      <c r="E43" s="34" t="s">
        <v>459</v>
      </c>
      <c r="F43" s="34" t="s">
        <v>459</v>
      </c>
      <c r="G43" s="31" t="s">
        <v>110</v>
      </c>
      <c r="H43" s="50" t="s">
        <v>461</v>
      </c>
      <c r="I43" s="42" t="s">
        <v>2386</v>
      </c>
      <c r="J43" s="42"/>
      <c r="K43" s="45" t="n">
        <f aca="false">IF(AND(E43="yes",F43="yes",H43="covered"),1,IF(AND(E43="yes",H43="partial"),0.5,0))</f>
        <v>1</v>
      </c>
    </row>
    <row r="44" customFormat="false" ht="15" hidden="false" customHeight="true" outlineLevel="0" collapsed="false">
      <c r="A44" s="31" t="n">
        <v>36</v>
      </c>
      <c r="B44" s="42" t="s">
        <v>774</v>
      </c>
      <c r="C44" s="42" t="s">
        <v>959</v>
      </c>
      <c r="D44" s="42" t="s">
        <v>775</v>
      </c>
      <c r="E44" s="34" t="s">
        <v>459</v>
      </c>
      <c r="F44" s="34" t="s">
        <v>459</v>
      </c>
      <c r="G44" s="31" t="s">
        <v>110</v>
      </c>
      <c r="H44" s="50" t="s">
        <v>461</v>
      </c>
      <c r="I44" s="42" t="s">
        <v>2386</v>
      </c>
      <c r="J44" s="42"/>
      <c r="K44" s="45" t="n">
        <f aca="false">IF(AND(E44="yes",F44="yes",H44="covered"),1,IF(AND(E44="yes",H44="partial"),0.5,0))</f>
        <v>1</v>
      </c>
    </row>
    <row r="45" customFormat="false" ht="15" hidden="false" customHeight="true" outlineLevel="0" collapsed="false">
      <c r="A45" s="31" t="n">
        <v>37</v>
      </c>
      <c r="B45" s="42" t="s">
        <v>483</v>
      </c>
      <c r="C45" s="42" t="s">
        <v>959</v>
      </c>
      <c r="D45" s="42" t="s">
        <v>484</v>
      </c>
      <c r="E45" s="34" t="s">
        <v>459</v>
      </c>
      <c r="F45" s="34" t="s">
        <v>459</v>
      </c>
      <c r="G45" s="31" t="s">
        <v>110</v>
      </c>
      <c r="H45" s="50" t="s">
        <v>461</v>
      </c>
      <c r="I45" s="42" t="s">
        <v>2386</v>
      </c>
      <c r="J45" s="42"/>
      <c r="K45" s="45" t="n">
        <f aca="false">IF(AND(E45="yes",F45="yes",H45="covered"),1,IF(AND(E45="yes",H45="partial"),0.5,0))</f>
        <v>1</v>
      </c>
    </row>
    <row r="46" customFormat="false" ht="15" hidden="false" customHeight="true" outlineLevel="0" collapsed="false">
      <c r="A46" s="31" t="n">
        <v>38</v>
      </c>
      <c r="B46" s="42" t="s">
        <v>483</v>
      </c>
      <c r="C46" s="42" t="s">
        <v>959</v>
      </c>
      <c r="D46" s="42" t="s">
        <v>485</v>
      </c>
      <c r="E46" s="34" t="s">
        <v>459</v>
      </c>
      <c r="F46" s="34" t="s">
        <v>459</v>
      </c>
      <c r="G46" s="31" t="s">
        <v>110</v>
      </c>
      <c r="H46" s="50" t="s">
        <v>461</v>
      </c>
      <c r="I46" s="42" t="s">
        <v>2386</v>
      </c>
      <c r="J46" s="42"/>
      <c r="K46" s="45" t="n">
        <f aca="false">IF(AND(E46="yes",F46="yes",H46="covered"),1,IF(AND(E46="yes",H46="partial"),0.5,0))</f>
        <v>1</v>
      </c>
    </row>
    <row r="47" customFormat="false" ht="15" hidden="false" customHeight="true" outlineLevel="0" collapsed="false">
      <c r="A47" s="31" t="n">
        <v>39</v>
      </c>
      <c r="B47" s="42" t="s">
        <v>486</v>
      </c>
      <c r="C47" s="42" t="s">
        <v>959</v>
      </c>
      <c r="D47" s="42" t="s">
        <v>495</v>
      </c>
      <c r="E47" s="34" t="s">
        <v>459</v>
      </c>
      <c r="F47" s="34" t="s">
        <v>459</v>
      </c>
      <c r="G47" s="31" t="s">
        <v>110</v>
      </c>
      <c r="H47" s="50" t="s">
        <v>461</v>
      </c>
      <c r="I47" s="42" t="s">
        <v>2386</v>
      </c>
      <c r="J47" s="42"/>
      <c r="K47" s="45" t="n">
        <f aca="false">IF(AND(E47="yes",F47="yes",H47="covered"),1,IF(AND(E47="yes",H47="partial"),0.5,0))</f>
        <v>1</v>
      </c>
    </row>
    <row r="48" customFormat="false" ht="15" hidden="false" customHeight="true" outlineLevel="0" collapsed="false">
      <c r="A48" s="31" t="n">
        <v>40</v>
      </c>
      <c r="B48" s="42" t="s">
        <v>486</v>
      </c>
      <c r="C48" s="42" t="s">
        <v>959</v>
      </c>
      <c r="D48" s="42" t="s">
        <v>499</v>
      </c>
      <c r="E48" s="34" t="s">
        <v>459</v>
      </c>
      <c r="F48" s="34" t="s">
        <v>459</v>
      </c>
      <c r="G48" s="31" t="s">
        <v>110</v>
      </c>
      <c r="H48" s="50" t="s">
        <v>461</v>
      </c>
      <c r="I48" s="42" t="s">
        <v>2386</v>
      </c>
      <c r="J48" s="42"/>
      <c r="K48" s="45" t="n">
        <f aca="false">IF(AND(E48="yes",F48="yes",H48="covered"),1,IF(AND(E48="yes",H48="partial"),0.5,0))</f>
        <v>1</v>
      </c>
    </row>
    <row r="49" customFormat="false" ht="15" hidden="false" customHeight="true" outlineLevel="0" collapsed="false">
      <c r="A49" s="31" t="n">
        <v>41</v>
      </c>
      <c r="B49" s="42" t="s">
        <v>486</v>
      </c>
      <c r="C49" s="42" t="s">
        <v>959</v>
      </c>
      <c r="D49" s="42" t="s">
        <v>2394</v>
      </c>
      <c r="E49" s="34" t="s">
        <v>459</v>
      </c>
      <c r="F49" s="34" t="s">
        <v>459</v>
      </c>
      <c r="G49" s="31" t="s">
        <v>110</v>
      </c>
      <c r="H49" s="50" t="s">
        <v>461</v>
      </c>
      <c r="I49" s="42" t="s">
        <v>2386</v>
      </c>
      <c r="J49" s="42"/>
      <c r="K49" s="45" t="n">
        <f aca="false">IF(AND(E49="yes",F49="yes",H49="covered"),1,IF(AND(E49="yes",H49="partial"),0.5,0))</f>
        <v>1</v>
      </c>
    </row>
    <row r="50" customFormat="false" ht="15" hidden="false" customHeight="true" outlineLevel="0" collapsed="false">
      <c r="A50" s="31" t="n">
        <v>42</v>
      </c>
      <c r="B50" s="42" t="s">
        <v>486</v>
      </c>
      <c r="C50" s="42" t="s">
        <v>959</v>
      </c>
      <c r="D50" s="42" t="s">
        <v>2395</v>
      </c>
      <c r="E50" s="34" t="s">
        <v>459</v>
      </c>
      <c r="F50" s="34" t="s">
        <v>459</v>
      </c>
      <c r="G50" s="31" t="s">
        <v>110</v>
      </c>
      <c r="H50" s="50" t="s">
        <v>461</v>
      </c>
      <c r="I50" s="42" t="s">
        <v>2386</v>
      </c>
      <c r="J50" s="42"/>
      <c r="K50" s="45" t="n">
        <f aca="false">IF(AND(E50="yes",F50="yes",H50="covered"),1,IF(AND(E50="yes",H50="partial"),0.5,0))</f>
        <v>1</v>
      </c>
    </row>
    <row r="51" customFormat="false" ht="15" hidden="false" customHeight="true" outlineLevel="0" collapsed="false">
      <c r="A51" s="31" t="n">
        <v>43</v>
      </c>
      <c r="B51" s="42" t="s">
        <v>488</v>
      </c>
      <c r="C51" s="42" t="s">
        <v>959</v>
      </c>
      <c r="D51" s="42" t="s">
        <v>887</v>
      </c>
      <c r="E51" s="34" t="s">
        <v>459</v>
      </c>
      <c r="F51" s="34" t="s">
        <v>459</v>
      </c>
      <c r="G51" s="31" t="s">
        <v>110</v>
      </c>
      <c r="H51" s="50" t="s">
        <v>461</v>
      </c>
      <c r="I51" s="42" t="s">
        <v>2386</v>
      </c>
      <c r="J51" s="42"/>
      <c r="K51" s="45" t="n">
        <f aca="false">IF(AND(E51="yes",F51="yes",H51="covered"),1,IF(AND(E51="yes",H51="partial"),0.5,0))</f>
        <v>1</v>
      </c>
    </row>
    <row r="52" customFormat="false" ht="15" hidden="false" customHeight="true" outlineLevel="0" collapsed="false">
      <c r="A52" s="31" t="n">
        <v>44</v>
      </c>
      <c r="B52" s="42" t="s">
        <v>486</v>
      </c>
      <c r="C52" s="42" t="s">
        <v>959</v>
      </c>
      <c r="D52" s="42" t="s">
        <v>2396</v>
      </c>
      <c r="E52" s="34" t="s">
        <v>459</v>
      </c>
      <c r="F52" s="34" t="s">
        <v>459</v>
      </c>
      <c r="G52" s="31" t="s">
        <v>110</v>
      </c>
      <c r="H52" s="50" t="s">
        <v>461</v>
      </c>
      <c r="I52" s="42" t="s">
        <v>2386</v>
      </c>
      <c r="J52" s="42"/>
      <c r="K52" s="45" t="n">
        <f aca="false">IF(AND(E52="yes",F52="yes",H52="covered"),1,IF(AND(E52="yes",H52="partial"),0.5,0))</f>
        <v>1</v>
      </c>
    </row>
    <row r="53" customFormat="false" ht="15" hidden="false" customHeight="true" outlineLevel="0" collapsed="false">
      <c r="A53" s="31" t="n">
        <v>45</v>
      </c>
      <c r="B53" s="42" t="s">
        <v>505</v>
      </c>
      <c r="C53" s="42" t="s">
        <v>506</v>
      </c>
      <c r="D53" s="42" t="s">
        <v>905</v>
      </c>
      <c r="E53" s="34" t="s">
        <v>459</v>
      </c>
      <c r="F53" s="34" t="s">
        <v>459</v>
      </c>
      <c r="G53" s="31" t="s">
        <v>110</v>
      </c>
      <c r="H53" s="50" t="s">
        <v>461</v>
      </c>
      <c r="I53" s="42" t="s">
        <v>2386</v>
      </c>
      <c r="J53" s="42"/>
      <c r="K53" s="45" t="n">
        <f aca="false">IF(AND(E53="yes",F53="yes",H53="covered"),1,IF(AND(E53="yes",H53="partial"),0.5,0))</f>
        <v>1</v>
      </c>
    </row>
    <row r="54" customFormat="false" ht="15" hidden="false" customHeight="true" outlineLevel="0" collapsed="false">
      <c r="A54" s="31" t="n">
        <v>46</v>
      </c>
      <c r="B54" s="42" t="s">
        <v>505</v>
      </c>
      <c r="C54" s="42" t="s">
        <v>506</v>
      </c>
      <c r="D54" s="42" t="s">
        <v>2221</v>
      </c>
      <c r="E54" s="34" t="s">
        <v>459</v>
      </c>
      <c r="F54" s="34" t="s">
        <v>459</v>
      </c>
      <c r="G54" s="31" t="s">
        <v>110</v>
      </c>
      <c r="H54" s="50" t="s">
        <v>461</v>
      </c>
      <c r="I54" s="42" t="s">
        <v>2386</v>
      </c>
      <c r="J54" s="42"/>
      <c r="K54" s="45" t="n">
        <f aca="false">IF(AND(E54="yes",F54="yes",H54="covered"),1,IF(AND(E54="yes",H54="partial"),0.5,0))</f>
        <v>1</v>
      </c>
    </row>
    <row r="55" customFormat="false" ht="15" hidden="false" customHeight="true" outlineLevel="0" collapsed="false">
      <c r="A55" s="31" t="n">
        <v>47</v>
      </c>
      <c r="B55" s="42" t="s">
        <v>505</v>
      </c>
      <c r="C55" s="42" t="s">
        <v>506</v>
      </c>
      <c r="D55" s="42" t="s">
        <v>2222</v>
      </c>
      <c r="E55" s="34" t="s">
        <v>459</v>
      </c>
      <c r="F55" s="34" t="s">
        <v>459</v>
      </c>
      <c r="G55" s="31" t="s">
        <v>110</v>
      </c>
      <c r="H55" s="50" t="s">
        <v>461</v>
      </c>
      <c r="I55" s="42" t="s">
        <v>2386</v>
      </c>
      <c r="J55" s="42"/>
      <c r="K55" s="45" t="n">
        <f aca="false">IF(AND(E55="yes",F55="yes",H55="covered"),1,IF(AND(E55="yes",H55="partial"),0.5,0))</f>
        <v>1</v>
      </c>
    </row>
    <row r="56" customFormat="false" ht="15" hidden="false" customHeight="true" outlineLevel="0" collapsed="false">
      <c r="A56" s="31" t="n">
        <v>48</v>
      </c>
      <c r="B56" s="42" t="s">
        <v>505</v>
      </c>
      <c r="C56" s="42" t="s">
        <v>506</v>
      </c>
      <c r="D56" s="42" t="s">
        <v>2223</v>
      </c>
      <c r="E56" s="34" t="s">
        <v>459</v>
      </c>
      <c r="F56" s="34" t="s">
        <v>459</v>
      </c>
      <c r="G56" s="31" t="s">
        <v>110</v>
      </c>
      <c r="H56" s="50" t="s">
        <v>461</v>
      </c>
      <c r="I56" s="42" t="s">
        <v>2386</v>
      </c>
      <c r="J56" s="42"/>
      <c r="K56" s="45" t="n">
        <f aca="false">IF(AND(E56="yes",F56="yes",H56="covered"),1,IF(AND(E56="yes",H56="partial"),0.5,0))</f>
        <v>1</v>
      </c>
    </row>
    <row r="57" customFormat="false" ht="15" hidden="false" customHeight="true" outlineLevel="0" collapsed="false">
      <c r="A57" s="31" t="n">
        <v>49</v>
      </c>
      <c r="B57" s="42" t="s">
        <v>505</v>
      </c>
      <c r="C57" s="42" t="s">
        <v>506</v>
      </c>
      <c r="D57" s="42" t="s">
        <v>2224</v>
      </c>
      <c r="E57" s="34" t="s">
        <v>459</v>
      </c>
      <c r="F57" s="34" t="s">
        <v>459</v>
      </c>
      <c r="G57" s="31" t="s">
        <v>110</v>
      </c>
      <c r="H57" s="50" t="s">
        <v>461</v>
      </c>
      <c r="I57" s="42" t="s">
        <v>2386</v>
      </c>
      <c r="J57" s="42"/>
      <c r="K57" s="45" t="n">
        <f aca="false">IF(AND(E57="yes",F57="yes",H57="covered"),1,IF(AND(E57="yes",H57="partial"),0.5,0))</f>
        <v>1</v>
      </c>
    </row>
    <row r="58" customFormat="false" ht="15" hidden="false" customHeight="true" outlineLevel="0" collapsed="false">
      <c r="A58" s="31" t="n">
        <v>50</v>
      </c>
      <c r="B58" s="42" t="s">
        <v>511</v>
      </c>
      <c r="C58" s="42" t="s">
        <v>506</v>
      </c>
      <c r="D58" s="42" t="s">
        <v>2397</v>
      </c>
      <c r="E58" s="34" t="s">
        <v>459</v>
      </c>
      <c r="F58" s="34" t="s">
        <v>459</v>
      </c>
      <c r="G58" s="31" t="s">
        <v>110</v>
      </c>
      <c r="H58" s="50" t="s">
        <v>461</v>
      </c>
      <c r="I58" s="42" t="s">
        <v>2386</v>
      </c>
      <c r="J58" s="42"/>
      <c r="K58" s="45" t="n">
        <f aca="false">IF(AND(E58="yes",F58="yes",H58="covered"),1,IF(AND(E58="yes",H58="partial"),0.5,0))</f>
        <v>1</v>
      </c>
    </row>
    <row r="59" customFormat="false" ht="15" hidden="false" customHeight="true" outlineLevel="0" collapsed="false">
      <c r="A59" s="31" t="n">
        <v>51</v>
      </c>
      <c r="B59" s="42" t="s">
        <v>511</v>
      </c>
      <c r="C59" s="42" t="s">
        <v>506</v>
      </c>
      <c r="D59" s="42" t="s">
        <v>2398</v>
      </c>
      <c r="E59" s="34" t="s">
        <v>459</v>
      </c>
      <c r="F59" s="34" t="s">
        <v>459</v>
      </c>
      <c r="G59" s="31" t="s">
        <v>110</v>
      </c>
      <c r="H59" s="50" t="s">
        <v>461</v>
      </c>
      <c r="I59" s="42" t="s">
        <v>2386</v>
      </c>
      <c r="J59" s="42"/>
      <c r="K59" s="45" t="n">
        <f aca="false">IF(AND(E59="yes",F59="yes",H59="covered"),1,IF(AND(E59="yes",H59="partial"),0.5,0))</f>
        <v>1</v>
      </c>
    </row>
    <row r="60" customFormat="false" ht="15" hidden="false" customHeight="true" outlineLevel="0" collapsed="false">
      <c r="A60" s="31" t="n">
        <v>52</v>
      </c>
      <c r="B60" s="42" t="s">
        <v>511</v>
      </c>
      <c r="C60" s="42" t="s">
        <v>506</v>
      </c>
      <c r="D60" s="42" t="s">
        <v>2399</v>
      </c>
      <c r="E60" s="34" t="s">
        <v>459</v>
      </c>
      <c r="F60" s="34" t="s">
        <v>459</v>
      </c>
      <c r="G60" s="31" t="s">
        <v>110</v>
      </c>
      <c r="H60" s="50" t="s">
        <v>461</v>
      </c>
      <c r="I60" s="42" t="s">
        <v>2386</v>
      </c>
      <c r="J60" s="42"/>
      <c r="K60" s="45" t="n">
        <f aca="false">IF(AND(E60="yes",F60="yes",H60="covered"),1,IF(AND(E60="yes",H60="partial"),0.5,0))</f>
        <v>1</v>
      </c>
    </row>
    <row r="61" customFormat="false" ht="15" hidden="false" customHeight="true" outlineLevel="0" collapsed="false">
      <c r="A61" s="31" t="n">
        <v>53</v>
      </c>
      <c r="B61" s="42" t="s">
        <v>511</v>
      </c>
      <c r="C61" s="42" t="s">
        <v>506</v>
      </c>
      <c r="D61" s="42" t="s">
        <v>514</v>
      </c>
      <c r="E61" s="34" t="s">
        <v>459</v>
      </c>
      <c r="F61" s="34" t="s">
        <v>459</v>
      </c>
      <c r="G61" s="31" t="s">
        <v>110</v>
      </c>
      <c r="H61" s="50" t="s">
        <v>461</v>
      </c>
      <c r="I61" s="42" t="s">
        <v>2386</v>
      </c>
      <c r="J61" s="42"/>
      <c r="K61" s="45" t="n">
        <f aca="false">IF(AND(E61="yes",F61="yes",H61="covered"),1,IF(AND(E61="yes",H61="partial"),0.5,0))</f>
        <v>1</v>
      </c>
    </row>
    <row r="62" customFormat="false" ht="15" hidden="false" customHeight="true" outlineLevel="0" collapsed="false">
      <c r="A62" s="31" t="n">
        <v>54</v>
      </c>
      <c r="B62" s="42" t="s">
        <v>511</v>
      </c>
      <c r="C62" s="42" t="s">
        <v>506</v>
      </c>
      <c r="D62" s="42" t="s">
        <v>515</v>
      </c>
      <c r="E62" s="34" t="s">
        <v>459</v>
      </c>
      <c r="F62" s="34" t="s">
        <v>459</v>
      </c>
      <c r="G62" s="31" t="s">
        <v>110</v>
      </c>
      <c r="H62" s="50" t="s">
        <v>461</v>
      </c>
      <c r="I62" s="42" t="s">
        <v>2386</v>
      </c>
      <c r="J62" s="42"/>
      <c r="K62" s="45" t="n">
        <f aca="false">IF(AND(E62="yes",F62="yes",H62="covered"),1,IF(AND(E62="yes",H62="partial"),0.5,0))</f>
        <v>1</v>
      </c>
    </row>
    <row r="63" customFormat="false" ht="15" hidden="false" customHeight="true" outlineLevel="0" collapsed="false">
      <c r="A63" s="31" t="n">
        <v>55</v>
      </c>
      <c r="B63" s="42" t="s">
        <v>511</v>
      </c>
      <c r="C63" s="42" t="s">
        <v>506</v>
      </c>
      <c r="D63" s="42" t="s">
        <v>893</v>
      </c>
      <c r="E63" s="34" t="s">
        <v>459</v>
      </c>
      <c r="F63" s="34" t="s">
        <v>459</v>
      </c>
      <c r="G63" s="31" t="s">
        <v>110</v>
      </c>
      <c r="H63" s="50" t="s">
        <v>461</v>
      </c>
      <c r="I63" s="42" t="s">
        <v>2386</v>
      </c>
      <c r="J63" s="42"/>
      <c r="K63" s="45" t="n">
        <f aca="false">IF(AND(E63="yes",F63="yes",H63="covered"),1,IF(AND(E63="yes",H63="partial"),0.5,0))</f>
        <v>1</v>
      </c>
    </row>
    <row r="64" customFormat="false" ht="15" hidden="false" customHeight="true" outlineLevel="0" collapsed="false">
      <c r="A64" s="31" t="n">
        <v>56</v>
      </c>
      <c r="B64" s="42" t="s">
        <v>483</v>
      </c>
      <c r="C64" s="42" t="s">
        <v>57</v>
      </c>
      <c r="D64" s="42" t="s">
        <v>516</v>
      </c>
      <c r="E64" s="34" t="s">
        <v>459</v>
      </c>
      <c r="F64" s="34" t="s">
        <v>459</v>
      </c>
      <c r="G64" s="31" t="s">
        <v>110</v>
      </c>
      <c r="H64" s="50" t="s">
        <v>461</v>
      </c>
      <c r="I64" s="42" t="s">
        <v>2386</v>
      </c>
      <c r="J64" s="42"/>
      <c r="K64" s="45" t="n">
        <f aca="false">IF(AND(E64="yes",F64="yes",H64="covered"),1,IF(AND(E64="yes",H64="partial"),0.5,0))</f>
        <v>1</v>
      </c>
    </row>
    <row r="65" customFormat="false" ht="15" hidden="false" customHeight="true" outlineLevel="0" collapsed="false">
      <c r="A65" s="31" t="n">
        <v>57</v>
      </c>
      <c r="B65" s="42" t="s">
        <v>483</v>
      </c>
      <c r="C65" s="42" t="s">
        <v>57</v>
      </c>
      <c r="D65" s="42" t="s">
        <v>517</v>
      </c>
      <c r="E65" s="34" t="s">
        <v>459</v>
      </c>
      <c r="F65" s="34" t="s">
        <v>459</v>
      </c>
      <c r="G65" s="31" t="s">
        <v>110</v>
      </c>
      <c r="H65" s="50" t="s">
        <v>461</v>
      </c>
      <c r="I65" s="42" t="s">
        <v>2386</v>
      </c>
      <c r="J65" s="42"/>
      <c r="K65" s="45" t="n">
        <f aca="false">IF(AND(E65="yes",F65="yes",H65="covered"),1,IF(AND(E65="yes",H65="partial"),0.5,0))</f>
        <v>1</v>
      </c>
    </row>
    <row r="66" customFormat="false" ht="15" hidden="false" customHeight="true" outlineLevel="0" collapsed="false">
      <c r="A66" s="31" t="n">
        <v>58</v>
      </c>
      <c r="B66" s="42" t="s">
        <v>483</v>
      </c>
      <c r="C66" s="42" t="s">
        <v>57</v>
      </c>
      <c r="D66" s="42" t="s">
        <v>519</v>
      </c>
      <c r="E66" s="34" t="s">
        <v>459</v>
      </c>
      <c r="F66" s="34" t="s">
        <v>459</v>
      </c>
      <c r="G66" s="31" t="s">
        <v>110</v>
      </c>
      <c r="H66" s="50" t="s">
        <v>461</v>
      </c>
      <c r="I66" s="42" t="s">
        <v>2386</v>
      </c>
      <c r="J66" s="42"/>
      <c r="K66" s="45" t="n">
        <f aca="false">IF(AND(E66="yes",F66="yes",H66="covered"),1,IF(AND(E66="yes",H66="partial"),0.5,0))</f>
        <v>1</v>
      </c>
    </row>
    <row r="67" customFormat="false" ht="15" hidden="false" customHeight="true" outlineLevel="0" collapsed="false">
      <c r="A67" s="31" t="n">
        <v>59</v>
      </c>
      <c r="B67" s="42" t="s">
        <v>483</v>
      </c>
      <c r="C67" s="42" t="s">
        <v>57</v>
      </c>
      <c r="D67" s="42" t="s">
        <v>520</v>
      </c>
      <c r="E67" s="34" t="s">
        <v>459</v>
      </c>
      <c r="F67" s="34" t="s">
        <v>459</v>
      </c>
      <c r="G67" s="31" t="s">
        <v>110</v>
      </c>
      <c r="H67" s="50" t="s">
        <v>461</v>
      </c>
      <c r="I67" s="42" t="s">
        <v>2386</v>
      </c>
      <c r="J67" s="42"/>
      <c r="K67" s="45" t="n">
        <f aca="false">IF(AND(E67="yes",F67="yes",H67="covered"),1,IF(AND(E67="yes",H67="partial"),0.5,0))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2400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86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2226</v>
      </c>
      <c r="H9" s="44" t="s">
        <v>461</v>
      </c>
      <c r="I9" s="42" t="s">
        <v>2401</v>
      </c>
      <c r="J9" s="42"/>
      <c r="K9" s="45" t="n">
        <f aca="false">IF(AND(E9="yes",F9="yes",H9="covered"),1,IF(H9="partial",0.5,0))</f>
        <v>1</v>
      </c>
    </row>
    <row r="10" customFormat="false" ht="4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2226</v>
      </c>
      <c r="H10" s="44" t="s">
        <v>461</v>
      </c>
      <c r="I10" s="42" t="s">
        <v>2401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58</v>
      </c>
      <c r="D11" s="42" t="s">
        <v>464</v>
      </c>
      <c r="E11" s="34" t="s">
        <v>459</v>
      </c>
      <c r="F11" s="43" t="s">
        <v>459</v>
      </c>
      <c r="G11" s="31" t="s">
        <v>2226</v>
      </c>
      <c r="H11" s="44" t="s">
        <v>461</v>
      </c>
      <c r="I11" s="42" t="s">
        <v>2401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58</v>
      </c>
      <c r="D12" s="42" t="s">
        <v>465</v>
      </c>
      <c r="E12" s="34" t="s">
        <v>459</v>
      </c>
      <c r="F12" s="43" t="s">
        <v>459</v>
      </c>
      <c r="G12" s="31" t="s">
        <v>2226</v>
      </c>
      <c r="H12" s="44" t="s">
        <v>461</v>
      </c>
      <c r="I12" s="42" t="s">
        <v>2402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58</v>
      </c>
      <c r="D13" s="42" t="s">
        <v>466</v>
      </c>
      <c r="E13" s="34" t="s">
        <v>459</v>
      </c>
      <c r="F13" s="43" t="s">
        <v>459</v>
      </c>
      <c r="G13" s="31" t="s">
        <v>2226</v>
      </c>
      <c r="H13" s="44" t="s">
        <v>461</v>
      </c>
      <c r="I13" s="42" t="s">
        <v>2401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58</v>
      </c>
      <c r="D14" s="42" t="s">
        <v>467</v>
      </c>
      <c r="E14" s="34" t="s">
        <v>459</v>
      </c>
      <c r="F14" s="43" t="s">
        <v>459</v>
      </c>
      <c r="G14" s="31" t="s">
        <v>2226</v>
      </c>
      <c r="H14" s="44" t="s">
        <v>461</v>
      </c>
      <c r="I14" s="42" t="s">
        <v>2401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58</v>
      </c>
      <c r="D15" s="42" t="s">
        <v>2403</v>
      </c>
      <c r="E15" s="34" t="s">
        <v>459</v>
      </c>
      <c r="F15" s="43" t="s">
        <v>459</v>
      </c>
      <c r="G15" s="31" t="s">
        <v>2226</v>
      </c>
      <c r="H15" s="44" t="s">
        <v>461</v>
      </c>
      <c r="I15" s="42" t="s">
        <v>2401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58</v>
      </c>
      <c r="D16" s="42" t="s">
        <v>943</v>
      </c>
      <c r="E16" s="34" t="s">
        <v>459</v>
      </c>
      <c r="F16" s="43" t="s">
        <v>459</v>
      </c>
      <c r="G16" s="31" t="s">
        <v>2226</v>
      </c>
      <c r="H16" s="44" t="s">
        <v>461</v>
      </c>
      <c r="I16" s="42" t="s">
        <v>2401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58</v>
      </c>
      <c r="D17" s="42" t="s">
        <v>2404</v>
      </c>
      <c r="E17" s="34" t="s">
        <v>459</v>
      </c>
      <c r="F17" s="43" t="s">
        <v>459</v>
      </c>
      <c r="G17" s="31" t="s">
        <v>2226</v>
      </c>
      <c r="H17" s="44" t="s">
        <v>461</v>
      </c>
      <c r="I17" s="42" t="s">
        <v>2401</v>
      </c>
      <c r="J17" s="42"/>
      <c r="K17" s="45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58</v>
      </c>
      <c r="D18" s="42" t="s">
        <v>2405</v>
      </c>
      <c r="E18" s="34" t="s">
        <v>459</v>
      </c>
      <c r="F18" s="43" t="s">
        <v>459</v>
      </c>
      <c r="G18" s="31" t="s">
        <v>2226</v>
      </c>
      <c r="H18" s="44" t="s">
        <v>461</v>
      </c>
      <c r="I18" s="42" t="s">
        <v>2401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58</v>
      </c>
      <c r="D19" s="42" t="s">
        <v>2406</v>
      </c>
      <c r="E19" s="34" t="s">
        <v>459</v>
      </c>
      <c r="F19" s="43" t="s">
        <v>459</v>
      </c>
      <c r="G19" s="31" t="s">
        <v>2226</v>
      </c>
      <c r="H19" s="44" t="s">
        <v>461</v>
      </c>
      <c r="I19" s="42" t="s">
        <v>2401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58</v>
      </c>
      <c r="D20" s="42" t="s">
        <v>2407</v>
      </c>
      <c r="E20" s="34" t="s">
        <v>459</v>
      </c>
      <c r="F20" s="43" t="s">
        <v>459</v>
      </c>
      <c r="G20" s="31" t="s">
        <v>2226</v>
      </c>
      <c r="H20" s="44" t="s">
        <v>461</v>
      </c>
      <c r="I20" s="42" t="s">
        <v>2401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2226</v>
      </c>
      <c r="H21" s="44" t="s">
        <v>461</v>
      </c>
      <c r="I21" s="42" t="s">
        <v>2401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2226</v>
      </c>
      <c r="H22" s="44" t="s">
        <v>461</v>
      </c>
      <c r="I22" s="42" t="s">
        <v>2401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2226</v>
      </c>
      <c r="H23" s="44" t="s">
        <v>461</v>
      </c>
      <c r="I23" s="42" t="s">
        <v>2401</v>
      </c>
      <c r="J23" s="42"/>
      <c r="K23" s="45" t="n">
        <f aca="false">IF(AND(E23="yes",F23="yes",H23="covered"),1,IF(H23="partial",0.5,0))</f>
        <v>1</v>
      </c>
    </row>
    <row r="24" customFormat="false" ht="4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2226</v>
      </c>
      <c r="H24" s="44" t="s">
        <v>461</v>
      </c>
      <c r="I24" s="42" t="s">
        <v>2401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2226</v>
      </c>
      <c r="H25" s="44" t="s">
        <v>461</v>
      </c>
      <c r="I25" s="42" t="s">
        <v>2401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2226</v>
      </c>
      <c r="H26" s="44" t="s">
        <v>461</v>
      </c>
      <c r="I26" s="42" t="s">
        <v>2408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489</v>
      </c>
      <c r="E27" s="34" t="s">
        <v>459</v>
      </c>
      <c r="F27" s="43" t="s">
        <v>459</v>
      </c>
      <c r="G27" s="31" t="s">
        <v>2226</v>
      </c>
      <c r="H27" s="44" t="s">
        <v>461</v>
      </c>
      <c r="I27" s="42" t="s">
        <v>2401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490</v>
      </c>
      <c r="E28" s="34" t="s">
        <v>459</v>
      </c>
      <c r="F28" s="43" t="s">
        <v>459</v>
      </c>
      <c r="G28" s="31" t="s">
        <v>2226</v>
      </c>
      <c r="H28" s="44" t="s">
        <v>461</v>
      </c>
      <c r="I28" s="42" t="s">
        <v>2401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491</v>
      </c>
      <c r="E29" s="34" t="s">
        <v>459</v>
      </c>
      <c r="F29" s="43" t="s">
        <v>459</v>
      </c>
      <c r="G29" s="31" t="s">
        <v>2226</v>
      </c>
      <c r="H29" s="44" t="s">
        <v>461</v>
      </c>
      <c r="I29" s="42" t="s">
        <v>2401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954</v>
      </c>
      <c r="E30" s="34" t="s">
        <v>459</v>
      </c>
      <c r="F30" s="43" t="s">
        <v>459</v>
      </c>
      <c r="G30" s="31" t="s">
        <v>2226</v>
      </c>
      <c r="H30" s="44" t="s">
        <v>461</v>
      </c>
      <c r="I30" s="42" t="s">
        <v>2401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955</v>
      </c>
      <c r="E31" s="34" t="s">
        <v>459</v>
      </c>
      <c r="F31" s="43" t="s">
        <v>459</v>
      </c>
      <c r="G31" s="31" t="s">
        <v>2226</v>
      </c>
      <c r="H31" s="44" t="s">
        <v>461</v>
      </c>
      <c r="I31" s="42" t="s">
        <v>2401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493</v>
      </c>
      <c r="E32" s="34" t="s">
        <v>459</v>
      </c>
      <c r="F32" s="43" t="s">
        <v>459</v>
      </c>
      <c r="G32" s="31" t="s">
        <v>2226</v>
      </c>
      <c r="H32" s="44" t="s">
        <v>461</v>
      </c>
      <c r="I32" s="42" t="s">
        <v>2401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488</v>
      </c>
      <c r="C33" s="42" t="s">
        <v>476</v>
      </c>
      <c r="D33" s="42" t="s">
        <v>953</v>
      </c>
      <c r="E33" s="34" t="s">
        <v>459</v>
      </c>
      <c r="F33" s="43" t="s">
        <v>459</v>
      </c>
      <c r="G33" s="31" t="s">
        <v>2226</v>
      </c>
      <c r="H33" s="44" t="s">
        <v>461</v>
      </c>
      <c r="I33" s="42" t="s">
        <v>2401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488</v>
      </c>
      <c r="C34" s="42" t="s">
        <v>476</v>
      </c>
      <c r="D34" s="42" t="s">
        <v>952</v>
      </c>
      <c r="E34" s="34" t="s">
        <v>459</v>
      </c>
      <c r="F34" s="43" t="s">
        <v>459</v>
      </c>
      <c r="G34" s="31" t="s">
        <v>2226</v>
      </c>
      <c r="H34" s="44" t="s">
        <v>461</v>
      </c>
      <c r="I34" s="42" t="s">
        <v>2401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494</v>
      </c>
      <c r="E35" s="34" t="s">
        <v>459</v>
      </c>
      <c r="F35" s="43" t="s">
        <v>459</v>
      </c>
      <c r="G35" s="31" t="s">
        <v>2226</v>
      </c>
      <c r="H35" s="44" t="s">
        <v>461</v>
      </c>
      <c r="I35" s="42" t="s">
        <v>2401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1291</v>
      </c>
      <c r="E36" s="34" t="s">
        <v>459</v>
      </c>
      <c r="F36" s="43" t="s">
        <v>459</v>
      </c>
      <c r="G36" s="31" t="s">
        <v>2226</v>
      </c>
      <c r="H36" s="44" t="s">
        <v>461</v>
      </c>
      <c r="I36" s="42" t="s">
        <v>2401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882</v>
      </c>
      <c r="C37" s="42" t="s">
        <v>476</v>
      </c>
      <c r="D37" s="42" t="s">
        <v>956</v>
      </c>
      <c r="E37" s="34" t="s">
        <v>459</v>
      </c>
      <c r="F37" s="43" t="s">
        <v>459</v>
      </c>
      <c r="G37" s="31" t="s">
        <v>2226</v>
      </c>
      <c r="H37" s="44" t="s">
        <v>461</v>
      </c>
      <c r="I37" s="42" t="s">
        <v>2401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483</v>
      </c>
      <c r="C38" s="42" t="s">
        <v>476</v>
      </c>
      <c r="D38" s="42" t="s">
        <v>484</v>
      </c>
      <c r="E38" s="34" t="s">
        <v>459</v>
      </c>
      <c r="F38" s="43" t="s">
        <v>459</v>
      </c>
      <c r="G38" s="31" t="s">
        <v>2226</v>
      </c>
      <c r="H38" s="44" t="s">
        <v>461</v>
      </c>
      <c r="I38" s="42" t="s">
        <v>2401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483</v>
      </c>
      <c r="C39" s="42" t="s">
        <v>476</v>
      </c>
      <c r="D39" s="42" t="s">
        <v>485</v>
      </c>
      <c r="E39" s="34" t="s">
        <v>459</v>
      </c>
      <c r="F39" s="43" t="s">
        <v>459</v>
      </c>
      <c r="G39" s="31" t="s">
        <v>2226</v>
      </c>
      <c r="H39" s="44" t="s">
        <v>461</v>
      </c>
      <c r="I39" s="42" t="s">
        <v>2401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476</v>
      </c>
      <c r="D40" s="42" t="s">
        <v>495</v>
      </c>
      <c r="E40" s="34" t="s">
        <v>459</v>
      </c>
      <c r="F40" s="43" t="s">
        <v>459</v>
      </c>
      <c r="G40" s="31" t="s">
        <v>2226</v>
      </c>
      <c r="H40" s="44" t="s">
        <v>461</v>
      </c>
      <c r="I40" s="42" t="s">
        <v>2401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486</v>
      </c>
      <c r="C41" s="42" t="s">
        <v>476</v>
      </c>
      <c r="D41" s="42" t="s">
        <v>496</v>
      </c>
      <c r="E41" s="34" t="s">
        <v>459</v>
      </c>
      <c r="F41" s="43" t="s">
        <v>459</v>
      </c>
      <c r="G41" s="31" t="s">
        <v>2226</v>
      </c>
      <c r="H41" s="44" t="s">
        <v>461</v>
      </c>
      <c r="I41" s="42" t="s">
        <v>2401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488</v>
      </c>
      <c r="C42" s="42" t="s">
        <v>476</v>
      </c>
      <c r="D42" s="42" t="s">
        <v>497</v>
      </c>
      <c r="E42" s="34" t="s">
        <v>459</v>
      </c>
      <c r="F42" s="43" t="s">
        <v>459</v>
      </c>
      <c r="G42" s="31" t="s">
        <v>2226</v>
      </c>
      <c r="H42" s="44" t="s">
        <v>461</v>
      </c>
      <c r="I42" s="42" t="s">
        <v>2401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488</v>
      </c>
      <c r="C43" s="42" t="s">
        <v>476</v>
      </c>
      <c r="D43" s="42" t="s">
        <v>958</v>
      </c>
      <c r="E43" s="34" t="s">
        <v>459</v>
      </c>
      <c r="F43" s="43" t="s">
        <v>459</v>
      </c>
      <c r="G43" s="31" t="s">
        <v>2226</v>
      </c>
      <c r="H43" s="44" t="s">
        <v>461</v>
      </c>
      <c r="I43" s="42" t="s">
        <v>2401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475</v>
      </c>
      <c r="C44" s="42" t="s">
        <v>502</v>
      </c>
      <c r="D44" s="42" t="s">
        <v>477</v>
      </c>
      <c r="E44" s="34" t="s">
        <v>459</v>
      </c>
      <c r="F44" s="43" t="s">
        <v>459</v>
      </c>
      <c r="G44" s="31" t="s">
        <v>2226</v>
      </c>
      <c r="H44" s="44" t="s">
        <v>461</v>
      </c>
      <c r="I44" s="42" t="s">
        <v>2401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475</v>
      </c>
      <c r="C45" s="42" t="s">
        <v>502</v>
      </c>
      <c r="D45" s="42" t="s">
        <v>478</v>
      </c>
      <c r="E45" s="34" t="s">
        <v>459</v>
      </c>
      <c r="F45" s="43" t="s">
        <v>459</v>
      </c>
      <c r="G45" s="31" t="s">
        <v>2226</v>
      </c>
      <c r="H45" s="44" t="s">
        <v>461</v>
      </c>
      <c r="I45" s="42" t="s">
        <v>2401</v>
      </c>
      <c r="J45" s="42"/>
      <c r="K45" s="45" t="n">
        <f aca="false">IF(AND(E45="yes",F45="yes",H45="covered"),1,IF(H45="partial",0.5,0))</f>
        <v>1</v>
      </c>
    </row>
    <row r="46" customFormat="false" ht="30" hidden="false" customHeight="true" outlineLevel="0" collapsed="false">
      <c r="A46" s="31" t="n">
        <v>38</v>
      </c>
      <c r="B46" s="42" t="s">
        <v>479</v>
      </c>
      <c r="C46" s="42" t="s">
        <v>502</v>
      </c>
      <c r="D46" s="42" t="s">
        <v>480</v>
      </c>
      <c r="E46" s="34" t="s">
        <v>459</v>
      </c>
      <c r="F46" s="43" t="s">
        <v>459</v>
      </c>
      <c r="G46" s="31" t="s">
        <v>2226</v>
      </c>
      <c r="H46" s="44" t="s">
        <v>461</v>
      </c>
      <c r="I46" s="42" t="s">
        <v>2401</v>
      </c>
      <c r="J46" s="42"/>
      <c r="K46" s="45" t="n">
        <f aca="false">IF(AND(E46="yes",F46="yes",H46="covered"),1,IF(H46="partial",0.5,0))</f>
        <v>1</v>
      </c>
    </row>
    <row r="47" customFormat="false" ht="45" hidden="false" customHeight="true" outlineLevel="0" collapsed="false">
      <c r="A47" s="31" t="n">
        <v>39</v>
      </c>
      <c r="B47" s="42" t="s">
        <v>479</v>
      </c>
      <c r="C47" s="42" t="s">
        <v>502</v>
      </c>
      <c r="D47" s="42" t="s">
        <v>481</v>
      </c>
      <c r="E47" s="34" t="s">
        <v>459</v>
      </c>
      <c r="F47" s="43" t="s">
        <v>459</v>
      </c>
      <c r="G47" s="31" t="s">
        <v>2226</v>
      </c>
      <c r="H47" s="44" t="s">
        <v>461</v>
      </c>
      <c r="I47" s="42" t="s">
        <v>2401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457</v>
      </c>
      <c r="C48" s="42" t="s">
        <v>502</v>
      </c>
      <c r="D48" s="42" t="s">
        <v>482</v>
      </c>
      <c r="E48" s="34" t="s">
        <v>459</v>
      </c>
      <c r="F48" s="43" t="s">
        <v>459</v>
      </c>
      <c r="G48" s="31" t="s">
        <v>2226</v>
      </c>
      <c r="H48" s="44" t="s">
        <v>461</v>
      </c>
      <c r="I48" s="42" t="s">
        <v>2401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774</v>
      </c>
      <c r="C49" s="42" t="s">
        <v>502</v>
      </c>
      <c r="D49" s="42" t="s">
        <v>775</v>
      </c>
      <c r="E49" s="34" t="s">
        <v>459</v>
      </c>
      <c r="F49" s="43" t="s">
        <v>459</v>
      </c>
      <c r="G49" s="31" t="s">
        <v>2226</v>
      </c>
      <c r="H49" s="44" t="s">
        <v>461</v>
      </c>
      <c r="I49" s="42" t="s">
        <v>2408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488</v>
      </c>
      <c r="C50" s="42" t="s">
        <v>502</v>
      </c>
      <c r="D50" s="42" t="s">
        <v>489</v>
      </c>
      <c r="E50" s="34" t="s">
        <v>459</v>
      </c>
      <c r="F50" s="43" t="s">
        <v>459</v>
      </c>
      <c r="G50" s="31" t="s">
        <v>2226</v>
      </c>
      <c r="H50" s="44" t="s">
        <v>461</v>
      </c>
      <c r="I50" s="42" t="s">
        <v>2401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488</v>
      </c>
      <c r="C51" s="42" t="s">
        <v>502</v>
      </c>
      <c r="D51" s="42" t="s">
        <v>493</v>
      </c>
      <c r="E51" s="34" t="s">
        <v>459</v>
      </c>
      <c r="F51" s="43" t="s">
        <v>459</v>
      </c>
      <c r="G51" s="31" t="s">
        <v>2226</v>
      </c>
      <c r="H51" s="44" t="s">
        <v>461</v>
      </c>
      <c r="I51" s="42" t="s">
        <v>2401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882</v>
      </c>
      <c r="C52" s="42" t="s">
        <v>502</v>
      </c>
      <c r="D52" s="42" t="s">
        <v>956</v>
      </c>
      <c r="E52" s="34" t="s">
        <v>459</v>
      </c>
      <c r="F52" s="43" t="s">
        <v>459</v>
      </c>
      <c r="G52" s="31" t="s">
        <v>2226</v>
      </c>
      <c r="H52" s="44" t="s">
        <v>461</v>
      </c>
      <c r="I52" s="42" t="s">
        <v>2401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483</v>
      </c>
      <c r="C53" s="42" t="s">
        <v>502</v>
      </c>
      <c r="D53" s="42" t="s">
        <v>484</v>
      </c>
      <c r="E53" s="34" t="s">
        <v>459</v>
      </c>
      <c r="F53" s="43" t="s">
        <v>459</v>
      </c>
      <c r="G53" s="31" t="s">
        <v>2226</v>
      </c>
      <c r="H53" s="44" t="s">
        <v>461</v>
      </c>
      <c r="I53" s="42" t="s">
        <v>2401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483</v>
      </c>
      <c r="C54" s="42" t="s">
        <v>502</v>
      </c>
      <c r="D54" s="42" t="s">
        <v>485</v>
      </c>
      <c r="E54" s="34" t="s">
        <v>459</v>
      </c>
      <c r="F54" s="43" t="s">
        <v>459</v>
      </c>
      <c r="G54" s="31" t="s">
        <v>2226</v>
      </c>
      <c r="H54" s="44" t="s">
        <v>461</v>
      </c>
      <c r="I54" s="42" t="s">
        <v>2401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486</v>
      </c>
      <c r="C55" s="42" t="s">
        <v>502</v>
      </c>
      <c r="D55" s="42" t="s">
        <v>495</v>
      </c>
      <c r="E55" s="34" t="s">
        <v>459</v>
      </c>
      <c r="F55" s="43" t="s">
        <v>459</v>
      </c>
      <c r="G55" s="31" t="s">
        <v>2226</v>
      </c>
      <c r="H55" s="44" t="s">
        <v>461</v>
      </c>
      <c r="I55" s="42" t="s">
        <v>2401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488</v>
      </c>
      <c r="C56" s="42" t="s">
        <v>502</v>
      </c>
      <c r="D56" s="42" t="s">
        <v>887</v>
      </c>
      <c r="E56" s="34" t="s">
        <v>459</v>
      </c>
      <c r="F56" s="43" t="s">
        <v>459</v>
      </c>
      <c r="G56" s="31" t="s">
        <v>2226</v>
      </c>
      <c r="H56" s="44" t="s">
        <v>461</v>
      </c>
      <c r="I56" s="42" t="s">
        <v>2401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486</v>
      </c>
      <c r="C57" s="42" t="s">
        <v>502</v>
      </c>
      <c r="D57" s="42" t="s">
        <v>499</v>
      </c>
      <c r="E57" s="34" t="s">
        <v>459</v>
      </c>
      <c r="F57" s="43" t="s">
        <v>459</v>
      </c>
      <c r="G57" s="31" t="s">
        <v>2226</v>
      </c>
      <c r="H57" s="44" t="s">
        <v>461</v>
      </c>
      <c r="I57" s="42" t="s">
        <v>2401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488</v>
      </c>
      <c r="C58" s="42" t="s">
        <v>502</v>
      </c>
      <c r="D58" s="42" t="s">
        <v>497</v>
      </c>
      <c r="E58" s="34" t="s">
        <v>459</v>
      </c>
      <c r="F58" s="43" t="s">
        <v>459</v>
      </c>
      <c r="G58" s="31" t="s">
        <v>2226</v>
      </c>
      <c r="H58" s="44" t="s">
        <v>461</v>
      </c>
      <c r="I58" s="42" t="s">
        <v>2401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488</v>
      </c>
      <c r="C59" s="42" t="s">
        <v>502</v>
      </c>
      <c r="D59" s="42" t="s">
        <v>958</v>
      </c>
      <c r="E59" s="34" t="s">
        <v>459</v>
      </c>
      <c r="F59" s="43" t="s">
        <v>459</v>
      </c>
      <c r="G59" s="31" t="s">
        <v>2226</v>
      </c>
      <c r="H59" s="44" t="s">
        <v>461</v>
      </c>
      <c r="I59" s="42" t="s">
        <v>2401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505</v>
      </c>
      <c r="C60" s="42" t="s">
        <v>506</v>
      </c>
      <c r="D60" s="42" t="s">
        <v>961</v>
      </c>
      <c r="E60" s="34" t="s">
        <v>459</v>
      </c>
      <c r="F60" s="43" t="s">
        <v>459</v>
      </c>
      <c r="G60" s="31" t="s">
        <v>2226</v>
      </c>
      <c r="H60" s="44" t="s">
        <v>461</v>
      </c>
      <c r="I60" s="42" t="s">
        <v>2401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505</v>
      </c>
      <c r="C61" s="42" t="s">
        <v>506</v>
      </c>
      <c r="D61" s="42" t="s">
        <v>508</v>
      </c>
      <c r="E61" s="34" t="s">
        <v>459</v>
      </c>
      <c r="F61" s="43" t="s">
        <v>459</v>
      </c>
      <c r="G61" s="31" t="s">
        <v>2226</v>
      </c>
      <c r="H61" s="44" t="s">
        <v>461</v>
      </c>
      <c r="I61" s="42" t="s">
        <v>2401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505</v>
      </c>
      <c r="C62" s="42" t="s">
        <v>506</v>
      </c>
      <c r="D62" s="42" t="s">
        <v>905</v>
      </c>
      <c r="E62" s="34" t="s">
        <v>459</v>
      </c>
      <c r="F62" s="43" t="s">
        <v>459</v>
      </c>
      <c r="G62" s="31" t="s">
        <v>2226</v>
      </c>
      <c r="H62" s="44" t="s">
        <v>461</v>
      </c>
      <c r="I62" s="42" t="s">
        <v>2401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505</v>
      </c>
      <c r="C63" s="42" t="s">
        <v>506</v>
      </c>
      <c r="D63" s="42" t="s">
        <v>962</v>
      </c>
      <c r="E63" s="34" t="s">
        <v>459</v>
      </c>
      <c r="F63" s="43" t="s">
        <v>459</v>
      </c>
      <c r="G63" s="31" t="s">
        <v>2226</v>
      </c>
      <c r="H63" s="44" t="s">
        <v>461</v>
      </c>
      <c r="I63" s="42" t="s">
        <v>2401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505</v>
      </c>
      <c r="C64" s="42" t="s">
        <v>506</v>
      </c>
      <c r="D64" s="42" t="s">
        <v>783</v>
      </c>
      <c r="E64" s="34" t="s">
        <v>459</v>
      </c>
      <c r="F64" s="43" t="s">
        <v>459</v>
      </c>
      <c r="G64" s="31" t="s">
        <v>2226</v>
      </c>
      <c r="H64" s="44" t="s">
        <v>461</v>
      </c>
      <c r="I64" s="42" t="s">
        <v>2401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505</v>
      </c>
      <c r="C65" s="42" t="s">
        <v>506</v>
      </c>
      <c r="D65" s="42" t="s">
        <v>1442</v>
      </c>
      <c r="E65" s="34" t="s">
        <v>459</v>
      </c>
      <c r="F65" s="43" t="s">
        <v>459</v>
      </c>
      <c r="G65" s="31" t="s">
        <v>2226</v>
      </c>
      <c r="H65" s="44" t="s">
        <v>461</v>
      </c>
      <c r="I65" s="42" t="s">
        <v>2401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505</v>
      </c>
      <c r="C66" s="42" t="s">
        <v>506</v>
      </c>
      <c r="D66" s="42" t="s">
        <v>964</v>
      </c>
      <c r="E66" s="34" t="s">
        <v>459</v>
      </c>
      <c r="F66" s="43" t="s">
        <v>459</v>
      </c>
      <c r="G66" s="31" t="s">
        <v>2226</v>
      </c>
      <c r="H66" s="44" t="s">
        <v>461</v>
      </c>
      <c r="I66" s="42" t="s">
        <v>2401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511</v>
      </c>
      <c r="C67" s="42" t="s">
        <v>506</v>
      </c>
      <c r="D67" s="42" t="s">
        <v>512</v>
      </c>
      <c r="E67" s="34" t="s">
        <v>459</v>
      </c>
      <c r="F67" s="43" t="s">
        <v>459</v>
      </c>
      <c r="G67" s="31" t="s">
        <v>2226</v>
      </c>
      <c r="H67" s="44" t="s">
        <v>461</v>
      </c>
      <c r="I67" s="42" t="s">
        <v>2401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511</v>
      </c>
      <c r="C68" s="42" t="s">
        <v>506</v>
      </c>
      <c r="D68" s="42" t="s">
        <v>965</v>
      </c>
      <c r="E68" s="34" t="s">
        <v>459</v>
      </c>
      <c r="F68" s="43" t="s">
        <v>459</v>
      </c>
      <c r="G68" s="31" t="s">
        <v>2226</v>
      </c>
      <c r="H68" s="44" t="s">
        <v>461</v>
      </c>
      <c r="I68" s="42" t="s">
        <v>2401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511</v>
      </c>
      <c r="C69" s="42" t="s">
        <v>506</v>
      </c>
      <c r="D69" s="42" t="s">
        <v>513</v>
      </c>
      <c r="E69" s="34" t="s">
        <v>459</v>
      </c>
      <c r="F69" s="43" t="s">
        <v>459</v>
      </c>
      <c r="G69" s="31" t="s">
        <v>2226</v>
      </c>
      <c r="H69" s="44" t="s">
        <v>461</v>
      </c>
      <c r="I69" s="42" t="s">
        <v>2401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511</v>
      </c>
      <c r="C70" s="42" t="s">
        <v>506</v>
      </c>
      <c r="D70" s="42" t="s">
        <v>514</v>
      </c>
      <c r="E70" s="34" t="s">
        <v>459</v>
      </c>
      <c r="F70" s="43" t="s">
        <v>459</v>
      </c>
      <c r="G70" s="31" t="s">
        <v>2226</v>
      </c>
      <c r="H70" s="44" t="s">
        <v>461</v>
      </c>
      <c r="I70" s="42" t="s">
        <v>2401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511</v>
      </c>
      <c r="C71" s="42" t="s">
        <v>506</v>
      </c>
      <c r="D71" s="42" t="s">
        <v>515</v>
      </c>
      <c r="E71" s="34" t="s">
        <v>459</v>
      </c>
      <c r="F71" s="43" t="s">
        <v>459</v>
      </c>
      <c r="G71" s="31" t="s">
        <v>2226</v>
      </c>
      <c r="H71" s="44" t="s">
        <v>461</v>
      </c>
      <c r="I71" s="42" t="s">
        <v>2401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511</v>
      </c>
      <c r="C72" s="42" t="s">
        <v>506</v>
      </c>
      <c r="D72" s="42" t="s">
        <v>893</v>
      </c>
      <c r="E72" s="34" t="s">
        <v>459</v>
      </c>
      <c r="F72" s="43" t="s">
        <v>459</v>
      </c>
      <c r="G72" s="31" t="s">
        <v>2226</v>
      </c>
      <c r="H72" s="44" t="s">
        <v>461</v>
      </c>
      <c r="I72" s="42" t="s">
        <v>2401</v>
      </c>
      <c r="J72" s="42"/>
      <c r="K72" s="45" t="n">
        <f aca="false">IF(AND(E72="yes",F72="yes",H72="covered"),1,IF(H72="partial",0.5,0))</f>
        <v>1</v>
      </c>
    </row>
    <row r="73" customFormat="false" ht="30" hidden="false" customHeight="true" outlineLevel="0" collapsed="false">
      <c r="A73" s="31" t="n">
        <v>65</v>
      </c>
      <c r="B73" s="42" t="s">
        <v>483</v>
      </c>
      <c r="C73" s="42" t="s">
        <v>58</v>
      </c>
      <c r="D73" s="42" t="s">
        <v>516</v>
      </c>
      <c r="E73" s="34" t="s">
        <v>459</v>
      </c>
      <c r="F73" s="43" t="s">
        <v>459</v>
      </c>
      <c r="G73" s="31" t="s">
        <v>2226</v>
      </c>
      <c r="H73" s="44" t="s">
        <v>461</v>
      </c>
      <c r="I73" s="42" t="s">
        <v>2401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483</v>
      </c>
      <c r="C74" s="42" t="s">
        <v>58</v>
      </c>
      <c r="D74" s="42" t="s">
        <v>517</v>
      </c>
      <c r="E74" s="34" t="s">
        <v>459</v>
      </c>
      <c r="F74" s="43" t="s">
        <v>459</v>
      </c>
      <c r="G74" s="31" t="s">
        <v>2226</v>
      </c>
      <c r="H74" s="44" t="s">
        <v>461</v>
      </c>
      <c r="I74" s="42" t="s">
        <v>2401</v>
      </c>
      <c r="J74" s="42"/>
      <c r="K74" s="45" t="n">
        <f aca="false">IF(AND(E74="yes",F74="yes",H74="covered"),1,IF(H74="partial",0.5,0))</f>
        <v>1</v>
      </c>
    </row>
    <row r="75" customFormat="false" ht="45" hidden="false" customHeight="true" outlineLevel="0" collapsed="false">
      <c r="A75" s="31" t="n">
        <v>67</v>
      </c>
      <c r="B75" s="42" t="s">
        <v>483</v>
      </c>
      <c r="C75" s="42" t="s">
        <v>58</v>
      </c>
      <c r="D75" s="42" t="s">
        <v>518</v>
      </c>
      <c r="E75" s="34" t="s">
        <v>459</v>
      </c>
      <c r="F75" s="43" t="s">
        <v>459</v>
      </c>
      <c r="G75" s="31" t="s">
        <v>2226</v>
      </c>
      <c r="H75" s="44" t="s">
        <v>461</v>
      </c>
      <c r="I75" s="42" t="s">
        <v>2401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483</v>
      </c>
      <c r="C76" s="42" t="s">
        <v>58</v>
      </c>
      <c r="D76" s="42" t="s">
        <v>519</v>
      </c>
      <c r="E76" s="34" t="s">
        <v>459</v>
      </c>
      <c r="F76" s="43" t="s">
        <v>459</v>
      </c>
      <c r="G76" s="31" t="s">
        <v>2226</v>
      </c>
      <c r="H76" s="44" t="s">
        <v>461</v>
      </c>
      <c r="I76" s="42" t="s">
        <v>2401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483</v>
      </c>
      <c r="C77" s="42" t="s">
        <v>58</v>
      </c>
      <c r="D77" s="42" t="s">
        <v>520</v>
      </c>
      <c r="E77" s="34" t="s">
        <v>459</v>
      </c>
      <c r="F77" s="43" t="s">
        <v>459</v>
      </c>
      <c r="G77" s="31" t="s">
        <v>2226</v>
      </c>
      <c r="H77" s="44" t="s">
        <v>461</v>
      </c>
      <c r="I77" s="42" t="s">
        <v>2409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488</v>
      </c>
      <c r="C78" s="42" t="s">
        <v>476</v>
      </c>
      <c r="D78" s="42" t="s">
        <v>521</v>
      </c>
      <c r="E78" s="34" t="s">
        <v>459</v>
      </c>
      <c r="F78" s="43" t="s">
        <v>459</v>
      </c>
      <c r="G78" s="31" t="s">
        <v>2226</v>
      </c>
      <c r="H78" s="44" t="s">
        <v>461</v>
      </c>
      <c r="I78" s="42" t="s">
        <v>2401</v>
      </c>
      <c r="J78" s="42"/>
      <c r="K78" s="45" t="n">
        <f aca="false">IF(AND(E78="yes",F78="yes",H78="covered"),1,IF(H78="partial",0.5,0))</f>
        <v>1</v>
      </c>
    </row>
    <row r="79" customFormat="false" ht="30" hidden="false" customHeight="true" outlineLevel="0" collapsed="false">
      <c r="A79" s="31" t="n">
        <v>71</v>
      </c>
      <c r="B79" s="42" t="s">
        <v>488</v>
      </c>
      <c r="C79" s="42" t="s">
        <v>476</v>
      </c>
      <c r="D79" s="42" t="s">
        <v>522</v>
      </c>
      <c r="E79" s="34" t="s">
        <v>459</v>
      </c>
      <c r="F79" s="43" t="s">
        <v>459</v>
      </c>
      <c r="G79" s="31" t="s">
        <v>2226</v>
      </c>
      <c r="H79" s="44" t="s">
        <v>461</v>
      </c>
      <c r="I79" s="42" t="s">
        <v>2401</v>
      </c>
      <c r="J79" s="42"/>
      <c r="K79" s="45" t="n">
        <f aca="false">IF(AND(E79="yes",F79="yes",H79="covered"),1,IF(H79="partial",0.5,0))</f>
        <v>1</v>
      </c>
    </row>
    <row r="80" customFormat="false" ht="30" hidden="false" customHeight="true" outlineLevel="0" collapsed="false">
      <c r="A80" s="31" t="n">
        <v>72</v>
      </c>
      <c r="B80" s="42" t="s">
        <v>488</v>
      </c>
      <c r="C80" s="42" t="s">
        <v>476</v>
      </c>
      <c r="D80" s="42" t="s">
        <v>523</v>
      </c>
      <c r="E80" s="34" t="s">
        <v>459</v>
      </c>
      <c r="F80" s="43" t="s">
        <v>459</v>
      </c>
      <c r="G80" s="31" t="s">
        <v>2226</v>
      </c>
      <c r="H80" s="44" t="s">
        <v>461</v>
      </c>
      <c r="I80" s="42" t="s">
        <v>2401</v>
      </c>
      <c r="J80" s="42"/>
      <c r="K80" s="45" t="n">
        <f aca="false">IF(AND(E80="yes",F80="yes",H80="covered"),1,IF(H80="partial",0.5,0))</f>
        <v>1</v>
      </c>
    </row>
    <row r="81" customFormat="false" ht="30" hidden="false" customHeight="true" outlineLevel="0" collapsed="false">
      <c r="A81" s="31" t="n">
        <v>73</v>
      </c>
      <c r="B81" s="42" t="s">
        <v>488</v>
      </c>
      <c r="C81" s="42" t="s">
        <v>58</v>
      </c>
      <c r="D81" s="42" t="s">
        <v>968</v>
      </c>
      <c r="E81" s="34" t="s">
        <v>459</v>
      </c>
      <c r="F81" s="43" t="s">
        <v>459</v>
      </c>
      <c r="G81" s="31" t="s">
        <v>2226</v>
      </c>
      <c r="H81" s="44" t="s">
        <v>461</v>
      </c>
      <c r="I81" s="42" t="s">
        <v>2401</v>
      </c>
      <c r="J81" s="42"/>
      <c r="K81" s="45" t="n">
        <f aca="false">IF(AND(E81="yes",F81="yes",H81="covered"),1,IF(H81="partial",0.5,0))</f>
        <v>1</v>
      </c>
    </row>
    <row r="82" customFormat="false" ht="30" hidden="false" customHeight="true" outlineLevel="0" collapsed="false">
      <c r="A82" s="31" t="n">
        <v>74</v>
      </c>
      <c r="B82" s="42" t="s">
        <v>488</v>
      </c>
      <c r="C82" s="42" t="s">
        <v>58</v>
      </c>
      <c r="D82" s="42" t="s">
        <v>970</v>
      </c>
      <c r="E82" s="34" t="s">
        <v>459</v>
      </c>
      <c r="F82" s="43" t="s">
        <v>459</v>
      </c>
      <c r="G82" s="31" t="s">
        <v>2226</v>
      </c>
      <c r="H82" s="44" t="s">
        <v>461</v>
      </c>
      <c r="I82" s="42" t="s">
        <v>2401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488</v>
      </c>
      <c r="C83" s="42" t="s">
        <v>58</v>
      </c>
      <c r="D83" s="42" t="s">
        <v>971</v>
      </c>
      <c r="E83" s="34" t="s">
        <v>459</v>
      </c>
      <c r="F83" s="43" t="s">
        <v>459</v>
      </c>
      <c r="G83" s="31" t="s">
        <v>2226</v>
      </c>
      <c r="H83" s="44" t="s">
        <v>461</v>
      </c>
      <c r="I83" s="42" t="s">
        <v>2401</v>
      </c>
      <c r="J83" s="42"/>
      <c r="K83" s="45" t="n">
        <f aca="false">IF(AND(E83="yes",F83="yes",H83="covered"),1,IF(H83="partial",0.5,0))</f>
        <v>1</v>
      </c>
    </row>
    <row r="84" customFormat="false" ht="30" hidden="false" customHeight="true" outlineLevel="0" collapsed="false">
      <c r="A84" s="31" t="n">
        <v>76</v>
      </c>
      <c r="B84" s="42" t="s">
        <v>933</v>
      </c>
      <c r="C84" s="42" t="s">
        <v>58</v>
      </c>
      <c r="D84" s="42" t="s">
        <v>972</v>
      </c>
      <c r="E84" s="34" t="s">
        <v>459</v>
      </c>
      <c r="F84" s="43" t="s">
        <v>459</v>
      </c>
      <c r="G84" s="31" t="s">
        <v>2226</v>
      </c>
      <c r="H84" s="44" t="s">
        <v>461</v>
      </c>
      <c r="I84" s="42" t="s">
        <v>2401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933</v>
      </c>
      <c r="C85" s="42" t="s">
        <v>58</v>
      </c>
      <c r="D85" s="42" t="s">
        <v>973</v>
      </c>
      <c r="E85" s="34" t="s">
        <v>459</v>
      </c>
      <c r="F85" s="43" t="s">
        <v>459</v>
      </c>
      <c r="G85" s="31" t="s">
        <v>2226</v>
      </c>
      <c r="H85" s="44" t="s">
        <v>461</v>
      </c>
      <c r="I85" s="42" t="s">
        <v>2401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531</v>
      </c>
      <c r="C86" s="42" t="s">
        <v>58</v>
      </c>
      <c r="D86" s="42" t="s">
        <v>532</v>
      </c>
      <c r="E86" s="34" t="s">
        <v>459</v>
      </c>
      <c r="F86" s="43" t="s">
        <v>459</v>
      </c>
      <c r="G86" s="31" t="s">
        <v>2226</v>
      </c>
      <c r="H86" s="44" t="s">
        <v>461</v>
      </c>
      <c r="I86" s="42" t="s">
        <v>2401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531</v>
      </c>
      <c r="C87" s="42" t="s">
        <v>58</v>
      </c>
      <c r="D87" s="42" t="s">
        <v>533</v>
      </c>
      <c r="E87" s="34" t="s">
        <v>459</v>
      </c>
      <c r="F87" s="43" t="s">
        <v>459</v>
      </c>
      <c r="G87" s="31" t="s">
        <v>2226</v>
      </c>
      <c r="H87" s="44" t="s">
        <v>461</v>
      </c>
      <c r="I87" s="42" t="s">
        <v>2401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531</v>
      </c>
      <c r="C88" s="42" t="s">
        <v>58</v>
      </c>
      <c r="D88" s="42" t="s">
        <v>534</v>
      </c>
      <c r="E88" s="34" t="s">
        <v>459</v>
      </c>
      <c r="F88" s="43" t="s">
        <v>459</v>
      </c>
      <c r="G88" s="31" t="s">
        <v>2226</v>
      </c>
      <c r="H88" s="44" t="s">
        <v>461</v>
      </c>
      <c r="I88" s="42" t="s">
        <v>2401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531</v>
      </c>
      <c r="C89" s="42" t="s">
        <v>58</v>
      </c>
      <c r="D89" s="42" t="s">
        <v>535</v>
      </c>
      <c r="E89" s="34" t="s">
        <v>459</v>
      </c>
      <c r="F89" s="43" t="s">
        <v>459</v>
      </c>
      <c r="G89" s="31" t="s">
        <v>2226</v>
      </c>
      <c r="H89" s="44" t="s">
        <v>461</v>
      </c>
      <c r="I89" s="42" t="s">
        <v>2401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531</v>
      </c>
      <c r="C90" s="42" t="s">
        <v>58</v>
      </c>
      <c r="D90" s="42" t="s">
        <v>536</v>
      </c>
      <c r="E90" s="34" t="s">
        <v>459</v>
      </c>
      <c r="F90" s="43" t="s">
        <v>459</v>
      </c>
      <c r="G90" s="31" t="s">
        <v>2226</v>
      </c>
      <c r="H90" s="44" t="s">
        <v>461</v>
      </c>
      <c r="I90" s="42" t="s">
        <v>2401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529</v>
      </c>
      <c r="C91" s="42" t="s">
        <v>58</v>
      </c>
      <c r="D91" s="42" t="s">
        <v>537</v>
      </c>
      <c r="E91" s="34" t="s">
        <v>459</v>
      </c>
      <c r="F91" s="43" t="s">
        <v>459</v>
      </c>
      <c r="G91" s="31" t="s">
        <v>2226</v>
      </c>
      <c r="H91" s="44" t="s">
        <v>461</v>
      </c>
      <c r="I91" s="42" t="s">
        <v>2401</v>
      </c>
      <c r="J91" s="42"/>
      <c r="K91" s="45" t="n">
        <f aca="false">IF(AND(E91="yes",F91="yes",H91="covered"),1,IF(H91="partial",0.5,0))</f>
        <v>1</v>
      </c>
    </row>
    <row r="92" customFormat="false" ht="30" hidden="false" customHeight="true" outlineLevel="0" collapsed="false">
      <c r="A92" s="31" t="n">
        <v>84</v>
      </c>
      <c r="B92" s="42" t="s">
        <v>31</v>
      </c>
      <c r="C92" s="42" t="s">
        <v>476</v>
      </c>
      <c r="D92" s="42" t="s">
        <v>538</v>
      </c>
      <c r="E92" s="46" t="s">
        <v>459</v>
      </c>
      <c r="F92" s="43" t="s">
        <v>459</v>
      </c>
      <c r="G92" s="31" t="s">
        <v>2226</v>
      </c>
      <c r="H92" s="46" t="s">
        <v>461</v>
      </c>
      <c r="I92" s="42" t="s">
        <v>2401</v>
      </c>
      <c r="J92" s="42"/>
      <c r="K92" s="45" t="n">
        <f aca="false">IF(AND(E92="yes",F92="yes",H92="covered"),1,IF(H92="partial",0.5,0))</f>
        <v>1</v>
      </c>
    </row>
    <row r="93" customFormat="false" ht="30" hidden="false" customHeight="true" outlineLevel="0" collapsed="false">
      <c r="A93" s="31" t="n">
        <v>85</v>
      </c>
      <c r="B93" s="42" t="s">
        <v>31</v>
      </c>
      <c r="C93" s="42" t="s">
        <v>476</v>
      </c>
      <c r="D93" s="42" t="s">
        <v>539</v>
      </c>
      <c r="E93" s="46" t="s">
        <v>459</v>
      </c>
      <c r="F93" s="43" t="s">
        <v>459</v>
      </c>
      <c r="G93" s="31" t="s">
        <v>2226</v>
      </c>
      <c r="H93" s="46" t="s">
        <v>461</v>
      </c>
      <c r="I93" s="42" t="s">
        <v>2401</v>
      </c>
      <c r="J93" s="42"/>
      <c r="K93" s="45" t="n">
        <f aca="false">IF(AND(E93="yes",F93="yes",H93="covered"),1,IF(H93="partial",0.5,0))</f>
        <v>1</v>
      </c>
    </row>
    <row r="94" customFormat="false" ht="30" hidden="false" customHeight="true" outlineLevel="0" collapsed="false">
      <c r="A94" s="31" t="n">
        <v>86</v>
      </c>
      <c r="B94" s="42" t="s">
        <v>456</v>
      </c>
      <c r="C94" s="42" t="s">
        <v>540</v>
      </c>
      <c r="D94" s="42" t="s">
        <v>541</v>
      </c>
      <c r="E94" s="46" t="s">
        <v>459</v>
      </c>
      <c r="F94" s="43" t="s">
        <v>459</v>
      </c>
      <c r="G94" s="31" t="s">
        <v>2226</v>
      </c>
      <c r="H94" s="46" t="s">
        <v>461</v>
      </c>
      <c r="I94" s="42" t="s">
        <v>2401</v>
      </c>
      <c r="J94" s="42"/>
      <c r="K94" s="45" t="n">
        <f aca="false">IF(AND(E94="yes",F94="yes",H94="covered"),1,IF(H94="partial",0.5,0))</f>
        <v>1</v>
      </c>
    </row>
    <row r="95" customFormat="false" ht="30" hidden="false" customHeight="true" outlineLevel="0" collapsed="false"/>
    <row r="96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2410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99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907</v>
      </c>
      <c r="H9" s="44" t="s">
        <v>461</v>
      </c>
      <c r="I9" s="42" t="s">
        <v>2411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907</v>
      </c>
      <c r="H10" s="44" t="s">
        <v>461</v>
      </c>
      <c r="I10" s="42" t="s">
        <v>2411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59</v>
      </c>
      <c r="D11" s="42" t="s">
        <v>464</v>
      </c>
      <c r="E11" s="34" t="s">
        <v>459</v>
      </c>
      <c r="F11" s="43" t="s">
        <v>459</v>
      </c>
      <c r="G11" s="31" t="s">
        <v>907</v>
      </c>
      <c r="H11" s="44" t="s">
        <v>461</v>
      </c>
      <c r="I11" s="42" t="s">
        <v>2411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59</v>
      </c>
      <c r="D12" s="42" t="s">
        <v>465</v>
      </c>
      <c r="E12" s="34" t="s">
        <v>459</v>
      </c>
      <c r="F12" s="43" t="s">
        <v>459</v>
      </c>
      <c r="G12" s="31" t="s">
        <v>907</v>
      </c>
      <c r="H12" s="44" t="s">
        <v>461</v>
      </c>
      <c r="I12" s="42" t="s">
        <v>2411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59</v>
      </c>
      <c r="D13" s="42" t="s">
        <v>466</v>
      </c>
      <c r="E13" s="34" t="s">
        <v>459</v>
      </c>
      <c r="F13" s="43" t="s">
        <v>459</v>
      </c>
      <c r="G13" s="31" t="s">
        <v>907</v>
      </c>
      <c r="H13" s="44" t="s">
        <v>461</v>
      </c>
      <c r="I13" s="42" t="s">
        <v>2411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59</v>
      </c>
      <c r="D14" s="42" t="s">
        <v>467</v>
      </c>
      <c r="E14" s="34" t="s">
        <v>459</v>
      </c>
      <c r="F14" s="43" t="s">
        <v>459</v>
      </c>
      <c r="G14" s="31" t="s">
        <v>907</v>
      </c>
      <c r="H14" s="44" t="s">
        <v>461</v>
      </c>
      <c r="I14" s="42" t="s">
        <v>2411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59</v>
      </c>
      <c r="D15" s="42" t="s">
        <v>2412</v>
      </c>
      <c r="E15" s="34" t="s">
        <v>459</v>
      </c>
      <c r="F15" s="43" t="s">
        <v>459</v>
      </c>
      <c r="G15" s="31" t="s">
        <v>907</v>
      </c>
      <c r="H15" s="44" t="s">
        <v>461</v>
      </c>
      <c r="I15" s="42" t="s">
        <v>2411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59</v>
      </c>
      <c r="D16" s="42" t="s">
        <v>1849</v>
      </c>
      <c r="E16" s="34" t="s">
        <v>459</v>
      </c>
      <c r="F16" s="43" t="s">
        <v>459</v>
      </c>
      <c r="G16" s="31" t="s">
        <v>907</v>
      </c>
      <c r="H16" s="44" t="s">
        <v>461</v>
      </c>
      <c r="I16" s="42" t="s">
        <v>2411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59</v>
      </c>
      <c r="D17" s="42" t="s">
        <v>2413</v>
      </c>
      <c r="E17" s="34" t="s">
        <v>459</v>
      </c>
      <c r="F17" s="43" t="s">
        <v>459</v>
      </c>
      <c r="G17" s="31" t="s">
        <v>907</v>
      </c>
      <c r="H17" s="44" t="s">
        <v>461</v>
      </c>
      <c r="I17" s="42" t="s">
        <v>2411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59</v>
      </c>
      <c r="D18" s="42" t="s">
        <v>2414</v>
      </c>
      <c r="E18" s="34" t="s">
        <v>459</v>
      </c>
      <c r="F18" s="43" t="s">
        <v>459</v>
      </c>
      <c r="G18" s="31" t="s">
        <v>907</v>
      </c>
      <c r="H18" s="44" t="s">
        <v>461</v>
      </c>
      <c r="I18" s="42" t="s">
        <v>2411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59</v>
      </c>
      <c r="D19" s="42" t="s">
        <v>2415</v>
      </c>
      <c r="E19" s="34" t="s">
        <v>459</v>
      </c>
      <c r="F19" s="43" t="s">
        <v>459</v>
      </c>
      <c r="G19" s="31" t="s">
        <v>907</v>
      </c>
      <c r="H19" s="44" t="s">
        <v>461</v>
      </c>
      <c r="I19" s="42" t="s">
        <v>2411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59</v>
      </c>
      <c r="D20" s="42" t="s">
        <v>2416</v>
      </c>
      <c r="E20" s="34" t="s">
        <v>459</v>
      </c>
      <c r="F20" s="43" t="s">
        <v>459</v>
      </c>
      <c r="G20" s="31" t="s">
        <v>907</v>
      </c>
      <c r="H20" s="44" t="s">
        <v>461</v>
      </c>
      <c r="I20" s="42" t="s">
        <v>2411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907</v>
      </c>
      <c r="H21" s="44" t="s">
        <v>461</v>
      </c>
      <c r="I21" s="42" t="s">
        <v>2411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907</v>
      </c>
      <c r="H22" s="44" t="s">
        <v>461</v>
      </c>
      <c r="I22" s="42" t="s">
        <v>2411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907</v>
      </c>
      <c r="H23" s="44" t="s">
        <v>461</v>
      </c>
      <c r="I23" s="42" t="s">
        <v>2411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907</v>
      </c>
      <c r="H24" s="44" t="s">
        <v>461</v>
      </c>
      <c r="I24" s="42" t="s">
        <v>2411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907</v>
      </c>
      <c r="H25" s="44" t="s">
        <v>461</v>
      </c>
      <c r="I25" s="42" t="s">
        <v>2411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907</v>
      </c>
      <c r="H26" s="44" t="s">
        <v>461</v>
      </c>
      <c r="I26" s="42" t="s">
        <v>2411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489</v>
      </c>
      <c r="E27" s="34" t="s">
        <v>459</v>
      </c>
      <c r="F27" s="43" t="s">
        <v>459</v>
      </c>
      <c r="G27" s="31" t="s">
        <v>907</v>
      </c>
      <c r="H27" s="44" t="s">
        <v>461</v>
      </c>
      <c r="I27" s="42" t="s">
        <v>2411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490</v>
      </c>
      <c r="E28" s="34" t="s">
        <v>459</v>
      </c>
      <c r="F28" s="43" t="s">
        <v>459</v>
      </c>
      <c r="G28" s="31" t="s">
        <v>907</v>
      </c>
      <c r="H28" s="44" t="s">
        <v>461</v>
      </c>
      <c r="I28" s="42" t="s">
        <v>2411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491</v>
      </c>
      <c r="E29" s="34" t="s">
        <v>459</v>
      </c>
      <c r="F29" s="43" t="s">
        <v>459</v>
      </c>
      <c r="G29" s="31" t="s">
        <v>907</v>
      </c>
      <c r="H29" s="44" t="s">
        <v>461</v>
      </c>
      <c r="I29" s="42" t="s">
        <v>2411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2211</v>
      </c>
      <c r="E30" s="34" t="s">
        <v>459</v>
      </c>
      <c r="F30" s="43" t="s">
        <v>459</v>
      </c>
      <c r="G30" s="31" t="s">
        <v>907</v>
      </c>
      <c r="H30" s="44" t="s">
        <v>461</v>
      </c>
      <c r="I30" s="42" t="s">
        <v>2411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2212</v>
      </c>
      <c r="E31" s="34" t="s">
        <v>459</v>
      </c>
      <c r="F31" s="43" t="s">
        <v>459</v>
      </c>
      <c r="G31" s="31" t="s">
        <v>907</v>
      </c>
      <c r="H31" s="44" t="s">
        <v>461</v>
      </c>
      <c r="I31" s="42" t="s">
        <v>2411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2213</v>
      </c>
      <c r="E32" s="34" t="s">
        <v>459</v>
      </c>
      <c r="F32" s="43" t="s">
        <v>459</v>
      </c>
      <c r="G32" s="31" t="s">
        <v>907</v>
      </c>
      <c r="H32" s="44" t="s">
        <v>461</v>
      </c>
      <c r="I32" s="42" t="s">
        <v>2411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2214</v>
      </c>
      <c r="E33" s="34" t="s">
        <v>459</v>
      </c>
      <c r="F33" s="43" t="s">
        <v>459</v>
      </c>
      <c r="G33" s="31" t="s">
        <v>907</v>
      </c>
      <c r="H33" s="44" t="s">
        <v>461</v>
      </c>
      <c r="I33" s="42" t="s">
        <v>2411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488</v>
      </c>
      <c r="C34" s="42" t="s">
        <v>476</v>
      </c>
      <c r="D34" s="42" t="s">
        <v>493</v>
      </c>
      <c r="E34" s="34" t="s">
        <v>459</v>
      </c>
      <c r="F34" s="43" t="s">
        <v>459</v>
      </c>
      <c r="G34" s="31" t="s">
        <v>907</v>
      </c>
      <c r="H34" s="44" t="s">
        <v>461</v>
      </c>
      <c r="I34" s="42" t="s">
        <v>2411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488</v>
      </c>
      <c r="C35" s="42" t="s">
        <v>476</v>
      </c>
      <c r="D35" s="42" t="s">
        <v>951</v>
      </c>
      <c r="E35" s="34" t="s">
        <v>459</v>
      </c>
      <c r="F35" s="43" t="s">
        <v>459</v>
      </c>
      <c r="G35" s="31" t="s">
        <v>907</v>
      </c>
      <c r="H35" s="44" t="s">
        <v>461</v>
      </c>
      <c r="I35" s="42" t="s">
        <v>2411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488</v>
      </c>
      <c r="C36" s="42" t="s">
        <v>476</v>
      </c>
      <c r="D36" s="42" t="s">
        <v>952</v>
      </c>
      <c r="E36" s="34" t="s">
        <v>459</v>
      </c>
      <c r="F36" s="43" t="s">
        <v>459</v>
      </c>
      <c r="G36" s="31" t="s">
        <v>907</v>
      </c>
      <c r="H36" s="44" t="s">
        <v>461</v>
      </c>
      <c r="I36" s="42" t="s">
        <v>2411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488</v>
      </c>
      <c r="C37" s="42" t="s">
        <v>476</v>
      </c>
      <c r="D37" s="42" t="s">
        <v>953</v>
      </c>
      <c r="E37" s="34" t="s">
        <v>459</v>
      </c>
      <c r="F37" s="43" t="s">
        <v>459</v>
      </c>
      <c r="G37" s="31" t="s">
        <v>907</v>
      </c>
      <c r="H37" s="44" t="s">
        <v>461</v>
      </c>
      <c r="I37" s="42" t="s">
        <v>2411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476</v>
      </c>
      <c r="D38" s="42" t="s">
        <v>954</v>
      </c>
      <c r="E38" s="34" t="s">
        <v>459</v>
      </c>
      <c r="F38" s="43" t="s">
        <v>459</v>
      </c>
      <c r="G38" s="31" t="s">
        <v>907</v>
      </c>
      <c r="H38" s="44" t="s">
        <v>461</v>
      </c>
      <c r="I38" s="42" t="s">
        <v>2411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476</v>
      </c>
      <c r="D39" s="42" t="s">
        <v>2417</v>
      </c>
      <c r="E39" s="34" t="s">
        <v>459</v>
      </c>
      <c r="F39" s="43" t="s">
        <v>459</v>
      </c>
      <c r="G39" s="31" t="s">
        <v>907</v>
      </c>
      <c r="H39" s="44" t="s">
        <v>461</v>
      </c>
      <c r="I39" s="42" t="s">
        <v>2411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476</v>
      </c>
      <c r="D40" s="42" t="s">
        <v>955</v>
      </c>
      <c r="E40" s="34" t="s">
        <v>459</v>
      </c>
      <c r="F40" s="43" t="s">
        <v>459</v>
      </c>
      <c r="G40" s="31" t="s">
        <v>907</v>
      </c>
      <c r="H40" s="44" t="s">
        <v>461</v>
      </c>
      <c r="I40" s="42" t="s">
        <v>2411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882</v>
      </c>
      <c r="C41" s="42" t="s">
        <v>476</v>
      </c>
      <c r="D41" s="42" t="s">
        <v>2392</v>
      </c>
      <c r="E41" s="34" t="s">
        <v>459</v>
      </c>
      <c r="F41" s="43" t="s">
        <v>459</v>
      </c>
      <c r="G41" s="31" t="s">
        <v>907</v>
      </c>
      <c r="H41" s="44" t="s">
        <v>461</v>
      </c>
      <c r="I41" s="42" t="s">
        <v>2411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486</v>
      </c>
      <c r="C42" s="42" t="s">
        <v>476</v>
      </c>
      <c r="D42" s="42" t="s">
        <v>2393</v>
      </c>
      <c r="E42" s="34" t="s">
        <v>459</v>
      </c>
      <c r="F42" s="43" t="s">
        <v>459</v>
      </c>
      <c r="G42" s="31" t="s">
        <v>907</v>
      </c>
      <c r="H42" s="44" t="s">
        <v>461</v>
      </c>
      <c r="I42" s="42" t="s">
        <v>2411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486</v>
      </c>
      <c r="C43" s="42" t="s">
        <v>476</v>
      </c>
      <c r="D43" s="42" t="s">
        <v>2418</v>
      </c>
      <c r="E43" s="34" t="s">
        <v>459</v>
      </c>
      <c r="F43" s="43" t="s">
        <v>459</v>
      </c>
      <c r="G43" s="31" t="s">
        <v>907</v>
      </c>
      <c r="H43" s="44" t="s">
        <v>461</v>
      </c>
      <c r="I43" s="42" t="s">
        <v>2411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483</v>
      </c>
      <c r="C44" s="42" t="s">
        <v>476</v>
      </c>
      <c r="D44" s="42" t="s">
        <v>484</v>
      </c>
      <c r="E44" s="34" t="s">
        <v>459</v>
      </c>
      <c r="F44" s="43" t="s">
        <v>459</v>
      </c>
      <c r="G44" s="31" t="s">
        <v>907</v>
      </c>
      <c r="H44" s="44" t="s">
        <v>461</v>
      </c>
      <c r="I44" s="42" t="s">
        <v>2411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483</v>
      </c>
      <c r="C45" s="42" t="s">
        <v>476</v>
      </c>
      <c r="D45" s="42" t="s">
        <v>485</v>
      </c>
      <c r="E45" s="34" t="s">
        <v>459</v>
      </c>
      <c r="F45" s="43" t="s">
        <v>459</v>
      </c>
      <c r="G45" s="31" t="s">
        <v>907</v>
      </c>
      <c r="H45" s="44" t="s">
        <v>461</v>
      </c>
      <c r="I45" s="42" t="s">
        <v>2411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486</v>
      </c>
      <c r="C46" s="42" t="s">
        <v>476</v>
      </c>
      <c r="D46" s="42" t="s">
        <v>495</v>
      </c>
      <c r="E46" s="34" t="s">
        <v>459</v>
      </c>
      <c r="F46" s="43" t="s">
        <v>459</v>
      </c>
      <c r="G46" s="31" t="s">
        <v>907</v>
      </c>
      <c r="H46" s="44" t="s">
        <v>461</v>
      </c>
      <c r="I46" s="42" t="s">
        <v>2411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488</v>
      </c>
      <c r="C47" s="42" t="s">
        <v>476</v>
      </c>
      <c r="D47" s="42" t="s">
        <v>887</v>
      </c>
      <c r="E47" s="34" t="s">
        <v>459</v>
      </c>
      <c r="F47" s="43" t="s">
        <v>459</v>
      </c>
      <c r="G47" s="31" t="s">
        <v>907</v>
      </c>
      <c r="H47" s="44" t="s">
        <v>461</v>
      </c>
      <c r="I47" s="42" t="s">
        <v>2411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486</v>
      </c>
      <c r="C48" s="42" t="s">
        <v>476</v>
      </c>
      <c r="D48" s="42" t="s">
        <v>2394</v>
      </c>
      <c r="E48" s="34" t="s">
        <v>459</v>
      </c>
      <c r="F48" s="43" t="s">
        <v>459</v>
      </c>
      <c r="G48" s="31" t="s">
        <v>907</v>
      </c>
      <c r="H48" s="44" t="s">
        <v>461</v>
      </c>
      <c r="I48" s="42" t="s">
        <v>2411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486</v>
      </c>
      <c r="C49" s="42" t="s">
        <v>476</v>
      </c>
      <c r="D49" s="42" t="s">
        <v>2395</v>
      </c>
      <c r="E49" s="34" t="s">
        <v>459</v>
      </c>
      <c r="F49" s="43" t="s">
        <v>459</v>
      </c>
      <c r="G49" s="31" t="s">
        <v>907</v>
      </c>
      <c r="H49" s="44" t="s">
        <v>461</v>
      </c>
      <c r="I49" s="42" t="s">
        <v>2411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486</v>
      </c>
      <c r="C50" s="42" t="s">
        <v>476</v>
      </c>
      <c r="D50" s="42" t="s">
        <v>2419</v>
      </c>
      <c r="E50" s="34" t="s">
        <v>459</v>
      </c>
      <c r="F50" s="43" t="s">
        <v>459</v>
      </c>
      <c r="G50" s="31" t="s">
        <v>907</v>
      </c>
      <c r="H50" s="44" t="s">
        <v>461</v>
      </c>
      <c r="I50" s="42" t="s">
        <v>2411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488</v>
      </c>
      <c r="C51" s="42" t="s">
        <v>476</v>
      </c>
      <c r="D51" s="42" t="s">
        <v>497</v>
      </c>
      <c r="E51" s="34" t="s">
        <v>459</v>
      </c>
      <c r="F51" s="43" t="s">
        <v>459</v>
      </c>
      <c r="G51" s="31" t="s">
        <v>907</v>
      </c>
      <c r="H51" s="44" t="s">
        <v>461</v>
      </c>
      <c r="I51" s="42" t="s">
        <v>2411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488</v>
      </c>
      <c r="C52" s="42" t="s">
        <v>476</v>
      </c>
      <c r="D52" s="42" t="s">
        <v>957</v>
      </c>
      <c r="E52" s="34" t="s">
        <v>459</v>
      </c>
      <c r="F52" s="43" t="s">
        <v>459</v>
      </c>
      <c r="G52" s="31" t="s">
        <v>907</v>
      </c>
      <c r="H52" s="44" t="s">
        <v>461</v>
      </c>
      <c r="I52" s="42" t="s">
        <v>2411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488</v>
      </c>
      <c r="C53" s="42" t="s">
        <v>476</v>
      </c>
      <c r="D53" s="42" t="s">
        <v>958</v>
      </c>
      <c r="E53" s="34" t="s">
        <v>459</v>
      </c>
      <c r="F53" s="43" t="s">
        <v>459</v>
      </c>
      <c r="G53" s="31" t="s">
        <v>907</v>
      </c>
      <c r="H53" s="44" t="s">
        <v>461</v>
      </c>
      <c r="I53" s="42" t="s">
        <v>2411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488</v>
      </c>
      <c r="C54" s="42" t="s">
        <v>476</v>
      </c>
      <c r="D54" s="42" t="s">
        <v>1602</v>
      </c>
      <c r="E54" s="34" t="s">
        <v>459</v>
      </c>
      <c r="F54" s="43" t="s">
        <v>459</v>
      </c>
      <c r="G54" s="31" t="s">
        <v>907</v>
      </c>
      <c r="H54" s="44" t="s">
        <v>461</v>
      </c>
      <c r="I54" s="42" t="s">
        <v>2411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475</v>
      </c>
      <c r="C55" s="42" t="s">
        <v>502</v>
      </c>
      <c r="D55" s="42" t="s">
        <v>477</v>
      </c>
      <c r="E55" s="34" t="s">
        <v>459</v>
      </c>
      <c r="F55" s="43" t="s">
        <v>459</v>
      </c>
      <c r="G55" s="31" t="s">
        <v>907</v>
      </c>
      <c r="H55" s="44" t="s">
        <v>461</v>
      </c>
      <c r="I55" s="42" t="s">
        <v>2411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475</v>
      </c>
      <c r="C56" s="42" t="s">
        <v>502</v>
      </c>
      <c r="D56" s="42" t="s">
        <v>478</v>
      </c>
      <c r="E56" s="34" t="s">
        <v>459</v>
      </c>
      <c r="F56" s="43" t="s">
        <v>459</v>
      </c>
      <c r="G56" s="31" t="s">
        <v>907</v>
      </c>
      <c r="H56" s="44" t="s">
        <v>461</v>
      </c>
      <c r="I56" s="42" t="s">
        <v>2411</v>
      </c>
      <c r="J56" s="42"/>
      <c r="K56" s="45" t="n">
        <f aca="false">IF(AND(E56="yes",F56="yes",H56="covered"),1,IF(H56="partial",0.5,0))</f>
        <v>1</v>
      </c>
    </row>
    <row r="57" customFormat="false" ht="30" hidden="false" customHeight="true" outlineLevel="0" collapsed="false">
      <c r="A57" s="31" t="n">
        <v>49</v>
      </c>
      <c r="B57" s="42" t="s">
        <v>479</v>
      </c>
      <c r="C57" s="42" t="s">
        <v>502</v>
      </c>
      <c r="D57" s="42" t="s">
        <v>480</v>
      </c>
      <c r="E57" s="34" t="s">
        <v>459</v>
      </c>
      <c r="F57" s="43" t="s">
        <v>459</v>
      </c>
      <c r="G57" s="31" t="s">
        <v>907</v>
      </c>
      <c r="H57" s="44" t="s">
        <v>461</v>
      </c>
      <c r="I57" s="42" t="s">
        <v>2411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479</v>
      </c>
      <c r="C58" s="42" t="s">
        <v>502</v>
      </c>
      <c r="D58" s="42" t="s">
        <v>481</v>
      </c>
      <c r="E58" s="34" t="s">
        <v>459</v>
      </c>
      <c r="F58" s="43" t="s">
        <v>459</v>
      </c>
      <c r="G58" s="31" t="s">
        <v>907</v>
      </c>
      <c r="H58" s="44" t="s">
        <v>461</v>
      </c>
      <c r="I58" s="42" t="s">
        <v>2411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457</v>
      </c>
      <c r="C59" s="42" t="s">
        <v>502</v>
      </c>
      <c r="D59" s="42" t="s">
        <v>482</v>
      </c>
      <c r="E59" s="34" t="s">
        <v>459</v>
      </c>
      <c r="F59" s="43" t="s">
        <v>459</v>
      </c>
      <c r="G59" s="31" t="s">
        <v>907</v>
      </c>
      <c r="H59" s="44" t="s">
        <v>461</v>
      </c>
      <c r="I59" s="42" t="s">
        <v>2411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774</v>
      </c>
      <c r="C60" s="42" t="s">
        <v>502</v>
      </c>
      <c r="D60" s="42" t="s">
        <v>775</v>
      </c>
      <c r="E60" s="34" t="s">
        <v>459</v>
      </c>
      <c r="F60" s="43" t="s">
        <v>459</v>
      </c>
      <c r="G60" s="31" t="s">
        <v>907</v>
      </c>
      <c r="H60" s="44" t="s">
        <v>461</v>
      </c>
      <c r="I60" s="42" t="s">
        <v>2411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488</v>
      </c>
      <c r="C61" s="42" t="s">
        <v>502</v>
      </c>
      <c r="D61" s="42" t="s">
        <v>489</v>
      </c>
      <c r="E61" s="34" t="s">
        <v>459</v>
      </c>
      <c r="F61" s="43" t="s">
        <v>459</v>
      </c>
      <c r="G61" s="31" t="s">
        <v>907</v>
      </c>
      <c r="H61" s="44" t="s">
        <v>461</v>
      </c>
      <c r="I61" s="42" t="s">
        <v>2411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483</v>
      </c>
      <c r="C62" s="42" t="s">
        <v>502</v>
      </c>
      <c r="D62" s="42" t="s">
        <v>484</v>
      </c>
      <c r="E62" s="34" t="s">
        <v>459</v>
      </c>
      <c r="F62" s="43" t="s">
        <v>459</v>
      </c>
      <c r="G62" s="31" t="s">
        <v>907</v>
      </c>
      <c r="H62" s="44" t="s">
        <v>461</v>
      </c>
      <c r="I62" s="42" t="s">
        <v>2411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483</v>
      </c>
      <c r="C63" s="42" t="s">
        <v>502</v>
      </c>
      <c r="D63" s="42" t="s">
        <v>485</v>
      </c>
      <c r="E63" s="34" t="s">
        <v>459</v>
      </c>
      <c r="F63" s="43" t="s">
        <v>459</v>
      </c>
      <c r="G63" s="31" t="s">
        <v>907</v>
      </c>
      <c r="H63" s="44" t="s">
        <v>461</v>
      </c>
      <c r="I63" s="42" t="s">
        <v>2411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486</v>
      </c>
      <c r="C64" s="42" t="s">
        <v>502</v>
      </c>
      <c r="D64" s="42" t="s">
        <v>495</v>
      </c>
      <c r="E64" s="34" t="s">
        <v>459</v>
      </c>
      <c r="F64" s="43" t="s">
        <v>459</v>
      </c>
      <c r="G64" s="31" t="s">
        <v>907</v>
      </c>
      <c r="H64" s="44" t="s">
        <v>461</v>
      </c>
      <c r="I64" s="42" t="s">
        <v>2411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488</v>
      </c>
      <c r="C65" s="42" t="s">
        <v>502</v>
      </c>
      <c r="D65" s="42" t="s">
        <v>887</v>
      </c>
      <c r="E65" s="34" t="s">
        <v>459</v>
      </c>
      <c r="F65" s="43" t="s">
        <v>459</v>
      </c>
      <c r="G65" s="31" t="s">
        <v>907</v>
      </c>
      <c r="H65" s="44" t="s">
        <v>461</v>
      </c>
      <c r="I65" s="42" t="s">
        <v>2411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486</v>
      </c>
      <c r="C66" s="42" t="s">
        <v>502</v>
      </c>
      <c r="D66" s="42" t="s">
        <v>2420</v>
      </c>
      <c r="E66" s="34" t="s">
        <v>459</v>
      </c>
      <c r="F66" s="43" t="s">
        <v>459</v>
      </c>
      <c r="G66" s="31" t="s">
        <v>907</v>
      </c>
      <c r="H66" s="44" t="s">
        <v>461</v>
      </c>
      <c r="I66" s="42" t="s">
        <v>2411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486</v>
      </c>
      <c r="C67" s="42" t="s">
        <v>502</v>
      </c>
      <c r="D67" s="42" t="s">
        <v>499</v>
      </c>
      <c r="E67" s="34" t="s">
        <v>459</v>
      </c>
      <c r="F67" s="43" t="s">
        <v>459</v>
      </c>
      <c r="G67" s="31" t="s">
        <v>907</v>
      </c>
      <c r="H67" s="44" t="s">
        <v>461</v>
      </c>
      <c r="I67" s="42" t="s">
        <v>2411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488</v>
      </c>
      <c r="C68" s="42" t="s">
        <v>502</v>
      </c>
      <c r="D68" s="42" t="s">
        <v>497</v>
      </c>
      <c r="E68" s="34" t="s">
        <v>459</v>
      </c>
      <c r="F68" s="43" t="s">
        <v>459</v>
      </c>
      <c r="G68" s="31" t="s">
        <v>907</v>
      </c>
      <c r="H68" s="44" t="s">
        <v>461</v>
      </c>
      <c r="I68" s="42" t="s">
        <v>2411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488</v>
      </c>
      <c r="C69" s="42" t="s">
        <v>502</v>
      </c>
      <c r="D69" s="42" t="s">
        <v>957</v>
      </c>
      <c r="E69" s="34" t="s">
        <v>459</v>
      </c>
      <c r="F69" s="43" t="s">
        <v>459</v>
      </c>
      <c r="G69" s="31" t="s">
        <v>907</v>
      </c>
      <c r="H69" s="44" t="s">
        <v>461</v>
      </c>
      <c r="I69" s="42" t="s">
        <v>2411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488</v>
      </c>
      <c r="C70" s="42" t="s">
        <v>502</v>
      </c>
      <c r="D70" s="42" t="s">
        <v>958</v>
      </c>
      <c r="E70" s="34" t="s">
        <v>459</v>
      </c>
      <c r="F70" s="43" t="s">
        <v>459</v>
      </c>
      <c r="G70" s="31" t="s">
        <v>907</v>
      </c>
      <c r="H70" s="44" t="s">
        <v>461</v>
      </c>
      <c r="I70" s="42" t="s">
        <v>2411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505</v>
      </c>
      <c r="C71" s="42" t="s">
        <v>506</v>
      </c>
      <c r="D71" s="42" t="s">
        <v>508</v>
      </c>
      <c r="E71" s="34" t="s">
        <v>459</v>
      </c>
      <c r="F71" s="43" t="s">
        <v>459</v>
      </c>
      <c r="G71" s="31" t="s">
        <v>907</v>
      </c>
      <c r="H71" s="44" t="s">
        <v>461</v>
      </c>
      <c r="I71" s="42" t="s">
        <v>2411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505</v>
      </c>
      <c r="C72" s="42" t="s">
        <v>506</v>
      </c>
      <c r="D72" s="42" t="s">
        <v>905</v>
      </c>
      <c r="E72" s="34" t="s">
        <v>459</v>
      </c>
      <c r="F72" s="43" t="s">
        <v>459</v>
      </c>
      <c r="G72" s="31" t="s">
        <v>907</v>
      </c>
      <c r="H72" s="44" t="s">
        <v>461</v>
      </c>
      <c r="I72" s="42" t="s">
        <v>2411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505</v>
      </c>
      <c r="C73" s="42" t="s">
        <v>506</v>
      </c>
      <c r="D73" s="42" t="s">
        <v>962</v>
      </c>
      <c r="E73" s="34" t="s">
        <v>459</v>
      </c>
      <c r="F73" s="43" t="s">
        <v>459</v>
      </c>
      <c r="G73" s="31" t="s">
        <v>907</v>
      </c>
      <c r="H73" s="44" t="s">
        <v>461</v>
      </c>
      <c r="I73" s="42" t="s">
        <v>2411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505</v>
      </c>
      <c r="C74" s="42" t="s">
        <v>506</v>
      </c>
      <c r="D74" s="42" t="s">
        <v>963</v>
      </c>
      <c r="E74" s="34" t="s">
        <v>459</v>
      </c>
      <c r="F74" s="43" t="s">
        <v>459</v>
      </c>
      <c r="G74" s="31" t="s">
        <v>907</v>
      </c>
      <c r="H74" s="44" t="s">
        <v>461</v>
      </c>
      <c r="I74" s="42" t="s">
        <v>2411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505</v>
      </c>
      <c r="C75" s="42" t="s">
        <v>506</v>
      </c>
      <c r="D75" s="42" t="s">
        <v>964</v>
      </c>
      <c r="E75" s="34" t="s">
        <v>459</v>
      </c>
      <c r="F75" s="43" t="s">
        <v>459</v>
      </c>
      <c r="G75" s="31" t="s">
        <v>907</v>
      </c>
      <c r="H75" s="44" t="s">
        <v>461</v>
      </c>
      <c r="I75" s="42" t="s">
        <v>2411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505</v>
      </c>
      <c r="C76" s="42" t="s">
        <v>506</v>
      </c>
      <c r="D76" s="42" t="s">
        <v>2221</v>
      </c>
      <c r="E76" s="34" t="s">
        <v>459</v>
      </c>
      <c r="F76" s="43" t="s">
        <v>459</v>
      </c>
      <c r="G76" s="31" t="s">
        <v>907</v>
      </c>
      <c r="H76" s="44" t="s">
        <v>461</v>
      </c>
      <c r="I76" s="42" t="s">
        <v>2411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505</v>
      </c>
      <c r="C77" s="42" t="s">
        <v>506</v>
      </c>
      <c r="D77" s="42" t="s">
        <v>2222</v>
      </c>
      <c r="E77" s="34" t="s">
        <v>459</v>
      </c>
      <c r="F77" s="43" t="s">
        <v>459</v>
      </c>
      <c r="G77" s="31" t="s">
        <v>907</v>
      </c>
      <c r="H77" s="44" t="s">
        <v>461</v>
      </c>
      <c r="I77" s="42" t="s">
        <v>2411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505</v>
      </c>
      <c r="C78" s="42" t="s">
        <v>506</v>
      </c>
      <c r="D78" s="42" t="s">
        <v>2223</v>
      </c>
      <c r="E78" s="34" t="s">
        <v>459</v>
      </c>
      <c r="F78" s="43" t="s">
        <v>459</v>
      </c>
      <c r="G78" s="31" t="s">
        <v>907</v>
      </c>
      <c r="H78" s="44" t="s">
        <v>461</v>
      </c>
      <c r="I78" s="42" t="s">
        <v>2411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505</v>
      </c>
      <c r="C79" s="42" t="s">
        <v>506</v>
      </c>
      <c r="D79" s="42" t="s">
        <v>2224</v>
      </c>
      <c r="E79" s="34" t="s">
        <v>459</v>
      </c>
      <c r="F79" s="43" t="s">
        <v>459</v>
      </c>
      <c r="G79" s="31" t="s">
        <v>907</v>
      </c>
      <c r="H79" s="44" t="s">
        <v>461</v>
      </c>
      <c r="I79" s="42" t="s">
        <v>2411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511</v>
      </c>
      <c r="C80" s="42" t="s">
        <v>506</v>
      </c>
      <c r="D80" s="42" t="s">
        <v>512</v>
      </c>
      <c r="E80" s="34" t="s">
        <v>459</v>
      </c>
      <c r="F80" s="43" t="s">
        <v>459</v>
      </c>
      <c r="G80" s="31" t="s">
        <v>907</v>
      </c>
      <c r="H80" s="44" t="s">
        <v>461</v>
      </c>
      <c r="I80" s="42" t="s">
        <v>2411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511</v>
      </c>
      <c r="C81" s="42" t="s">
        <v>506</v>
      </c>
      <c r="D81" s="42" t="s">
        <v>2421</v>
      </c>
      <c r="E81" s="34" t="s">
        <v>459</v>
      </c>
      <c r="F81" s="43" t="s">
        <v>459</v>
      </c>
      <c r="G81" s="31" t="s">
        <v>907</v>
      </c>
      <c r="H81" s="44" t="s">
        <v>461</v>
      </c>
      <c r="I81" s="42" t="s">
        <v>2411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511</v>
      </c>
      <c r="C82" s="42" t="s">
        <v>506</v>
      </c>
      <c r="D82" s="42" t="s">
        <v>965</v>
      </c>
      <c r="E82" s="34" t="s">
        <v>459</v>
      </c>
      <c r="F82" s="43" t="s">
        <v>459</v>
      </c>
      <c r="G82" s="31" t="s">
        <v>907</v>
      </c>
      <c r="H82" s="44" t="s">
        <v>461</v>
      </c>
      <c r="I82" s="42" t="s">
        <v>2411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511</v>
      </c>
      <c r="C83" s="42" t="s">
        <v>506</v>
      </c>
      <c r="D83" s="42" t="s">
        <v>2397</v>
      </c>
      <c r="E83" s="34" t="s">
        <v>459</v>
      </c>
      <c r="F83" s="43" t="s">
        <v>459</v>
      </c>
      <c r="G83" s="31" t="s">
        <v>907</v>
      </c>
      <c r="H83" s="44" t="s">
        <v>461</v>
      </c>
      <c r="I83" s="42" t="s">
        <v>2411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511</v>
      </c>
      <c r="C84" s="42" t="s">
        <v>506</v>
      </c>
      <c r="D84" s="42" t="s">
        <v>2398</v>
      </c>
      <c r="E84" s="34" t="s">
        <v>459</v>
      </c>
      <c r="F84" s="43" t="s">
        <v>459</v>
      </c>
      <c r="G84" s="31" t="s">
        <v>907</v>
      </c>
      <c r="H84" s="44" t="s">
        <v>461</v>
      </c>
      <c r="I84" s="42" t="s">
        <v>2411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511</v>
      </c>
      <c r="C85" s="42" t="s">
        <v>506</v>
      </c>
      <c r="D85" s="42" t="s">
        <v>966</v>
      </c>
      <c r="E85" s="34" t="s">
        <v>459</v>
      </c>
      <c r="F85" s="43" t="s">
        <v>459</v>
      </c>
      <c r="G85" s="31" t="s">
        <v>907</v>
      </c>
      <c r="H85" s="44" t="s">
        <v>461</v>
      </c>
      <c r="I85" s="42" t="s">
        <v>2411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511</v>
      </c>
      <c r="C86" s="42" t="s">
        <v>506</v>
      </c>
      <c r="D86" s="42" t="s">
        <v>1611</v>
      </c>
      <c r="E86" s="34" t="s">
        <v>459</v>
      </c>
      <c r="F86" s="43" t="s">
        <v>459</v>
      </c>
      <c r="G86" s="31" t="s">
        <v>907</v>
      </c>
      <c r="H86" s="44" t="s">
        <v>461</v>
      </c>
      <c r="I86" s="42" t="s">
        <v>2411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511</v>
      </c>
      <c r="C87" s="42" t="s">
        <v>506</v>
      </c>
      <c r="D87" s="42" t="s">
        <v>514</v>
      </c>
      <c r="E87" s="34" t="s">
        <v>459</v>
      </c>
      <c r="F87" s="43" t="s">
        <v>459</v>
      </c>
      <c r="G87" s="31" t="s">
        <v>907</v>
      </c>
      <c r="H87" s="44" t="s">
        <v>461</v>
      </c>
      <c r="I87" s="42" t="s">
        <v>2411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511</v>
      </c>
      <c r="C88" s="42" t="s">
        <v>506</v>
      </c>
      <c r="D88" s="42" t="s">
        <v>515</v>
      </c>
      <c r="E88" s="34" t="s">
        <v>459</v>
      </c>
      <c r="F88" s="43" t="s">
        <v>459</v>
      </c>
      <c r="G88" s="31" t="s">
        <v>907</v>
      </c>
      <c r="H88" s="44" t="s">
        <v>461</v>
      </c>
      <c r="I88" s="42" t="s">
        <v>2411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511</v>
      </c>
      <c r="C89" s="42" t="s">
        <v>506</v>
      </c>
      <c r="D89" s="42" t="s">
        <v>2422</v>
      </c>
      <c r="E89" s="34" t="s">
        <v>459</v>
      </c>
      <c r="F89" s="43" t="s">
        <v>459</v>
      </c>
      <c r="G89" s="31" t="s">
        <v>907</v>
      </c>
      <c r="H89" s="44" t="s">
        <v>461</v>
      </c>
      <c r="I89" s="42" t="s">
        <v>2411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511</v>
      </c>
      <c r="C90" s="42" t="s">
        <v>506</v>
      </c>
      <c r="D90" s="42" t="s">
        <v>893</v>
      </c>
      <c r="E90" s="34" t="s">
        <v>459</v>
      </c>
      <c r="F90" s="43" t="s">
        <v>459</v>
      </c>
      <c r="G90" s="31" t="s">
        <v>907</v>
      </c>
      <c r="H90" s="44" t="s">
        <v>461</v>
      </c>
      <c r="I90" s="42" t="s">
        <v>2411</v>
      </c>
      <c r="J90" s="42"/>
      <c r="K90" s="45" t="n">
        <f aca="false">IF(AND(E90="yes",F90="yes",H90="covered"),1,IF(H90="partial",0.5,0))</f>
        <v>1</v>
      </c>
    </row>
    <row r="91" customFormat="false" ht="30" hidden="false" customHeight="true" outlineLevel="0" collapsed="false">
      <c r="A91" s="31" t="n">
        <v>83</v>
      </c>
      <c r="B91" s="42" t="s">
        <v>483</v>
      </c>
      <c r="C91" s="42" t="s">
        <v>59</v>
      </c>
      <c r="D91" s="42" t="s">
        <v>516</v>
      </c>
      <c r="E91" s="34" t="s">
        <v>459</v>
      </c>
      <c r="F91" s="43" t="s">
        <v>459</v>
      </c>
      <c r="G91" s="31" t="s">
        <v>907</v>
      </c>
      <c r="H91" s="44" t="s">
        <v>461</v>
      </c>
      <c r="I91" s="42" t="s">
        <v>2411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483</v>
      </c>
      <c r="C92" s="42" t="s">
        <v>59</v>
      </c>
      <c r="D92" s="42" t="s">
        <v>517</v>
      </c>
      <c r="E92" s="34" t="s">
        <v>459</v>
      </c>
      <c r="F92" s="43" t="s">
        <v>459</v>
      </c>
      <c r="G92" s="31" t="s">
        <v>907</v>
      </c>
      <c r="H92" s="44" t="s">
        <v>461</v>
      </c>
      <c r="I92" s="42" t="s">
        <v>2411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483</v>
      </c>
      <c r="C93" s="42" t="s">
        <v>59</v>
      </c>
      <c r="D93" s="42" t="s">
        <v>518</v>
      </c>
      <c r="E93" s="34" t="s">
        <v>459</v>
      </c>
      <c r="F93" s="43" t="s">
        <v>459</v>
      </c>
      <c r="G93" s="31" t="s">
        <v>907</v>
      </c>
      <c r="H93" s="44" t="s">
        <v>461</v>
      </c>
      <c r="I93" s="42" t="s">
        <v>2411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483</v>
      </c>
      <c r="C94" s="42" t="s">
        <v>59</v>
      </c>
      <c r="D94" s="42" t="s">
        <v>519</v>
      </c>
      <c r="E94" s="34" t="s">
        <v>459</v>
      </c>
      <c r="F94" s="43" t="s">
        <v>459</v>
      </c>
      <c r="G94" s="31" t="s">
        <v>907</v>
      </c>
      <c r="H94" s="44" t="s">
        <v>461</v>
      </c>
      <c r="I94" s="42" t="s">
        <v>2411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483</v>
      </c>
      <c r="C95" s="42" t="s">
        <v>59</v>
      </c>
      <c r="D95" s="42" t="s">
        <v>520</v>
      </c>
      <c r="E95" s="34" t="s">
        <v>459</v>
      </c>
      <c r="F95" s="43" t="s">
        <v>459</v>
      </c>
      <c r="G95" s="31" t="s">
        <v>907</v>
      </c>
      <c r="H95" s="44" t="s">
        <v>461</v>
      </c>
      <c r="I95" s="42" t="s">
        <v>2411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488</v>
      </c>
      <c r="C96" s="42" t="s">
        <v>476</v>
      </c>
      <c r="D96" s="42" t="s">
        <v>521</v>
      </c>
      <c r="E96" s="34" t="s">
        <v>459</v>
      </c>
      <c r="F96" s="43" t="s">
        <v>459</v>
      </c>
      <c r="G96" s="31" t="s">
        <v>907</v>
      </c>
      <c r="H96" s="44" t="s">
        <v>461</v>
      </c>
      <c r="I96" s="42" t="s">
        <v>2411</v>
      </c>
      <c r="J96" s="42"/>
      <c r="K96" s="45" t="n">
        <f aca="false">IF(AND(E96="yes",F96="yes",H96="covered"),1,IF(H96="partial",0.5,0))</f>
        <v>1</v>
      </c>
    </row>
    <row r="97" customFormat="false" ht="30" hidden="false" customHeight="true" outlineLevel="0" collapsed="false">
      <c r="A97" s="31" t="n">
        <v>89</v>
      </c>
      <c r="B97" s="42" t="s">
        <v>488</v>
      </c>
      <c r="C97" s="42" t="s">
        <v>476</v>
      </c>
      <c r="D97" s="42" t="s">
        <v>522</v>
      </c>
      <c r="E97" s="34" t="s">
        <v>459</v>
      </c>
      <c r="F97" s="43" t="s">
        <v>459</v>
      </c>
      <c r="G97" s="31" t="s">
        <v>907</v>
      </c>
      <c r="H97" s="44" t="s">
        <v>461</v>
      </c>
      <c r="I97" s="42" t="s">
        <v>2411</v>
      </c>
      <c r="J97" s="42"/>
      <c r="K97" s="45" t="n">
        <f aca="false">IF(AND(E97="yes",F97="yes",H97="covered"),1,IF(H97="partial",0.5,0))</f>
        <v>1</v>
      </c>
    </row>
    <row r="98" customFormat="false" ht="30" hidden="false" customHeight="true" outlineLevel="0" collapsed="false">
      <c r="A98" s="31" t="n">
        <v>90</v>
      </c>
      <c r="B98" s="42" t="s">
        <v>488</v>
      </c>
      <c r="C98" s="42" t="s">
        <v>476</v>
      </c>
      <c r="D98" s="42" t="s">
        <v>523</v>
      </c>
      <c r="E98" s="34" t="s">
        <v>459</v>
      </c>
      <c r="F98" s="43" t="s">
        <v>459</v>
      </c>
      <c r="G98" s="31" t="s">
        <v>907</v>
      </c>
      <c r="H98" s="44" t="s">
        <v>461</v>
      </c>
      <c r="I98" s="42" t="s">
        <v>2411</v>
      </c>
      <c r="J98" s="42"/>
      <c r="K98" s="45" t="n">
        <f aca="false">IF(AND(E98="yes",F98="yes",H98="covered"),1,IF(H98="partial",0.5,0))</f>
        <v>1</v>
      </c>
    </row>
    <row r="99" customFormat="false" ht="30" hidden="false" customHeight="true" outlineLevel="0" collapsed="false">
      <c r="A99" s="31" t="n">
        <v>91</v>
      </c>
      <c r="B99" s="42" t="s">
        <v>488</v>
      </c>
      <c r="C99" s="42" t="s">
        <v>59</v>
      </c>
      <c r="D99" s="42" t="s">
        <v>968</v>
      </c>
      <c r="E99" s="34" t="s">
        <v>459</v>
      </c>
      <c r="F99" s="43" t="s">
        <v>459</v>
      </c>
      <c r="G99" s="31" t="s">
        <v>907</v>
      </c>
      <c r="H99" s="44" t="s">
        <v>461</v>
      </c>
      <c r="I99" s="42" t="s">
        <v>2411</v>
      </c>
      <c r="J99" s="42"/>
      <c r="K99" s="45" t="n">
        <f aca="false">IF(AND(E99="yes",F99="yes",H99="covered"),1,IF(H99="partial",0.5,0))</f>
        <v>1</v>
      </c>
    </row>
    <row r="100" customFormat="false" ht="30" hidden="false" customHeight="true" outlineLevel="0" collapsed="false">
      <c r="A100" s="31" t="n">
        <v>92</v>
      </c>
      <c r="B100" s="42" t="s">
        <v>488</v>
      </c>
      <c r="C100" s="42" t="s">
        <v>59</v>
      </c>
      <c r="D100" s="42" t="s">
        <v>969</v>
      </c>
      <c r="E100" s="34" t="s">
        <v>459</v>
      </c>
      <c r="F100" s="43" t="s">
        <v>459</v>
      </c>
      <c r="G100" s="31" t="s">
        <v>907</v>
      </c>
      <c r="H100" s="44" t="s">
        <v>461</v>
      </c>
      <c r="I100" s="42" t="s">
        <v>2411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488</v>
      </c>
      <c r="C101" s="42" t="s">
        <v>59</v>
      </c>
      <c r="D101" s="42" t="s">
        <v>970</v>
      </c>
      <c r="E101" s="34" t="s">
        <v>459</v>
      </c>
      <c r="F101" s="43" t="s">
        <v>459</v>
      </c>
      <c r="G101" s="31" t="s">
        <v>907</v>
      </c>
      <c r="H101" s="44" t="s">
        <v>461</v>
      </c>
      <c r="I101" s="42" t="s">
        <v>2411</v>
      </c>
      <c r="J101" s="42"/>
      <c r="K101" s="45" t="n">
        <f aca="false">IF(AND(E101="yes",F101="yes",H101="covered"),1,IF(H101="partial",0.5,0))</f>
        <v>1</v>
      </c>
    </row>
    <row r="102" customFormat="false" ht="30" hidden="false" customHeight="true" outlineLevel="0" collapsed="false">
      <c r="A102" s="31" t="n">
        <v>94</v>
      </c>
      <c r="B102" s="42" t="s">
        <v>488</v>
      </c>
      <c r="C102" s="42" t="s">
        <v>59</v>
      </c>
      <c r="D102" s="42" t="s">
        <v>971</v>
      </c>
      <c r="E102" s="34" t="s">
        <v>459</v>
      </c>
      <c r="F102" s="43" t="s">
        <v>459</v>
      </c>
      <c r="G102" s="31" t="s">
        <v>907</v>
      </c>
      <c r="H102" s="44" t="s">
        <v>461</v>
      </c>
      <c r="I102" s="42" t="s">
        <v>2411</v>
      </c>
      <c r="J102" s="42"/>
      <c r="K102" s="45" t="n">
        <f aca="false">IF(AND(E102="yes",F102="yes",H102="covered"),1,IF(H102="partial",0.5,0))</f>
        <v>1</v>
      </c>
    </row>
    <row r="103" customFormat="false" ht="30" hidden="false" customHeight="true" outlineLevel="0" collapsed="false">
      <c r="A103" s="31" t="n">
        <v>95</v>
      </c>
      <c r="B103" s="42" t="s">
        <v>933</v>
      </c>
      <c r="C103" s="42" t="s">
        <v>59</v>
      </c>
      <c r="D103" s="42" t="s">
        <v>972</v>
      </c>
      <c r="E103" s="34" t="s">
        <v>459</v>
      </c>
      <c r="F103" s="43" t="s">
        <v>459</v>
      </c>
      <c r="G103" s="31" t="s">
        <v>907</v>
      </c>
      <c r="H103" s="44" t="s">
        <v>461</v>
      </c>
      <c r="I103" s="42" t="s">
        <v>2411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933</v>
      </c>
      <c r="C104" s="42" t="s">
        <v>59</v>
      </c>
      <c r="D104" s="42" t="s">
        <v>973</v>
      </c>
      <c r="E104" s="34" t="s">
        <v>459</v>
      </c>
      <c r="F104" s="43" t="s">
        <v>459</v>
      </c>
      <c r="G104" s="31" t="s">
        <v>907</v>
      </c>
      <c r="H104" s="44" t="s">
        <v>461</v>
      </c>
      <c r="I104" s="42" t="s">
        <v>2411</v>
      </c>
      <c r="J104" s="42"/>
      <c r="K104" s="45" t="n">
        <f aca="false">IF(AND(E104="yes",F104="yes",H104="covered"),1,IF(H104="partial",0.5,0))</f>
        <v>1</v>
      </c>
    </row>
    <row r="105" customFormat="false" ht="30" hidden="false" customHeight="true" outlineLevel="0" collapsed="false">
      <c r="A105" s="31" t="n">
        <v>97</v>
      </c>
      <c r="B105" s="42" t="s">
        <v>31</v>
      </c>
      <c r="C105" s="42" t="s">
        <v>476</v>
      </c>
      <c r="D105" s="42" t="s">
        <v>2423</v>
      </c>
      <c r="E105" s="46" t="s">
        <v>459</v>
      </c>
      <c r="F105" s="43" t="s">
        <v>459</v>
      </c>
      <c r="G105" s="31" t="s">
        <v>907</v>
      </c>
      <c r="H105" s="46" t="s">
        <v>461</v>
      </c>
      <c r="I105" s="42" t="s">
        <v>2411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31</v>
      </c>
      <c r="C106" s="42" t="s">
        <v>476</v>
      </c>
      <c r="D106" s="42" t="s">
        <v>2424</v>
      </c>
      <c r="E106" s="46" t="s">
        <v>459</v>
      </c>
      <c r="F106" s="43" t="s">
        <v>459</v>
      </c>
      <c r="G106" s="31" t="s">
        <v>907</v>
      </c>
      <c r="H106" s="46" t="s">
        <v>461</v>
      </c>
      <c r="I106" s="42" t="s">
        <v>2411</v>
      </c>
      <c r="J106" s="42"/>
      <c r="K106" s="45" t="n">
        <f aca="false">IF(AND(E106="yes",F106="yes",H106="covered"),1,IF(H106="partial",0.5,0))</f>
        <v>1</v>
      </c>
    </row>
    <row r="107" customFormat="false" ht="30" hidden="false" customHeight="true" outlineLevel="0" collapsed="false">
      <c r="A107" s="31" t="n">
        <v>99</v>
      </c>
      <c r="B107" s="42" t="s">
        <v>456</v>
      </c>
      <c r="C107" s="42" t="s">
        <v>540</v>
      </c>
      <c r="D107" s="42" t="s">
        <v>541</v>
      </c>
      <c r="E107" s="46" t="s">
        <v>459</v>
      </c>
      <c r="F107" s="43" t="s">
        <v>459</v>
      </c>
      <c r="G107" s="31" t="s">
        <v>907</v>
      </c>
      <c r="H107" s="46" t="s">
        <v>461</v>
      </c>
      <c r="I107" s="42" t="s">
        <v>2411</v>
      </c>
      <c r="J107" s="42"/>
      <c r="K107" s="45" t="n">
        <f aca="false">IF(AND(E107="yes",F107="yes",H107="covered"),1,IF(H107="partial",0.5,0))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2425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IFERROR(SUM(K9:K54)/COUNTA(A9:A54),0)</f>
        <v>1</v>
      </c>
      <c r="C4" s="28" t="s">
        <v>8</v>
      </c>
      <c r="D4" s="40" t="n">
        <f aca="false">COUNTIF(H9:H54,"covered")</f>
        <v>46</v>
      </c>
      <c r="E4" s="28" t="s">
        <v>9</v>
      </c>
      <c r="F4" s="40" t="n">
        <f aca="false">COUNTIF(H9:H54,"partial")</f>
        <v>0</v>
      </c>
      <c r="G4" s="28" t="s">
        <v>10</v>
      </c>
      <c r="H4" s="40" t="n">
        <f aca="false">COUNTIF(H9:H54,"missing")</f>
        <v>0</v>
      </c>
      <c r="I4" s="28" t="s">
        <v>11</v>
      </c>
      <c r="J4" s="40" t="n">
        <f aca="false">COUNTIF(F9:F54,"no")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47" t="n">
        <v>1</v>
      </c>
      <c r="B9" s="48" t="s">
        <v>456</v>
      </c>
      <c r="C9" s="48" t="s">
        <v>457</v>
      </c>
      <c r="D9" s="48" t="s">
        <v>458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1333</v>
      </c>
      <c r="J9" s="48"/>
      <c r="K9" s="49" t="n">
        <f aca="false">IF(H9="covered",1,IF(H9="partial",0.5,0))</f>
        <v>1</v>
      </c>
    </row>
    <row r="10" customFormat="false" ht="15" hidden="false" customHeight="true" outlineLevel="0" collapsed="false">
      <c r="A10" s="47" t="n">
        <v>2</v>
      </c>
      <c r="B10" s="48" t="s">
        <v>456</v>
      </c>
      <c r="C10" s="48" t="s">
        <v>457</v>
      </c>
      <c r="D10" s="48" t="s">
        <v>463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1333</v>
      </c>
      <c r="J10" s="48"/>
      <c r="K10" s="49" t="n">
        <f aca="false">IF(H10="covered",1,IF(H10="partial",0.5,0))</f>
        <v>1</v>
      </c>
    </row>
    <row r="11" customFormat="false" ht="15" hidden="false" customHeight="true" outlineLevel="0" collapsed="false">
      <c r="A11" s="47" t="n">
        <v>3</v>
      </c>
      <c r="B11" s="48" t="s">
        <v>456</v>
      </c>
      <c r="C11" s="48" t="s">
        <v>60</v>
      </c>
      <c r="D11" s="48" t="s">
        <v>464</v>
      </c>
      <c r="E11" s="47" t="s">
        <v>459</v>
      </c>
      <c r="F11" s="47" t="s">
        <v>459</v>
      </c>
      <c r="G11" s="47" t="s">
        <v>110</v>
      </c>
      <c r="H11" s="47" t="s">
        <v>461</v>
      </c>
      <c r="I11" s="48" t="s">
        <v>2426</v>
      </c>
      <c r="J11" s="48"/>
      <c r="K11" s="49" t="n">
        <f aca="false">IF(H11="covered",1,IF(H11="partial",0.5,0))</f>
        <v>1</v>
      </c>
    </row>
    <row r="12" customFormat="false" ht="15" hidden="false" customHeight="true" outlineLevel="0" collapsed="false">
      <c r="A12" s="47" t="n">
        <v>4</v>
      </c>
      <c r="B12" s="48" t="s">
        <v>456</v>
      </c>
      <c r="C12" s="48" t="s">
        <v>60</v>
      </c>
      <c r="D12" s="48" t="s">
        <v>465</v>
      </c>
      <c r="E12" s="47" t="s">
        <v>459</v>
      </c>
      <c r="F12" s="47" t="s">
        <v>459</v>
      </c>
      <c r="G12" s="47" t="s">
        <v>110</v>
      </c>
      <c r="H12" s="47" t="s">
        <v>461</v>
      </c>
      <c r="I12" s="48" t="s">
        <v>2426</v>
      </c>
      <c r="J12" s="48"/>
      <c r="K12" s="49" t="n">
        <f aca="false">IF(H12="covered",1,IF(H12="partial",0.5,0))</f>
        <v>1</v>
      </c>
    </row>
    <row r="13" customFormat="false" ht="15" hidden="false" customHeight="true" outlineLevel="0" collapsed="false">
      <c r="A13" s="47" t="n">
        <v>5</v>
      </c>
      <c r="B13" s="48" t="s">
        <v>456</v>
      </c>
      <c r="C13" s="48" t="s">
        <v>60</v>
      </c>
      <c r="D13" s="48" t="s">
        <v>466</v>
      </c>
      <c r="E13" s="47" t="s">
        <v>459</v>
      </c>
      <c r="F13" s="47" t="s">
        <v>459</v>
      </c>
      <c r="G13" s="47" t="s">
        <v>110</v>
      </c>
      <c r="H13" s="47" t="s">
        <v>461</v>
      </c>
      <c r="I13" s="48" t="s">
        <v>2426</v>
      </c>
      <c r="J13" s="48"/>
      <c r="K13" s="49" t="n">
        <f aca="false">IF(H13="covered",1,IF(H13="partial",0.5,0))</f>
        <v>1</v>
      </c>
    </row>
    <row r="14" customFormat="false" ht="30" hidden="false" customHeight="true" outlineLevel="0" collapsed="false">
      <c r="A14" s="47" t="n">
        <v>6</v>
      </c>
      <c r="B14" s="48" t="s">
        <v>456</v>
      </c>
      <c r="C14" s="48" t="s">
        <v>60</v>
      </c>
      <c r="D14" s="48" t="s">
        <v>467</v>
      </c>
      <c r="E14" s="47" t="s">
        <v>459</v>
      </c>
      <c r="F14" s="47" t="s">
        <v>459</v>
      </c>
      <c r="G14" s="47" t="s">
        <v>110</v>
      </c>
      <c r="H14" s="47" t="s">
        <v>461</v>
      </c>
      <c r="I14" s="48" t="s">
        <v>2426</v>
      </c>
      <c r="J14" s="48"/>
      <c r="K14" s="49" t="n">
        <f aca="false">IF(H14="covered",1,IF(H14="partial",0.5,0))</f>
        <v>1</v>
      </c>
    </row>
    <row r="15" customFormat="false" ht="15" hidden="false" customHeight="true" outlineLevel="0" collapsed="false">
      <c r="A15" s="47" t="n">
        <v>7</v>
      </c>
      <c r="B15" s="48" t="s">
        <v>468</v>
      </c>
      <c r="C15" s="48" t="s">
        <v>60</v>
      </c>
      <c r="D15" s="48" t="s">
        <v>2427</v>
      </c>
      <c r="E15" s="47" t="s">
        <v>459</v>
      </c>
      <c r="F15" s="47" t="s">
        <v>459</v>
      </c>
      <c r="G15" s="47" t="s">
        <v>110</v>
      </c>
      <c r="H15" s="47" t="s">
        <v>461</v>
      </c>
      <c r="I15" s="48" t="s">
        <v>2426</v>
      </c>
      <c r="J15" s="48"/>
      <c r="K15" s="49" t="n">
        <f aca="false">IF(H15="covered",1,IF(H15="partial",0.5,0))</f>
        <v>1</v>
      </c>
    </row>
    <row r="16" customFormat="false" ht="30" hidden="false" customHeight="true" outlineLevel="0" collapsed="false">
      <c r="A16" s="47" t="n">
        <v>8</v>
      </c>
      <c r="B16" s="48" t="s">
        <v>468</v>
      </c>
      <c r="C16" s="48" t="s">
        <v>60</v>
      </c>
      <c r="D16" s="48" t="s">
        <v>2428</v>
      </c>
      <c r="E16" s="47" t="s">
        <v>459</v>
      </c>
      <c r="F16" s="47" t="s">
        <v>459</v>
      </c>
      <c r="G16" s="47" t="s">
        <v>110</v>
      </c>
      <c r="H16" s="47" t="s">
        <v>461</v>
      </c>
      <c r="I16" s="48" t="s">
        <v>2426</v>
      </c>
      <c r="J16" s="48"/>
      <c r="K16" s="49" t="n">
        <f aca="false">IF(H16="covered",1,IF(H16="partial",0.5,0))</f>
        <v>1</v>
      </c>
    </row>
    <row r="17" customFormat="false" ht="15" hidden="false" customHeight="true" outlineLevel="0" collapsed="false">
      <c r="A17" s="47" t="n">
        <v>9</v>
      </c>
      <c r="B17" s="48" t="s">
        <v>468</v>
      </c>
      <c r="C17" s="48" t="s">
        <v>60</v>
      </c>
      <c r="D17" s="48" t="s">
        <v>2429</v>
      </c>
      <c r="E17" s="47" t="s">
        <v>459</v>
      </c>
      <c r="F17" s="47" t="s">
        <v>459</v>
      </c>
      <c r="G17" s="47" t="s">
        <v>110</v>
      </c>
      <c r="H17" s="47" t="s">
        <v>461</v>
      </c>
      <c r="I17" s="48" t="s">
        <v>2426</v>
      </c>
      <c r="J17" s="48"/>
      <c r="K17" s="49" t="n">
        <f aca="false">IF(H17="covered",1,IF(H17="partial",0.5,0))</f>
        <v>1</v>
      </c>
    </row>
    <row r="18" customFormat="false" ht="15" hidden="false" customHeight="true" outlineLevel="0" collapsed="false">
      <c r="A18" s="47" t="n">
        <v>10</v>
      </c>
      <c r="B18" s="48" t="s">
        <v>468</v>
      </c>
      <c r="C18" s="48" t="s">
        <v>60</v>
      </c>
      <c r="D18" s="48" t="s">
        <v>2430</v>
      </c>
      <c r="E18" s="47" t="s">
        <v>459</v>
      </c>
      <c r="F18" s="47" t="s">
        <v>459</v>
      </c>
      <c r="G18" s="47" t="s">
        <v>110</v>
      </c>
      <c r="H18" s="47" t="s">
        <v>461</v>
      </c>
      <c r="I18" s="48" t="s">
        <v>2426</v>
      </c>
      <c r="J18" s="48"/>
      <c r="K18" s="49" t="n">
        <f aca="false">IF(H18="covered",1,IF(H18="partial",0.5,0))</f>
        <v>1</v>
      </c>
    </row>
    <row r="19" customFormat="false" ht="15" hidden="false" customHeight="true" outlineLevel="0" collapsed="false">
      <c r="A19" s="47" t="n">
        <v>11</v>
      </c>
      <c r="B19" s="48" t="s">
        <v>468</v>
      </c>
      <c r="C19" s="48" t="s">
        <v>60</v>
      </c>
      <c r="D19" s="48" t="s">
        <v>474</v>
      </c>
      <c r="E19" s="47" t="s">
        <v>459</v>
      </c>
      <c r="F19" s="47" t="s">
        <v>459</v>
      </c>
      <c r="G19" s="47" t="s">
        <v>110</v>
      </c>
      <c r="H19" s="47" t="s">
        <v>461</v>
      </c>
      <c r="I19" s="48" t="s">
        <v>2426</v>
      </c>
      <c r="J19" s="48"/>
      <c r="K19" s="49" t="n">
        <f aca="false">IF(H19="covered",1,IF(H19="partial",0.5,0))</f>
        <v>1</v>
      </c>
    </row>
    <row r="20" customFormat="false" ht="15" hidden="false" customHeight="true" outlineLevel="0" collapsed="false">
      <c r="A20" s="47" t="n">
        <v>12</v>
      </c>
      <c r="B20" s="48" t="s">
        <v>475</v>
      </c>
      <c r="C20" s="48" t="s">
        <v>476</v>
      </c>
      <c r="D20" s="48" t="s">
        <v>477</v>
      </c>
      <c r="E20" s="47" t="s">
        <v>459</v>
      </c>
      <c r="F20" s="47" t="s">
        <v>459</v>
      </c>
      <c r="G20" s="47" t="s">
        <v>110</v>
      </c>
      <c r="H20" s="47" t="s">
        <v>461</v>
      </c>
      <c r="I20" s="48" t="s">
        <v>2426</v>
      </c>
      <c r="J20" s="48"/>
      <c r="K20" s="49" t="n">
        <f aca="false">IF(H20="covered",1,IF(H20="partial",0.5,0))</f>
        <v>1</v>
      </c>
    </row>
    <row r="21" customFormat="false" ht="15" hidden="false" customHeight="true" outlineLevel="0" collapsed="false">
      <c r="A21" s="47" t="n">
        <v>13</v>
      </c>
      <c r="B21" s="48" t="s">
        <v>475</v>
      </c>
      <c r="C21" s="48" t="s">
        <v>476</v>
      </c>
      <c r="D21" s="48" t="s">
        <v>478</v>
      </c>
      <c r="E21" s="47" t="s">
        <v>459</v>
      </c>
      <c r="F21" s="47" t="s">
        <v>459</v>
      </c>
      <c r="G21" s="47" t="s">
        <v>110</v>
      </c>
      <c r="H21" s="47" t="s">
        <v>461</v>
      </c>
      <c r="I21" s="48" t="s">
        <v>2426</v>
      </c>
      <c r="J21" s="48"/>
      <c r="K21" s="49" t="n">
        <f aca="false">IF(H21="covered",1,IF(H21="partial",0.5,0))</f>
        <v>1</v>
      </c>
    </row>
    <row r="22" customFormat="false" ht="30" hidden="false" customHeight="true" outlineLevel="0" collapsed="false">
      <c r="A22" s="47" t="n">
        <v>14</v>
      </c>
      <c r="B22" s="48" t="s">
        <v>479</v>
      </c>
      <c r="C22" s="48" t="s">
        <v>476</v>
      </c>
      <c r="D22" s="48" t="s">
        <v>480</v>
      </c>
      <c r="E22" s="47" t="s">
        <v>459</v>
      </c>
      <c r="F22" s="47" t="s">
        <v>459</v>
      </c>
      <c r="G22" s="47" t="s">
        <v>110</v>
      </c>
      <c r="H22" s="47" t="s">
        <v>461</v>
      </c>
      <c r="I22" s="48" t="s">
        <v>2426</v>
      </c>
      <c r="J22" s="48"/>
      <c r="K22" s="49" t="n">
        <f aca="false">IF(H22="covered",1,IF(H22="partial",0.5,0))</f>
        <v>1</v>
      </c>
    </row>
    <row r="23" customFormat="false" ht="15" hidden="false" customHeight="true" outlineLevel="0" collapsed="false">
      <c r="A23" s="47" t="n">
        <v>15</v>
      </c>
      <c r="B23" s="48" t="s">
        <v>479</v>
      </c>
      <c r="C23" s="48" t="s">
        <v>476</v>
      </c>
      <c r="D23" s="48" t="s">
        <v>481</v>
      </c>
      <c r="E23" s="47" t="s">
        <v>459</v>
      </c>
      <c r="F23" s="47" t="s">
        <v>459</v>
      </c>
      <c r="G23" s="47" t="s">
        <v>110</v>
      </c>
      <c r="H23" s="47" t="s">
        <v>461</v>
      </c>
      <c r="I23" s="48" t="s">
        <v>2426</v>
      </c>
      <c r="J23" s="48"/>
      <c r="K23" s="49" t="n">
        <f aca="false">IF(H23="covered",1,IF(H23="partial",0.5,0))</f>
        <v>1</v>
      </c>
    </row>
    <row r="24" customFormat="false" ht="15" hidden="false" customHeight="true" outlineLevel="0" collapsed="false">
      <c r="A24" s="47" t="n">
        <v>16</v>
      </c>
      <c r="B24" s="48" t="s">
        <v>457</v>
      </c>
      <c r="C24" s="48" t="s">
        <v>476</v>
      </c>
      <c r="D24" s="48" t="s">
        <v>482</v>
      </c>
      <c r="E24" s="47" t="s">
        <v>459</v>
      </c>
      <c r="F24" s="47" t="s">
        <v>459</v>
      </c>
      <c r="G24" s="47" t="s">
        <v>110</v>
      </c>
      <c r="H24" s="47" t="s">
        <v>461</v>
      </c>
      <c r="I24" s="48" t="s">
        <v>2426</v>
      </c>
      <c r="J24" s="48"/>
      <c r="K24" s="49" t="n">
        <f aca="false">IF(H24="covered",1,IF(H24="partial",0.5,0))</f>
        <v>1</v>
      </c>
    </row>
    <row r="25" customFormat="false" ht="15" hidden="false" customHeight="true" outlineLevel="0" collapsed="false">
      <c r="A25" s="47" t="n">
        <v>17</v>
      </c>
      <c r="B25" s="48" t="s">
        <v>774</v>
      </c>
      <c r="C25" s="48" t="s">
        <v>476</v>
      </c>
      <c r="D25" s="48" t="s">
        <v>775</v>
      </c>
      <c r="E25" s="47" t="s">
        <v>459</v>
      </c>
      <c r="F25" s="47" t="s">
        <v>459</v>
      </c>
      <c r="G25" s="47" t="s">
        <v>110</v>
      </c>
      <c r="H25" s="47" t="s">
        <v>461</v>
      </c>
      <c r="I25" s="48" t="s">
        <v>2426</v>
      </c>
      <c r="J25" s="48"/>
      <c r="K25" s="49" t="n">
        <f aca="false">IF(H25="covered",1,IF(H25="partial",0.5,0))</f>
        <v>1</v>
      </c>
    </row>
    <row r="26" customFormat="false" ht="15" hidden="false" customHeight="true" outlineLevel="0" collapsed="false">
      <c r="A26" s="47" t="n">
        <v>18</v>
      </c>
      <c r="B26" s="48" t="s">
        <v>483</v>
      </c>
      <c r="C26" s="48" t="s">
        <v>476</v>
      </c>
      <c r="D26" s="48" t="s">
        <v>484</v>
      </c>
      <c r="E26" s="47" t="s">
        <v>459</v>
      </c>
      <c r="F26" s="47" t="s">
        <v>459</v>
      </c>
      <c r="G26" s="47" t="s">
        <v>110</v>
      </c>
      <c r="H26" s="47" t="s">
        <v>461</v>
      </c>
      <c r="I26" s="48" t="s">
        <v>2426</v>
      </c>
      <c r="J26" s="48"/>
      <c r="K26" s="49" t="n">
        <f aca="false">IF(H26="covered",1,IF(H26="partial",0.5,0))</f>
        <v>1</v>
      </c>
    </row>
    <row r="27" customFormat="false" ht="15" hidden="false" customHeight="true" outlineLevel="0" collapsed="false">
      <c r="A27" s="47" t="n">
        <v>19</v>
      </c>
      <c r="B27" s="48" t="s">
        <v>483</v>
      </c>
      <c r="C27" s="48" t="s">
        <v>476</v>
      </c>
      <c r="D27" s="48" t="s">
        <v>485</v>
      </c>
      <c r="E27" s="47" t="s">
        <v>459</v>
      </c>
      <c r="F27" s="47" t="s">
        <v>459</v>
      </c>
      <c r="G27" s="47" t="s">
        <v>110</v>
      </c>
      <c r="H27" s="47" t="s">
        <v>461</v>
      </c>
      <c r="I27" s="48" t="s">
        <v>2426</v>
      </c>
      <c r="J27" s="48"/>
      <c r="K27" s="49" t="n">
        <f aca="false">IF(H27="covered",1,IF(H27="partial",0.5,0))</f>
        <v>1</v>
      </c>
    </row>
    <row r="28" customFormat="false" ht="15" hidden="false" customHeight="true" outlineLevel="0" collapsed="false">
      <c r="A28" s="47" t="n">
        <v>20</v>
      </c>
      <c r="B28" s="48" t="s">
        <v>486</v>
      </c>
      <c r="C28" s="48" t="s">
        <v>476</v>
      </c>
      <c r="D28" s="48" t="s">
        <v>494</v>
      </c>
      <c r="E28" s="47" t="s">
        <v>459</v>
      </c>
      <c r="F28" s="47" t="s">
        <v>459</v>
      </c>
      <c r="G28" s="47" t="s">
        <v>110</v>
      </c>
      <c r="H28" s="47" t="s">
        <v>461</v>
      </c>
      <c r="I28" s="48" t="s">
        <v>2426</v>
      </c>
      <c r="J28" s="48"/>
      <c r="K28" s="49" t="n">
        <f aca="false">IF(H28="covered",1,IF(H28="partial",0.5,0))</f>
        <v>1</v>
      </c>
    </row>
    <row r="29" customFormat="false" ht="15" hidden="false" customHeight="true" outlineLevel="0" collapsed="false">
      <c r="A29" s="47" t="n">
        <v>21</v>
      </c>
      <c r="B29" s="48" t="s">
        <v>486</v>
      </c>
      <c r="C29" s="48" t="s">
        <v>476</v>
      </c>
      <c r="D29" s="48" t="s">
        <v>495</v>
      </c>
      <c r="E29" s="47" t="s">
        <v>459</v>
      </c>
      <c r="F29" s="47" t="s">
        <v>459</v>
      </c>
      <c r="G29" s="47" t="s">
        <v>110</v>
      </c>
      <c r="H29" s="47" t="s">
        <v>461</v>
      </c>
      <c r="I29" s="48" t="s">
        <v>2426</v>
      </c>
      <c r="J29" s="48"/>
      <c r="K29" s="49" t="n">
        <f aca="false">IF(H29="covered",1,IF(H29="partial",0.5,0))</f>
        <v>1</v>
      </c>
    </row>
    <row r="30" customFormat="false" ht="15" hidden="false" customHeight="true" outlineLevel="0" collapsed="false">
      <c r="A30" s="47" t="n">
        <v>22</v>
      </c>
      <c r="B30" s="48" t="s">
        <v>486</v>
      </c>
      <c r="C30" s="48" t="s">
        <v>476</v>
      </c>
      <c r="D30" s="48" t="s">
        <v>496</v>
      </c>
      <c r="E30" s="47" t="s">
        <v>459</v>
      </c>
      <c r="F30" s="47" t="s">
        <v>459</v>
      </c>
      <c r="G30" s="47" t="s">
        <v>110</v>
      </c>
      <c r="H30" s="47" t="s">
        <v>461</v>
      </c>
      <c r="I30" s="48" t="s">
        <v>2426</v>
      </c>
      <c r="J30" s="48"/>
      <c r="K30" s="49" t="n">
        <f aca="false">IF(H30="covered",1,IF(H30="partial",0.5,0))</f>
        <v>1</v>
      </c>
    </row>
    <row r="31" customFormat="false" ht="15" hidden="false" customHeight="true" outlineLevel="0" collapsed="false">
      <c r="A31" s="47" t="n">
        <v>23</v>
      </c>
      <c r="B31" s="48" t="s">
        <v>475</v>
      </c>
      <c r="C31" s="48" t="s">
        <v>2156</v>
      </c>
      <c r="D31" s="48" t="s">
        <v>477</v>
      </c>
      <c r="E31" s="47" t="s">
        <v>459</v>
      </c>
      <c r="F31" s="47" t="s">
        <v>459</v>
      </c>
      <c r="G31" s="47" t="s">
        <v>110</v>
      </c>
      <c r="H31" s="47" t="s">
        <v>461</v>
      </c>
      <c r="I31" s="48" t="s">
        <v>2426</v>
      </c>
      <c r="J31" s="48"/>
      <c r="K31" s="49" t="n">
        <f aca="false">IF(H31="covered",1,IF(H31="partial",0.5,0))</f>
        <v>1</v>
      </c>
    </row>
    <row r="32" customFormat="false" ht="15" hidden="false" customHeight="true" outlineLevel="0" collapsed="false">
      <c r="A32" s="47" t="n">
        <v>24</v>
      </c>
      <c r="B32" s="48" t="s">
        <v>475</v>
      </c>
      <c r="C32" s="48" t="s">
        <v>2156</v>
      </c>
      <c r="D32" s="48" t="s">
        <v>478</v>
      </c>
      <c r="E32" s="47" t="s">
        <v>459</v>
      </c>
      <c r="F32" s="47" t="s">
        <v>459</v>
      </c>
      <c r="G32" s="47" t="s">
        <v>110</v>
      </c>
      <c r="H32" s="47" t="s">
        <v>461</v>
      </c>
      <c r="I32" s="48" t="s">
        <v>2426</v>
      </c>
      <c r="J32" s="48"/>
      <c r="K32" s="49" t="n">
        <f aca="false">IF(H32="covered",1,IF(H32="partial",0.5,0))</f>
        <v>1</v>
      </c>
    </row>
    <row r="33" customFormat="false" ht="30" hidden="false" customHeight="true" outlineLevel="0" collapsed="false">
      <c r="A33" s="47" t="n">
        <v>25</v>
      </c>
      <c r="B33" s="48" t="s">
        <v>479</v>
      </c>
      <c r="C33" s="48" t="s">
        <v>2156</v>
      </c>
      <c r="D33" s="48" t="s">
        <v>480</v>
      </c>
      <c r="E33" s="47" t="s">
        <v>459</v>
      </c>
      <c r="F33" s="47" t="s">
        <v>459</v>
      </c>
      <c r="G33" s="47" t="s">
        <v>110</v>
      </c>
      <c r="H33" s="47" t="s">
        <v>461</v>
      </c>
      <c r="I33" s="48" t="s">
        <v>2426</v>
      </c>
      <c r="J33" s="48"/>
      <c r="K33" s="49" t="n">
        <f aca="false">IF(H33="covered",1,IF(H33="partial",0.5,0))</f>
        <v>1</v>
      </c>
    </row>
    <row r="34" customFormat="false" ht="15" hidden="false" customHeight="true" outlineLevel="0" collapsed="false">
      <c r="A34" s="47" t="n">
        <v>26</v>
      </c>
      <c r="B34" s="48" t="s">
        <v>479</v>
      </c>
      <c r="C34" s="48" t="s">
        <v>2156</v>
      </c>
      <c r="D34" s="48" t="s">
        <v>481</v>
      </c>
      <c r="E34" s="47" t="s">
        <v>459</v>
      </c>
      <c r="F34" s="47" t="s">
        <v>459</v>
      </c>
      <c r="G34" s="47" t="s">
        <v>110</v>
      </c>
      <c r="H34" s="47" t="s">
        <v>461</v>
      </c>
      <c r="I34" s="48" t="s">
        <v>2426</v>
      </c>
      <c r="J34" s="48"/>
      <c r="K34" s="49" t="n">
        <f aca="false">IF(H34="covered",1,IF(H34="partial",0.5,0))</f>
        <v>1</v>
      </c>
    </row>
    <row r="35" customFormat="false" ht="15" hidden="false" customHeight="true" outlineLevel="0" collapsed="false">
      <c r="A35" s="47" t="n">
        <v>27</v>
      </c>
      <c r="B35" s="48" t="s">
        <v>457</v>
      </c>
      <c r="C35" s="48" t="s">
        <v>2156</v>
      </c>
      <c r="D35" s="48" t="s">
        <v>482</v>
      </c>
      <c r="E35" s="47" t="s">
        <v>459</v>
      </c>
      <c r="F35" s="47" t="s">
        <v>459</v>
      </c>
      <c r="G35" s="47" t="s">
        <v>110</v>
      </c>
      <c r="H35" s="47" t="s">
        <v>461</v>
      </c>
      <c r="I35" s="48" t="s">
        <v>2426</v>
      </c>
      <c r="J35" s="48"/>
      <c r="K35" s="49" t="n">
        <f aca="false">IF(H35="covered",1,IF(H35="partial",0.5,0))</f>
        <v>1</v>
      </c>
    </row>
    <row r="36" customFormat="false" ht="15" hidden="false" customHeight="true" outlineLevel="0" collapsed="false">
      <c r="A36" s="47" t="n">
        <v>28</v>
      </c>
      <c r="B36" s="48" t="s">
        <v>774</v>
      </c>
      <c r="C36" s="48" t="s">
        <v>2156</v>
      </c>
      <c r="D36" s="48" t="s">
        <v>775</v>
      </c>
      <c r="E36" s="47" t="s">
        <v>459</v>
      </c>
      <c r="F36" s="47" t="s">
        <v>459</v>
      </c>
      <c r="G36" s="47" t="s">
        <v>110</v>
      </c>
      <c r="H36" s="47" t="s">
        <v>461</v>
      </c>
      <c r="I36" s="48" t="s">
        <v>2426</v>
      </c>
      <c r="J36" s="48"/>
      <c r="K36" s="49" t="n">
        <f aca="false">IF(H36="covered",1,IF(H36="partial",0.5,0))</f>
        <v>1</v>
      </c>
    </row>
    <row r="37" customFormat="false" ht="15" hidden="false" customHeight="true" outlineLevel="0" collapsed="false">
      <c r="A37" s="47" t="n">
        <v>29</v>
      </c>
      <c r="B37" s="48" t="s">
        <v>483</v>
      </c>
      <c r="C37" s="48" t="s">
        <v>2156</v>
      </c>
      <c r="D37" s="48" t="s">
        <v>484</v>
      </c>
      <c r="E37" s="47" t="s">
        <v>459</v>
      </c>
      <c r="F37" s="47" t="s">
        <v>459</v>
      </c>
      <c r="G37" s="47" t="s">
        <v>110</v>
      </c>
      <c r="H37" s="47" t="s">
        <v>461</v>
      </c>
      <c r="I37" s="48" t="s">
        <v>2426</v>
      </c>
      <c r="J37" s="48"/>
      <c r="K37" s="49" t="n">
        <f aca="false">IF(H37="covered",1,IF(H37="partial",0.5,0))</f>
        <v>1</v>
      </c>
    </row>
    <row r="38" customFormat="false" ht="15" hidden="false" customHeight="true" outlineLevel="0" collapsed="false">
      <c r="A38" s="47" t="n">
        <v>30</v>
      </c>
      <c r="B38" s="48" t="s">
        <v>483</v>
      </c>
      <c r="C38" s="48" t="s">
        <v>2156</v>
      </c>
      <c r="D38" s="48" t="s">
        <v>485</v>
      </c>
      <c r="E38" s="47" t="s">
        <v>459</v>
      </c>
      <c r="F38" s="47" t="s">
        <v>459</v>
      </c>
      <c r="G38" s="47" t="s">
        <v>110</v>
      </c>
      <c r="H38" s="47" t="s">
        <v>461</v>
      </c>
      <c r="I38" s="48" t="s">
        <v>2426</v>
      </c>
      <c r="J38" s="48"/>
      <c r="K38" s="49" t="n">
        <f aca="false">IF(H38="covered",1,IF(H38="partial",0.5,0))</f>
        <v>1</v>
      </c>
    </row>
    <row r="39" customFormat="false" ht="15" hidden="false" customHeight="true" outlineLevel="0" collapsed="false">
      <c r="A39" s="47" t="n">
        <v>31</v>
      </c>
      <c r="B39" s="48" t="s">
        <v>486</v>
      </c>
      <c r="C39" s="48" t="s">
        <v>2156</v>
      </c>
      <c r="D39" s="48" t="s">
        <v>2431</v>
      </c>
      <c r="E39" s="47" t="s">
        <v>459</v>
      </c>
      <c r="F39" s="47" t="s">
        <v>459</v>
      </c>
      <c r="G39" s="47" t="s">
        <v>110</v>
      </c>
      <c r="H39" s="47" t="s">
        <v>461</v>
      </c>
      <c r="I39" s="48" t="s">
        <v>2426</v>
      </c>
      <c r="J39" s="48"/>
      <c r="K39" s="49" t="n">
        <f aca="false">IF(H39="covered",1,IF(H39="partial",0.5,0))</f>
        <v>1</v>
      </c>
    </row>
    <row r="40" customFormat="false" ht="15" hidden="false" customHeight="true" outlineLevel="0" collapsed="false">
      <c r="A40" s="47" t="n">
        <v>32</v>
      </c>
      <c r="B40" s="48" t="s">
        <v>486</v>
      </c>
      <c r="C40" s="48" t="s">
        <v>2156</v>
      </c>
      <c r="D40" s="48" t="s">
        <v>2432</v>
      </c>
      <c r="E40" s="47" t="s">
        <v>459</v>
      </c>
      <c r="F40" s="47" t="s">
        <v>459</v>
      </c>
      <c r="G40" s="47" t="s">
        <v>110</v>
      </c>
      <c r="H40" s="47" t="s">
        <v>461</v>
      </c>
      <c r="I40" s="48" t="s">
        <v>2426</v>
      </c>
      <c r="J40" s="48"/>
      <c r="K40" s="49" t="n">
        <f aca="false">IF(H40="covered",1,IF(H40="partial",0.5,0))</f>
        <v>1</v>
      </c>
    </row>
    <row r="41" customFormat="false" ht="15" hidden="false" customHeight="true" outlineLevel="0" collapsed="false">
      <c r="A41" s="47" t="n">
        <v>33</v>
      </c>
      <c r="B41" s="48" t="s">
        <v>882</v>
      </c>
      <c r="C41" s="48" t="s">
        <v>2156</v>
      </c>
      <c r="D41" s="48" t="s">
        <v>883</v>
      </c>
      <c r="E41" s="47" t="s">
        <v>459</v>
      </c>
      <c r="F41" s="47" t="s">
        <v>459</v>
      </c>
      <c r="G41" s="47" t="s">
        <v>110</v>
      </c>
      <c r="H41" s="47" t="s">
        <v>461</v>
      </c>
      <c r="I41" s="48" t="s">
        <v>2426</v>
      </c>
      <c r="J41" s="48"/>
      <c r="K41" s="49" t="n">
        <f aca="false">IF(H41="covered",1,IF(H41="partial",0.5,0))</f>
        <v>1</v>
      </c>
    </row>
    <row r="42" customFormat="false" ht="15" hidden="false" customHeight="true" outlineLevel="0" collapsed="false">
      <c r="A42" s="47" t="n">
        <v>34</v>
      </c>
      <c r="B42" s="48" t="s">
        <v>882</v>
      </c>
      <c r="C42" s="48" t="s">
        <v>2156</v>
      </c>
      <c r="D42" s="48" t="s">
        <v>1058</v>
      </c>
      <c r="E42" s="47" t="s">
        <v>459</v>
      </c>
      <c r="F42" s="47" t="s">
        <v>459</v>
      </c>
      <c r="G42" s="47" t="s">
        <v>110</v>
      </c>
      <c r="H42" s="47" t="s">
        <v>461</v>
      </c>
      <c r="I42" s="48" t="s">
        <v>2426</v>
      </c>
      <c r="J42" s="48"/>
      <c r="K42" s="49" t="n">
        <f aca="false">IF(H42="covered",1,IF(H42="partial",0.5,0))</f>
        <v>1</v>
      </c>
    </row>
    <row r="43" customFormat="false" ht="15" hidden="false" customHeight="true" outlineLevel="0" collapsed="false">
      <c r="A43" s="47" t="n">
        <v>35</v>
      </c>
      <c r="B43" s="48" t="s">
        <v>486</v>
      </c>
      <c r="C43" s="48" t="s">
        <v>2156</v>
      </c>
      <c r="D43" s="48" t="s">
        <v>495</v>
      </c>
      <c r="E43" s="47" t="s">
        <v>459</v>
      </c>
      <c r="F43" s="47" t="s">
        <v>459</v>
      </c>
      <c r="G43" s="47" t="s">
        <v>110</v>
      </c>
      <c r="H43" s="47" t="s">
        <v>461</v>
      </c>
      <c r="I43" s="48" t="s">
        <v>2426</v>
      </c>
      <c r="J43" s="48"/>
      <c r="K43" s="49" t="n">
        <f aca="false">IF(H43="covered",1,IF(H43="partial",0.5,0))</f>
        <v>1</v>
      </c>
    </row>
    <row r="44" customFormat="false" ht="15" hidden="false" customHeight="true" outlineLevel="0" collapsed="false">
      <c r="A44" s="47" t="n">
        <v>36</v>
      </c>
      <c r="B44" s="48" t="s">
        <v>486</v>
      </c>
      <c r="C44" s="48" t="s">
        <v>2156</v>
      </c>
      <c r="D44" s="48" t="s">
        <v>496</v>
      </c>
      <c r="E44" s="47" t="s">
        <v>459</v>
      </c>
      <c r="F44" s="47" t="s">
        <v>459</v>
      </c>
      <c r="G44" s="47" t="s">
        <v>110</v>
      </c>
      <c r="H44" s="47" t="s">
        <v>461</v>
      </c>
      <c r="I44" s="48" t="s">
        <v>2426</v>
      </c>
      <c r="J44" s="48"/>
      <c r="K44" s="49" t="n">
        <f aca="false">IF(H44="covered",1,IF(H44="partial",0.5,0))</f>
        <v>1</v>
      </c>
    </row>
    <row r="45" customFormat="false" ht="15" hidden="false" customHeight="true" outlineLevel="0" collapsed="false">
      <c r="A45" s="47" t="n">
        <v>37</v>
      </c>
      <c r="B45" s="48" t="s">
        <v>505</v>
      </c>
      <c r="C45" s="48" t="s">
        <v>506</v>
      </c>
      <c r="D45" s="48" t="s">
        <v>783</v>
      </c>
      <c r="E45" s="47" t="s">
        <v>459</v>
      </c>
      <c r="F45" s="47" t="s">
        <v>459</v>
      </c>
      <c r="G45" s="47" t="s">
        <v>110</v>
      </c>
      <c r="H45" s="47" t="s">
        <v>461</v>
      </c>
      <c r="I45" s="48" t="s">
        <v>2426</v>
      </c>
      <c r="J45" s="48"/>
      <c r="K45" s="49" t="n">
        <f aca="false">IF(H45="covered",1,IF(H45="partial",0.5,0))</f>
        <v>1</v>
      </c>
    </row>
    <row r="46" customFormat="false" ht="15" hidden="false" customHeight="true" outlineLevel="0" collapsed="false">
      <c r="A46" s="47" t="n">
        <v>38</v>
      </c>
      <c r="B46" s="48" t="s">
        <v>505</v>
      </c>
      <c r="C46" s="48" t="s">
        <v>506</v>
      </c>
      <c r="D46" s="48" t="s">
        <v>510</v>
      </c>
      <c r="E46" s="47" t="s">
        <v>459</v>
      </c>
      <c r="F46" s="47" t="s">
        <v>459</v>
      </c>
      <c r="G46" s="47" t="s">
        <v>110</v>
      </c>
      <c r="H46" s="47" t="s">
        <v>461</v>
      </c>
      <c r="I46" s="48" t="s">
        <v>2426</v>
      </c>
      <c r="J46" s="48"/>
      <c r="K46" s="49" t="n">
        <f aca="false">IF(H46="covered",1,IF(H46="partial",0.5,0))</f>
        <v>1</v>
      </c>
    </row>
    <row r="47" customFormat="false" ht="15" hidden="false" customHeight="true" outlineLevel="0" collapsed="false">
      <c r="A47" s="47" t="n">
        <v>39</v>
      </c>
      <c r="B47" s="48" t="s">
        <v>511</v>
      </c>
      <c r="C47" s="48" t="s">
        <v>506</v>
      </c>
      <c r="D47" s="48" t="s">
        <v>513</v>
      </c>
      <c r="E47" s="47" t="s">
        <v>459</v>
      </c>
      <c r="F47" s="47" t="s">
        <v>459</v>
      </c>
      <c r="G47" s="47" t="s">
        <v>110</v>
      </c>
      <c r="H47" s="47" t="s">
        <v>461</v>
      </c>
      <c r="I47" s="48" t="s">
        <v>2426</v>
      </c>
      <c r="J47" s="48"/>
      <c r="K47" s="49" t="n">
        <f aca="false">IF(H47="covered",1,IF(H47="partial",0.5,0))</f>
        <v>1</v>
      </c>
    </row>
    <row r="48" customFormat="false" ht="15" hidden="false" customHeight="true" outlineLevel="0" collapsed="false">
      <c r="A48" s="47" t="n">
        <v>40</v>
      </c>
      <c r="B48" s="48" t="s">
        <v>511</v>
      </c>
      <c r="C48" s="48" t="s">
        <v>506</v>
      </c>
      <c r="D48" s="48" t="s">
        <v>514</v>
      </c>
      <c r="E48" s="47" t="s">
        <v>459</v>
      </c>
      <c r="F48" s="47" t="s">
        <v>459</v>
      </c>
      <c r="G48" s="47" t="s">
        <v>110</v>
      </c>
      <c r="H48" s="47" t="s">
        <v>461</v>
      </c>
      <c r="I48" s="48" t="s">
        <v>2426</v>
      </c>
      <c r="J48" s="48"/>
      <c r="K48" s="49" t="n">
        <f aca="false">IF(H48="covered",1,IF(H48="partial",0.5,0))</f>
        <v>1</v>
      </c>
    </row>
    <row r="49" customFormat="false" ht="15" hidden="false" customHeight="true" outlineLevel="0" collapsed="false">
      <c r="A49" s="47" t="n">
        <v>41</v>
      </c>
      <c r="B49" s="48" t="s">
        <v>483</v>
      </c>
      <c r="C49" s="48" t="s">
        <v>60</v>
      </c>
      <c r="D49" s="48" t="s">
        <v>516</v>
      </c>
      <c r="E49" s="47" t="s">
        <v>459</v>
      </c>
      <c r="F49" s="47" t="s">
        <v>459</v>
      </c>
      <c r="G49" s="47" t="s">
        <v>110</v>
      </c>
      <c r="H49" s="47" t="s">
        <v>461</v>
      </c>
      <c r="I49" s="48" t="s">
        <v>2426</v>
      </c>
      <c r="J49" s="48"/>
      <c r="K49" s="49" t="n">
        <f aca="false">IF(H49="covered",1,IF(H49="partial",0.5,0))</f>
        <v>1</v>
      </c>
    </row>
    <row r="50" customFormat="false" ht="15" hidden="false" customHeight="true" outlineLevel="0" collapsed="false">
      <c r="A50" s="47" t="n">
        <v>42</v>
      </c>
      <c r="B50" s="48" t="s">
        <v>483</v>
      </c>
      <c r="C50" s="48" t="s">
        <v>60</v>
      </c>
      <c r="D50" s="48" t="s">
        <v>517</v>
      </c>
      <c r="E50" s="47" t="s">
        <v>459</v>
      </c>
      <c r="F50" s="47" t="s">
        <v>459</v>
      </c>
      <c r="G50" s="47" t="s">
        <v>110</v>
      </c>
      <c r="H50" s="47" t="s">
        <v>461</v>
      </c>
      <c r="I50" s="48" t="s">
        <v>2426</v>
      </c>
      <c r="J50" s="48"/>
      <c r="K50" s="49" t="n">
        <f aca="false">IF(H50="covered",1,IF(H50="partial",0.5,0))</f>
        <v>1</v>
      </c>
    </row>
    <row r="51" customFormat="false" ht="15" hidden="false" customHeight="true" outlineLevel="0" collapsed="false">
      <c r="A51" s="47" t="n">
        <v>43</v>
      </c>
      <c r="B51" s="48" t="s">
        <v>483</v>
      </c>
      <c r="C51" s="48" t="s">
        <v>60</v>
      </c>
      <c r="D51" s="48" t="s">
        <v>519</v>
      </c>
      <c r="E51" s="47" t="s">
        <v>459</v>
      </c>
      <c r="F51" s="47" t="s">
        <v>459</v>
      </c>
      <c r="G51" s="47" t="s">
        <v>110</v>
      </c>
      <c r="H51" s="47" t="s">
        <v>461</v>
      </c>
      <c r="I51" s="48" t="s">
        <v>2426</v>
      </c>
      <c r="J51" s="48"/>
      <c r="K51" s="49" t="n">
        <f aca="false">IF(H51="covered",1,IF(H51="partial",0.5,0))</f>
        <v>1</v>
      </c>
    </row>
    <row r="52" customFormat="false" ht="15" hidden="false" customHeight="true" outlineLevel="0" collapsed="false">
      <c r="A52" s="47" t="n">
        <v>44</v>
      </c>
      <c r="B52" s="48" t="s">
        <v>483</v>
      </c>
      <c r="C52" s="48" t="s">
        <v>60</v>
      </c>
      <c r="D52" s="48" t="s">
        <v>520</v>
      </c>
      <c r="E52" s="47" t="s">
        <v>459</v>
      </c>
      <c r="F52" s="47" t="s">
        <v>459</v>
      </c>
      <c r="G52" s="47" t="s">
        <v>110</v>
      </c>
      <c r="H52" s="47" t="s">
        <v>461</v>
      </c>
      <c r="I52" s="48" t="s">
        <v>2426</v>
      </c>
      <c r="J52" s="48"/>
      <c r="K52" s="49" t="n">
        <f aca="false">IF(H52="covered",1,IF(H52="partial",0.5,0))</f>
        <v>1</v>
      </c>
    </row>
    <row r="53" customFormat="false" ht="15" hidden="false" customHeight="true" outlineLevel="0" collapsed="false">
      <c r="A53" s="47" t="n">
        <v>45</v>
      </c>
      <c r="B53" s="48" t="s">
        <v>794</v>
      </c>
      <c r="C53" s="48" t="s">
        <v>60</v>
      </c>
      <c r="D53" s="48" t="s">
        <v>2433</v>
      </c>
      <c r="E53" s="47" t="s">
        <v>459</v>
      </c>
      <c r="F53" s="47" t="s">
        <v>459</v>
      </c>
      <c r="G53" s="47" t="s">
        <v>110</v>
      </c>
      <c r="H53" s="47" t="s">
        <v>461</v>
      </c>
      <c r="I53" s="48" t="s">
        <v>2426</v>
      </c>
      <c r="J53" s="48"/>
      <c r="K53" s="49" t="n">
        <f aca="false">IF(H53="covered",1,IF(H53="partial",0.5,0))</f>
        <v>1</v>
      </c>
    </row>
    <row r="54" customFormat="false" ht="15" hidden="false" customHeight="true" outlineLevel="0" collapsed="false">
      <c r="A54" s="47" t="n">
        <v>46</v>
      </c>
      <c r="B54" s="48" t="s">
        <v>794</v>
      </c>
      <c r="C54" s="48" t="s">
        <v>60</v>
      </c>
      <c r="D54" s="48" t="s">
        <v>2434</v>
      </c>
      <c r="E54" s="47" t="s">
        <v>459</v>
      </c>
      <c r="F54" s="47" t="s">
        <v>459</v>
      </c>
      <c r="G54" s="47" t="s">
        <v>110</v>
      </c>
      <c r="H54" s="47" t="s">
        <v>461</v>
      </c>
      <c r="I54" s="48" t="s">
        <v>2426</v>
      </c>
      <c r="J54" s="48"/>
      <c r="K54" s="49" t="n">
        <f aca="false">IF(H54="covered",1,IF(H54="partial",0.5,0))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2435</v>
      </c>
      <c r="B1" s="26"/>
      <c r="C1" s="26"/>
      <c r="D1" s="26"/>
      <c r="E1" s="26"/>
      <c r="F1" s="26"/>
      <c r="G1" s="26"/>
      <c r="H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163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51" t="n">
        <v>1</v>
      </c>
      <c r="B9" s="52" t="s">
        <v>456</v>
      </c>
      <c r="C9" s="52" t="s">
        <v>457</v>
      </c>
      <c r="D9" s="52" t="s">
        <v>458</v>
      </c>
      <c r="E9" s="51" t="s">
        <v>459</v>
      </c>
      <c r="F9" s="51" t="s">
        <v>459</v>
      </c>
      <c r="G9" s="51" t="s">
        <v>907</v>
      </c>
      <c r="H9" s="51" t="s">
        <v>461</v>
      </c>
      <c r="I9" s="52" t="s">
        <v>2436</v>
      </c>
      <c r="J9" s="52"/>
      <c r="K9" s="53" t="n">
        <f aca="false">IF(AND(E9="yes",F9="yes",H9="covered"),1,IF(H9="partial",0.5,0))</f>
        <v>1</v>
      </c>
    </row>
    <row r="10" customFormat="false" ht="15" hidden="false" customHeight="true" outlineLevel="0" collapsed="false">
      <c r="A10" s="51" t="n">
        <v>2</v>
      </c>
      <c r="B10" s="52" t="s">
        <v>456</v>
      </c>
      <c r="C10" s="52" t="s">
        <v>457</v>
      </c>
      <c r="D10" s="52" t="s">
        <v>463</v>
      </c>
      <c r="E10" s="51" t="s">
        <v>459</v>
      </c>
      <c r="F10" s="51" t="s">
        <v>459</v>
      </c>
      <c r="G10" s="51" t="s">
        <v>907</v>
      </c>
      <c r="H10" s="51" t="s">
        <v>461</v>
      </c>
      <c r="I10" s="52" t="s">
        <v>2436</v>
      </c>
      <c r="J10" s="52"/>
      <c r="K10" s="53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51" t="n">
        <v>3</v>
      </c>
      <c r="B11" s="52" t="s">
        <v>486</v>
      </c>
      <c r="C11" s="52" t="s">
        <v>476</v>
      </c>
      <c r="D11" s="52" t="s">
        <v>2437</v>
      </c>
      <c r="E11" s="51" t="s">
        <v>459</v>
      </c>
      <c r="F11" s="51" t="s">
        <v>459</v>
      </c>
      <c r="G11" s="51" t="s">
        <v>907</v>
      </c>
      <c r="H11" s="51" t="s">
        <v>461</v>
      </c>
      <c r="I11" s="52" t="s">
        <v>2436</v>
      </c>
      <c r="J11" s="52"/>
      <c r="K11" s="53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51" t="n">
        <v>4</v>
      </c>
      <c r="B12" s="52" t="s">
        <v>486</v>
      </c>
      <c r="C12" s="52" t="s">
        <v>476</v>
      </c>
      <c r="D12" s="52" t="s">
        <v>2438</v>
      </c>
      <c r="E12" s="51" t="s">
        <v>459</v>
      </c>
      <c r="F12" s="51" t="s">
        <v>459</v>
      </c>
      <c r="G12" s="51" t="s">
        <v>907</v>
      </c>
      <c r="H12" s="51" t="s">
        <v>461</v>
      </c>
      <c r="I12" s="52" t="s">
        <v>2436</v>
      </c>
      <c r="J12" s="52"/>
      <c r="K12" s="53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51" t="n">
        <v>5</v>
      </c>
      <c r="B13" s="52" t="s">
        <v>486</v>
      </c>
      <c r="C13" s="52" t="s">
        <v>476</v>
      </c>
      <c r="D13" s="52" t="s">
        <v>2439</v>
      </c>
      <c r="E13" s="51" t="s">
        <v>459</v>
      </c>
      <c r="F13" s="51" t="s">
        <v>459</v>
      </c>
      <c r="G13" s="51" t="s">
        <v>907</v>
      </c>
      <c r="H13" s="51" t="s">
        <v>461</v>
      </c>
      <c r="I13" s="52" t="s">
        <v>2436</v>
      </c>
      <c r="J13" s="52"/>
      <c r="K13" s="53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51" t="n">
        <v>6</v>
      </c>
      <c r="B14" s="52" t="s">
        <v>486</v>
      </c>
      <c r="C14" s="52" t="s">
        <v>476</v>
      </c>
      <c r="D14" s="52" t="s">
        <v>1334</v>
      </c>
      <c r="E14" s="51" t="s">
        <v>459</v>
      </c>
      <c r="F14" s="51" t="s">
        <v>459</v>
      </c>
      <c r="G14" s="51" t="s">
        <v>907</v>
      </c>
      <c r="H14" s="51" t="s">
        <v>461</v>
      </c>
      <c r="I14" s="52" t="s">
        <v>2436</v>
      </c>
      <c r="J14" s="52"/>
      <c r="K14" s="53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51" t="n">
        <v>7</v>
      </c>
      <c r="B15" s="52" t="s">
        <v>486</v>
      </c>
      <c r="C15" s="52" t="s">
        <v>476</v>
      </c>
      <c r="D15" s="52" t="s">
        <v>2440</v>
      </c>
      <c r="E15" s="51" t="s">
        <v>459</v>
      </c>
      <c r="F15" s="51" t="s">
        <v>459</v>
      </c>
      <c r="G15" s="51" t="s">
        <v>907</v>
      </c>
      <c r="H15" s="51" t="s">
        <v>461</v>
      </c>
      <c r="I15" s="52" t="s">
        <v>2436</v>
      </c>
      <c r="J15" s="52"/>
      <c r="K15" s="53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51" t="n">
        <v>8</v>
      </c>
      <c r="B16" s="52" t="s">
        <v>486</v>
      </c>
      <c r="C16" s="52" t="s">
        <v>476</v>
      </c>
      <c r="D16" s="52" t="s">
        <v>1337</v>
      </c>
      <c r="E16" s="51" t="s">
        <v>459</v>
      </c>
      <c r="F16" s="51" t="s">
        <v>459</v>
      </c>
      <c r="G16" s="51" t="s">
        <v>907</v>
      </c>
      <c r="H16" s="51" t="s">
        <v>461</v>
      </c>
      <c r="I16" s="52" t="s">
        <v>2436</v>
      </c>
      <c r="J16" s="52"/>
      <c r="K16" s="53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51" t="n">
        <v>9</v>
      </c>
      <c r="B17" s="52" t="s">
        <v>486</v>
      </c>
      <c r="C17" s="52" t="s">
        <v>476</v>
      </c>
      <c r="D17" s="52" t="s">
        <v>1339</v>
      </c>
      <c r="E17" s="51" t="s">
        <v>459</v>
      </c>
      <c r="F17" s="51" t="s">
        <v>459</v>
      </c>
      <c r="G17" s="51" t="s">
        <v>907</v>
      </c>
      <c r="H17" s="51" t="s">
        <v>461</v>
      </c>
      <c r="I17" s="52" t="s">
        <v>2436</v>
      </c>
      <c r="J17" s="52"/>
      <c r="K17" s="53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51" t="n">
        <v>10</v>
      </c>
      <c r="B18" s="52" t="s">
        <v>486</v>
      </c>
      <c r="C18" s="52" t="s">
        <v>476</v>
      </c>
      <c r="D18" s="52" t="s">
        <v>2441</v>
      </c>
      <c r="E18" s="51" t="s">
        <v>459</v>
      </c>
      <c r="F18" s="51" t="s">
        <v>459</v>
      </c>
      <c r="G18" s="51" t="s">
        <v>907</v>
      </c>
      <c r="H18" s="51" t="s">
        <v>461</v>
      </c>
      <c r="I18" s="52" t="s">
        <v>2436</v>
      </c>
      <c r="J18" s="52"/>
      <c r="K18" s="53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51" t="n">
        <v>11</v>
      </c>
      <c r="B19" s="52" t="s">
        <v>486</v>
      </c>
      <c r="C19" s="52" t="s">
        <v>476</v>
      </c>
      <c r="D19" s="52" t="s">
        <v>2442</v>
      </c>
      <c r="E19" s="51" t="s">
        <v>459</v>
      </c>
      <c r="F19" s="51" t="s">
        <v>459</v>
      </c>
      <c r="G19" s="51" t="s">
        <v>907</v>
      </c>
      <c r="H19" s="51" t="s">
        <v>461</v>
      </c>
      <c r="I19" s="52" t="s">
        <v>2436</v>
      </c>
      <c r="J19" s="52"/>
      <c r="K19" s="53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51" t="n">
        <v>12</v>
      </c>
      <c r="B20" s="52" t="s">
        <v>486</v>
      </c>
      <c r="C20" s="52" t="s">
        <v>476</v>
      </c>
      <c r="D20" s="52" t="s">
        <v>2443</v>
      </c>
      <c r="E20" s="51" t="s">
        <v>459</v>
      </c>
      <c r="F20" s="51" t="s">
        <v>459</v>
      </c>
      <c r="G20" s="51" t="s">
        <v>907</v>
      </c>
      <c r="H20" s="51" t="s">
        <v>461</v>
      </c>
      <c r="I20" s="52" t="s">
        <v>2436</v>
      </c>
      <c r="J20" s="52"/>
      <c r="K20" s="53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51" t="n">
        <v>13</v>
      </c>
      <c r="B21" s="52" t="s">
        <v>2444</v>
      </c>
      <c r="C21" s="52" t="s">
        <v>476</v>
      </c>
      <c r="D21" s="52" t="s">
        <v>2445</v>
      </c>
      <c r="E21" s="51" t="s">
        <v>459</v>
      </c>
      <c r="F21" s="51" t="s">
        <v>459</v>
      </c>
      <c r="G21" s="51" t="s">
        <v>907</v>
      </c>
      <c r="H21" s="51" t="s">
        <v>461</v>
      </c>
      <c r="I21" s="52" t="s">
        <v>2436</v>
      </c>
      <c r="J21" s="52"/>
      <c r="K21" s="53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51" t="n">
        <v>14</v>
      </c>
      <c r="B22" s="52" t="s">
        <v>2444</v>
      </c>
      <c r="C22" s="52" t="s">
        <v>476</v>
      </c>
      <c r="D22" s="52" t="s">
        <v>2446</v>
      </c>
      <c r="E22" s="51" t="s">
        <v>459</v>
      </c>
      <c r="F22" s="51" t="s">
        <v>459</v>
      </c>
      <c r="G22" s="51" t="s">
        <v>907</v>
      </c>
      <c r="H22" s="51" t="s">
        <v>461</v>
      </c>
      <c r="I22" s="52" t="s">
        <v>2436</v>
      </c>
      <c r="J22" s="52"/>
      <c r="K22" s="53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51" t="n">
        <v>15</v>
      </c>
      <c r="B23" s="52" t="s">
        <v>2444</v>
      </c>
      <c r="C23" s="52" t="s">
        <v>498</v>
      </c>
      <c r="D23" s="52" t="s">
        <v>2447</v>
      </c>
      <c r="E23" s="51" t="s">
        <v>459</v>
      </c>
      <c r="F23" s="51" t="s">
        <v>459</v>
      </c>
      <c r="G23" s="51" t="s">
        <v>907</v>
      </c>
      <c r="H23" s="51" t="s">
        <v>461</v>
      </c>
      <c r="I23" s="52" t="s">
        <v>2436</v>
      </c>
      <c r="J23" s="52"/>
      <c r="K23" s="53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51" t="n">
        <v>16</v>
      </c>
      <c r="B24" s="52" t="s">
        <v>2444</v>
      </c>
      <c r="C24" s="52" t="s">
        <v>498</v>
      </c>
      <c r="D24" s="52" t="s">
        <v>2448</v>
      </c>
      <c r="E24" s="51" t="s">
        <v>459</v>
      </c>
      <c r="F24" s="51" t="s">
        <v>459</v>
      </c>
      <c r="G24" s="51" t="s">
        <v>907</v>
      </c>
      <c r="H24" s="51" t="s">
        <v>461</v>
      </c>
      <c r="I24" s="52" t="s">
        <v>2436</v>
      </c>
      <c r="J24" s="52"/>
      <c r="K24" s="53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51" t="n">
        <v>17</v>
      </c>
      <c r="B25" s="52" t="s">
        <v>2444</v>
      </c>
      <c r="C25" s="52" t="s">
        <v>498</v>
      </c>
      <c r="D25" s="52" t="s">
        <v>2449</v>
      </c>
      <c r="E25" s="51" t="s">
        <v>459</v>
      </c>
      <c r="F25" s="51" t="s">
        <v>459</v>
      </c>
      <c r="G25" s="51" t="s">
        <v>907</v>
      </c>
      <c r="H25" s="51" t="s">
        <v>461</v>
      </c>
      <c r="I25" s="52" t="s">
        <v>2436</v>
      </c>
      <c r="J25" s="52"/>
      <c r="K25" s="53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51" t="n">
        <v>18</v>
      </c>
      <c r="B26" s="52" t="s">
        <v>2444</v>
      </c>
      <c r="C26" s="52" t="s">
        <v>498</v>
      </c>
      <c r="D26" s="52" t="s">
        <v>2450</v>
      </c>
      <c r="E26" s="51" t="s">
        <v>459</v>
      </c>
      <c r="F26" s="51" t="s">
        <v>459</v>
      </c>
      <c r="G26" s="51" t="s">
        <v>907</v>
      </c>
      <c r="H26" s="51" t="s">
        <v>461</v>
      </c>
      <c r="I26" s="52" t="s">
        <v>2436</v>
      </c>
      <c r="J26" s="52"/>
      <c r="K26" s="53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51" t="n">
        <v>19</v>
      </c>
      <c r="B27" s="52" t="s">
        <v>486</v>
      </c>
      <c r="C27" s="52" t="s">
        <v>498</v>
      </c>
      <c r="D27" s="52" t="s">
        <v>1343</v>
      </c>
      <c r="E27" s="51" t="s">
        <v>459</v>
      </c>
      <c r="F27" s="51" t="s">
        <v>459</v>
      </c>
      <c r="G27" s="51" t="s">
        <v>907</v>
      </c>
      <c r="H27" s="51" t="s">
        <v>461</v>
      </c>
      <c r="I27" s="52" t="s">
        <v>2436</v>
      </c>
      <c r="J27" s="52"/>
      <c r="K27" s="53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51" t="n">
        <v>20</v>
      </c>
      <c r="B28" s="52" t="s">
        <v>486</v>
      </c>
      <c r="C28" s="52" t="s">
        <v>498</v>
      </c>
      <c r="D28" s="52" t="s">
        <v>2451</v>
      </c>
      <c r="E28" s="51" t="s">
        <v>459</v>
      </c>
      <c r="F28" s="51" t="s">
        <v>459</v>
      </c>
      <c r="G28" s="51" t="s">
        <v>907</v>
      </c>
      <c r="H28" s="51" t="s">
        <v>461</v>
      </c>
      <c r="I28" s="52" t="s">
        <v>2436</v>
      </c>
      <c r="J28" s="52"/>
      <c r="K28" s="53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51" t="n">
        <v>21</v>
      </c>
      <c r="B29" s="52" t="s">
        <v>486</v>
      </c>
      <c r="C29" s="52" t="s">
        <v>498</v>
      </c>
      <c r="D29" s="52" t="s">
        <v>1346</v>
      </c>
      <c r="E29" s="51" t="s">
        <v>459</v>
      </c>
      <c r="F29" s="51" t="s">
        <v>459</v>
      </c>
      <c r="G29" s="51" t="s">
        <v>907</v>
      </c>
      <c r="H29" s="51" t="s">
        <v>461</v>
      </c>
      <c r="I29" s="52" t="s">
        <v>2436</v>
      </c>
      <c r="J29" s="52"/>
      <c r="K29" s="53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51" t="n">
        <v>22</v>
      </c>
      <c r="B30" s="52" t="s">
        <v>486</v>
      </c>
      <c r="C30" s="52" t="s">
        <v>498</v>
      </c>
      <c r="D30" s="52" t="s">
        <v>2452</v>
      </c>
      <c r="E30" s="51" t="s">
        <v>459</v>
      </c>
      <c r="F30" s="51" t="s">
        <v>459</v>
      </c>
      <c r="G30" s="51" t="s">
        <v>907</v>
      </c>
      <c r="H30" s="51" t="s">
        <v>461</v>
      </c>
      <c r="I30" s="52" t="s">
        <v>2436</v>
      </c>
      <c r="J30" s="52"/>
      <c r="K30" s="53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51" t="n">
        <v>23</v>
      </c>
      <c r="B31" s="52" t="s">
        <v>486</v>
      </c>
      <c r="C31" s="52" t="s">
        <v>498</v>
      </c>
      <c r="D31" s="52" t="s">
        <v>2453</v>
      </c>
      <c r="E31" s="51" t="s">
        <v>459</v>
      </c>
      <c r="F31" s="51" t="s">
        <v>459</v>
      </c>
      <c r="G31" s="51" t="s">
        <v>907</v>
      </c>
      <c r="H31" s="51" t="s">
        <v>461</v>
      </c>
      <c r="I31" s="52" t="s">
        <v>2436</v>
      </c>
      <c r="J31" s="52"/>
      <c r="K31" s="53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51" t="n">
        <v>24</v>
      </c>
      <c r="B32" s="52" t="s">
        <v>486</v>
      </c>
      <c r="C32" s="52" t="s">
        <v>498</v>
      </c>
      <c r="D32" s="52" t="s">
        <v>2454</v>
      </c>
      <c r="E32" s="51" t="s">
        <v>459</v>
      </c>
      <c r="F32" s="51" t="s">
        <v>459</v>
      </c>
      <c r="G32" s="51" t="s">
        <v>907</v>
      </c>
      <c r="H32" s="51" t="s">
        <v>461</v>
      </c>
      <c r="I32" s="52" t="s">
        <v>2436</v>
      </c>
      <c r="J32" s="52"/>
      <c r="K32" s="53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51" t="n">
        <v>25</v>
      </c>
      <c r="B33" s="52" t="s">
        <v>486</v>
      </c>
      <c r="C33" s="52" t="s">
        <v>498</v>
      </c>
      <c r="D33" s="52" t="s">
        <v>2455</v>
      </c>
      <c r="E33" s="51" t="s">
        <v>459</v>
      </c>
      <c r="F33" s="51" t="s">
        <v>459</v>
      </c>
      <c r="G33" s="51" t="s">
        <v>907</v>
      </c>
      <c r="H33" s="51" t="s">
        <v>461</v>
      </c>
      <c r="I33" s="52" t="s">
        <v>2436</v>
      </c>
      <c r="J33" s="52"/>
      <c r="K33" s="53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51" t="n">
        <v>26</v>
      </c>
      <c r="B34" s="52" t="s">
        <v>486</v>
      </c>
      <c r="C34" s="52" t="s">
        <v>498</v>
      </c>
      <c r="D34" s="52" t="s">
        <v>2456</v>
      </c>
      <c r="E34" s="51" t="s">
        <v>459</v>
      </c>
      <c r="F34" s="51" t="s">
        <v>459</v>
      </c>
      <c r="G34" s="51" t="s">
        <v>907</v>
      </c>
      <c r="H34" s="51" t="s">
        <v>461</v>
      </c>
      <c r="I34" s="52" t="s">
        <v>2436</v>
      </c>
      <c r="J34" s="52"/>
      <c r="K34" s="53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51" t="n">
        <v>27</v>
      </c>
      <c r="B35" s="52" t="s">
        <v>486</v>
      </c>
      <c r="C35" s="52" t="s">
        <v>498</v>
      </c>
      <c r="D35" s="52" t="s">
        <v>2457</v>
      </c>
      <c r="E35" s="51" t="s">
        <v>459</v>
      </c>
      <c r="F35" s="51" t="s">
        <v>459</v>
      </c>
      <c r="G35" s="51" t="s">
        <v>907</v>
      </c>
      <c r="H35" s="51" t="s">
        <v>461</v>
      </c>
      <c r="I35" s="52" t="s">
        <v>2436</v>
      </c>
      <c r="J35" s="52"/>
      <c r="K35" s="53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51" t="n">
        <v>28</v>
      </c>
      <c r="B36" s="52" t="s">
        <v>486</v>
      </c>
      <c r="C36" s="52" t="s">
        <v>498</v>
      </c>
      <c r="D36" s="52" t="s">
        <v>2458</v>
      </c>
      <c r="E36" s="51" t="s">
        <v>459</v>
      </c>
      <c r="F36" s="51" t="s">
        <v>459</v>
      </c>
      <c r="G36" s="51" t="s">
        <v>907</v>
      </c>
      <c r="H36" s="51" t="s">
        <v>461</v>
      </c>
      <c r="I36" s="52" t="s">
        <v>2436</v>
      </c>
      <c r="J36" s="52"/>
      <c r="K36" s="53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51" t="n">
        <v>29</v>
      </c>
      <c r="B37" s="52" t="s">
        <v>486</v>
      </c>
      <c r="C37" s="52" t="s">
        <v>498</v>
      </c>
      <c r="D37" s="52" t="s">
        <v>1348</v>
      </c>
      <c r="E37" s="51" t="s">
        <v>459</v>
      </c>
      <c r="F37" s="51" t="s">
        <v>459</v>
      </c>
      <c r="G37" s="51" t="s">
        <v>907</v>
      </c>
      <c r="H37" s="51" t="s">
        <v>461</v>
      </c>
      <c r="I37" s="52" t="s">
        <v>2436</v>
      </c>
      <c r="J37" s="52"/>
      <c r="K37" s="53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51" t="n">
        <v>30</v>
      </c>
      <c r="B38" s="52" t="s">
        <v>486</v>
      </c>
      <c r="C38" s="52" t="s">
        <v>498</v>
      </c>
      <c r="D38" s="52" t="s">
        <v>2459</v>
      </c>
      <c r="E38" s="51" t="s">
        <v>459</v>
      </c>
      <c r="F38" s="51" t="s">
        <v>459</v>
      </c>
      <c r="G38" s="51" t="s">
        <v>907</v>
      </c>
      <c r="H38" s="51" t="s">
        <v>461</v>
      </c>
      <c r="I38" s="52" t="s">
        <v>2436</v>
      </c>
      <c r="J38" s="52"/>
      <c r="K38" s="53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51" t="n">
        <v>31</v>
      </c>
      <c r="B39" s="52" t="s">
        <v>483</v>
      </c>
      <c r="C39" s="52" t="s">
        <v>498</v>
      </c>
      <c r="D39" s="52" t="s">
        <v>1351</v>
      </c>
      <c r="E39" s="51" t="s">
        <v>459</v>
      </c>
      <c r="F39" s="51" t="s">
        <v>459</v>
      </c>
      <c r="G39" s="51" t="s">
        <v>907</v>
      </c>
      <c r="H39" s="51" t="s">
        <v>461</v>
      </c>
      <c r="I39" s="52" t="s">
        <v>2436</v>
      </c>
      <c r="J39" s="52"/>
      <c r="K39" s="53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51" t="n">
        <v>32</v>
      </c>
      <c r="B40" s="52" t="s">
        <v>483</v>
      </c>
      <c r="C40" s="52" t="s">
        <v>498</v>
      </c>
      <c r="D40" s="52" t="s">
        <v>1352</v>
      </c>
      <c r="E40" s="51" t="s">
        <v>459</v>
      </c>
      <c r="F40" s="51" t="s">
        <v>459</v>
      </c>
      <c r="G40" s="51" t="s">
        <v>907</v>
      </c>
      <c r="H40" s="51" t="s">
        <v>461</v>
      </c>
      <c r="I40" s="52" t="s">
        <v>2436</v>
      </c>
      <c r="J40" s="52"/>
      <c r="K40" s="53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51" t="n">
        <v>33</v>
      </c>
      <c r="B41" s="52" t="s">
        <v>483</v>
      </c>
      <c r="C41" s="52" t="s">
        <v>498</v>
      </c>
      <c r="D41" s="52" t="s">
        <v>1353</v>
      </c>
      <c r="E41" s="51" t="s">
        <v>459</v>
      </c>
      <c r="F41" s="51" t="s">
        <v>459</v>
      </c>
      <c r="G41" s="51" t="s">
        <v>907</v>
      </c>
      <c r="H41" s="51" t="s">
        <v>461</v>
      </c>
      <c r="I41" s="52" t="s">
        <v>2436</v>
      </c>
      <c r="J41" s="52"/>
      <c r="K41" s="53" t="n">
        <f aca="false">IF(AND(E41="yes",F41="yes",H41="covered"),1,IF(H41="partial",0.5,0))</f>
        <v>1</v>
      </c>
    </row>
    <row r="42" customFormat="false" ht="45" hidden="false" customHeight="true" outlineLevel="0" collapsed="false">
      <c r="A42" s="51" t="n">
        <v>34</v>
      </c>
      <c r="B42" s="52" t="s">
        <v>483</v>
      </c>
      <c r="C42" s="52" t="s">
        <v>498</v>
      </c>
      <c r="D42" s="52" t="s">
        <v>1354</v>
      </c>
      <c r="E42" s="51" t="s">
        <v>459</v>
      </c>
      <c r="F42" s="51" t="s">
        <v>459</v>
      </c>
      <c r="G42" s="51" t="s">
        <v>907</v>
      </c>
      <c r="H42" s="51" t="s">
        <v>461</v>
      </c>
      <c r="I42" s="52" t="s">
        <v>2436</v>
      </c>
      <c r="J42" s="52"/>
      <c r="K42" s="53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51" t="n">
        <v>35</v>
      </c>
      <c r="B43" s="52" t="s">
        <v>774</v>
      </c>
      <c r="C43" s="52" t="s">
        <v>498</v>
      </c>
      <c r="D43" s="52" t="s">
        <v>1355</v>
      </c>
      <c r="E43" s="51" t="s">
        <v>459</v>
      </c>
      <c r="F43" s="51" t="s">
        <v>459</v>
      </c>
      <c r="G43" s="51" t="s">
        <v>907</v>
      </c>
      <c r="H43" s="51" t="s">
        <v>461</v>
      </c>
      <c r="I43" s="52" t="s">
        <v>2436</v>
      </c>
      <c r="J43" s="52"/>
      <c r="K43" s="53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51" t="n">
        <v>36</v>
      </c>
      <c r="B44" s="52" t="s">
        <v>457</v>
      </c>
      <c r="C44" s="52" t="s">
        <v>498</v>
      </c>
      <c r="D44" s="52" t="s">
        <v>1356</v>
      </c>
      <c r="E44" s="51" t="s">
        <v>459</v>
      </c>
      <c r="F44" s="51" t="s">
        <v>459</v>
      </c>
      <c r="G44" s="51" t="s">
        <v>907</v>
      </c>
      <c r="H44" s="51" t="s">
        <v>461</v>
      </c>
      <c r="I44" s="52" t="s">
        <v>2436</v>
      </c>
      <c r="J44" s="52"/>
      <c r="K44" s="53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51" t="n">
        <v>37</v>
      </c>
      <c r="B45" s="52" t="s">
        <v>1358</v>
      </c>
      <c r="C45" s="52" t="s">
        <v>498</v>
      </c>
      <c r="D45" s="52" t="s">
        <v>1359</v>
      </c>
      <c r="E45" s="51" t="s">
        <v>459</v>
      </c>
      <c r="F45" s="51" t="s">
        <v>459</v>
      </c>
      <c r="G45" s="51" t="s">
        <v>907</v>
      </c>
      <c r="H45" s="51" t="s">
        <v>461</v>
      </c>
      <c r="I45" s="52" t="s">
        <v>2436</v>
      </c>
      <c r="J45" s="52"/>
      <c r="K45" s="53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51" t="n">
        <v>38</v>
      </c>
      <c r="B46" s="52" t="s">
        <v>1358</v>
      </c>
      <c r="C46" s="52" t="s">
        <v>498</v>
      </c>
      <c r="D46" s="52" t="s">
        <v>1360</v>
      </c>
      <c r="E46" s="51" t="s">
        <v>459</v>
      </c>
      <c r="F46" s="51" t="s">
        <v>459</v>
      </c>
      <c r="G46" s="51" t="s">
        <v>907</v>
      </c>
      <c r="H46" s="51" t="s">
        <v>461</v>
      </c>
      <c r="I46" s="52" t="s">
        <v>2436</v>
      </c>
      <c r="J46" s="52"/>
      <c r="K46" s="53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51" t="n">
        <v>39</v>
      </c>
      <c r="B47" s="52" t="s">
        <v>531</v>
      </c>
      <c r="C47" s="52" t="s">
        <v>498</v>
      </c>
      <c r="D47" s="52" t="s">
        <v>2460</v>
      </c>
      <c r="E47" s="51" t="s">
        <v>459</v>
      </c>
      <c r="F47" s="51" t="s">
        <v>459</v>
      </c>
      <c r="G47" s="51" t="s">
        <v>907</v>
      </c>
      <c r="H47" s="51" t="s">
        <v>461</v>
      </c>
      <c r="I47" s="52" t="s">
        <v>2436</v>
      </c>
      <c r="J47" s="52"/>
      <c r="K47" s="53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51" t="n">
        <v>40</v>
      </c>
      <c r="B48" s="52" t="s">
        <v>531</v>
      </c>
      <c r="C48" s="52" t="s">
        <v>498</v>
      </c>
      <c r="D48" s="52" t="s">
        <v>2461</v>
      </c>
      <c r="E48" s="51" t="s">
        <v>459</v>
      </c>
      <c r="F48" s="51" t="s">
        <v>459</v>
      </c>
      <c r="G48" s="51" t="s">
        <v>907</v>
      </c>
      <c r="H48" s="51" t="s">
        <v>461</v>
      </c>
      <c r="I48" s="52" t="s">
        <v>2436</v>
      </c>
      <c r="J48" s="52"/>
      <c r="K48" s="53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51" t="n">
        <v>41</v>
      </c>
      <c r="B49" s="52" t="s">
        <v>531</v>
      </c>
      <c r="C49" s="52" t="s">
        <v>498</v>
      </c>
      <c r="D49" s="52" t="s">
        <v>1535</v>
      </c>
      <c r="E49" s="51" t="s">
        <v>459</v>
      </c>
      <c r="F49" s="51" t="s">
        <v>459</v>
      </c>
      <c r="G49" s="51" t="s">
        <v>907</v>
      </c>
      <c r="H49" s="51" t="s">
        <v>461</v>
      </c>
      <c r="I49" s="52" t="s">
        <v>2436</v>
      </c>
      <c r="J49" s="52"/>
      <c r="K49" s="53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51" t="n">
        <v>42</v>
      </c>
      <c r="B50" s="52" t="s">
        <v>531</v>
      </c>
      <c r="C50" s="52" t="s">
        <v>498</v>
      </c>
      <c r="D50" s="52" t="s">
        <v>1536</v>
      </c>
      <c r="E50" s="51" t="s">
        <v>459</v>
      </c>
      <c r="F50" s="51" t="s">
        <v>459</v>
      </c>
      <c r="G50" s="51" t="s">
        <v>907</v>
      </c>
      <c r="H50" s="51" t="s">
        <v>461</v>
      </c>
      <c r="I50" s="52" t="s">
        <v>2436</v>
      </c>
      <c r="J50" s="52"/>
      <c r="K50" s="53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51" t="n">
        <v>43</v>
      </c>
      <c r="B51" s="52" t="s">
        <v>531</v>
      </c>
      <c r="C51" s="52" t="s">
        <v>498</v>
      </c>
      <c r="D51" s="52" t="s">
        <v>2462</v>
      </c>
      <c r="E51" s="51" t="s">
        <v>459</v>
      </c>
      <c r="F51" s="51" t="s">
        <v>459</v>
      </c>
      <c r="G51" s="51" t="s">
        <v>907</v>
      </c>
      <c r="H51" s="51" t="s">
        <v>461</v>
      </c>
      <c r="I51" s="52" t="s">
        <v>2436</v>
      </c>
      <c r="J51" s="52"/>
      <c r="K51" s="53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51" t="n">
        <v>44</v>
      </c>
      <c r="B52" s="52" t="s">
        <v>531</v>
      </c>
      <c r="C52" s="52" t="s">
        <v>498</v>
      </c>
      <c r="D52" s="52" t="s">
        <v>1207</v>
      </c>
      <c r="E52" s="51" t="s">
        <v>459</v>
      </c>
      <c r="F52" s="51" t="s">
        <v>459</v>
      </c>
      <c r="G52" s="51" t="s">
        <v>907</v>
      </c>
      <c r="H52" s="51" t="s">
        <v>461</v>
      </c>
      <c r="I52" s="52" t="s">
        <v>2436</v>
      </c>
      <c r="J52" s="52"/>
      <c r="K52" s="53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51" t="n">
        <v>45</v>
      </c>
      <c r="B53" s="52" t="s">
        <v>531</v>
      </c>
      <c r="C53" s="52" t="s">
        <v>498</v>
      </c>
      <c r="D53" s="52" t="s">
        <v>2463</v>
      </c>
      <c r="E53" s="51" t="s">
        <v>459</v>
      </c>
      <c r="F53" s="51" t="s">
        <v>459</v>
      </c>
      <c r="G53" s="51" t="s">
        <v>907</v>
      </c>
      <c r="H53" s="51" t="s">
        <v>461</v>
      </c>
      <c r="I53" s="52" t="s">
        <v>2436</v>
      </c>
      <c r="J53" s="52"/>
      <c r="K53" s="53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51" t="n">
        <v>46</v>
      </c>
      <c r="B54" s="52" t="s">
        <v>531</v>
      </c>
      <c r="C54" s="52" t="s">
        <v>498</v>
      </c>
      <c r="D54" s="52" t="s">
        <v>2464</v>
      </c>
      <c r="E54" s="51" t="s">
        <v>459</v>
      </c>
      <c r="F54" s="51" t="s">
        <v>459</v>
      </c>
      <c r="G54" s="51" t="s">
        <v>907</v>
      </c>
      <c r="H54" s="51" t="s">
        <v>461</v>
      </c>
      <c r="I54" s="52" t="s">
        <v>2436</v>
      </c>
      <c r="J54" s="52"/>
      <c r="K54" s="53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51" t="n">
        <v>47</v>
      </c>
      <c r="B55" s="52" t="s">
        <v>531</v>
      </c>
      <c r="C55" s="52" t="s">
        <v>498</v>
      </c>
      <c r="D55" s="52" t="s">
        <v>2465</v>
      </c>
      <c r="E55" s="51" t="s">
        <v>459</v>
      </c>
      <c r="F55" s="51" t="s">
        <v>459</v>
      </c>
      <c r="G55" s="51" t="s">
        <v>907</v>
      </c>
      <c r="H55" s="51" t="s">
        <v>461</v>
      </c>
      <c r="I55" s="52" t="s">
        <v>2436</v>
      </c>
      <c r="J55" s="52"/>
      <c r="K55" s="53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51" t="n">
        <v>48</v>
      </c>
      <c r="B56" s="52" t="s">
        <v>531</v>
      </c>
      <c r="C56" s="52" t="s">
        <v>498</v>
      </c>
      <c r="D56" s="52" t="s">
        <v>2466</v>
      </c>
      <c r="E56" s="51" t="s">
        <v>459</v>
      </c>
      <c r="F56" s="51" t="s">
        <v>459</v>
      </c>
      <c r="G56" s="51" t="s">
        <v>907</v>
      </c>
      <c r="H56" s="51" t="s">
        <v>461</v>
      </c>
      <c r="I56" s="52" t="s">
        <v>2436</v>
      </c>
      <c r="J56" s="52"/>
      <c r="K56" s="53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51" t="n">
        <v>49</v>
      </c>
      <c r="B57" s="52" t="s">
        <v>531</v>
      </c>
      <c r="C57" s="52" t="s">
        <v>498</v>
      </c>
      <c r="D57" s="52" t="s">
        <v>1537</v>
      </c>
      <c r="E57" s="51" t="s">
        <v>459</v>
      </c>
      <c r="F57" s="51" t="s">
        <v>459</v>
      </c>
      <c r="G57" s="51" t="s">
        <v>907</v>
      </c>
      <c r="H57" s="51" t="s">
        <v>461</v>
      </c>
      <c r="I57" s="52" t="s">
        <v>2436</v>
      </c>
      <c r="J57" s="52"/>
      <c r="K57" s="53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51" t="n">
        <v>50</v>
      </c>
      <c r="B58" s="52" t="s">
        <v>531</v>
      </c>
      <c r="C58" s="52" t="s">
        <v>498</v>
      </c>
      <c r="D58" s="52" t="s">
        <v>1538</v>
      </c>
      <c r="E58" s="51" t="s">
        <v>459</v>
      </c>
      <c r="F58" s="51" t="s">
        <v>459</v>
      </c>
      <c r="G58" s="51" t="s">
        <v>907</v>
      </c>
      <c r="H58" s="51" t="s">
        <v>461</v>
      </c>
      <c r="I58" s="52" t="s">
        <v>2436</v>
      </c>
      <c r="J58" s="52"/>
      <c r="K58" s="53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51" t="n">
        <v>51</v>
      </c>
      <c r="B59" s="52" t="s">
        <v>531</v>
      </c>
      <c r="C59" s="52" t="s">
        <v>498</v>
      </c>
      <c r="D59" s="52" t="s">
        <v>2467</v>
      </c>
      <c r="E59" s="51" t="s">
        <v>459</v>
      </c>
      <c r="F59" s="51" t="s">
        <v>459</v>
      </c>
      <c r="G59" s="51" t="s">
        <v>907</v>
      </c>
      <c r="H59" s="51" t="s">
        <v>461</v>
      </c>
      <c r="I59" s="52" t="s">
        <v>2436</v>
      </c>
      <c r="J59" s="52"/>
      <c r="K59" s="53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51" t="n">
        <v>52</v>
      </c>
      <c r="B60" s="52" t="s">
        <v>531</v>
      </c>
      <c r="C60" s="52" t="s">
        <v>498</v>
      </c>
      <c r="D60" s="52" t="s">
        <v>2468</v>
      </c>
      <c r="E60" s="51" t="s">
        <v>459</v>
      </c>
      <c r="F60" s="51" t="s">
        <v>459</v>
      </c>
      <c r="G60" s="51" t="s">
        <v>907</v>
      </c>
      <c r="H60" s="51" t="s">
        <v>461</v>
      </c>
      <c r="I60" s="52" t="s">
        <v>2436</v>
      </c>
      <c r="J60" s="52"/>
      <c r="K60" s="53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51" t="n">
        <v>53</v>
      </c>
      <c r="B61" s="52" t="s">
        <v>531</v>
      </c>
      <c r="C61" s="52" t="s">
        <v>498</v>
      </c>
      <c r="D61" s="52" t="s">
        <v>2469</v>
      </c>
      <c r="E61" s="51" t="s">
        <v>459</v>
      </c>
      <c r="F61" s="51" t="s">
        <v>459</v>
      </c>
      <c r="G61" s="51" t="s">
        <v>907</v>
      </c>
      <c r="H61" s="51" t="s">
        <v>461</v>
      </c>
      <c r="I61" s="52" t="s">
        <v>2436</v>
      </c>
      <c r="J61" s="52"/>
      <c r="K61" s="53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51" t="n">
        <v>54</v>
      </c>
      <c r="B62" s="52" t="s">
        <v>531</v>
      </c>
      <c r="C62" s="52" t="s">
        <v>498</v>
      </c>
      <c r="D62" s="52" t="s">
        <v>2470</v>
      </c>
      <c r="E62" s="51" t="s">
        <v>459</v>
      </c>
      <c r="F62" s="51" t="s">
        <v>459</v>
      </c>
      <c r="G62" s="51" t="s">
        <v>907</v>
      </c>
      <c r="H62" s="51" t="s">
        <v>461</v>
      </c>
      <c r="I62" s="52" t="s">
        <v>2436</v>
      </c>
      <c r="J62" s="52"/>
      <c r="K62" s="53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51" t="n">
        <v>55</v>
      </c>
      <c r="B63" s="52" t="s">
        <v>486</v>
      </c>
      <c r="C63" s="52" t="s">
        <v>2471</v>
      </c>
      <c r="D63" s="52" t="s">
        <v>2472</v>
      </c>
      <c r="E63" s="51" t="s">
        <v>459</v>
      </c>
      <c r="F63" s="51" t="s">
        <v>459</v>
      </c>
      <c r="G63" s="51" t="s">
        <v>907</v>
      </c>
      <c r="H63" s="51" t="s">
        <v>461</v>
      </c>
      <c r="I63" s="52" t="s">
        <v>2436</v>
      </c>
      <c r="J63" s="52"/>
      <c r="K63" s="53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51" t="n">
        <v>56</v>
      </c>
      <c r="B64" s="52" t="s">
        <v>486</v>
      </c>
      <c r="C64" s="52" t="s">
        <v>2471</v>
      </c>
      <c r="D64" s="52" t="s">
        <v>2473</v>
      </c>
      <c r="E64" s="51" t="s">
        <v>459</v>
      </c>
      <c r="F64" s="51" t="s">
        <v>459</v>
      </c>
      <c r="G64" s="51" t="s">
        <v>907</v>
      </c>
      <c r="H64" s="51" t="s">
        <v>461</v>
      </c>
      <c r="I64" s="52" t="s">
        <v>2436</v>
      </c>
      <c r="J64" s="52"/>
      <c r="K64" s="53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51" t="n">
        <v>57</v>
      </c>
      <c r="B65" s="52" t="s">
        <v>486</v>
      </c>
      <c r="C65" s="52" t="s">
        <v>2471</v>
      </c>
      <c r="D65" s="52" t="s">
        <v>2474</v>
      </c>
      <c r="E65" s="51" t="s">
        <v>459</v>
      </c>
      <c r="F65" s="51" t="s">
        <v>459</v>
      </c>
      <c r="G65" s="51" t="s">
        <v>907</v>
      </c>
      <c r="H65" s="51" t="s">
        <v>461</v>
      </c>
      <c r="I65" s="52" t="s">
        <v>2436</v>
      </c>
      <c r="J65" s="52"/>
      <c r="K65" s="53" t="n">
        <f aca="false">IF(AND(E65="yes",F65="yes",H65="covered"),1,IF(H65="partial",0.5,0))</f>
        <v>1</v>
      </c>
    </row>
    <row r="66" customFormat="false" ht="45" hidden="false" customHeight="true" outlineLevel="0" collapsed="false">
      <c r="A66" s="51" t="n">
        <v>58</v>
      </c>
      <c r="B66" s="52" t="s">
        <v>486</v>
      </c>
      <c r="C66" s="52" t="s">
        <v>2471</v>
      </c>
      <c r="D66" s="52" t="s">
        <v>2475</v>
      </c>
      <c r="E66" s="51" t="s">
        <v>459</v>
      </c>
      <c r="F66" s="51" t="s">
        <v>459</v>
      </c>
      <c r="G66" s="51" t="s">
        <v>907</v>
      </c>
      <c r="H66" s="51" t="s">
        <v>461</v>
      </c>
      <c r="I66" s="52" t="s">
        <v>2436</v>
      </c>
      <c r="J66" s="52"/>
      <c r="K66" s="53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51" t="n">
        <v>59</v>
      </c>
      <c r="B67" s="52" t="s">
        <v>774</v>
      </c>
      <c r="C67" s="52" t="s">
        <v>2471</v>
      </c>
      <c r="D67" s="52" t="s">
        <v>2476</v>
      </c>
      <c r="E67" s="51" t="s">
        <v>459</v>
      </c>
      <c r="F67" s="51" t="s">
        <v>459</v>
      </c>
      <c r="G67" s="51" t="s">
        <v>907</v>
      </c>
      <c r="H67" s="51" t="s">
        <v>461</v>
      </c>
      <c r="I67" s="52" t="s">
        <v>2436</v>
      </c>
      <c r="J67" s="52"/>
      <c r="K67" s="53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51" t="n">
        <v>60</v>
      </c>
      <c r="B68" s="52" t="s">
        <v>457</v>
      </c>
      <c r="C68" s="52" t="s">
        <v>2471</v>
      </c>
      <c r="D68" s="52" t="s">
        <v>2477</v>
      </c>
      <c r="E68" s="51" t="s">
        <v>459</v>
      </c>
      <c r="F68" s="51" t="s">
        <v>459</v>
      </c>
      <c r="G68" s="51" t="s">
        <v>907</v>
      </c>
      <c r="H68" s="51" t="s">
        <v>461</v>
      </c>
      <c r="I68" s="52" t="s">
        <v>2436</v>
      </c>
      <c r="J68" s="52"/>
      <c r="K68" s="53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51" t="n">
        <v>61</v>
      </c>
      <c r="B69" s="52" t="s">
        <v>1358</v>
      </c>
      <c r="C69" s="52" t="s">
        <v>2471</v>
      </c>
      <c r="D69" s="52" t="s">
        <v>2478</v>
      </c>
      <c r="E69" s="51" t="s">
        <v>459</v>
      </c>
      <c r="F69" s="51" t="s">
        <v>459</v>
      </c>
      <c r="G69" s="51" t="s">
        <v>907</v>
      </c>
      <c r="H69" s="51" t="s">
        <v>461</v>
      </c>
      <c r="I69" s="52" t="s">
        <v>2436</v>
      </c>
      <c r="J69" s="52"/>
      <c r="K69" s="53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51" t="n">
        <v>62</v>
      </c>
      <c r="B70" s="52" t="s">
        <v>486</v>
      </c>
      <c r="C70" s="52" t="s">
        <v>2276</v>
      </c>
      <c r="D70" s="52" t="s">
        <v>2479</v>
      </c>
      <c r="E70" s="51" t="s">
        <v>459</v>
      </c>
      <c r="F70" s="51" t="s">
        <v>459</v>
      </c>
      <c r="G70" s="51" t="s">
        <v>907</v>
      </c>
      <c r="H70" s="51" t="s">
        <v>461</v>
      </c>
      <c r="I70" s="52" t="s">
        <v>2436</v>
      </c>
      <c r="J70" s="52"/>
      <c r="K70" s="53" t="n">
        <f aca="false">IF(AND(E70="yes",F70="yes",H70="covered"),1,IF(H70="partial",0.5,0))</f>
        <v>1</v>
      </c>
    </row>
    <row r="71" customFormat="false" ht="45" hidden="false" customHeight="true" outlineLevel="0" collapsed="false">
      <c r="A71" s="51" t="n">
        <v>63</v>
      </c>
      <c r="B71" s="52" t="s">
        <v>882</v>
      </c>
      <c r="C71" s="52" t="s">
        <v>2276</v>
      </c>
      <c r="D71" s="52" t="s">
        <v>2480</v>
      </c>
      <c r="E71" s="51" t="s">
        <v>459</v>
      </c>
      <c r="F71" s="51" t="s">
        <v>459</v>
      </c>
      <c r="G71" s="51" t="s">
        <v>907</v>
      </c>
      <c r="H71" s="51" t="s">
        <v>461</v>
      </c>
      <c r="I71" s="52" t="s">
        <v>2436</v>
      </c>
      <c r="J71" s="52"/>
      <c r="K71" s="53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51" t="n">
        <v>64</v>
      </c>
      <c r="B72" s="52" t="s">
        <v>774</v>
      </c>
      <c r="C72" s="52" t="s">
        <v>2276</v>
      </c>
      <c r="D72" s="52" t="s">
        <v>2476</v>
      </c>
      <c r="E72" s="51" t="s">
        <v>459</v>
      </c>
      <c r="F72" s="51" t="s">
        <v>459</v>
      </c>
      <c r="G72" s="51" t="s">
        <v>907</v>
      </c>
      <c r="H72" s="51" t="s">
        <v>461</v>
      </c>
      <c r="I72" s="52" t="s">
        <v>2436</v>
      </c>
      <c r="J72" s="52"/>
      <c r="K72" s="53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51" t="n">
        <v>65</v>
      </c>
      <c r="B73" s="52" t="s">
        <v>457</v>
      </c>
      <c r="C73" s="52" t="s">
        <v>2276</v>
      </c>
      <c r="D73" s="52" t="s">
        <v>2477</v>
      </c>
      <c r="E73" s="51" t="s">
        <v>459</v>
      </c>
      <c r="F73" s="51" t="s">
        <v>459</v>
      </c>
      <c r="G73" s="51" t="s">
        <v>907</v>
      </c>
      <c r="H73" s="51" t="s">
        <v>461</v>
      </c>
      <c r="I73" s="52" t="s">
        <v>2436</v>
      </c>
      <c r="J73" s="52"/>
      <c r="K73" s="53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51" t="n">
        <v>66</v>
      </c>
      <c r="B74" s="52" t="s">
        <v>1358</v>
      </c>
      <c r="C74" s="52" t="s">
        <v>2276</v>
      </c>
      <c r="D74" s="52" t="s">
        <v>2478</v>
      </c>
      <c r="E74" s="51" t="s">
        <v>459</v>
      </c>
      <c r="F74" s="51" t="s">
        <v>459</v>
      </c>
      <c r="G74" s="51" t="s">
        <v>907</v>
      </c>
      <c r="H74" s="51" t="s">
        <v>461</v>
      </c>
      <c r="I74" s="52" t="s">
        <v>2436</v>
      </c>
      <c r="J74" s="52"/>
      <c r="K74" s="53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51" t="n">
        <v>67</v>
      </c>
      <c r="B75" s="52" t="s">
        <v>486</v>
      </c>
      <c r="C75" s="52" t="s">
        <v>55</v>
      </c>
      <c r="D75" s="52" t="s">
        <v>2481</v>
      </c>
      <c r="E75" s="51" t="s">
        <v>459</v>
      </c>
      <c r="F75" s="51" t="s">
        <v>459</v>
      </c>
      <c r="G75" s="51" t="s">
        <v>907</v>
      </c>
      <c r="H75" s="51" t="s">
        <v>461</v>
      </c>
      <c r="I75" s="52" t="s">
        <v>2436</v>
      </c>
      <c r="J75" s="52"/>
      <c r="K75" s="53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51" t="n">
        <v>68</v>
      </c>
      <c r="B76" s="52" t="s">
        <v>486</v>
      </c>
      <c r="C76" s="52" t="s">
        <v>55</v>
      </c>
      <c r="D76" s="52" t="s">
        <v>2482</v>
      </c>
      <c r="E76" s="51" t="s">
        <v>459</v>
      </c>
      <c r="F76" s="51" t="s">
        <v>459</v>
      </c>
      <c r="G76" s="51" t="s">
        <v>907</v>
      </c>
      <c r="H76" s="51" t="s">
        <v>461</v>
      </c>
      <c r="I76" s="52" t="s">
        <v>2436</v>
      </c>
      <c r="J76" s="52"/>
      <c r="K76" s="53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51" t="n">
        <v>69</v>
      </c>
      <c r="B77" s="52" t="s">
        <v>486</v>
      </c>
      <c r="C77" s="52" t="s">
        <v>55</v>
      </c>
      <c r="D77" s="52" t="s">
        <v>2483</v>
      </c>
      <c r="E77" s="51" t="s">
        <v>459</v>
      </c>
      <c r="F77" s="51" t="s">
        <v>459</v>
      </c>
      <c r="G77" s="51" t="s">
        <v>907</v>
      </c>
      <c r="H77" s="51" t="s">
        <v>461</v>
      </c>
      <c r="I77" s="52" t="s">
        <v>2436</v>
      </c>
      <c r="J77" s="52"/>
      <c r="K77" s="53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51" t="n">
        <v>70</v>
      </c>
      <c r="B78" s="52" t="s">
        <v>2484</v>
      </c>
      <c r="C78" s="52" t="s">
        <v>55</v>
      </c>
      <c r="D78" s="52" t="s">
        <v>2485</v>
      </c>
      <c r="E78" s="51" t="s">
        <v>459</v>
      </c>
      <c r="F78" s="51" t="s">
        <v>459</v>
      </c>
      <c r="G78" s="51" t="s">
        <v>907</v>
      </c>
      <c r="H78" s="51" t="s">
        <v>461</v>
      </c>
      <c r="I78" s="52" t="s">
        <v>2436</v>
      </c>
      <c r="J78" s="52"/>
      <c r="K78" s="53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51" t="n">
        <v>71</v>
      </c>
      <c r="B79" s="52" t="s">
        <v>486</v>
      </c>
      <c r="C79" s="52" t="s">
        <v>2486</v>
      </c>
      <c r="D79" s="52" t="s">
        <v>2487</v>
      </c>
      <c r="E79" s="51" t="s">
        <v>459</v>
      </c>
      <c r="F79" s="51" t="s">
        <v>459</v>
      </c>
      <c r="G79" s="51" t="s">
        <v>907</v>
      </c>
      <c r="H79" s="51" t="s">
        <v>461</v>
      </c>
      <c r="I79" s="52" t="s">
        <v>2436</v>
      </c>
      <c r="J79" s="52"/>
      <c r="K79" s="53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51" t="n">
        <v>72</v>
      </c>
      <c r="B80" s="52" t="s">
        <v>486</v>
      </c>
      <c r="C80" s="52" t="s">
        <v>2486</v>
      </c>
      <c r="D80" s="52" t="s">
        <v>2488</v>
      </c>
      <c r="E80" s="51" t="s">
        <v>459</v>
      </c>
      <c r="F80" s="51" t="s">
        <v>459</v>
      </c>
      <c r="G80" s="51" t="s">
        <v>907</v>
      </c>
      <c r="H80" s="51" t="s">
        <v>461</v>
      </c>
      <c r="I80" s="52" t="s">
        <v>2436</v>
      </c>
      <c r="J80" s="52"/>
      <c r="K80" s="53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51" t="n">
        <v>73</v>
      </c>
      <c r="B81" s="52" t="s">
        <v>486</v>
      </c>
      <c r="C81" s="52" t="s">
        <v>2486</v>
      </c>
      <c r="D81" s="52" t="s">
        <v>2489</v>
      </c>
      <c r="E81" s="51" t="s">
        <v>459</v>
      </c>
      <c r="F81" s="51" t="s">
        <v>459</v>
      </c>
      <c r="G81" s="51" t="s">
        <v>907</v>
      </c>
      <c r="H81" s="51" t="s">
        <v>461</v>
      </c>
      <c r="I81" s="52" t="s">
        <v>2436</v>
      </c>
      <c r="J81" s="52"/>
      <c r="K81" s="53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51" t="n">
        <v>74</v>
      </c>
      <c r="B82" s="52" t="s">
        <v>486</v>
      </c>
      <c r="C82" s="52" t="s">
        <v>2486</v>
      </c>
      <c r="D82" s="52" t="s">
        <v>2490</v>
      </c>
      <c r="E82" s="51" t="s">
        <v>459</v>
      </c>
      <c r="F82" s="51" t="s">
        <v>459</v>
      </c>
      <c r="G82" s="51" t="s">
        <v>907</v>
      </c>
      <c r="H82" s="51" t="s">
        <v>461</v>
      </c>
      <c r="I82" s="52" t="s">
        <v>2436</v>
      </c>
      <c r="J82" s="52"/>
      <c r="K82" s="53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51" t="n">
        <v>75</v>
      </c>
      <c r="B83" s="52" t="s">
        <v>486</v>
      </c>
      <c r="C83" s="52" t="s">
        <v>2486</v>
      </c>
      <c r="D83" s="52" t="s">
        <v>2483</v>
      </c>
      <c r="E83" s="51" t="s">
        <v>459</v>
      </c>
      <c r="F83" s="51" t="s">
        <v>459</v>
      </c>
      <c r="G83" s="51" t="s">
        <v>907</v>
      </c>
      <c r="H83" s="51" t="s">
        <v>461</v>
      </c>
      <c r="I83" s="52" t="s">
        <v>2436</v>
      </c>
      <c r="J83" s="52"/>
      <c r="K83" s="53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51" t="n">
        <v>76</v>
      </c>
      <c r="B84" s="52" t="s">
        <v>486</v>
      </c>
      <c r="C84" s="52" t="s">
        <v>2486</v>
      </c>
      <c r="D84" s="52" t="s">
        <v>2491</v>
      </c>
      <c r="E84" s="51" t="s">
        <v>459</v>
      </c>
      <c r="F84" s="51" t="s">
        <v>459</v>
      </c>
      <c r="G84" s="51" t="s">
        <v>907</v>
      </c>
      <c r="H84" s="51" t="s">
        <v>461</v>
      </c>
      <c r="I84" s="52" t="s">
        <v>2436</v>
      </c>
      <c r="J84" s="52"/>
      <c r="K84" s="53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51" t="n">
        <v>77</v>
      </c>
      <c r="B85" s="52" t="s">
        <v>486</v>
      </c>
      <c r="C85" s="52" t="s">
        <v>2486</v>
      </c>
      <c r="D85" s="52" t="s">
        <v>2492</v>
      </c>
      <c r="E85" s="51" t="s">
        <v>459</v>
      </c>
      <c r="F85" s="51" t="s">
        <v>459</v>
      </c>
      <c r="G85" s="51" t="s">
        <v>907</v>
      </c>
      <c r="H85" s="51" t="s">
        <v>461</v>
      </c>
      <c r="I85" s="52" t="s">
        <v>2436</v>
      </c>
      <c r="J85" s="52"/>
      <c r="K85" s="53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51" t="n">
        <v>78</v>
      </c>
      <c r="B86" s="52" t="s">
        <v>486</v>
      </c>
      <c r="C86" s="52" t="s">
        <v>2486</v>
      </c>
      <c r="D86" s="52" t="s">
        <v>1374</v>
      </c>
      <c r="E86" s="51" t="s">
        <v>459</v>
      </c>
      <c r="F86" s="51" t="s">
        <v>459</v>
      </c>
      <c r="G86" s="51" t="s">
        <v>907</v>
      </c>
      <c r="H86" s="51" t="s">
        <v>461</v>
      </c>
      <c r="I86" s="52" t="s">
        <v>2436</v>
      </c>
      <c r="J86" s="52"/>
      <c r="K86" s="53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51" t="n">
        <v>79</v>
      </c>
      <c r="B87" s="52" t="s">
        <v>486</v>
      </c>
      <c r="C87" s="52" t="s">
        <v>2486</v>
      </c>
      <c r="D87" s="52" t="s">
        <v>2493</v>
      </c>
      <c r="E87" s="51" t="s">
        <v>459</v>
      </c>
      <c r="F87" s="51" t="s">
        <v>459</v>
      </c>
      <c r="G87" s="51" t="s">
        <v>907</v>
      </c>
      <c r="H87" s="51" t="s">
        <v>461</v>
      </c>
      <c r="I87" s="52" t="s">
        <v>2436</v>
      </c>
      <c r="J87" s="52"/>
      <c r="K87" s="53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51" t="n">
        <v>80</v>
      </c>
      <c r="B88" s="52" t="s">
        <v>486</v>
      </c>
      <c r="C88" s="52" t="s">
        <v>2486</v>
      </c>
      <c r="D88" s="52" t="s">
        <v>1375</v>
      </c>
      <c r="E88" s="51" t="s">
        <v>459</v>
      </c>
      <c r="F88" s="51" t="s">
        <v>459</v>
      </c>
      <c r="G88" s="51" t="s">
        <v>907</v>
      </c>
      <c r="H88" s="51" t="s">
        <v>461</v>
      </c>
      <c r="I88" s="52" t="s">
        <v>2436</v>
      </c>
      <c r="J88" s="52"/>
      <c r="K88" s="53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51" t="n">
        <v>81</v>
      </c>
      <c r="B89" s="52" t="s">
        <v>1056</v>
      </c>
      <c r="C89" s="52" t="s">
        <v>2486</v>
      </c>
      <c r="D89" s="52" t="s">
        <v>2494</v>
      </c>
      <c r="E89" s="51" t="s">
        <v>459</v>
      </c>
      <c r="F89" s="51" t="s">
        <v>459</v>
      </c>
      <c r="G89" s="51" t="s">
        <v>907</v>
      </c>
      <c r="H89" s="51" t="s">
        <v>461</v>
      </c>
      <c r="I89" s="52" t="s">
        <v>2436</v>
      </c>
      <c r="J89" s="52"/>
      <c r="K89" s="53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51" t="n">
        <v>82</v>
      </c>
      <c r="B90" s="52" t="s">
        <v>1056</v>
      </c>
      <c r="C90" s="52" t="s">
        <v>2486</v>
      </c>
      <c r="D90" s="52" t="s">
        <v>285</v>
      </c>
      <c r="E90" s="51" t="s">
        <v>459</v>
      </c>
      <c r="F90" s="51" t="s">
        <v>459</v>
      </c>
      <c r="G90" s="51" t="s">
        <v>1078</v>
      </c>
      <c r="H90" s="51" t="s">
        <v>461</v>
      </c>
      <c r="I90" s="52" t="s">
        <v>1079</v>
      </c>
      <c r="J90" s="52"/>
      <c r="K90" s="53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51" t="n">
        <v>83</v>
      </c>
      <c r="B91" s="52" t="s">
        <v>524</v>
      </c>
      <c r="C91" s="52" t="s">
        <v>2486</v>
      </c>
      <c r="D91" s="52" t="s">
        <v>2495</v>
      </c>
      <c r="E91" s="51" t="s">
        <v>459</v>
      </c>
      <c r="F91" s="51" t="s">
        <v>459</v>
      </c>
      <c r="G91" s="51" t="s">
        <v>907</v>
      </c>
      <c r="H91" s="51" t="s">
        <v>461</v>
      </c>
      <c r="I91" s="52" t="s">
        <v>2436</v>
      </c>
      <c r="J91" s="52"/>
      <c r="K91" s="53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51" t="n">
        <v>84</v>
      </c>
      <c r="B92" s="52" t="s">
        <v>524</v>
      </c>
      <c r="C92" s="52" t="s">
        <v>2486</v>
      </c>
      <c r="D92" s="52" t="s">
        <v>2496</v>
      </c>
      <c r="E92" s="51" t="s">
        <v>459</v>
      </c>
      <c r="F92" s="51" t="s">
        <v>459</v>
      </c>
      <c r="G92" s="51" t="s">
        <v>907</v>
      </c>
      <c r="H92" s="51" t="s">
        <v>461</v>
      </c>
      <c r="I92" s="52" t="s">
        <v>2436</v>
      </c>
      <c r="J92" s="52"/>
      <c r="K92" s="53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51" t="n">
        <v>85</v>
      </c>
      <c r="B93" s="52" t="s">
        <v>524</v>
      </c>
      <c r="C93" s="52" t="s">
        <v>2486</v>
      </c>
      <c r="D93" s="52" t="s">
        <v>2497</v>
      </c>
      <c r="E93" s="51" t="s">
        <v>459</v>
      </c>
      <c r="F93" s="51" t="s">
        <v>459</v>
      </c>
      <c r="G93" s="51" t="s">
        <v>907</v>
      </c>
      <c r="H93" s="51" t="s">
        <v>461</v>
      </c>
      <c r="I93" s="52" t="s">
        <v>2436</v>
      </c>
      <c r="J93" s="52"/>
      <c r="K93" s="53" t="n">
        <f aca="false">IF(AND(E93="yes",F93="yes",H93="covered"),1,IF(H93="partial",0.5,0))</f>
        <v>1</v>
      </c>
    </row>
    <row r="94" customFormat="false" ht="45" hidden="false" customHeight="true" outlineLevel="0" collapsed="false">
      <c r="A94" s="51" t="n">
        <v>86</v>
      </c>
      <c r="B94" s="52" t="s">
        <v>524</v>
      </c>
      <c r="C94" s="52" t="s">
        <v>2486</v>
      </c>
      <c r="D94" s="52" t="s">
        <v>2498</v>
      </c>
      <c r="E94" s="51" t="s">
        <v>459</v>
      </c>
      <c r="F94" s="51" t="s">
        <v>459</v>
      </c>
      <c r="G94" s="51" t="s">
        <v>907</v>
      </c>
      <c r="H94" s="51" t="s">
        <v>461</v>
      </c>
      <c r="I94" s="52" t="s">
        <v>2436</v>
      </c>
      <c r="J94" s="52"/>
      <c r="K94" s="53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51" t="n">
        <v>87</v>
      </c>
      <c r="B95" s="52" t="s">
        <v>774</v>
      </c>
      <c r="C95" s="52" t="s">
        <v>2486</v>
      </c>
      <c r="D95" s="52" t="s">
        <v>2499</v>
      </c>
      <c r="E95" s="51" t="s">
        <v>459</v>
      </c>
      <c r="F95" s="51" t="s">
        <v>459</v>
      </c>
      <c r="G95" s="51" t="s">
        <v>907</v>
      </c>
      <c r="H95" s="51" t="s">
        <v>461</v>
      </c>
      <c r="I95" s="52" t="s">
        <v>2436</v>
      </c>
      <c r="J95" s="52"/>
      <c r="K95" s="53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51" t="n">
        <v>88</v>
      </c>
      <c r="B96" s="52" t="s">
        <v>457</v>
      </c>
      <c r="C96" s="52" t="s">
        <v>2486</v>
      </c>
      <c r="D96" s="52" t="s">
        <v>1369</v>
      </c>
      <c r="E96" s="51" t="s">
        <v>459</v>
      </c>
      <c r="F96" s="51" t="s">
        <v>459</v>
      </c>
      <c r="G96" s="51" t="s">
        <v>907</v>
      </c>
      <c r="H96" s="51" t="s">
        <v>461</v>
      </c>
      <c r="I96" s="52" t="s">
        <v>2436</v>
      </c>
      <c r="J96" s="52"/>
      <c r="K96" s="53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51" t="n">
        <v>89</v>
      </c>
      <c r="B97" s="52" t="s">
        <v>1358</v>
      </c>
      <c r="C97" s="52" t="s">
        <v>2486</v>
      </c>
      <c r="D97" s="52" t="s">
        <v>1359</v>
      </c>
      <c r="E97" s="51" t="s">
        <v>459</v>
      </c>
      <c r="F97" s="51" t="s">
        <v>459</v>
      </c>
      <c r="G97" s="51" t="s">
        <v>907</v>
      </c>
      <c r="H97" s="51" t="s">
        <v>461</v>
      </c>
      <c r="I97" s="52" t="s">
        <v>2436</v>
      </c>
      <c r="J97" s="52"/>
      <c r="K97" s="53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51" t="n">
        <v>90</v>
      </c>
      <c r="B98" s="52" t="s">
        <v>1358</v>
      </c>
      <c r="C98" s="52" t="s">
        <v>2486</v>
      </c>
      <c r="D98" s="52" t="s">
        <v>2478</v>
      </c>
      <c r="E98" s="51" t="s">
        <v>459</v>
      </c>
      <c r="F98" s="51" t="s">
        <v>459</v>
      </c>
      <c r="G98" s="51" t="s">
        <v>907</v>
      </c>
      <c r="H98" s="51" t="s">
        <v>461</v>
      </c>
      <c r="I98" s="52" t="s">
        <v>2436</v>
      </c>
      <c r="J98" s="52"/>
      <c r="K98" s="53" t="n">
        <f aca="false">IF(AND(E98="yes",F98="yes",H98="covered"),1,IF(H98="partial",0.5,0))</f>
        <v>1</v>
      </c>
    </row>
    <row r="99" customFormat="false" ht="45" hidden="false" customHeight="true" outlineLevel="0" collapsed="false">
      <c r="A99" s="51" t="n">
        <v>91</v>
      </c>
      <c r="B99" s="52" t="s">
        <v>486</v>
      </c>
      <c r="C99" s="52" t="s">
        <v>2156</v>
      </c>
      <c r="D99" s="52" t="s">
        <v>2500</v>
      </c>
      <c r="E99" s="51" t="s">
        <v>459</v>
      </c>
      <c r="F99" s="51" t="s">
        <v>459</v>
      </c>
      <c r="G99" s="51" t="s">
        <v>907</v>
      </c>
      <c r="H99" s="51" t="s">
        <v>461</v>
      </c>
      <c r="I99" s="52" t="s">
        <v>2436</v>
      </c>
      <c r="J99" s="52"/>
      <c r="K99" s="53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51" t="n">
        <v>92</v>
      </c>
      <c r="B100" s="52" t="s">
        <v>774</v>
      </c>
      <c r="C100" s="52" t="s">
        <v>2156</v>
      </c>
      <c r="D100" s="52" t="s">
        <v>2499</v>
      </c>
      <c r="E100" s="51" t="s">
        <v>459</v>
      </c>
      <c r="F100" s="51" t="s">
        <v>459</v>
      </c>
      <c r="G100" s="51" t="s">
        <v>907</v>
      </c>
      <c r="H100" s="51" t="s">
        <v>461</v>
      </c>
      <c r="I100" s="52" t="s">
        <v>2436</v>
      </c>
      <c r="J100" s="52"/>
      <c r="K100" s="53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51" t="n">
        <v>93</v>
      </c>
      <c r="B101" s="52" t="s">
        <v>457</v>
      </c>
      <c r="C101" s="52" t="s">
        <v>2156</v>
      </c>
      <c r="D101" s="52" t="s">
        <v>1369</v>
      </c>
      <c r="E101" s="51" t="s">
        <v>459</v>
      </c>
      <c r="F101" s="51" t="s">
        <v>459</v>
      </c>
      <c r="G101" s="51" t="s">
        <v>907</v>
      </c>
      <c r="H101" s="51" t="s">
        <v>461</v>
      </c>
      <c r="I101" s="52" t="s">
        <v>2436</v>
      </c>
      <c r="J101" s="52"/>
      <c r="K101" s="53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51" t="n">
        <v>94</v>
      </c>
      <c r="B102" s="52" t="s">
        <v>1358</v>
      </c>
      <c r="C102" s="52" t="s">
        <v>2156</v>
      </c>
      <c r="D102" s="52" t="s">
        <v>2478</v>
      </c>
      <c r="E102" s="51" t="s">
        <v>459</v>
      </c>
      <c r="F102" s="51" t="s">
        <v>459</v>
      </c>
      <c r="G102" s="51" t="s">
        <v>907</v>
      </c>
      <c r="H102" s="51" t="s">
        <v>461</v>
      </c>
      <c r="I102" s="52" t="s">
        <v>2436</v>
      </c>
      <c r="J102" s="52"/>
      <c r="K102" s="53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51" t="n">
        <v>95</v>
      </c>
      <c r="B103" s="52" t="s">
        <v>486</v>
      </c>
      <c r="C103" s="52" t="s">
        <v>825</v>
      </c>
      <c r="D103" s="52" t="s">
        <v>2501</v>
      </c>
      <c r="E103" s="51" t="s">
        <v>459</v>
      </c>
      <c r="F103" s="51" t="s">
        <v>459</v>
      </c>
      <c r="G103" s="51" t="s">
        <v>907</v>
      </c>
      <c r="H103" s="51" t="s">
        <v>461</v>
      </c>
      <c r="I103" s="52" t="s">
        <v>2436</v>
      </c>
      <c r="J103" s="52"/>
      <c r="K103" s="53" t="n">
        <f aca="false">IF(AND(E103="yes",F103="yes",H103="covered"),1,IF(H103="partial",0.5,0))</f>
        <v>1</v>
      </c>
    </row>
    <row r="104" customFormat="false" ht="45" hidden="false" customHeight="true" outlineLevel="0" collapsed="false">
      <c r="A104" s="51" t="n">
        <v>96</v>
      </c>
      <c r="B104" s="52" t="s">
        <v>486</v>
      </c>
      <c r="C104" s="52" t="s">
        <v>825</v>
      </c>
      <c r="D104" s="52" t="s">
        <v>2502</v>
      </c>
      <c r="E104" s="51" t="s">
        <v>459</v>
      </c>
      <c r="F104" s="51" t="s">
        <v>459</v>
      </c>
      <c r="G104" s="51" t="s">
        <v>907</v>
      </c>
      <c r="H104" s="51" t="s">
        <v>461</v>
      </c>
      <c r="I104" s="52" t="s">
        <v>2436</v>
      </c>
      <c r="J104" s="52"/>
      <c r="K104" s="53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51" t="n">
        <v>97</v>
      </c>
      <c r="B105" s="52" t="s">
        <v>774</v>
      </c>
      <c r="C105" s="52" t="s">
        <v>825</v>
      </c>
      <c r="D105" s="52" t="s">
        <v>2499</v>
      </c>
      <c r="E105" s="51" t="s">
        <v>459</v>
      </c>
      <c r="F105" s="51" t="s">
        <v>459</v>
      </c>
      <c r="G105" s="51" t="s">
        <v>907</v>
      </c>
      <c r="H105" s="51" t="s">
        <v>461</v>
      </c>
      <c r="I105" s="52" t="s">
        <v>2436</v>
      </c>
      <c r="J105" s="52"/>
      <c r="K105" s="53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51" t="n">
        <v>98</v>
      </c>
      <c r="B106" s="52" t="s">
        <v>457</v>
      </c>
      <c r="C106" s="52" t="s">
        <v>825</v>
      </c>
      <c r="D106" s="52" t="s">
        <v>1369</v>
      </c>
      <c r="E106" s="51" t="s">
        <v>459</v>
      </c>
      <c r="F106" s="51" t="s">
        <v>459</v>
      </c>
      <c r="G106" s="51" t="s">
        <v>907</v>
      </c>
      <c r="H106" s="51" t="s">
        <v>461</v>
      </c>
      <c r="I106" s="52" t="s">
        <v>2436</v>
      </c>
      <c r="J106" s="52"/>
      <c r="K106" s="53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51" t="n">
        <v>99</v>
      </c>
      <c r="B107" s="52" t="s">
        <v>1358</v>
      </c>
      <c r="C107" s="52" t="s">
        <v>825</v>
      </c>
      <c r="D107" s="52" t="s">
        <v>2478</v>
      </c>
      <c r="E107" s="51" t="s">
        <v>459</v>
      </c>
      <c r="F107" s="51" t="s">
        <v>459</v>
      </c>
      <c r="G107" s="51" t="s">
        <v>907</v>
      </c>
      <c r="H107" s="51" t="s">
        <v>461</v>
      </c>
      <c r="I107" s="52" t="s">
        <v>2436</v>
      </c>
      <c r="J107" s="52"/>
      <c r="K107" s="53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51" t="n">
        <v>100</v>
      </c>
      <c r="B108" s="52" t="s">
        <v>486</v>
      </c>
      <c r="C108" s="52" t="s">
        <v>42</v>
      </c>
      <c r="D108" s="52" t="s">
        <v>2503</v>
      </c>
      <c r="E108" s="51" t="s">
        <v>459</v>
      </c>
      <c r="F108" s="51" t="s">
        <v>459</v>
      </c>
      <c r="G108" s="51" t="s">
        <v>907</v>
      </c>
      <c r="H108" s="51" t="s">
        <v>461</v>
      </c>
      <c r="I108" s="52" t="s">
        <v>2436</v>
      </c>
      <c r="J108" s="52"/>
      <c r="K108" s="53" t="n">
        <f aca="false">IF(AND(E108="yes",F108="yes",H108="covered"),1,IF(H108="partial",0.5,0))</f>
        <v>1</v>
      </c>
    </row>
    <row r="109" customFormat="false" ht="45" hidden="false" customHeight="true" outlineLevel="0" collapsed="false">
      <c r="A109" s="51" t="n">
        <v>101</v>
      </c>
      <c r="B109" s="52" t="s">
        <v>486</v>
      </c>
      <c r="C109" s="52" t="s">
        <v>42</v>
      </c>
      <c r="D109" s="52" t="s">
        <v>2504</v>
      </c>
      <c r="E109" s="51" t="s">
        <v>459</v>
      </c>
      <c r="F109" s="51" t="s">
        <v>459</v>
      </c>
      <c r="G109" s="51" t="s">
        <v>907</v>
      </c>
      <c r="H109" s="51" t="s">
        <v>461</v>
      </c>
      <c r="I109" s="52" t="s">
        <v>2436</v>
      </c>
      <c r="J109" s="52"/>
      <c r="K109" s="53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51" t="n">
        <v>102</v>
      </c>
      <c r="B110" s="52" t="s">
        <v>774</v>
      </c>
      <c r="C110" s="52" t="s">
        <v>42</v>
      </c>
      <c r="D110" s="52" t="s">
        <v>2499</v>
      </c>
      <c r="E110" s="51" t="s">
        <v>459</v>
      </c>
      <c r="F110" s="51" t="s">
        <v>459</v>
      </c>
      <c r="G110" s="51" t="s">
        <v>907</v>
      </c>
      <c r="H110" s="51" t="s">
        <v>461</v>
      </c>
      <c r="I110" s="52" t="s">
        <v>2436</v>
      </c>
      <c r="J110" s="52"/>
      <c r="K110" s="53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51" t="n">
        <v>103</v>
      </c>
      <c r="B111" s="52" t="s">
        <v>457</v>
      </c>
      <c r="C111" s="52" t="s">
        <v>42</v>
      </c>
      <c r="D111" s="52" t="s">
        <v>1369</v>
      </c>
      <c r="E111" s="51" t="s">
        <v>459</v>
      </c>
      <c r="F111" s="51" t="s">
        <v>459</v>
      </c>
      <c r="G111" s="51" t="s">
        <v>907</v>
      </c>
      <c r="H111" s="51" t="s">
        <v>461</v>
      </c>
      <c r="I111" s="52" t="s">
        <v>2436</v>
      </c>
      <c r="J111" s="52"/>
      <c r="K111" s="53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51" t="n">
        <v>104</v>
      </c>
      <c r="B112" s="52" t="s">
        <v>1358</v>
      </c>
      <c r="C112" s="52" t="s">
        <v>42</v>
      </c>
      <c r="D112" s="52" t="s">
        <v>2478</v>
      </c>
      <c r="E112" s="51" t="s">
        <v>459</v>
      </c>
      <c r="F112" s="51" t="s">
        <v>459</v>
      </c>
      <c r="G112" s="51" t="s">
        <v>907</v>
      </c>
      <c r="H112" s="51" t="s">
        <v>461</v>
      </c>
      <c r="I112" s="52" t="s">
        <v>2436</v>
      </c>
      <c r="J112" s="52"/>
      <c r="K112" s="53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51" t="n">
        <v>105</v>
      </c>
      <c r="B113" s="52" t="s">
        <v>486</v>
      </c>
      <c r="C113" s="52" t="s">
        <v>502</v>
      </c>
      <c r="D113" s="52" t="s">
        <v>2505</v>
      </c>
      <c r="E113" s="51" t="s">
        <v>459</v>
      </c>
      <c r="F113" s="51" t="s">
        <v>459</v>
      </c>
      <c r="G113" s="51" t="s">
        <v>907</v>
      </c>
      <c r="H113" s="51" t="s">
        <v>461</v>
      </c>
      <c r="I113" s="52" t="s">
        <v>2436</v>
      </c>
      <c r="J113" s="52"/>
      <c r="K113" s="53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51" t="n">
        <v>106</v>
      </c>
      <c r="B114" s="52" t="s">
        <v>486</v>
      </c>
      <c r="C114" s="52" t="s">
        <v>502</v>
      </c>
      <c r="D114" s="52" t="s">
        <v>2506</v>
      </c>
      <c r="E114" s="51" t="s">
        <v>459</v>
      </c>
      <c r="F114" s="51" t="s">
        <v>459</v>
      </c>
      <c r="G114" s="51" t="s">
        <v>907</v>
      </c>
      <c r="H114" s="51" t="s">
        <v>461</v>
      </c>
      <c r="I114" s="52" t="s">
        <v>2436</v>
      </c>
      <c r="J114" s="52"/>
      <c r="K114" s="53" t="n">
        <f aca="false">IF(AND(E114="yes",F114="yes",H114="covered"),1,IF(H114="partial",0.5,0))</f>
        <v>1</v>
      </c>
    </row>
    <row r="115" customFormat="false" ht="15" hidden="false" customHeight="true" outlineLevel="0" collapsed="false">
      <c r="A115" s="51" t="n">
        <v>107</v>
      </c>
      <c r="B115" s="52" t="s">
        <v>486</v>
      </c>
      <c r="C115" s="52" t="s">
        <v>502</v>
      </c>
      <c r="D115" s="52" t="s">
        <v>2507</v>
      </c>
      <c r="E115" s="51" t="s">
        <v>459</v>
      </c>
      <c r="F115" s="51" t="s">
        <v>459</v>
      </c>
      <c r="G115" s="51" t="s">
        <v>907</v>
      </c>
      <c r="H115" s="51" t="s">
        <v>461</v>
      </c>
      <c r="I115" s="52" t="s">
        <v>2436</v>
      </c>
      <c r="J115" s="52"/>
      <c r="K115" s="53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51" t="n">
        <v>108</v>
      </c>
      <c r="B116" s="52" t="s">
        <v>486</v>
      </c>
      <c r="C116" s="52" t="s">
        <v>502</v>
      </c>
      <c r="D116" s="52" t="s">
        <v>2508</v>
      </c>
      <c r="E116" s="51" t="s">
        <v>459</v>
      </c>
      <c r="F116" s="51" t="s">
        <v>459</v>
      </c>
      <c r="G116" s="51" t="s">
        <v>907</v>
      </c>
      <c r="H116" s="51" t="s">
        <v>461</v>
      </c>
      <c r="I116" s="52" t="s">
        <v>2436</v>
      </c>
      <c r="J116" s="52"/>
      <c r="K116" s="53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51" t="n">
        <v>109</v>
      </c>
      <c r="B117" s="52" t="s">
        <v>486</v>
      </c>
      <c r="C117" s="52" t="s">
        <v>502</v>
      </c>
      <c r="D117" s="52" t="s">
        <v>2509</v>
      </c>
      <c r="E117" s="51" t="s">
        <v>459</v>
      </c>
      <c r="F117" s="51" t="s">
        <v>459</v>
      </c>
      <c r="G117" s="51" t="s">
        <v>907</v>
      </c>
      <c r="H117" s="51" t="s">
        <v>461</v>
      </c>
      <c r="I117" s="52" t="s">
        <v>2436</v>
      </c>
      <c r="J117" s="52"/>
      <c r="K117" s="53" t="n">
        <f aca="false">IF(AND(E117="yes",F117="yes",H117="covered"),1,IF(H117="partial",0.5,0))</f>
        <v>1</v>
      </c>
    </row>
    <row r="118" customFormat="false" ht="15" hidden="false" customHeight="true" outlineLevel="0" collapsed="false">
      <c r="A118" s="51" t="n">
        <v>110</v>
      </c>
      <c r="B118" s="52" t="s">
        <v>486</v>
      </c>
      <c r="C118" s="52" t="s">
        <v>502</v>
      </c>
      <c r="D118" s="52" t="s">
        <v>2510</v>
      </c>
      <c r="E118" s="51" t="s">
        <v>459</v>
      </c>
      <c r="F118" s="51" t="s">
        <v>459</v>
      </c>
      <c r="G118" s="51" t="s">
        <v>907</v>
      </c>
      <c r="H118" s="51" t="s">
        <v>461</v>
      </c>
      <c r="I118" s="52" t="s">
        <v>2436</v>
      </c>
      <c r="J118" s="52"/>
      <c r="K118" s="53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51" t="n">
        <v>111</v>
      </c>
      <c r="B119" s="52" t="s">
        <v>882</v>
      </c>
      <c r="C119" s="52" t="s">
        <v>502</v>
      </c>
      <c r="D119" s="52" t="s">
        <v>2511</v>
      </c>
      <c r="E119" s="51" t="s">
        <v>459</v>
      </c>
      <c r="F119" s="51" t="s">
        <v>459</v>
      </c>
      <c r="G119" s="51" t="s">
        <v>907</v>
      </c>
      <c r="H119" s="51" t="s">
        <v>461</v>
      </c>
      <c r="I119" s="52" t="s">
        <v>2436</v>
      </c>
      <c r="J119" s="52"/>
      <c r="K119" s="53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51" t="n">
        <v>112</v>
      </c>
      <c r="B120" s="52" t="s">
        <v>882</v>
      </c>
      <c r="C120" s="52" t="s">
        <v>502</v>
      </c>
      <c r="D120" s="52" t="s">
        <v>2512</v>
      </c>
      <c r="E120" s="51" t="s">
        <v>459</v>
      </c>
      <c r="F120" s="51" t="s">
        <v>459</v>
      </c>
      <c r="G120" s="51" t="s">
        <v>907</v>
      </c>
      <c r="H120" s="51" t="s">
        <v>461</v>
      </c>
      <c r="I120" s="52" t="s">
        <v>2436</v>
      </c>
      <c r="J120" s="52"/>
      <c r="K120" s="53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51" t="n">
        <v>113</v>
      </c>
      <c r="B121" s="52" t="s">
        <v>524</v>
      </c>
      <c r="C121" s="52" t="s">
        <v>502</v>
      </c>
      <c r="D121" s="52" t="s">
        <v>2513</v>
      </c>
      <c r="E121" s="51" t="s">
        <v>459</v>
      </c>
      <c r="F121" s="51" t="s">
        <v>459</v>
      </c>
      <c r="G121" s="51" t="s">
        <v>907</v>
      </c>
      <c r="H121" s="51" t="s">
        <v>461</v>
      </c>
      <c r="I121" s="52" t="s">
        <v>2436</v>
      </c>
      <c r="J121" s="52"/>
      <c r="K121" s="53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51" t="n">
        <v>114</v>
      </c>
      <c r="B122" s="52" t="s">
        <v>524</v>
      </c>
      <c r="C122" s="52" t="s">
        <v>502</v>
      </c>
      <c r="D122" s="52" t="s">
        <v>2514</v>
      </c>
      <c r="E122" s="51" t="s">
        <v>459</v>
      </c>
      <c r="F122" s="51" t="s">
        <v>459</v>
      </c>
      <c r="G122" s="51" t="s">
        <v>907</v>
      </c>
      <c r="H122" s="51" t="s">
        <v>461</v>
      </c>
      <c r="I122" s="52" t="s">
        <v>2436</v>
      </c>
      <c r="J122" s="52"/>
      <c r="K122" s="53" t="n">
        <f aca="false">IF(AND(E122="yes",F122="yes",H122="covered"),1,IF(H122="partial",0.5,0))</f>
        <v>1</v>
      </c>
    </row>
    <row r="123" customFormat="false" ht="15" hidden="false" customHeight="true" outlineLevel="0" collapsed="false">
      <c r="A123" s="51" t="n">
        <v>115</v>
      </c>
      <c r="B123" s="52" t="s">
        <v>524</v>
      </c>
      <c r="C123" s="52" t="s">
        <v>502</v>
      </c>
      <c r="D123" s="52" t="s">
        <v>2515</v>
      </c>
      <c r="E123" s="51" t="s">
        <v>459</v>
      </c>
      <c r="F123" s="51" t="s">
        <v>459</v>
      </c>
      <c r="G123" s="51" t="s">
        <v>907</v>
      </c>
      <c r="H123" s="51" t="s">
        <v>461</v>
      </c>
      <c r="I123" s="52" t="s">
        <v>2436</v>
      </c>
      <c r="J123" s="52"/>
      <c r="K123" s="53" t="n">
        <f aca="false">IF(AND(E123="yes",F123="yes",H123="covered"),1,IF(H123="partial",0.5,0))</f>
        <v>1</v>
      </c>
    </row>
    <row r="124" customFormat="false" ht="15" hidden="false" customHeight="true" outlineLevel="0" collapsed="false">
      <c r="A124" s="51" t="n">
        <v>116</v>
      </c>
      <c r="B124" s="52" t="s">
        <v>524</v>
      </c>
      <c r="C124" s="52" t="s">
        <v>502</v>
      </c>
      <c r="D124" s="52" t="s">
        <v>2516</v>
      </c>
      <c r="E124" s="51" t="s">
        <v>459</v>
      </c>
      <c r="F124" s="51" t="s">
        <v>459</v>
      </c>
      <c r="G124" s="51" t="s">
        <v>907</v>
      </c>
      <c r="H124" s="51" t="s">
        <v>461</v>
      </c>
      <c r="I124" s="52" t="s">
        <v>2436</v>
      </c>
      <c r="J124" s="52"/>
      <c r="K124" s="53" t="n">
        <f aca="false">IF(AND(E124="yes",F124="yes",H124="covered"),1,IF(H124="partial",0.5,0))</f>
        <v>1</v>
      </c>
    </row>
    <row r="125" customFormat="false" ht="15" hidden="false" customHeight="true" outlineLevel="0" collapsed="false">
      <c r="A125" s="51" t="n">
        <v>117</v>
      </c>
      <c r="B125" s="52" t="s">
        <v>524</v>
      </c>
      <c r="C125" s="52" t="s">
        <v>502</v>
      </c>
      <c r="D125" s="52" t="s">
        <v>2517</v>
      </c>
      <c r="E125" s="51" t="s">
        <v>459</v>
      </c>
      <c r="F125" s="51" t="s">
        <v>459</v>
      </c>
      <c r="G125" s="51" t="s">
        <v>907</v>
      </c>
      <c r="H125" s="51" t="s">
        <v>461</v>
      </c>
      <c r="I125" s="52" t="s">
        <v>2436</v>
      </c>
      <c r="J125" s="52"/>
      <c r="K125" s="53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51" t="n">
        <v>118</v>
      </c>
      <c r="B126" s="52" t="s">
        <v>524</v>
      </c>
      <c r="C126" s="52" t="s">
        <v>502</v>
      </c>
      <c r="D126" s="52" t="s">
        <v>1544</v>
      </c>
      <c r="E126" s="51" t="s">
        <v>459</v>
      </c>
      <c r="F126" s="51" t="s">
        <v>459</v>
      </c>
      <c r="G126" s="51" t="s">
        <v>907</v>
      </c>
      <c r="H126" s="51" t="s">
        <v>461</v>
      </c>
      <c r="I126" s="52" t="s">
        <v>2436</v>
      </c>
      <c r="J126" s="52"/>
      <c r="K126" s="53" t="n">
        <f aca="false">IF(AND(E126="yes",F126="yes",H126="covered"),1,IF(H126="partial",0.5,0))</f>
        <v>1</v>
      </c>
    </row>
    <row r="127" customFormat="false" ht="15" hidden="false" customHeight="true" outlineLevel="0" collapsed="false">
      <c r="A127" s="51" t="n">
        <v>119</v>
      </c>
      <c r="B127" s="52" t="s">
        <v>483</v>
      </c>
      <c r="C127" s="52" t="s">
        <v>502</v>
      </c>
      <c r="D127" s="52" t="s">
        <v>1353</v>
      </c>
      <c r="E127" s="51" t="s">
        <v>459</v>
      </c>
      <c r="F127" s="51" t="s">
        <v>459</v>
      </c>
      <c r="G127" s="51" t="s">
        <v>907</v>
      </c>
      <c r="H127" s="51" t="s">
        <v>461</v>
      </c>
      <c r="I127" s="52" t="s">
        <v>2436</v>
      </c>
      <c r="J127" s="52"/>
      <c r="K127" s="53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51" t="n">
        <v>120</v>
      </c>
      <c r="B128" s="52" t="s">
        <v>483</v>
      </c>
      <c r="C128" s="52" t="s">
        <v>502</v>
      </c>
      <c r="D128" s="52" t="s">
        <v>2518</v>
      </c>
      <c r="E128" s="51" t="s">
        <v>459</v>
      </c>
      <c r="F128" s="51" t="s">
        <v>459</v>
      </c>
      <c r="G128" s="51" t="s">
        <v>907</v>
      </c>
      <c r="H128" s="51" t="s">
        <v>461</v>
      </c>
      <c r="I128" s="52" t="s">
        <v>2436</v>
      </c>
      <c r="J128" s="52"/>
      <c r="K128" s="53" t="n">
        <f aca="false">IF(AND(E128="yes",F128="yes",H128="covered"),1,IF(H128="partial",0.5,0))</f>
        <v>1</v>
      </c>
    </row>
    <row r="129" customFormat="false" ht="45" hidden="false" customHeight="true" outlineLevel="0" collapsed="false">
      <c r="A129" s="51" t="n">
        <v>121</v>
      </c>
      <c r="B129" s="52" t="s">
        <v>483</v>
      </c>
      <c r="C129" s="52" t="s">
        <v>502</v>
      </c>
      <c r="D129" s="52" t="s">
        <v>2519</v>
      </c>
      <c r="E129" s="51" t="s">
        <v>459</v>
      </c>
      <c r="F129" s="51" t="s">
        <v>459</v>
      </c>
      <c r="G129" s="51" t="s">
        <v>907</v>
      </c>
      <c r="H129" s="51" t="s">
        <v>461</v>
      </c>
      <c r="I129" s="52" t="s">
        <v>2436</v>
      </c>
      <c r="J129" s="52"/>
      <c r="K129" s="53" t="n">
        <f aca="false">IF(AND(E129="yes",F129="yes",H129="covered"),1,IF(H129="partial",0.5,0))</f>
        <v>1</v>
      </c>
    </row>
    <row r="130" customFormat="false" ht="15" hidden="false" customHeight="true" outlineLevel="0" collapsed="false">
      <c r="A130" s="51" t="n">
        <v>122</v>
      </c>
      <c r="B130" s="52" t="s">
        <v>774</v>
      </c>
      <c r="C130" s="52" t="s">
        <v>502</v>
      </c>
      <c r="D130" s="52" t="s">
        <v>2499</v>
      </c>
      <c r="E130" s="51" t="s">
        <v>459</v>
      </c>
      <c r="F130" s="51" t="s">
        <v>459</v>
      </c>
      <c r="G130" s="51" t="s">
        <v>907</v>
      </c>
      <c r="H130" s="51" t="s">
        <v>461</v>
      </c>
      <c r="I130" s="52" t="s">
        <v>2436</v>
      </c>
      <c r="J130" s="52"/>
      <c r="K130" s="53" t="n">
        <f aca="false">IF(AND(E130="yes",F130="yes",H130="covered"),1,IF(H130="partial",0.5,0))</f>
        <v>1</v>
      </c>
    </row>
    <row r="131" customFormat="false" ht="15" hidden="false" customHeight="true" outlineLevel="0" collapsed="false">
      <c r="A131" s="51" t="n">
        <v>123</v>
      </c>
      <c r="B131" s="52" t="s">
        <v>457</v>
      </c>
      <c r="C131" s="52" t="s">
        <v>502</v>
      </c>
      <c r="D131" s="52" t="s">
        <v>1369</v>
      </c>
      <c r="E131" s="51" t="s">
        <v>459</v>
      </c>
      <c r="F131" s="51" t="s">
        <v>459</v>
      </c>
      <c r="G131" s="51" t="s">
        <v>907</v>
      </c>
      <c r="H131" s="51" t="s">
        <v>461</v>
      </c>
      <c r="I131" s="52" t="s">
        <v>2436</v>
      </c>
      <c r="J131" s="52"/>
      <c r="K131" s="53" t="n">
        <f aca="false">IF(AND(E131="yes",F131="yes",H131="covered"),1,IF(H131="partial",0.5,0))</f>
        <v>1</v>
      </c>
    </row>
    <row r="132" customFormat="false" ht="15" hidden="false" customHeight="true" outlineLevel="0" collapsed="false">
      <c r="A132" s="51" t="n">
        <v>124</v>
      </c>
      <c r="B132" s="52" t="s">
        <v>1358</v>
      </c>
      <c r="C132" s="52" t="s">
        <v>502</v>
      </c>
      <c r="D132" s="52" t="s">
        <v>1359</v>
      </c>
      <c r="E132" s="51" t="s">
        <v>459</v>
      </c>
      <c r="F132" s="51" t="s">
        <v>459</v>
      </c>
      <c r="G132" s="51" t="s">
        <v>907</v>
      </c>
      <c r="H132" s="51" t="s">
        <v>461</v>
      </c>
      <c r="I132" s="52" t="s">
        <v>2436</v>
      </c>
      <c r="J132" s="52"/>
      <c r="K132" s="53" t="n">
        <f aca="false">IF(AND(E132="yes",F132="yes",H132="covered"),1,IF(H132="partial",0.5,0))</f>
        <v>1</v>
      </c>
    </row>
    <row r="133" customFormat="false" ht="15" hidden="false" customHeight="true" outlineLevel="0" collapsed="false">
      <c r="A133" s="51" t="n">
        <v>125</v>
      </c>
      <c r="B133" s="52" t="s">
        <v>1358</v>
      </c>
      <c r="C133" s="52" t="s">
        <v>502</v>
      </c>
      <c r="D133" s="52" t="s">
        <v>2520</v>
      </c>
      <c r="E133" s="51" t="s">
        <v>459</v>
      </c>
      <c r="F133" s="51" t="s">
        <v>459</v>
      </c>
      <c r="G133" s="51" t="s">
        <v>907</v>
      </c>
      <c r="H133" s="51" t="s">
        <v>461</v>
      </c>
      <c r="I133" s="52" t="s">
        <v>2436</v>
      </c>
      <c r="J133" s="52"/>
      <c r="K133" s="53" t="n">
        <f aca="false">IF(AND(E133="yes",F133="yes",H133="covered"),1,IF(H133="partial",0.5,0))</f>
        <v>1</v>
      </c>
    </row>
    <row r="134" customFormat="false" ht="15" hidden="false" customHeight="true" outlineLevel="0" collapsed="false">
      <c r="A134" s="51" t="n">
        <v>126</v>
      </c>
      <c r="B134" s="52" t="s">
        <v>1358</v>
      </c>
      <c r="C134" s="52" t="s">
        <v>502</v>
      </c>
      <c r="D134" s="52" t="s">
        <v>2521</v>
      </c>
      <c r="E134" s="51" t="s">
        <v>459</v>
      </c>
      <c r="F134" s="51" t="s">
        <v>459</v>
      </c>
      <c r="G134" s="51" t="s">
        <v>907</v>
      </c>
      <c r="H134" s="51" t="s">
        <v>461</v>
      </c>
      <c r="I134" s="52" t="s">
        <v>2436</v>
      </c>
      <c r="J134" s="52"/>
      <c r="K134" s="53" t="n">
        <f aca="false">IF(AND(E134="yes",F134="yes",H134="covered"),1,IF(H134="partial",0.5,0))</f>
        <v>1</v>
      </c>
    </row>
    <row r="135" customFormat="false" ht="15" hidden="false" customHeight="true" outlineLevel="0" collapsed="false">
      <c r="A135" s="51" t="n">
        <v>127</v>
      </c>
      <c r="B135" s="52" t="s">
        <v>1358</v>
      </c>
      <c r="C135" s="52" t="s">
        <v>502</v>
      </c>
      <c r="D135" s="52" t="s">
        <v>2478</v>
      </c>
      <c r="E135" s="51" t="s">
        <v>459</v>
      </c>
      <c r="F135" s="51" t="s">
        <v>459</v>
      </c>
      <c r="G135" s="51" t="s">
        <v>907</v>
      </c>
      <c r="H135" s="51" t="s">
        <v>461</v>
      </c>
      <c r="I135" s="52" t="s">
        <v>2436</v>
      </c>
      <c r="J135" s="52"/>
      <c r="K135" s="53" t="n">
        <f aca="false">IF(AND(E135="yes",F135="yes",H135="covered"),1,IF(H135="partial",0.5,0))</f>
        <v>1</v>
      </c>
    </row>
    <row r="136" customFormat="false" ht="15" hidden="false" customHeight="true" outlineLevel="0" collapsed="false">
      <c r="A136" s="51" t="n">
        <v>128</v>
      </c>
      <c r="B136" s="52" t="s">
        <v>486</v>
      </c>
      <c r="C136" s="52" t="s">
        <v>2522</v>
      </c>
      <c r="D136" s="52" t="s">
        <v>2523</v>
      </c>
      <c r="E136" s="51" t="s">
        <v>459</v>
      </c>
      <c r="F136" s="51" t="s">
        <v>459</v>
      </c>
      <c r="G136" s="51" t="s">
        <v>907</v>
      </c>
      <c r="H136" s="51" t="s">
        <v>461</v>
      </c>
      <c r="I136" s="52" t="s">
        <v>2436</v>
      </c>
      <c r="J136" s="52"/>
      <c r="K136" s="53" t="n">
        <f aca="false">IF(AND(E136="yes",F136="yes",H136="covered"),1,IF(H136="partial",0.5,0))</f>
        <v>1</v>
      </c>
    </row>
    <row r="137" customFormat="false" ht="45" hidden="false" customHeight="true" outlineLevel="0" collapsed="false">
      <c r="A137" s="51" t="n">
        <v>129</v>
      </c>
      <c r="B137" s="52" t="s">
        <v>486</v>
      </c>
      <c r="C137" s="52" t="s">
        <v>2522</v>
      </c>
      <c r="D137" s="52" t="s">
        <v>2524</v>
      </c>
      <c r="E137" s="51" t="s">
        <v>459</v>
      </c>
      <c r="F137" s="51" t="s">
        <v>459</v>
      </c>
      <c r="G137" s="51" t="s">
        <v>907</v>
      </c>
      <c r="H137" s="51" t="s">
        <v>461</v>
      </c>
      <c r="I137" s="52" t="s">
        <v>2436</v>
      </c>
      <c r="J137" s="52"/>
      <c r="K137" s="53" t="n">
        <f aca="false">IF(AND(E137="yes",F137="yes",H137="covered"),1,IF(H137="partial",0.5,0))</f>
        <v>1</v>
      </c>
    </row>
    <row r="138" customFormat="false" ht="15" hidden="false" customHeight="true" outlineLevel="0" collapsed="false">
      <c r="A138" s="51" t="n">
        <v>130</v>
      </c>
      <c r="B138" s="52" t="s">
        <v>774</v>
      </c>
      <c r="C138" s="52" t="s">
        <v>2522</v>
      </c>
      <c r="D138" s="52" t="s">
        <v>2476</v>
      </c>
      <c r="E138" s="51" t="s">
        <v>459</v>
      </c>
      <c r="F138" s="51" t="s">
        <v>459</v>
      </c>
      <c r="G138" s="51" t="s">
        <v>907</v>
      </c>
      <c r="H138" s="51" t="s">
        <v>461</v>
      </c>
      <c r="I138" s="52" t="s">
        <v>2436</v>
      </c>
      <c r="J138" s="52"/>
      <c r="K138" s="53" t="n">
        <f aca="false">IF(AND(E138="yes",F138="yes",H138="covered"),1,IF(H138="partial",0.5,0))</f>
        <v>1</v>
      </c>
    </row>
    <row r="139" customFormat="false" ht="15" hidden="false" customHeight="true" outlineLevel="0" collapsed="false">
      <c r="A139" s="51" t="n">
        <v>131</v>
      </c>
      <c r="B139" s="52" t="s">
        <v>457</v>
      </c>
      <c r="C139" s="52" t="s">
        <v>2522</v>
      </c>
      <c r="D139" s="52" t="s">
        <v>2477</v>
      </c>
      <c r="E139" s="51" t="s">
        <v>459</v>
      </c>
      <c r="F139" s="51" t="s">
        <v>459</v>
      </c>
      <c r="G139" s="51" t="s">
        <v>907</v>
      </c>
      <c r="H139" s="51" t="s">
        <v>461</v>
      </c>
      <c r="I139" s="52" t="s">
        <v>2436</v>
      </c>
      <c r="J139" s="52"/>
      <c r="K139" s="53" t="n">
        <f aca="false">IF(AND(E139="yes",F139="yes",H139="covered"),1,IF(H139="partial",0.5,0))</f>
        <v>1</v>
      </c>
    </row>
    <row r="140" customFormat="false" ht="15" hidden="false" customHeight="true" outlineLevel="0" collapsed="false">
      <c r="A140" s="51" t="n">
        <v>132</v>
      </c>
      <c r="B140" s="52" t="s">
        <v>1358</v>
      </c>
      <c r="C140" s="52" t="s">
        <v>2522</v>
      </c>
      <c r="D140" s="52" t="s">
        <v>2478</v>
      </c>
      <c r="E140" s="51" t="s">
        <v>459</v>
      </c>
      <c r="F140" s="51" t="s">
        <v>459</v>
      </c>
      <c r="G140" s="51" t="s">
        <v>907</v>
      </c>
      <c r="H140" s="51" t="s">
        <v>461</v>
      </c>
      <c r="I140" s="52" t="s">
        <v>2436</v>
      </c>
      <c r="J140" s="52"/>
      <c r="K140" s="53" t="n">
        <f aca="false">IF(AND(E140="yes",F140="yes",H140="covered"),1,IF(H140="partial",0.5,0))</f>
        <v>1</v>
      </c>
    </row>
    <row r="141" customFormat="false" ht="15" hidden="false" customHeight="true" outlineLevel="0" collapsed="false">
      <c r="A141" s="51" t="n">
        <v>133</v>
      </c>
      <c r="B141" s="52" t="s">
        <v>486</v>
      </c>
      <c r="C141" s="52" t="s">
        <v>2525</v>
      </c>
      <c r="D141" s="52" t="s">
        <v>2526</v>
      </c>
      <c r="E141" s="51" t="s">
        <v>459</v>
      </c>
      <c r="F141" s="51" t="s">
        <v>459</v>
      </c>
      <c r="G141" s="51" t="s">
        <v>907</v>
      </c>
      <c r="H141" s="51" t="s">
        <v>461</v>
      </c>
      <c r="I141" s="52" t="s">
        <v>2436</v>
      </c>
      <c r="J141" s="52"/>
      <c r="K141" s="53" t="n">
        <f aca="false">IF(AND(E141="yes",F141="yes",H141="covered"),1,IF(H141="partial",0.5,0))</f>
        <v>1</v>
      </c>
    </row>
    <row r="142" customFormat="false" ht="15" hidden="false" customHeight="true" outlineLevel="0" collapsed="false">
      <c r="A142" s="51" t="n">
        <v>134</v>
      </c>
      <c r="B142" s="52" t="s">
        <v>486</v>
      </c>
      <c r="C142" s="52" t="s">
        <v>2525</v>
      </c>
      <c r="D142" s="52" t="s">
        <v>2527</v>
      </c>
      <c r="E142" s="51" t="s">
        <v>459</v>
      </c>
      <c r="F142" s="51" t="s">
        <v>459</v>
      </c>
      <c r="G142" s="51" t="s">
        <v>907</v>
      </c>
      <c r="H142" s="51" t="s">
        <v>461</v>
      </c>
      <c r="I142" s="52" t="s">
        <v>2436</v>
      </c>
      <c r="J142" s="52"/>
      <c r="K142" s="53" t="n">
        <f aca="false">IF(AND(E142="yes",F142="yes",H142="covered"),1,IF(H142="partial",0.5,0))</f>
        <v>1</v>
      </c>
    </row>
    <row r="143" customFormat="false" ht="15" hidden="false" customHeight="true" outlineLevel="0" collapsed="false">
      <c r="A143" s="51" t="n">
        <v>135</v>
      </c>
      <c r="B143" s="52" t="s">
        <v>486</v>
      </c>
      <c r="C143" s="52" t="s">
        <v>2525</v>
      </c>
      <c r="D143" s="52" t="s">
        <v>2509</v>
      </c>
      <c r="E143" s="51" t="s">
        <v>459</v>
      </c>
      <c r="F143" s="51" t="s">
        <v>459</v>
      </c>
      <c r="G143" s="51" t="s">
        <v>907</v>
      </c>
      <c r="H143" s="51" t="s">
        <v>461</v>
      </c>
      <c r="I143" s="52" t="s">
        <v>2436</v>
      </c>
      <c r="J143" s="52"/>
      <c r="K143" s="53" t="n">
        <f aca="false">IF(AND(E143="yes",F143="yes",H143="covered"),1,IF(H143="partial",0.5,0))</f>
        <v>1</v>
      </c>
    </row>
    <row r="144" customFormat="false" ht="45" hidden="false" customHeight="true" outlineLevel="0" collapsed="false">
      <c r="A144" s="51" t="n">
        <v>136</v>
      </c>
      <c r="B144" s="52" t="s">
        <v>882</v>
      </c>
      <c r="C144" s="52" t="s">
        <v>2525</v>
      </c>
      <c r="D144" s="52" t="s">
        <v>2480</v>
      </c>
      <c r="E144" s="51" t="s">
        <v>459</v>
      </c>
      <c r="F144" s="51" t="s">
        <v>459</v>
      </c>
      <c r="G144" s="51" t="s">
        <v>907</v>
      </c>
      <c r="H144" s="51" t="s">
        <v>461</v>
      </c>
      <c r="I144" s="52" t="s">
        <v>2436</v>
      </c>
      <c r="J144" s="52"/>
      <c r="K144" s="53" t="n">
        <f aca="false">IF(AND(E144="yes",F144="yes",H144="covered"),1,IF(H144="partial",0.5,0))</f>
        <v>1</v>
      </c>
    </row>
    <row r="145" customFormat="false" ht="15" hidden="false" customHeight="true" outlineLevel="0" collapsed="false">
      <c r="A145" s="51" t="n">
        <v>137</v>
      </c>
      <c r="B145" s="52" t="s">
        <v>774</v>
      </c>
      <c r="C145" s="52" t="s">
        <v>2525</v>
      </c>
      <c r="D145" s="52" t="s">
        <v>2476</v>
      </c>
      <c r="E145" s="51" t="s">
        <v>459</v>
      </c>
      <c r="F145" s="51" t="s">
        <v>459</v>
      </c>
      <c r="G145" s="51" t="s">
        <v>907</v>
      </c>
      <c r="H145" s="51" t="s">
        <v>461</v>
      </c>
      <c r="I145" s="52" t="s">
        <v>2436</v>
      </c>
      <c r="J145" s="52"/>
      <c r="K145" s="53" t="n">
        <f aca="false">IF(AND(E145="yes",F145="yes",H145="covered"),1,IF(H145="partial",0.5,0))</f>
        <v>1</v>
      </c>
    </row>
    <row r="146" customFormat="false" ht="15" hidden="false" customHeight="true" outlineLevel="0" collapsed="false">
      <c r="A146" s="51" t="n">
        <v>138</v>
      </c>
      <c r="B146" s="52" t="s">
        <v>457</v>
      </c>
      <c r="C146" s="52" t="s">
        <v>2525</v>
      </c>
      <c r="D146" s="52" t="s">
        <v>2477</v>
      </c>
      <c r="E146" s="51" t="s">
        <v>459</v>
      </c>
      <c r="F146" s="51" t="s">
        <v>459</v>
      </c>
      <c r="G146" s="51" t="s">
        <v>907</v>
      </c>
      <c r="H146" s="51" t="s">
        <v>461</v>
      </c>
      <c r="I146" s="52" t="s">
        <v>2436</v>
      </c>
      <c r="J146" s="52"/>
      <c r="K146" s="53" t="n">
        <f aca="false">IF(AND(E146="yes",F146="yes",H146="covered"),1,IF(H146="partial",0.5,0))</f>
        <v>1</v>
      </c>
    </row>
    <row r="147" customFormat="false" ht="15" hidden="false" customHeight="true" outlineLevel="0" collapsed="false">
      <c r="A147" s="51" t="n">
        <v>139</v>
      </c>
      <c r="B147" s="52" t="s">
        <v>1358</v>
      </c>
      <c r="C147" s="52" t="s">
        <v>2525</v>
      </c>
      <c r="D147" s="52" t="s">
        <v>2478</v>
      </c>
      <c r="E147" s="51" t="s">
        <v>459</v>
      </c>
      <c r="F147" s="51" t="s">
        <v>459</v>
      </c>
      <c r="G147" s="51" t="s">
        <v>907</v>
      </c>
      <c r="H147" s="51" t="s">
        <v>461</v>
      </c>
      <c r="I147" s="52" t="s">
        <v>2436</v>
      </c>
      <c r="J147" s="52"/>
      <c r="K147" s="53" t="n">
        <f aca="false">IF(AND(E147="yes",F147="yes",H147="covered"),1,IF(H147="partial",0.5,0))</f>
        <v>1</v>
      </c>
    </row>
    <row r="148" customFormat="false" ht="15" hidden="false" customHeight="true" outlineLevel="0" collapsed="false">
      <c r="A148" s="51" t="n">
        <v>140</v>
      </c>
      <c r="B148" s="52" t="s">
        <v>486</v>
      </c>
      <c r="C148" s="52" t="s">
        <v>904</v>
      </c>
      <c r="D148" s="52" t="s">
        <v>2528</v>
      </c>
      <c r="E148" s="51" t="s">
        <v>459</v>
      </c>
      <c r="F148" s="51" t="s">
        <v>459</v>
      </c>
      <c r="G148" s="51" t="s">
        <v>907</v>
      </c>
      <c r="H148" s="51" t="s">
        <v>461</v>
      </c>
      <c r="I148" s="52" t="s">
        <v>2436</v>
      </c>
      <c r="J148" s="52"/>
      <c r="K148" s="53" t="n">
        <f aca="false">IF(AND(E148="yes",F148="yes",H148="covered"),1,IF(H148="partial",0.5,0))</f>
        <v>1</v>
      </c>
    </row>
    <row r="149" customFormat="false" ht="45" hidden="false" customHeight="true" outlineLevel="0" collapsed="false">
      <c r="A149" s="51" t="n">
        <v>141</v>
      </c>
      <c r="B149" s="52" t="s">
        <v>486</v>
      </c>
      <c r="C149" s="52" t="s">
        <v>904</v>
      </c>
      <c r="D149" s="52" t="s">
        <v>2529</v>
      </c>
      <c r="E149" s="51" t="s">
        <v>459</v>
      </c>
      <c r="F149" s="51" t="s">
        <v>459</v>
      </c>
      <c r="G149" s="51" t="s">
        <v>907</v>
      </c>
      <c r="H149" s="51" t="s">
        <v>461</v>
      </c>
      <c r="I149" s="52" t="s">
        <v>2436</v>
      </c>
      <c r="J149" s="52"/>
      <c r="K149" s="53" t="n">
        <f aca="false">IF(AND(E149="yes",F149="yes",H149="covered"),1,IF(H149="partial",0.5,0))</f>
        <v>1</v>
      </c>
    </row>
    <row r="150" customFormat="false" ht="15" hidden="false" customHeight="true" outlineLevel="0" collapsed="false">
      <c r="A150" s="51" t="n">
        <v>142</v>
      </c>
      <c r="B150" s="52" t="s">
        <v>774</v>
      </c>
      <c r="C150" s="52" t="s">
        <v>904</v>
      </c>
      <c r="D150" s="52" t="s">
        <v>2499</v>
      </c>
      <c r="E150" s="51" t="s">
        <v>459</v>
      </c>
      <c r="F150" s="51" t="s">
        <v>459</v>
      </c>
      <c r="G150" s="51" t="s">
        <v>907</v>
      </c>
      <c r="H150" s="51" t="s">
        <v>461</v>
      </c>
      <c r="I150" s="52" t="s">
        <v>2436</v>
      </c>
      <c r="J150" s="52"/>
      <c r="K150" s="53" t="n">
        <f aca="false">IF(AND(E150="yes",F150="yes",H150="covered"),1,IF(H150="partial",0.5,0))</f>
        <v>1</v>
      </c>
    </row>
    <row r="151" customFormat="false" ht="15" hidden="false" customHeight="true" outlineLevel="0" collapsed="false">
      <c r="A151" s="51" t="n">
        <v>143</v>
      </c>
      <c r="B151" s="52" t="s">
        <v>457</v>
      </c>
      <c r="C151" s="52" t="s">
        <v>904</v>
      </c>
      <c r="D151" s="52" t="s">
        <v>1369</v>
      </c>
      <c r="E151" s="51" t="s">
        <v>459</v>
      </c>
      <c r="F151" s="51" t="s">
        <v>459</v>
      </c>
      <c r="G151" s="51" t="s">
        <v>907</v>
      </c>
      <c r="H151" s="51" t="s">
        <v>461</v>
      </c>
      <c r="I151" s="52" t="s">
        <v>2436</v>
      </c>
      <c r="J151" s="52"/>
      <c r="K151" s="53" t="n">
        <f aca="false">IF(AND(E151="yes",F151="yes",H151="covered"),1,IF(H151="partial",0.5,0))</f>
        <v>1</v>
      </c>
    </row>
    <row r="152" customFormat="false" ht="15" hidden="false" customHeight="true" outlineLevel="0" collapsed="false">
      <c r="A152" s="51" t="n">
        <v>144</v>
      </c>
      <c r="B152" s="52" t="s">
        <v>1358</v>
      </c>
      <c r="C152" s="52" t="s">
        <v>904</v>
      </c>
      <c r="D152" s="52" t="s">
        <v>2478</v>
      </c>
      <c r="E152" s="51" t="s">
        <v>459</v>
      </c>
      <c r="F152" s="51" t="s">
        <v>459</v>
      </c>
      <c r="G152" s="51" t="s">
        <v>907</v>
      </c>
      <c r="H152" s="51" t="s">
        <v>461</v>
      </c>
      <c r="I152" s="52" t="s">
        <v>2436</v>
      </c>
      <c r="J152" s="52"/>
      <c r="K152" s="53" t="n">
        <f aca="false">IF(AND(E152="yes",F152="yes",H152="covered"),1,IF(H152="partial",0.5,0))</f>
        <v>1</v>
      </c>
    </row>
    <row r="153" customFormat="false" ht="15" hidden="false" customHeight="true" outlineLevel="0" collapsed="false">
      <c r="A153" s="51" t="n">
        <v>145</v>
      </c>
      <c r="B153" s="52" t="s">
        <v>486</v>
      </c>
      <c r="C153" s="52" t="s">
        <v>2530</v>
      </c>
      <c r="D153" s="52" t="s">
        <v>2531</v>
      </c>
      <c r="E153" s="51" t="s">
        <v>459</v>
      </c>
      <c r="F153" s="51" t="s">
        <v>459</v>
      </c>
      <c r="G153" s="51" t="s">
        <v>907</v>
      </c>
      <c r="H153" s="51" t="s">
        <v>461</v>
      </c>
      <c r="I153" s="52" t="s">
        <v>2436</v>
      </c>
      <c r="J153" s="52"/>
      <c r="K153" s="53" t="n">
        <f aca="false">IF(AND(E153="yes",F153="yes",H153="covered"),1,IF(H153="partial",0.5,0))</f>
        <v>1</v>
      </c>
    </row>
    <row r="154" customFormat="false" ht="15" hidden="false" customHeight="true" outlineLevel="0" collapsed="false">
      <c r="A154" s="51" t="n">
        <v>146</v>
      </c>
      <c r="B154" s="52" t="s">
        <v>486</v>
      </c>
      <c r="C154" s="52" t="s">
        <v>2532</v>
      </c>
      <c r="D154" s="52" t="s">
        <v>2533</v>
      </c>
      <c r="E154" s="51" t="s">
        <v>459</v>
      </c>
      <c r="F154" s="51" t="s">
        <v>459</v>
      </c>
      <c r="G154" s="51" t="s">
        <v>907</v>
      </c>
      <c r="H154" s="51" t="s">
        <v>461</v>
      </c>
      <c r="I154" s="52" t="s">
        <v>2436</v>
      </c>
      <c r="J154" s="52"/>
      <c r="K154" s="53" t="n">
        <f aca="false">IF(AND(E154="yes",F154="yes",H154="covered"),1,IF(H154="partial",0.5,0))</f>
        <v>1</v>
      </c>
    </row>
    <row r="155" customFormat="false" ht="15" hidden="false" customHeight="true" outlineLevel="0" collapsed="false">
      <c r="A155" s="51" t="n">
        <v>147</v>
      </c>
      <c r="B155" s="52" t="s">
        <v>524</v>
      </c>
      <c r="C155" s="52" t="s">
        <v>2534</v>
      </c>
      <c r="D155" s="52" t="s">
        <v>2535</v>
      </c>
      <c r="E155" s="51" t="s">
        <v>459</v>
      </c>
      <c r="F155" s="51" t="s">
        <v>459</v>
      </c>
      <c r="G155" s="51" t="s">
        <v>907</v>
      </c>
      <c r="H155" s="51" t="s">
        <v>461</v>
      </c>
      <c r="I155" s="52" t="s">
        <v>2436</v>
      </c>
      <c r="J155" s="52"/>
      <c r="K155" s="53" t="n">
        <f aca="false">IF(AND(E155="yes",F155="yes",H155="covered"),1,IF(H155="partial",0.5,0))</f>
        <v>1</v>
      </c>
    </row>
    <row r="156" customFormat="false" ht="15" hidden="false" customHeight="true" outlineLevel="0" collapsed="false">
      <c r="A156" s="51" t="n">
        <v>148</v>
      </c>
      <c r="B156" s="52" t="s">
        <v>882</v>
      </c>
      <c r="C156" s="52" t="s">
        <v>2534</v>
      </c>
      <c r="D156" s="52" t="s">
        <v>2536</v>
      </c>
      <c r="E156" s="51" t="s">
        <v>459</v>
      </c>
      <c r="F156" s="51" t="s">
        <v>459</v>
      </c>
      <c r="G156" s="51" t="s">
        <v>907</v>
      </c>
      <c r="H156" s="51" t="s">
        <v>461</v>
      </c>
      <c r="I156" s="52" t="s">
        <v>2436</v>
      </c>
      <c r="J156" s="52"/>
      <c r="K156" s="53" t="n">
        <f aca="false">IF(AND(E156="yes",F156="yes",H156="covered"),1,IF(H156="partial",0.5,0))</f>
        <v>1</v>
      </c>
    </row>
    <row r="157" customFormat="false" ht="45" hidden="false" customHeight="true" outlineLevel="0" collapsed="false">
      <c r="A157" s="51" t="n">
        <v>149</v>
      </c>
      <c r="B157" s="52" t="s">
        <v>483</v>
      </c>
      <c r="C157" s="52" t="s">
        <v>2534</v>
      </c>
      <c r="D157" s="52" t="s">
        <v>1353</v>
      </c>
      <c r="E157" s="51" t="s">
        <v>459</v>
      </c>
      <c r="F157" s="51" t="s">
        <v>459</v>
      </c>
      <c r="G157" s="51" t="s">
        <v>907</v>
      </c>
      <c r="H157" s="51" t="s">
        <v>461</v>
      </c>
      <c r="I157" s="52" t="s">
        <v>2436</v>
      </c>
      <c r="J157" s="52"/>
      <c r="K157" s="53" t="n">
        <f aca="false">IF(AND(E157="yes",F157="yes",H157="covered"),1,IF(H157="partial",0.5,0))</f>
        <v>1</v>
      </c>
    </row>
    <row r="158" customFormat="false" ht="15" hidden="false" customHeight="true" outlineLevel="0" collapsed="false">
      <c r="A158" s="51" t="n">
        <v>150</v>
      </c>
      <c r="B158" s="52" t="s">
        <v>774</v>
      </c>
      <c r="C158" s="52" t="s">
        <v>2534</v>
      </c>
      <c r="D158" s="52" t="s">
        <v>2537</v>
      </c>
      <c r="E158" s="51" t="s">
        <v>459</v>
      </c>
      <c r="F158" s="51" t="s">
        <v>459</v>
      </c>
      <c r="G158" s="51" t="s">
        <v>907</v>
      </c>
      <c r="H158" s="51" t="s">
        <v>461</v>
      </c>
      <c r="I158" s="52" t="s">
        <v>2436</v>
      </c>
      <c r="J158" s="52"/>
      <c r="K158" s="53" t="n">
        <f aca="false">IF(AND(E158="yes",F158="yes",H158="covered"),1,IF(H158="partial",0.5,0))</f>
        <v>1</v>
      </c>
    </row>
    <row r="159" customFormat="false" ht="15" hidden="false" customHeight="true" outlineLevel="0" collapsed="false">
      <c r="A159" s="51" t="n">
        <v>151</v>
      </c>
      <c r="B159" s="52" t="s">
        <v>457</v>
      </c>
      <c r="C159" s="52" t="s">
        <v>2534</v>
      </c>
      <c r="D159" s="52" t="s">
        <v>1356</v>
      </c>
      <c r="E159" s="51" t="s">
        <v>459</v>
      </c>
      <c r="F159" s="51" t="s">
        <v>459</v>
      </c>
      <c r="G159" s="51" t="s">
        <v>907</v>
      </c>
      <c r="H159" s="51" t="s">
        <v>461</v>
      </c>
      <c r="I159" s="52" t="s">
        <v>2436</v>
      </c>
      <c r="J159" s="52"/>
      <c r="K159" s="53" t="n">
        <f aca="false">IF(AND(E159="yes",F159="yes",H159="covered"),1,IF(H159="partial",0.5,0))</f>
        <v>1</v>
      </c>
    </row>
    <row r="160" customFormat="false" ht="15" hidden="false" customHeight="true" outlineLevel="0" collapsed="false">
      <c r="A160" s="51" t="n">
        <v>152</v>
      </c>
      <c r="B160" s="52" t="s">
        <v>1358</v>
      </c>
      <c r="C160" s="52" t="s">
        <v>2534</v>
      </c>
      <c r="D160" s="52" t="s">
        <v>2538</v>
      </c>
      <c r="E160" s="51" t="s">
        <v>459</v>
      </c>
      <c r="F160" s="51" t="s">
        <v>459</v>
      </c>
      <c r="G160" s="51" t="s">
        <v>907</v>
      </c>
      <c r="H160" s="51" t="s">
        <v>461</v>
      </c>
      <c r="I160" s="52" t="s">
        <v>2436</v>
      </c>
      <c r="J160" s="52"/>
      <c r="K160" s="53" t="n">
        <f aca="false">IF(AND(E160="yes",F160="yes",H160="covered"),1,IF(H160="partial",0.5,0))</f>
        <v>1</v>
      </c>
    </row>
    <row r="161" customFormat="false" ht="15" hidden="false" customHeight="true" outlineLevel="0" collapsed="false">
      <c r="A161" s="51" t="n">
        <v>153</v>
      </c>
      <c r="B161" s="52" t="s">
        <v>486</v>
      </c>
      <c r="C161" s="52" t="s">
        <v>1751</v>
      </c>
      <c r="D161" s="52" t="s">
        <v>2539</v>
      </c>
      <c r="E161" s="51" t="s">
        <v>459</v>
      </c>
      <c r="F161" s="51" t="s">
        <v>459</v>
      </c>
      <c r="G161" s="51" t="s">
        <v>907</v>
      </c>
      <c r="H161" s="51" t="s">
        <v>461</v>
      </c>
      <c r="I161" s="52" t="s">
        <v>2436</v>
      </c>
      <c r="J161" s="52"/>
      <c r="K161" s="53" t="n">
        <f aca="false">IF(AND(E161="yes",F161="yes",H161="covered"),1,IF(H161="partial",0.5,0))</f>
        <v>1</v>
      </c>
    </row>
    <row r="162" customFormat="false" ht="45" hidden="false" customHeight="true" outlineLevel="0" collapsed="false">
      <c r="A162" s="51" t="n">
        <v>154</v>
      </c>
      <c r="B162" s="52" t="s">
        <v>882</v>
      </c>
      <c r="C162" s="52" t="s">
        <v>1751</v>
      </c>
      <c r="D162" s="52" t="s">
        <v>2480</v>
      </c>
      <c r="E162" s="51" t="s">
        <v>459</v>
      </c>
      <c r="F162" s="51" t="s">
        <v>459</v>
      </c>
      <c r="G162" s="51" t="s">
        <v>907</v>
      </c>
      <c r="H162" s="51" t="s">
        <v>461</v>
      </c>
      <c r="I162" s="52" t="s">
        <v>2436</v>
      </c>
      <c r="J162" s="52"/>
      <c r="K162" s="53" t="n">
        <f aca="false">IF(AND(E162="yes",F162="yes",H162="covered"),1,IF(H162="partial",0.5,0))</f>
        <v>1</v>
      </c>
    </row>
    <row r="163" customFormat="false" ht="15" hidden="false" customHeight="true" outlineLevel="0" collapsed="false">
      <c r="A163" s="51" t="n">
        <v>155</v>
      </c>
      <c r="B163" s="52" t="s">
        <v>774</v>
      </c>
      <c r="C163" s="52" t="s">
        <v>1751</v>
      </c>
      <c r="D163" s="52" t="s">
        <v>2476</v>
      </c>
      <c r="E163" s="51" t="s">
        <v>459</v>
      </c>
      <c r="F163" s="51" t="s">
        <v>459</v>
      </c>
      <c r="G163" s="51" t="s">
        <v>907</v>
      </c>
      <c r="H163" s="51" t="s">
        <v>461</v>
      </c>
      <c r="I163" s="52" t="s">
        <v>2436</v>
      </c>
      <c r="J163" s="52"/>
      <c r="K163" s="53" t="n">
        <f aca="false">IF(AND(E163="yes",F163="yes",H163="covered"),1,IF(H163="partial",0.5,0))</f>
        <v>1</v>
      </c>
    </row>
    <row r="164" customFormat="false" ht="15" hidden="false" customHeight="true" outlineLevel="0" collapsed="false">
      <c r="A164" s="51" t="n">
        <v>156</v>
      </c>
      <c r="B164" s="52" t="s">
        <v>457</v>
      </c>
      <c r="C164" s="52" t="s">
        <v>1751</v>
      </c>
      <c r="D164" s="52" t="s">
        <v>2477</v>
      </c>
      <c r="E164" s="51" t="s">
        <v>459</v>
      </c>
      <c r="F164" s="51" t="s">
        <v>459</v>
      </c>
      <c r="G164" s="51" t="s">
        <v>907</v>
      </c>
      <c r="H164" s="51" t="s">
        <v>461</v>
      </c>
      <c r="I164" s="52" t="s">
        <v>2436</v>
      </c>
      <c r="J164" s="52"/>
      <c r="K164" s="53" t="n">
        <f aca="false">IF(AND(E164="yes",F164="yes",H164="covered"),1,IF(H164="partial",0.5,0))</f>
        <v>1</v>
      </c>
    </row>
    <row r="165" customFormat="false" ht="15" hidden="false" customHeight="true" outlineLevel="0" collapsed="false">
      <c r="A165" s="51" t="n">
        <v>157</v>
      </c>
      <c r="B165" s="52" t="s">
        <v>1358</v>
      </c>
      <c r="C165" s="52" t="s">
        <v>1751</v>
      </c>
      <c r="D165" s="52" t="s">
        <v>2478</v>
      </c>
      <c r="E165" s="51" t="s">
        <v>459</v>
      </c>
      <c r="F165" s="51" t="s">
        <v>459</v>
      </c>
      <c r="G165" s="51" t="s">
        <v>907</v>
      </c>
      <c r="H165" s="51" t="s">
        <v>461</v>
      </c>
      <c r="I165" s="52" t="s">
        <v>2436</v>
      </c>
      <c r="J165" s="52"/>
      <c r="K165" s="53" t="n">
        <f aca="false">IF(AND(E165="yes",F165="yes",H165="covered"),1,IF(H165="partial",0.5,0))</f>
        <v>1</v>
      </c>
    </row>
    <row r="166" customFormat="false" ht="15" hidden="false" customHeight="true" outlineLevel="0" collapsed="false">
      <c r="A166" s="51" t="n">
        <v>158</v>
      </c>
      <c r="B166" s="52" t="s">
        <v>524</v>
      </c>
      <c r="C166" s="52" t="s">
        <v>1407</v>
      </c>
      <c r="D166" s="52" t="s">
        <v>1408</v>
      </c>
      <c r="E166" s="51" t="s">
        <v>459</v>
      </c>
      <c r="F166" s="51" t="s">
        <v>459</v>
      </c>
      <c r="G166" s="51" t="s">
        <v>907</v>
      </c>
      <c r="H166" s="51" t="s">
        <v>461</v>
      </c>
      <c r="I166" s="52" t="s">
        <v>2436</v>
      </c>
      <c r="J166" s="52"/>
      <c r="K166" s="53" t="n">
        <f aca="false">IF(AND(E166="yes",F166="yes",H166="covered"),1,IF(H166="partial",0.5,0))</f>
        <v>1</v>
      </c>
    </row>
    <row r="167" customFormat="false" ht="15" hidden="false" customHeight="true" outlineLevel="0" collapsed="false">
      <c r="A167" s="51" t="n">
        <v>159</v>
      </c>
      <c r="B167" s="52" t="s">
        <v>524</v>
      </c>
      <c r="C167" s="52" t="s">
        <v>498</v>
      </c>
      <c r="D167" s="52" t="s">
        <v>292</v>
      </c>
      <c r="E167" s="51" t="s">
        <v>459</v>
      </c>
      <c r="F167" s="51" t="s">
        <v>459</v>
      </c>
      <c r="G167" s="51" t="s">
        <v>1078</v>
      </c>
      <c r="H167" s="51" t="s">
        <v>461</v>
      </c>
      <c r="I167" s="52" t="s">
        <v>1079</v>
      </c>
      <c r="J167" s="52"/>
      <c r="K167" s="53" t="n">
        <f aca="false">IF(AND(E167="yes",F167="yes",H167="covered"),1,IF(H167="partial",0.5,0))</f>
        <v>1</v>
      </c>
    </row>
    <row r="168" customFormat="false" ht="15" hidden="false" customHeight="true" outlineLevel="0" collapsed="false">
      <c r="A168" s="51" t="n">
        <v>160</v>
      </c>
      <c r="B168" s="52" t="s">
        <v>524</v>
      </c>
      <c r="C168" s="52" t="s">
        <v>502</v>
      </c>
      <c r="D168" s="52" t="s">
        <v>299</v>
      </c>
      <c r="E168" s="51" t="s">
        <v>459</v>
      </c>
      <c r="F168" s="51" t="s">
        <v>459</v>
      </c>
      <c r="G168" s="51" t="s">
        <v>1078</v>
      </c>
      <c r="H168" s="51" t="s">
        <v>461</v>
      </c>
      <c r="I168" s="52" t="s">
        <v>1079</v>
      </c>
      <c r="J168" s="52"/>
      <c r="K168" s="53" t="n">
        <f aca="false">IF(AND(E168="yes",F168="yes",H168="covered"),1,IF(H168="partial",0.5,0))</f>
        <v>1</v>
      </c>
    </row>
    <row r="169" customFormat="false" ht="30" hidden="false" customHeight="true" outlineLevel="0" collapsed="false">
      <c r="A169" s="51" t="n">
        <v>161</v>
      </c>
      <c r="B169" s="52" t="s">
        <v>524</v>
      </c>
      <c r="C169" s="52" t="s">
        <v>1272</v>
      </c>
      <c r="D169" s="52" t="s">
        <v>306</v>
      </c>
      <c r="E169" s="51" t="s">
        <v>459</v>
      </c>
      <c r="F169" s="51" t="s">
        <v>459</v>
      </c>
      <c r="G169" s="51" t="s">
        <v>1078</v>
      </c>
      <c r="H169" s="51" t="s">
        <v>461</v>
      </c>
      <c r="I169" s="52" t="s">
        <v>1079</v>
      </c>
      <c r="J169" s="52"/>
      <c r="K169" s="53" t="n">
        <f aca="false">IF(AND(E169="yes",F169="yes",H169="covered"),1,IF(H169="partial",0.5,0))</f>
        <v>1</v>
      </c>
    </row>
    <row r="170" customFormat="false" ht="15" hidden="false" customHeight="true" outlineLevel="0" collapsed="false">
      <c r="A170" s="51" t="n">
        <v>162</v>
      </c>
      <c r="B170" s="52" t="s">
        <v>1056</v>
      </c>
      <c r="C170" s="52" t="s">
        <v>2486</v>
      </c>
      <c r="D170" s="52" t="s">
        <v>313</v>
      </c>
      <c r="E170" s="51" t="s">
        <v>459</v>
      </c>
      <c r="F170" s="51" t="s">
        <v>459</v>
      </c>
      <c r="G170" s="51" t="s">
        <v>1078</v>
      </c>
      <c r="H170" s="51" t="s">
        <v>461</v>
      </c>
      <c r="I170" s="52" t="s">
        <v>1079</v>
      </c>
      <c r="J170" s="52"/>
      <c r="K170" s="53" t="n">
        <f aca="false">IF(AND(E170="yes",F170="yes",H170="covered"),1,IF(H170="partial",0.5,0))</f>
        <v>1</v>
      </c>
    </row>
    <row r="171" customFormat="false" ht="30" hidden="false" customHeight="true" outlineLevel="0" collapsed="false">
      <c r="A171" s="51" t="n">
        <v>163</v>
      </c>
      <c r="B171" s="52" t="s">
        <v>531</v>
      </c>
      <c r="C171" s="52" t="s">
        <v>1567</v>
      </c>
      <c r="D171" s="52" t="s">
        <v>2540</v>
      </c>
      <c r="E171" s="51" t="s">
        <v>459</v>
      </c>
      <c r="F171" s="51" t="s">
        <v>459</v>
      </c>
      <c r="G171" s="51" t="s">
        <v>907</v>
      </c>
      <c r="H171" s="51" t="s">
        <v>461</v>
      </c>
      <c r="I171" s="52" t="s">
        <v>2436</v>
      </c>
      <c r="J171" s="52"/>
      <c r="K171" s="53" t="n">
        <f aca="false">IF(AND(E171="yes",F171="yes",H171="covered"),1,IF(H171="partial",0.5,0))</f>
        <v>1</v>
      </c>
    </row>
  </sheetData>
  <mergeCells count="3">
    <mergeCell ref="A1:H1"/>
    <mergeCell ref="A2:H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2541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84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460</v>
      </c>
      <c r="H9" s="44" t="s">
        <v>461</v>
      </c>
      <c r="I9" s="42" t="s">
        <v>2542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460</v>
      </c>
      <c r="H10" s="44" t="s">
        <v>461</v>
      </c>
      <c r="I10" s="42" t="s">
        <v>2542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62</v>
      </c>
      <c r="D11" s="42" t="s">
        <v>464</v>
      </c>
      <c r="E11" s="34" t="s">
        <v>459</v>
      </c>
      <c r="F11" s="43" t="s">
        <v>459</v>
      </c>
      <c r="G11" s="31" t="s">
        <v>460</v>
      </c>
      <c r="H11" s="44" t="s">
        <v>461</v>
      </c>
      <c r="I11" s="42" t="s">
        <v>2542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62</v>
      </c>
      <c r="D12" s="42" t="s">
        <v>465</v>
      </c>
      <c r="E12" s="34" t="s">
        <v>459</v>
      </c>
      <c r="F12" s="43" t="s">
        <v>459</v>
      </c>
      <c r="G12" s="31" t="s">
        <v>460</v>
      </c>
      <c r="H12" s="44" t="s">
        <v>461</v>
      </c>
      <c r="I12" s="42" t="s">
        <v>2542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62</v>
      </c>
      <c r="D13" s="42" t="s">
        <v>466</v>
      </c>
      <c r="E13" s="34" t="s">
        <v>459</v>
      </c>
      <c r="F13" s="43" t="s">
        <v>459</v>
      </c>
      <c r="G13" s="31" t="s">
        <v>460</v>
      </c>
      <c r="H13" s="44" t="s">
        <v>461</v>
      </c>
      <c r="I13" s="42" t="s">
        <v>2542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62</v>
      </c>
      <c r="D14" s="42" t="s">
        <v>467</v>
      </c>
      <c r="E14" s="34" t="s">
        <v>459</v>
      </c>
      <c r="F14" s="43" t="s">
        <v>459</v>
      </c>
      <c r="G14" s="31" t="s">
        <v>460</v>
      </c>
      <c r="H14" s="44" t="s">
        <v>461</v>
      </c>
      <c r="I14" s="42" t="s">
        <v>2542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62</v>
      </c>
      <c r="D15" s="42" t="s">
        <v>2543</v>
      </c>
      <c r="E15" s="34" t="s">
        <v>459</v>
      </c>
      <c r="F15" s="43" t="s">
        <v>459</v>
      </c>
      <c r="G15" s="31" t="s">
        <v>460</v>
      </c>
      <c r="H15" s="44" t="s">
        <v>461</v>
      </c>
      <c r="I15" s="42" t="s">
        <v>2542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62</v>
      </c>
      <c r="D16" s="42" t="s">
        <v>2544</v>
      </c>
      <c r="E16" s="34" t="s">
        <v>459</v>
      </c>
      <c r="F16" s="43" t="s">
        <v>459</v>
      </c>
      <c r="G16" s="31" t="s">
        <v>460</v>
      </c>
      <c r="H16" s="44" t="s">
        <v>461</v>
      </c>
      <c r="I16" s="42" t="s">
        <v>2542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62</v>
      </c>
      <c r="D17" s="42" t="s">
        <v>2545</v>
      </c>
      <c r="E17" s="34" t="s">
        <v>459</v>
      </c>
      <c r="F17" s="43" t="s">
        <v>459</v>
      </c>
      <c r="G17" s="31" t="s">
        <v>460</v>
      </c>
      <c r="H17" s="44" t="s">
        <v>461</v>
      </c>
      <c r="I17" s="42" t="s">
        <v>2542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62</v>
      </c>
      <c r="D18" s="42" t="s">
        <v>2546</v>
      </c>
      <c r="E18" s="34" t="s">
        <v>459</v>
      </c>
      <c r="F18" s="43" t="s">
        <v>459</v>
      </c>
      <c r="G18" s="31" t="s">
        <v>460</v>
      </c>
      <c r="H18" s="44" t="s">
        <v>461</v>
      </c>
      <c r="I18" s="42" t="s">
        <v>2542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62</v>
      </c>
      <c r="D19" s="42" t="s">
        <v>2547</v>
      </c>
      <c r="E19" s="34" t="s">
        <v>459</v>
      </c>
      <c r="F19" s="43" t="s">
        <v>459</v>
      </c>
      <c r="G19" s="31" t="s">
        <v>460</v>
      </c>
      <c r="H19" s="44" t="s">
        <v>461</v>
      </c>
      <c r="I19" s="42" t="s">
        <v>2542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62</v>
      </c>
      <c r="D20" s="42" t="s">
        <v>2548</v>
      </c>
      <c r="E20" s="34" t="s">
        <v>459</v>
      </c>
      <c r="F20" s="43" t="s">
        <v>459</v>
      </c>
      <c r="G20" s="31" t="s">
        <v>460</v>
      </c>
      <c r="H20" s="44" t="s">
        <v>461</v>
      </c>
      <c r="I20" s="42" t="s">
        <v>2542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460</v>
      </c>
      <c r="H21" s="44" t="s">
        <v>461</v>
      </c>
      <c r="I21" s="42" t="s">
        <v>2542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460</v>
      </c>
      <c r="H22" s="44" t="s">
        <v>461</v>
      </c>
      <c r="I22" s="42" t="s">
        <v>2542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460</v>
      </c>
      <c r="H23" s="44" t="s">
        <v>461</v>
      </c>
      <c r="I23" s="42" t="s">
        <v>2542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460</v>
      </c>
      <c r="H24" s="44" t="s">
        <v>461</v>
      </c>
      <c r="I24" s="42" t="s">
        <v>2542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460</v>
      </c>
      <c r="H25" s="44" t="s">
        <v>461</v>
      </c>
      <c r="I25" s="42" t="s">
        <v>2542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460</v>
      </c>
      <c r="H26" s="44" t="s">
        <v>461</v>
      </c>
      <c r="I26" s="42" t="s">
        <v>2542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486</v>
      </c>
      <c r="C27" s="42" t="s">
        <v>476</v>
      </c>
      <c r="D27" s="42" t="s">
        <v>2549</v>
      </c>
      <c r="E27" s="34" t="s">
        <v>459</v>
      </c>
      <c r="F27" s="43" t="s">
        <v>459</v>
      </c>
      <c r="G27" s="31" t="s">
        <v>460</v>
      </c>
      <c r="H27" s="44" t="s">
        <v>461</v>
      </c>
      <c r="I27" s="42" t="s">
        <v>2542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2550</v>
      </c>
      <c r="E28" s="34" t="s">
        <v>459</v>
      </c>
      <c r="F28" s="43" t="s">
        <v>459</v>
      </c>
      <c r="G28" s="31" t="s">
        <v>460</v>
      </c>
      <c r="H28" s="44" t="s">
        <v>461</v>
      </c>
      <c r="I28" s="42" t="s">
        <v>2542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2551</v>
      </c>
      <c r="E29" s="34" t="s">
        <v>459</v>
      </c>
      <c r="F29" s="43" t="s">
        <v>459</v>
      </c>
      <c r="G29" s="31" t="s">
        <v>460</v>
      </c>
      <c r="H29" s="44" t="s">
        <v>461</v>
      </c>
      <c r="I29" s="42" t="s">
        <v>2542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2552</v>
      </c>
      <c r="E30" s="34" t="s">
        <v>459</v>
      </c>
      <c r="F30" s="43" t="s">
        <v>459</v>
      </c>
      <c r="G30" s="31" t="s">
        <v>460</v>
      </c>
      <c r="H30" s="44" t="s">
        <v>461</v>
      </c>
      <c r="I30" s="42" t="s">
        <v>2542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1056</v>
      </c>
      <c r="C31" s="42" t="s">
        <v>476</v>
      </c>
      <c r="D31" s="42" t="s">
        <v>1748</v>
      </c>
      <c r="E31" s="34" t="s">
        <v>459</v>
      </c>
      <c r="F31" s="43" t="s">
        <v>459</v>
      </c>
      <c r="G31" s="31" t="s">
        <v>460</v>
      </c>
      <c r="H31" s="44" t="s">
        <v>461</v>
      </c>
      <c r="I31" s="42" t="s">
        <v>2542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493</v>
      </c>
      <c r="E32" s="34" t="s">
        <v>459</v>
      </c>
      <c r="F32" s="43" t="s">
        <v>459</v>
      </c>
      <c r="G32" s="31" t="s">
        <v>460</v>
      </c>
      <c r="H32" s="44" t="s">
        <v>461</v>
      </c>
      <c r="I32" s="42" t="s">
        <v>2542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495</v>
      </c>
      <c r="E33" s="34" t="s">
        <v>459</v>
      </c>
      <c r="F33" s="43" t="s">
        <v>459</v>
      </c>
      <c r="G33" s="31" t="s">
        <v>460</v>
      </c>
      <c r="H33" s="44" t="s">
        <v>461</v>
      </c>
      <c r="I33" s="42" t="s">
        <v>2542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476</v>
      </c>
      <c r="D34" s="42" t="s">
        <v>499</v>
      </c>
      <c r="E34" s="34" t="s">
        <v>459</v>
      </c>
      <c r="F34" s="43" t="s">
        <v>459</v>
      </c>
      <c r="G34" s="31" t="s">
        <v>460</v>
      </c>
      <c r="H34" s="44" t="s">
        <v>461</v>
      </c>
      <c r="I34" s="42" t="s">
        <v>2542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1056</v>
      </c>
      <c r="C35" s="42" t="s">
        <v>476</v>
      </c>
      <c r="D35" s="42" t="s">
        <v>2314</v>
      </c>
      <c r="E35" s="34" t="s">
        <v>459</v>
      </c>
      <c r="F35" s="43" t="s">
        <v>459</v>
      </c>
      <c r="G35" s="31" t="s">
        <v>460</v>
      </c>
      <c r="H35" s="44" t="s">
        <v>461</v>
      </c>
      <c r="I35" s="42" t="s">
        <v>2542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2553</v>
      </c>
      <c r="E36" s="34" t="s">
        <v>459</v>
      </c>
      <c r="F36" s="43" t="s">
        <v>459</v>
      </c>
      <c r="G36" s="31" t="s">
        <v>460</v>
      </c>
      <c r="H36" s="44" t="s">
        <v>461</v>
      </c>
      <c r="I36" s="42" t="s">
        <v>2542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475</v>
      </c>
      <c r="C37" s="42" t="s">
        <v>498</v>
      </c>
      <c r="D37" s="42" t="s">
        <v>477</v>
      </c>
      <c r="E37" s="34" t="s">
        <v>459</v>
      </c>
      <c r="F37" s="43" t="s">
        <v>459</v>
      </c>
      <c r="G37" s="31" t="s">
        <v>460</v>
      </c>
      <c r="H37" s="44" t="s">
        <v>461</v>
      </c>
      <c r="I37" s="42" t="s">
        <v>2542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475</v>
      </c>
      <c r="C38" s="42" t="s">
        <v>498</v>
      </c>
      <c r="D38" s="42" t="s">
        <v>478</v>
      </c>
      <c r="E38" s="34" t="s">
        <v>459</v>
      </c>
      <c r="F38" s="43" t="s">
        <v>459</v>
      </c>
      <c r="G38" s="31" t="s">
        <v>460</v>
      </c>
      <c r="H38" s="44" t="s">
        <v>461</v>
      </c>
      <c r="I38" s="42" t="s">
        <v>2542</v>
      </c>
      <c r="J38" s="42"/>
      <c r="K38" s="45" t="n">
        <f aca="false">IF(AND(E38="yes",F38="yes",H38="covered"),1,IF(H38="partial",0.5,0))</f>
        <v>1</v>
      </c>
    </row>
    <row r="39" customFormat="false" ht="30" hidden="false" customHeight="true" outlineLevel="0" collapsed="false">
      <c r="A39" s="31" t="n">
        <v>31</v>
      </c>
      <c r="B39" s="42" t="s">
        <v>479</v>
      </c>
      <c r="C39" s="42" t="s">
        <v>498</v>
      </c>
      <c r="D39" s="42" t="s">
        <v>480</v>
      </c>
      <c r="E39" s="34" t="s">
        <v>459</v>
      </c>
      <c r="F39" s="43" t="s">
        <v>459</v>
      </c>
      <c r="G39" s="31" t="s">
        <v>460</v>
      </c>
      <c r="H39" s="44" t="s">
        <v>461</v>
      </c>
      <c r="I39" s="42" t="s">
        <v>2542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479</v>
      </c>
      <c r="C40" s="42" t="s">
        <v>498</v>
      </c>
      <c r="D40" s="42" t="s">
        <v>481</v>
      </c>
      <c r="E40" s="34" t="s">
        <v>459</v>
      </c>
      <c r="F40" s="43" t="s">
        <v>459</v>
      </c>
      <c r="G40" s="31" t="s">
        <v>460</v>
      </c>
      <c r="H40" s="44" t="s">
        <v>461</v>
      </c>
      <c r="I40" s="42" t="s">
        <v>2542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457</v>
      </c>
      <c r="C41" s="42" t="s">
        <v>498</v>
      </c>
      <c r="D41" s="42" t="s">
        <v>482</v>
      </c>
      <c r="E41" s="34" t="s">
        <v>459</v>
      </c>
      <c r="F41" s="43" t="s">
        <v>459</v>
      </c>
      <c r="G41" s="31" t="s">
        <v>460</v>
      </c>
      <c r="H41" s="44" t="s">
        <v>461</v>
      </c>
      <c r="I41" s="42" t="s">
        <v>2542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774</v>
      </c>
      <c r="C42" s="42" t="s">
        <v>498</v>
      </c>
      <c r="D42" s="42" t="s">
        <v>775</v>
      </c>
      <c r="E42" s="34" t="s">
        <v>459</v>
      </c>
      <c r="F42" s="43" t="s">
        <v>459</v>
      </c>
      <c r="G42" s="31" t="s">
        <v>460</v>
      </c>
      <c r="H42" s="44" t="s">
        <v>461</v>
      </c>
      <c r="I42" s="42" t="s">
        <v>2542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488</v>
      </c>
      <c r="C43" s="42" t="s">
        <v>498</v>
      </c>
      <c r="D43" s="42" t="s">
        <v>2554</v>
      </c>
      <c r="E43" s="34" t="s">
        <v>459</v>
      </c>
      <c r="F43" s="43" t="s">
        <v>459</v>
      </c>
      <c r="G43" s="31" t="s">
        <v>460</v>
      </c>
      <c r="H43" s="44" t="s">
        <v>461</v>
      </c>
      <c r="I43" s="42" t="s">
        <v>2542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483</v>
      </c>
      <c r="C44" s="42" t="s">
        <v>498</v>
      </c>
      <c r="D44" s="42" t="s">
        <v>484</v>
      </c>
      <c r="E44" s="34" t="s">
        <v>459</v>
      </c>
      <c r="F44" s="43" t="s">
        <v>459</v>
      </c>
      <c r="G44" s="31" t="s">
        <v>460</v>
      </c>
      <c r="H44" s="44" t="s">
        <v>461</v>
      </c>
      <c r="I44" s="42" t="s">
        <v>2542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483</v>
      </c>
      <c r="C45" s="42" t="s">
        <v>498</v>
      </c>
      <c r="D45" s="42" t="s">
        <v>485</v>
      </c>
      <c r="E45" s="34" t="s">
        <v>459</v>
      </c>
      <c r="F45" s="43" t="s">
        <v>459</v>
      </c>
      <c r="G45" s="31" t="s">
        <v>460</v>
      </c>
      <c r="H45" s="44" t="s">
        <v>461</v>
      </c>
      <c r="I45" s="42" t="s">
        <v>2542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486</v>
      </c>
      <c r="C46" s="42" t="s">
        <v>498</v>
      </c>
      <c r="D46" s="42" t="s">
        <v>495</v>
      </c>
      <c r="E46" s="34" t="s">
        <v>459</v>
      </c>
      <c r="F46" s="43" t="s">
        <v>459</v>
      </c>
      <c r="G46" s="31" t="s">
        <v>460</v>
      </c>
      <c r="H46" s="44" t="s">
        <v>461</v>
      </c>
      <c r="I46" s="42" t="s">
        <v>2542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486</v>
      </c>
      <c r="C47" s="42" t="s">
        <v>498</v>
      </c>
      <c r="D47" s="42" t="s">
        <v>499</v>
      </c>
      <c r="E47" s="34" t="s">
        <v>459</v>
      </c>
      <c r="F47" s="43" t="s">
        <v>459</v>
      </c>
      <c r="G47" s="31" t="s">
        <v>460</v>
      </c>
      <c r="H47" s="44" t="s">
        <v>461</v>
      </c>
      <c r="I47" s="42" t="s">
        <v>2542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1056</v>
      </c>
      <c r="C48" s="42" t="s">
        <v>498</v>
      </c>
      <c r="D48" s="42" t="s">
        <v>2314</v>
      </c>
      <c r="E48" s="34" t="s">
        <v>459</v>
      </c>
      <c r="F48" s="43" t="s">
        <v>459</v>
      </c>
      <c r="G48" s="31" t="s">
        <v>460</v>
      </c>
      <c r="H48" s="44" t="s">
        <v>461</v>
      </c>
      <c r="I48" s="42" t="s">
        <v>2542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488</v>
      </c>
      <c r="C49" s="42" t="s">
        <v>498</v>
      </c>
      <c r="D49" s="42" t="s">
        <v>497</v>
      </c>
      <c r="E49" s="34" t="s">
        <v>459</v>
      </c>
      <c r="F49" s="43" t="s">
        <v>459</v>
      </c>
      <c r="G49" s="31" t="s">
        <v>460</v>
      </c>
      <c r="H49" s="44" t="s">
        <v>461</v>
      </c>
      <c r="I49" s="42" t="s">
        <v>2542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475</v>
      </c>
      <c r="C50" s="42" t="s">
        <v>2555</v>
      </c>
      <c r="D50" s="42" t="s">
        <v>477</v>
      </c>
      <c r="E50" s="34" t="s">
        <v>459</v>
      </c>
      <c r="F50" s="43" t="s">
        <v>459</v>
      </c>
      <c r="G50" s="31" t="s">
        <v>460</v>
      </c>
      <c r="H50" s="44" t="s">
        <v>461</v>
      </c>
      <c r="I50" s="42" t="s">
        <v>2542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475</v>
      </c>
      <c r="C51" s="42" t="s">
        <v>2555</v>
      </c>
      <c r="D51" s="42" t="s">
        <v>478</v>
      </c>
      <c r="E51" s="34" t="s">
        <v>459</v>
      </c>
      <c r="F51" s="43" t="s">
        <v>459</v>
      </c>
      <c r="G51" s="31" t="s">
        <v>460</v>
      </c>
      <c r="H51" s="44" t="s">
        <v>461</v>
      </c>
      <c r="I51" s="42" t="s">
        <v>2542</v>
      </c>
      <c r="J51" s="42"/>
      <c r="K51" s="45" t="n">
        <f aca="false">IF(AND(E51="yes",F51="yes",H51="covered"),1,IF(H51="partial",0.5,0))</f>
        <v>1</v>
      </c>
    </row>
    <row r="52" customFormat="false" ht="30" hidden="false" customHeight="true" outlineLevel="0" collapsed="false">
      <c r="A52" s="31" t="n">
        <v>44</v>
      </c>
      <c r="B52" s="42" t="s">
        <v>479</v>
      </c>
      <c r="C52" s="42" t="s">
        <v>2555</v>
      </c>
      <c r="D52" s="42" t="s">
        <v>480</v>
      </c>
      <c r="E52" s="34" t="s">
        <v>459</v>
      </c>
      <c r="F52" s="43" t="s">
        <v>459</v>
      </c>
      <c r="G52" s="31" t="s">
        <v>460</v>
      </c>
      <c r="H52" s="44" t="s">
        <v>461</v>
      </c>
      <c r="I52" s="42" t="s">
        <v>2542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479</v>
      </c>
      <c r="C53" s="42" t="s">
        <v>2555</v>
      </c>
      <c r="D53" s="42" t="s">
        <v>481</v>
      </c>
      <c r="E53" s="34" t="s">
        <v>459</v>
      </c>
      <c r="F53" s="43" t="s">
        <v>459</v>
      </c>
      <c r="G53" s="31" t="s">
        <v>460</v>
      </c>
      <c r="H53" s="44" t="s">
        <v>461</v>
      </c>
      <c r="I53" s="42" t="s">
        <v>2542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457</v>
      </c>
      <c r="C54" s="42" t="s">
        <v>2555</v>
      </c>
      <c r="D54" s="42" t="s">
        <v>482</v>
      </c>
      <c r="E54" s="34" t="s">
        <v>459</v>
      </c>
      <c r="F54" s="43" t="s">
        <v>459</v>
      </c>
      <c r="G54" s="31" t="s">
        <v>460</v>
      </c>
      <c r="H54" s="44" t="s">
        <v>461</v>
      </c>
      <c r="I54" s="42" t="s">
        <v>2542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774</v>
      </c>
      <c r="C55" s="42" t="s">
        <v>2555</v>
      </c>
      <c r="D55" s="42" t="s">
        <v>775</v>
      </c>
      <c r="E55" s="34" t="s">
        <v>459</v>
      </c>
      <c r="F55" s="43" t="s">
        <v>459</v>
      </c>
      <c r="G55" s="31" t="s">
        <v>460</v>
      </c>
      <c r="H55" s="44" t="s">
        <v>461</v>
      </c>
      <c r="I55" s="42" t="s">
        <v>2542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486</v>
      </c>
      <c r="C56" s="42" t="s">
        <v>2555</v>
      </c>
      <c r="D56" s="42" t="s">
        <v>495</v>
      </c>
      <c r="E56" s="34" t="s">
        <v>459</v>
      </c>
      <c r="F56" s="43" t="s">
        <v>459</v>
      </c>
      <c r="G56" s="31" t="s">
        <v>460</v>
      </c>
      <c r="H56" s="44" t="s">
        <v>461</v>
      </c>
      <c r="I56" s="42" t="s">
        <v>2542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486</v>
      </c>
      <c r="C57" s="42" t="s">
        <v>2555</v>
      </c>
      <c r="D57" s="42" t="s">
        <v>499</v>
      </c>
      <c r="E57" s="34" t="s">
        <v>459</v>
      </c>
      <c r="F57" s="43" t="s">
        <v>459</v>
      </c>
      <c r="G57" s="31" t="s">
        <v>460</v>
      </c>
      <c r="H57" s="44" t="s">
        <v>461</v>
      </c>
      <c r="I57" s="42" t="s">
        <v>2542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1056</v>
      </c>
      <c r="C58" s="42" t="s">
        <v>2555</v>
      </c>
      <c r="D58" s="42" t="s">
        <v>2314</v>
      </c>
      <c r="E58" s="34" t="s">
        <v>459</v>
      </c>
      <c r="F58" s="43" t="s">
        <v>459</v>
      </c>
      <c r="G58" s="31" t="s">
        <v>460</v>
      </c>
      <c r="H58" s="44" t="s">
        <v>461</v>
      </c>
      <c r="I58" s="42" t="s">
        <v>2542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475</v>
      </c>
      <c r="C59" s="42" t="s">
        <v>2556</v>
      </c>
      <c r="D59" s="42" t="s">
        <v>477</v>
      </c>
      <c r="E59" s="34" t="s">
        <v>459</v>
      </c>
      <c r="F59" s="43" t="s">
        <v>459</v>
      </c>
      <c r="G59" s="31" t="s">
        <v>460</v>
      </c>
      <c r="H59" s="44" t="s">
        <v>461</v>
      </c>
      <c r="I59" s="42" t="s">
        <v>2542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475</v>
      </c>
      <c r="C60" s="42" t="s">
        <v>2556</v>
      </c>
      <c r="D60" s="42" t="s">
        <v>478</v>
      </c>
      <c r="E60" s="34" t="s">
        <v>459</v>
      </c>
      <c r="F60" s="43" t="s">
        <v>459</v>
      </c>
      <c r="G60" s="31" t="s">
        <v>460</v>
      </c>
      <c r="H60" s="44" t="s">
        <v>461</v>
      </c>
      <c r="I60" s="42" t="s">
        <v>2542</v>
      </c>
      <c r="J60" s="42"/>
      <c r="K60" s="45" t="n">
        <f aca="false">IF(AND(E60="yes",F60="yes",H60="covered"),1,IF(H60="partial",0.5,0))</f>
        <v>1</v>
      </c>
    </row>
    <row r="61" customFormat="false" ht="30" hidden="false" customHeight="true" outlineLevel="0" collapsed="false">
      <c r="A61" s="31" t="n">
        <v>53</v>
      </c>
      <c r="B61" s="42" t="s">
        <v>479</v>
      </c>
      <c r="C61" s="42" t="s">
        <v>2556</v>
      </c>
      <c r="D61" s="42" t="s">
        <v>480</v>
      </c>
      <c r="E61" s="34" t="s">
        <v>459</v>
      </c>
      <c r="F61" s="43" t="s">
        <v>459</v>
      </c>
      <c r="G61" s="31" t="s">
        <v>460</v>
      </c>
      <c r="H61" s="44" t="s">
        <v>461</v>
      </c>
      <c r="I61" s="42" t="s">
        <v>2542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479</v>
      </c>
      <c r="C62" s="42" t="s">
        <v>2556</v>
      </c>
      <c r="D62" s="42" t="s">
        <v>481</v>
      </c>
      <c r="E62" s="34" t="s">
        <v>459</v>
      </c>
      <c r="F62" s="43" t="s">
        <v>459</v>
      </c>
      <c r="G62" s="31" t="s">
        <v>460</v>
      </c>
      <c r="H62" s="44" t="s">
        <v>461</v>
      </c>
      <c r="I62" s="42" t="s">
        <v>2542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457</v>
      </c>
      <c r="C63" s="42" t="s">
        <v>2556</v>
      </c>
      <c r="D63" s="42" t="s">
        <v>482</v>
      </c>
      <c r="E63" s="34" t="s">
        <v>459</v>
      </c>
      <c r="F63" s="43" t="s">
        <v>459</v>
      </c>
      <c r="G63" s="31" t="s">
        <v>460</v>
      </c>
      <c r="H63" s="44" t="s">
        <v>461</v>
      </c>
      <c r="I63" s="42" t="s">
        <v>2542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774</v>
      </c>
      <c r="C64" s="42" t="s">
        <v>2556</v>
      </c>
      <c r="D64" s="42" t="s">
        <v>775</v>
      </c>
      <c r="E64" s="34" t="s">
        <v>459</v>
      </c>
      <c r="F64" s="43" t="s">
        <v>459</v>
      </c>
      <c r="G64" s="31" t="s">
        <v>460</v>
      </c>
      <c r="H64" s="44" t="s">
        <v>461</v>
      </c>
      <c r="I64" s="42" t="s">
        <v>2542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483</v>
      </c>
      <c r="C65" s="42" t="s">
        <v>2556</v>
      </c>
      <c r="D65" s="42" t="s">
        <v>484</v>
      </c>
      <c r="E65" s="34" t="s">
        <v>459</v>
      </c>
      <c r="F65" s="43" t="s">
        <v>459</v>
      </c>
      <c r="G65" s="31" t="s">
        <v>460</v>
      </c>
      <c r="H65" s="44" t="s">
        <v>461</v>
      </c>
      <c r="I65" s="42" t="s">
        <v>2542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483</v>
      </c>
      <c r="C66" s="42" t="s">
        <v>2556</v>
      </c>
      <c r="D66" s="42" t="s">
        <v>485</v>
      </c>
      <c r="E66" s="34" t="s">
        <v>459</v>
      </c>
      <c r="F66" s="43" t="s">
        <v>459</v>
      </c>
      <c r="G66" s="31" t="s">
        <v>460</v>
      </c>
      <c r="H66" s="44" t="s">
        <v>461</v>
      </c>
      <c r="I66" s="42" t="s">
        <v>2542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486</v>
      </c>
      <c r="C67" s="42" t="s">
        <v>2556</v>
      </c>
      <c r="D67" s="42" t="s">
        <v>495</v>
      </c>
      <c r="E67" s="34" t="s">
        <v>459</v>
      </c>
      <c r="F67" s="43" t="s">
        <v>459</v>
      </c>
      <c r="G67" s="31" t="s">
        <v>460</v>
      </c>
      <c r="H67" s="44" t="s">
        <v>461</v>
      </c>
      <c r="I67" s="42" t="s">
        <v>2542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486</v>
      </c>
      <c r="C68" s="42" t="s">
        <v>2556</v>
      </c>
      <c r="D68" s="42" t="s">
        <v>499</v>
      </c>
      <c r="E68" s="34" t="s">
        <v>459</v>
      </c>
      <c r="F68" s="43" t="s">
        <v>459</v>
      </c>
      <c r="G68" s="31" t="s">
        <v>460</v>
      </c>
      <c r="H68" s="44" t="s">
        <v>461</v>
      </c>
      <c r="I68" s="42" t="s">
        <v>2542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1056</v>
      </c>
      <c r="C69" s="42" t="s">
        <v>2556</v>
      </c>
      <c r="D69" s="42" t="s">
        <v>2314</v>
      </c>
      <c r="E69" s="34" t="s">
        <v>459</v>
      </c>
      <c r="F69" s="43" t="s">
        <v>459</v>
      </c>
      <c r="G69" s="31" t="s">
        <v>460</v>
      </c>
      <c r="H69" s="44" t="s">
        <v>461</v>
      </c>
      <c r="I69" s="42" t="s">
        <v>2542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505</v>
      </c>
      <c r="C70" s="42" t="s">
        <v>506</v>
      </c>
      <c r="D70" s="42" t="s">
        <v>507</v>
      </c>
      <c r="E70" s="34" t="s">
        <v>459</v>
      </c>
      <c r="F70" s="43" t="s">
        <v>459</v>
      </c>
      <c r="G70" s="31" t="s">
        <v>460</v>
      </c>
      <c r="H70" s="44" t="s">
        <v>461</v>
      </c>
      <c r="I70" s="42" t="s">
        <v>2542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505</v>
      </c>
      <c r="C71" s="42" t="s">
        <v>506</v>
      </c>
      <c r="D71" s="42" t="s">
        <v>508</v>
      </c>
      <c r="E71" s="34" t="s">
        <v>459</v>
      </c>
      <c r="F71" s="43" t="s">
        <v>459</v>
      </c>
      <c r="G71" s="31" t="s">
        <v>460</v>
      </c>
      <c r="H71" s="44" t="s">
        <v>461</v>
      </c>
      <c r="I71" s="42" t="s">
        <v>2542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505</v>
      </c>
      <c r="C72" s="42" t="s">
        <v>506</v>
      </c>
      <c r="D72" s="42" t="s">
        <v>509</v>
      </c>
      <c r="E72" s="34" t="s">
        <v>459</v>
      </c>
      <c r="F72" s="43" t="s">
        <v>459</v>
      </c>
      <c r="G72" s="31" t="s">
        <v>460</v>
      </c>
      <c r="H72" s="44" t="s">
        <v>461</v>
      </c>
      <c r="I72" s="42" t="s">
        <v>2542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505</v>
      </c>
      <c r="C73" s="42" t="s">
        <v>506</v>
      </c>
      <c r="D73" s="42" t="s">
        <v>905</v>
      </c>
      <c r="E73" s="34" t="s">
        <v>459</v>
      </c>
      <c r="F73" s="43" t="s">
        <v>459</v>
      </c>
      <c r="G73" s="31" t="s">
        <v>460</v>
      </c>
      <c r="H73" s="44" t="s">
        <v>461</v>
      </c>
      <c r="I73" s="42" t="s">
        <v>2542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505</v>
      </c>
      <c r="C74" s="42" t="s">
        <v>506</v>
      </c>
      <c r="D74" s="42" t="s">
        <v>783</v>
      </c>
      <c r="E74" s="34" t="s">
        <v>459</v>
      </c>
      <c r="F74" s="43" t="s">
        <v>459</v>
      </c>
      <c r="G74" s="31" t="s">
        <v>460</v>
      </c>
      <c r="H74" s="44" t="s">
        <v>461</v>
      </c>
      <c r="I74" s="42" t="s">
        <v>2542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511</v>
      </c>
      <c r="C75" s="42" t="s">
        <v>506</v>
      </c>
      <c r="D75" s="42" t="s">
        <v>2557</v>
      </c>
      <c r="E75" s="34" t="s">
        <v>459</v>
      </c>
      <c r="F75" s="43" t="s">
        <v>459</v>
      </c>
      <c r="G75" s="31" t="s">
        <v>460</v>
      </c>
      <c r="H75" s="44" t="s">
        <v>461</v>
      </c>
      <c r="I75" s="42" t="s">
        <v>2542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511</v>
      </c>
      <c r="C76" s="42" t="s">
        <v>506</v>
      </c>
      <c r="D76" s="42" t="s">
        <v>512</v>
      </c>
      <c r="E76" s="34" t="s">
        <v>459</v>
      </c>
      <c r="F76" s="43" t="s">
        <v>459</v>
      </c>
      <c r="G76" s="31" t="s">
        <v>460</v>
      </c>
      <c r="H76" s="44" t="s">
        <v>461</v>
      </c>
      <c r="I76" s="42" t="s">
        <v>2542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511</v>
      </c>
      <c r="C77" s="42" t="s">
        <v>506</v>
      </c>
      <c r="D77" s="42" t="s">
        <v>2321</v>
      </c>
      <c r="E77" s="34" t="s">
        <v>459</v>
      </c>
      <c r="F77" s="43" t="s">
        <v>459</v>
      </c>
      <c r="G77" s="31" t="s">
        <v>460</v>
      </c>
      <c r="H77" s="44" t="s">
        <v>461</v>
      </c>
      <c r="I77" s="42" t="s">
        <v>2542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511</v>
      </c>
      <c r="C78" s="42" t="s">
        <v>506</v>
      </c>
      <c r="D78" s="42" t="s">
        <v>514</v>
      </c>
      <c r="E78" s="34" t="s">
        <v>459</v>
      </c>
      <c r="F78" s="43" t="s">
        <v>459</v>
      </c>
      <c r="G78" s="31" t="s">
        <v>460</v>
      </c>
      <c r="H78" s="44" t="s">
        <v>461</v>
      </c>
      <c r="I78" s="42" t="s">
        <v>2542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511</v>
      </c>
      <c r="C79" s="42" t="s">
        <v>506</v>
      </c>
      <c r="D79" s="42" t="s">
        <v>515</v>
      </c>
      <c r="E79" s="34" t="s">
        <v>459</v>
      </c>
      <c r="F79" s="43" t="s">
        <v>459</v>
      </c>
      <c r="G79" s="31" t="s">
        <v>460</v>
      </c>
      <c r="H79" s="44" t="s">
        <v>461</v>
      </c>
      <c r="I79" s="42" t="s">
        <v>2542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511</v>
      </c>
      <c r="C80" s="42" t="s">
        <v>506</v>
      </c>
      <c r="D80" s="42" t="s">
        <v>2558</v>
      </c>
      <c r="E80" s="34" t="s">
        <v>459</v>
      </c>
      <c r="F80" s="43" t="s">
        <v>459</v>
      </c>
      <c r="G80" s="31" t="s">
        <v>460</v>
      </c>
      <c r="H80" s="44" t="s">
        <v>461</v>
      </c>
      <c r="I80" s="42" t="s">
        <v>2542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483</v>
      </c>
      <c r="C81" s="42" t="s">
        <v>62</v>
      </c>
      <c r="D81" s="42" t="s">
        <v>516</v>
      </c>
      <c r="E81" s="34" t="s">
        <v>459</v>
      </c>
      <c r="F81" s="43" t="s">
        <v>459</v>
      </c>
      <c r="G81" s="31" t="s">
        <v>460</v>
      </c>
      <c r="H81" s="44" t="s">
        <v>461</v>
      </c>
      <c r="I81" s="42" t="s">
        <v>2542</v>
      </c>
      <c r="J81" s="42"/>
      <c r="K81" s="45" t="n">
        <f aca="false">IF(AND(E81="yes",F81="yes",H81="covered"),1,IF(H81="partial",0.5,0))</f>
        <v>1</v>
      </c>
    </row>
    <row r="82" customFormat="false" ht="30" hidden="false" customHeight="true" outlineLevel="0" collapsed="false">
      <c r="A82" s="31" t="n">
        <v>74</v>
      </c>
      <c r="B82" s="42" t="s">
        <v>483</v>
      </c>
      <c r="C82" s="42" t="s">
        <v>62</v>
      </c>
      <c r="D82" s="42" t="s">
        <v>517</v>
      </c>
      <c r="E82" s="34" t="s">
        <v>459</v>
      </c>
      <c r="F82" s="43" t="s">
        <v>459</v>
      </c>
      <c r="G82" s="31" t="s">
        <v>460</v>
      </c>
      <c r="H82" s="44" t="s">
        <v>461</v>
      </c>
      <c r="I82" s="42" t="s">
        <v>2542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483</v>
      </c>
      <c r="C83" s="42" t="s">
        <v>62</v>
      </c>
      <c r="D83" s="42" t="s">
        <v>519</v>
      </c>
      <c r="E83" s="34" t="s">
        <v>459</v>
      </c>
      <c r="F83" s="43" t="s">
        <v>459</v>
      </c>
      <c r="G83" s="31" t="s">
        <v>460</v>
      </c>
      <c r="H83" s="44" t="s">
        <v>461</v>
      </c>
      <c r="I83" s="42" t="s">
        <v>2542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483</v>
      </c>
      <c r="C84" s="42" t="s">
        <v>62</v>
      </c>
      <c r="D84" s="42" t="s">
        <v>520</v>
      </c>
      <c r="E84" s="34" t="s">
        <v>459</v>
      </c>
      <c r="F84" s="43" t="s">
        <v>459</v>
      </c>
      <c r="G84" s="31" t="s">
        <v>460</v>
      </c>
      <c r="H84" s="44" t="s">
        <v>461</v>
      </c>
      <c r="I84" s="42" t="s">
        <v>2542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488</v>
      </c>
      <c r="C85" s="42" t="s">
        <v>476</v>
      </c>
      <c r="D85" s="42" t="s">
        <v>521</v>
      </c>
      <c r="E85" s="34" t="s">
        <v>459</v>
      </c>
      <c r="F85" s="43" t="s">
        <v>459</v>
      </c>
      <c r="G85" s="31" t="s">
        <v>460</v>
      </c>
      <c r="H85" s="44" t="s">
        <v>461</v>
      </c>
      <c r="I85" s="42" t="s">
        <v>2542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488</v>
      </c>
      <c r="C86" s="42" t="s">
        <v>476</v>
      </c>
      <c r="D86" s="42" t="s">
        <v>522</v>
      </c>
      <c r="E86" s="34" t="s">
        <v>459</v>
      </c>
      <c r="F86" s="43" t="s">
        <v>459</v>
      </c>
      <c r="G86" s="31" t="s">
        <v>460</v>
      </c>
      <c r="H86" s="44" t="s">
        <v>461</v>
      </c>
      <c r="I86" s="42" t="s">
        <v>2542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488</v>
      </c>
      <c r="C87" s="42" t="s">
        <v>476</v>
      </c>
      <c r="D87" s="42" t="s">
        <v>523</v>
      </c>
      <c r="E87" s="34" t="s">
        <v>459</v>
      </c>
      <c r="F87" s="43" t="s">
        <v>459</v>
      </c>
      <c r="G87" s="31" t="s">
        <v>460</v>
      </c>
      <c r="H87" s="44" t="s">
        <v>461</v>
      </c>
      <c r="I87" s="42" t="s">
        <v>2542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524</v>
      </c>
      <c r="C88" s="42" t="s">
        <v>498</v>
      </c>
      <c r="D88" s="42" t="s">
        <v>525</v>
      </c>
      <c r="E88" s="34" t="s">
        <v>459</v>
      </c>
      <c r="F88" s="43" t="s">
        <v>459</v>
      </c>
      <c r="G88" s="31" t="s">
        <v>460</v>
      </c>
      <c r="H88" s="44" t="s">
        <v>461</v>
      </c>
      <c r="I88" s="42" t="s">
        <v>2542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524</v>
      </c>
      <c r="C89" s="42" t="s">
        <v>498</v>
      </c>
      <c r="D89" s="42" t="s">
        <v>526</v>
      </c>
      <c r="E89" s="34" t="s">
        <v>459</v>
      </c>
      <c r="F89" s="43" t="s">
        <v>459</v>
      </c>
      <c r="G89" s="31" t="s">
        <v>460</v>
      </c>
      <c r="H89" s="44" t="s">
        <v>461</v>
      </c>
      <c r="I89" s="42" t="s">
        <v>2542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524</v>
      </c>
      <c r="C90" s="42" t="s">
        <v>498</v>
      </c>
      <c r="D90" s="42" t="s">
        <v>527</v>
      </c>
      <c r="E90" s="34" t="s">
        <v>459</v>
      </c>
      <c r="F90" s="43" t="s">
        <v>459</v>
      </c>
      <c r="G90" s="31" t="s">
        <v>460</v>
      </c>
      <c r="H90" s="44" t="s">
        <v>461</v>
      </c>
      <c r="I90" s="42" t="s">
        <v>2542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524</v>
      </c>
      <c r="C91" s="42" t="s">
        <v>498</v>
      </c>
      <c r="D91" s="42" t="s">
        <v>528</v>
      </c>
      <c r="E91" s="34" t="s">
        <v>459</v>
      </c>
      <c r="F91" s="43" t="s">
        <v>459</v>
      </c>
      <c r="G91" s="31" t="s">
        <v>460</v>
      </c>
      <c r="H91" s="44" t="s">
        <v>461</v>
      </c>
      <c r="I91" s="42" t="s">
        <v>2542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1056</v>
      </c>
      <c r="C92" s="42" t="s">
        <v>62</v>
      </c>
      <c r="D92" s="42" t="s">
        <v>1076</v>
      </c>
      <c r="E92" s="34" t="s">
        <v>459</v>
      </c>
      <c r="F92" s="43" t="s">
        <v>459</v>
      </c>
      <c r="G92" s="31" t="s">
        <v>460</v>
      </c>
      <c r="H92" s="44" t="s">
        <v>461</v>
      </c>
      <c r="I92" s="42" t="s">
        <v>2542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30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2559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IFERROR(SUM(K9:K50)/COUNTA(A9:A50),0)</f>
        <v>1</v>
      </c>
      <c r="C4" s="28" t="s">
        <v>8</v>
      </c>
      <c r="D4" s="40" t="n">
        <f aca="false">COUNTIF(H9:H50,"covered")</f>
        <v>42</v>
      </c>
      <c r="E4" s="28" t="s">
        <v>9</v>
      </c>
      <c r="F4" s="40" t="n">
        <f aca="false">COUNTIF(H9:H50,"partial")</f>
        <v>0</v>
      </c>
      <c r="G4" s="28" t="s">
        <v>10</v>
      </c>
      <c r="H4" s="40" t="n">
        <f aca="false">COUNTIF(H9:H50,"missing")</f>
        <v>0</v>
      </c>
      <c r="I4" s="28" t="s">
        <v>11</v>
      </c>
      <c r="J4" s="40" t="n">
        <f aca="false">COUNTIF(F9:F50,"no")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47" t="n">
        <v>1</v>
      </c>
      <c r="B9" s="48" t="s">
        <v>456</v>
      </c>
      <c r="C9" s="48" t="s">
        <v>457</v>
      </c>
      <c r="D9" s="48" t="s">
        <v>458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1333</v>
      </c>
      <c r="J9" s="48"/>
      <c r="K9" s="49" t="n">
        <f aca="false">IF(H9="covered",1,IF(H9="partial",0.5,0))</f>
        <v>1</v>
      </c>
    </row>
    <row r="10" customFormat="false" ht="15" hidden="false" customHeight="true" outlineLevel="0" collapsed="false">
      <c r="A10" s="47" t="n">
        <v>2</v>
      </c>
      <c r="B10" s="48" t="s">
        <v>456</v>
      </c>
      <c r="C10" s="48" t="s">
        <v>457</v>
      </c>
      <c r="D10" s="48" t="s">
        <v>463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1333</v>
      </c>
      <c r="J10" s="48"/>
      <c r="K10" s="49" t="n">
        <f aca="false">IF(H10="covered",1,IF(H10="partial",0.5,0))</f>
        <v>1</v>
      </c>
    </row>
    <row r="11" customFormat="false" ht="15" hidden="false" customHeight="true" outlineLevel="0" collapsed="false">
      <c r="A11" s="47" t="n">
        <v>3</v>
      </c>
      <c r="B11" s="48" t="s">
        <v>456</v>
      </c>
      <c r="C11" s="48" t="s">
        <v>63</v>
      </c>
      <c r="D11" s="48" t="s">
        <v>464</v>
      </c>
      <c r="E11" s="47" t="s">
        <v>459</v>
      </c>
      <c r="F11" s="47" t="s">
        <v>459</v>
      </c>
      <c r="G11" s="47" t="s">
        <v>110</v>
      </c>
      <c r="H11" s="47" t="s">
        <v>461</v>
      </c>
      <c r="I11" s="48" t="s">
        <v>2560</v>
      </c>
      <c r="J11" s="48"/>
      <c r="K11" s="49" t="n">
        <f aca="false">IF(H11="covered",1,IF(H11="partial",0.5,0))</f>
        <v>1</v>
      </c>
    </row>
    <row r="12" customFormat="false" ht="15" hidden="false" customHeight="true" outlineLevel="0" collapsed="false">
      <c r="A12" s="47" t="n">
        <v>4</v>
      </c>
      <c r="B12" s="48" t="s">
        <v>456</v>
      </c>
      <c r="C12" s="48" t="s">
        <v>63</v>
      </c>
      <c r="D12" s="48" t="s">
        <v>465</v>
      </c>
      <c r="E12" s="47" t="s">
        <v>459</v>
      </c>
      <c r="F12" s="47" t="s">
        <v>459</v>
      </c>
      <c r="G12" s="47" t="s">
        <v>110</v>
      </c>
      <c r="H12" s="47" t="s">
        <v>461</v>
      </c>
      <c r="I12" s="48" t="s">
        <v>2560</v>
      </c>
      <c r="J12" s="48"/>
      <c r="K12" s="49" t="n">
        <f aca="false">IF(H12="covered",1,IF(H12="partial",0.5,0))</f>
        <v>1</v>
      </c>
    </row>
    <row r="13" customFormat="false" ht="15" hidden="false" customHeight="true" outlineLevel="0" collapsed="false">
      <c r="A13" s="47" t="n">
        <v>5</v>
      </c>
      <c r="B13" s="48" t="s">
        <v>456</v>
      </c>
      <c r="C13" s="48" t="s">
        <v>63</v>
      </c>
      <c r="D13" s="48" t="s">
        <v>466</v>
      </c>
      <c r="E13" s="47" t="s">
        <v>459</v>
      </c>
      <c r="F13" s="47" t="s">
        <v>459</v>
      </c>
      <c r="G13" s="47" t="s">
        <v>110</v>
      </c>
      <c r="H13" s="47" t="s">
        <v>461</v>
      </c>
      <c r="I13" s="48" t="s">
        <v>2560</v>
      </c>
      <c r="J13" s="48"/>
      <c r="K13" s="49" t="n">
        <f aca="false">IF(H13="covered",1,IF(H13="partial",0.5,0))</f>
        <v>1</v>
      </c>
    </row>
    <row r="14" customFormat="false" ht="15" hidden="false" customHeight="true" outlineLevel="0" collapsed="false">
      <c r="A14" s="47" t="n">
        <v>6</v>
      </c>
      <c r="B14" s="48" t="s">
        <v>456</v>
      </c>
      <c r="C14" s="48" t="s">
        <v>63</v>
      </c>
      <c r="D14" s="48" t="s">
        <v>467</v>
      </c>
      <c r="E14" s="47" t="s">
        <v>459</v>
      </c>
      <c r="F14" s="47" t="s">
        <v>459</v>
      </c>
      <c r="G14" s="47" t="s">
        <v>110</v>
      </c>
      <c r="H14" s="47" t="s">
        <v>461</v>
      </c>
      <c r="I14" s="48" t="s">
        <v>2560</v>
      </c>
      <c r="J14" s="48"/>
      <c r="K14" s="49" t="n">
        <f aca="false">IF(H14="covered",1,IF(H14="partial",0.5,0))</f>
        <v>1</v>
      </c>
    </row>
    <row r="15" customFormat="false" ht="15" hidden="false" customHeight="true" outlineLevel="0" collapsed="false">
      <c r="A15" s="47" t="n">
        <v>7</v>
      </c>
      <c r="B15" s="48" t="s">
        <v>468</v>
      </c>
      <c r="C15" s="48" t="s">
        <v>63</v>
      </c>
      <c r="D15" s="48" t="s">
        <v>2561</v>
      </c>
      <c r="E15" s="47" t="s">
        <v>459</v>
      </c>
      <c r="F15" s="47" t="s">
        <v>459</v>
      </c>
      <c r="G15" s="47" t="s">
        <v>110</v>
      </c>
      <c r="H15" s="47" t="s">
        <v>461</v>
      </c>
      <c r="I15" s="48" t="s">
        <v>2560</v>
      </c>
      <c r="J15" s="48"/>
      <c r="K15" s="49" t="n">
        <f aca="false">IF(H15="covered",1,IF(H15="partial",0.5,0))</f>
        <v>1</v>
      </c>
    </row>
    <row r="16" customFormat="false" ht="15" hidden="false" customHeight="true" outlineLevel="0" collapsed="false">
      <c r="A16" s="47" t="n">
        <v>8</v>
      </c>
      <c r="B16" s="48" t="s">
        <v>468</v>
      </c>
      <c r="C16" s="48" t="s">
        <v>63</v>
      </c>
      <c r="D16" s="48" t="s">
        <v>2562</v>
      </c>
      <c r="E16" s="47" t="s">
        <v>459</v>
      </c>
      <c r="F16" s="47" t="s">
        <v>459</v>
      </c>
      <c r="G16" s="47" t="s">
        <v>110</v>
      </c>
      <c r="H16" s="47" t="s">
        <v>461</v>
      </c>
      <c r="I16" s="48" t="s">
        <v>2560</v>
      </c>
      <c r="J16" s="48"/>
      <c r="K16" s="49" t="n">
        <f aca="false">IF(H16="covered",1,IF(H16="partial",0.5,0))</f>
        <v>1</v>
      </c>
    </row>
    <row r="17" customFormat="false" ht="15" hidden="false" customHeight="true" outlineLevel="0" collapsed="false">
      <c r="A17" s="47" t="n">
        <v>9</v>
      </c>
      <c r="B17" s="48" t="s">
        <v>468</v>
      </c>
      <c r="C17" s="48" t="s">
        <v>63</v>
      </c>
      <c r="D17" s="48" t="s">
        <v>2563</v>
      </c>
      <c r="E17" s="47" t="s">
        <v>459</v>
      </c>
      <c r="F17" s="47" t="s">
        <v>459</v>
      </c>
      <c r="G17" s="47" t="s">
        <v>110</v>
      </c>
      <c r="H17" s="47" t="s">
        <v>461</v>
      </c>
      <c r="I17" s="48" t="s">
        <v>2560</v>
      </c>
      <c r="J17" s="48"/>
      <c r="K17" s="49" t="n">
        <f aca="false">IF(H17="covered",1,IF(H17="partial",0.5,0))</f>
        <v>1</v>
      </c>
    </row>
    <row r="18" customFormat="false" ht="15" hidden="false" customHeight="true" outlineLevel="0" collapsed="false">
      <c r="A18" s="47" t="n">
        <v>10</v>
      </c>
      <c r="B18" s="48" t="s">
        <v>468</v>
      </c>
      <c r="C18" s="48" t="s">
        <v>63</v>
      </c>
      <c r="D18" s="48" t="s">
        <v>2564</v>
      </c>
      <c r="E18" s="47" t="s">
        <v>459</v>
      </c>
      <c r="F18" s="47" t="s">
        <v>459</v>
      </c>
      <c r="G18" s="47" t="s">
        <v>110</v>
      </c>
      <c r="H18" s="47" t="s">
        <v>461</v>
      </c>
      <c r="I18" s="48" t="s">
        <v>2560</v>
      </c>
      <c r="J18" s="48"/>
      <c r="K18" s="49" t="n">
        <f aca="false">IF(H18="covered",1,IF(H18="partial",0.5,0))</f>
        <v>1</v>
      </c>
    </row>
    <row r="19" customFormat="false" ht="15" hidden="false" customHeight="true" outlineLevel="0" collapsed="false">
      <c r="A19" s="47" t="n">
        <v>11</v>
      </c>
      <c r="B19" s="48" t="s">
        <v>468</v>
      </c>
      <c r="C19" s="48" t="s">
        <v>63</v>
      </c>
      <c r="D19" s="48" t="s">
        <v>2565</v>
      </c>
      <c r="E19" s="47" t="s">
        <v>459</v>
      </c>
      <c r="F19" s="47" t="s">
        <v>459</v>
      </c>
      <c r="G19" s="47" t="s">
        <v>110</v>
      </c>
      <c r="H19" s="47" t="s">
        <v>461</v>
      </c>
      <c r="I19" s="48" t="s">
        <v>2560</v>
      </c>
      <c r="J19" s="48"/>
      <c r="K19" s="49" t="n">
        <f aca="false">IF(H19="covered",1,IF(H19="partial",0.5,0))</f>
        <v>1</v>
      </c>
    </row>
    <row r="20" customFormat="false" ht="15" hidden="false" customHeight="true" outlineLevel="0" collapsed="false">
      <c r="A20" s="47" t="n">
        <v>12</v>
      </c>
      <c r="B20" s="48" t="s">
        <v>475</v>
      </c>
      <c r="C20" s="48" t="s">
        <v>476</v>
      </c>
      <c r="D20" s="48" t="s">
        <v>477</v>
      </c>
      <c r="E20" s="47" t="s">
        <v>459</v>
      </c>
      <c r="F20" s="47" t="s">
        <v>459</v>
      </c>
      <c r="G20" s="47" t="s">
        <v>110</v>
      </c>
      <c r="H20" s="47" t="s">
        <v>461</v>
      </c>
      <c r="I20" s="48" t="s">
        <v>2560</v>
      </c>
      <c r="J20" s="48"/>
      <c r="K20" s="49" t="n">
        <f aca="false">IF(H20="covered",1,IF(H20="partial",0.5,0))</f>
        <v>1</v>
      </c>
    </row>
    <row r="21" customFormat="false" ht="15" hidden="false" customHeight="true" outlineLevel="0" collapsed="false">
      <c r="A21" s="47" t="n">
        <v>13</v>
      </c>
      <c r="B21" s="48" t="s">
        <v>475</v>
      </c>
      <c r="C21" s="48" t="s">
        <v>476</v>
      </c>
      <c r="D21" s="48" t="s">
        <v>478</v>
      </c>
      <c r="E21" s="47" t="s">
        <v>459</v>
      </c>
      <c r="F21" s="47" t="s">
        <v>459</v>
      </c>
      <c r="G21" s="47" t="s">
        <v>110</v>
      </c>
      <c r="H21" s="47" t="s">
        <v>461</v>
      </c>
      <c r="I21" s="48" t="s">
        <v>2560</v>
      </c>
      <c r="J21" s="48"/>
      <c r="K21" s="49" t="n">
        <f aca="false">IF(H21="covered",1,IF(H21="partial",0.5,0))</f>
        <v>1</v>
      </c>
    </row>
    <row r="22" customFormat="false" ht="30" hidden="false" customHeight="true" outlineLevel="0" collapsed="false">
      <c r="A22" s="47" t="n">
        <v>14</v>
      </c>
      <c r="B22" s="48" t="s">
        <v>479</v>
      </c>
      <c r="C22" s="48" t="s">
        <v>476</v>
      </c>
      <c r="D22" s="48" t="s">
        <v>480</v>
      </c>
      <c r="E22" s="47" t="s">
        <v>459</v>
      </c>
      <c r="F22" s="47" t="s">
        <v>459</v>
      </c>
      <c r="G22" s="47" t="s">
        <v>110</v>
      </c>
      <c r="H22" s="47" t="s">
        <v>461</v>
      </c>
      <c r="I22" s="48" t="s">
        <v>2560</v>
      </c>
      <c r="J22" s="48"/>
      <c r="K22" s="49" t="n">
        <f aca="false">IF(H22="covered",1,IF(H22="partial",0.5,0))</f>
        <v>1</v>
      </c>
    </row>
    <row r="23" customFormat="false" ht="15" hidden="false" customHeight="true" outlineLevel="0" collapsed="false">
      <c r="A23" s="47" t="n">
        <v>15</v>
      </c>
      <c r="B23" s="48" t="s">
        <v>479</v>
      </c>
      <c r="C23" s="48" t="s">
        <v>476</v>
      </c>
      <c r="D23" s="48" t="s">
        <v>481</v>
      </c>
      <c r="E23" s="47" t="s">
        <v>459</v>
      </c>
      <c r="F23" s="47" t="s">
        <v>459</v>
      </c>
      <c r="G23" s="47" t="s">
        <v>110</v>
      </c>
      <c r="H23" s="47" t="s">
        <v>461</v>
      </c>
      <c r="I23" s="48" t="s">
        <v>2560</v>
      </c>
      <c r="J23" s="48"/>
      <c r="K23" s="49" t="n">
        <f aca="false">IF(H23="covered",1,IF(H23="partial",0.5,0))</f>
        <v>1</v>
      </c>
    </row>
    <row r="24" customFormat="false" ht="15" hidden="false" customHeight="true" outlineLevel="0" collapsed="false">
      <c r="A24" s="47" t="n">
        <v>16</v>
      </c>
      <c r="B24" s="48" t="s">
        <v>457</v>
      </c>
      <c r="C24" s="48" t="s">
        <v>476</v>
      </c>
      <c r="D24" s="48" t="s">
        <v>482</v>
      </c>
      <c r="E24" s="47" t="s">
        <v>459</v>
      </c>
      <c r="F24" s="47" t="s">
        <v>459</v>
      </c>
      <c r="G24" s="47" t="s">
        <v>110</v>
      </c>
      <c r="H24" s="47" t="s">
        <v>461</v>
      </c>
      <c r="I24" s="48" t="s">
        <v>2560</v>
      </c>
      <c r="J24" s="48"/>
      <c r="K24" s="49" t="n">
        <f aca="false">IF(H24="covered",1,IF(H24="partial",0.5,0))</f>
        <v>1</v>
      </c>
    </row>
    <row r="25" customFormat="false" ht="15" hidden="false" customHeight="true" outlineLevel="0" collapsed="false">
      <c r="A25" s="47" t="n">
        <v>17</v>
      </c>
      <c r="B25" s="48" t="s">
        <v>774</v>
      </c>
      <c r="C25" s="48" t="s">
        <v>476</v>
      </c>
      <c r="D25" s="48" t="s">
        <v>775</v>
      </c>
      <c r="E25" s="47" t="s">
        <v>459</v>
      </c>
      <c r="F25" s="47" t="s">
        <v>459</v>
      </c>
      <c r="G25" s="47" t="s">
        <v>110</v>
      </c>
      <c r="H25" s="47" t="s">
        <v>461</v>
      </c>
      <c r="I25" s="48" t="s">
        <v>2560</v>
      </c>
      <c r="J25" s="48"/>
      <c r="K25" s="49" t="n">
        <f aca="false">IF(H25="covered",1,IF(H25="partial",0.5,0))</f>
        <v>1</v>
      </c>
    </row>
    <row r="26" customFormat="false" ht="15" hidden="false" customHeight="true" outlineLevel="0" collapsed="false">
      <c r="A26" s="47" t="n">
        <v>18</v>
      </c>
      <c r="B26" s="48" t="s">
        <v>483</v>
      </c>
      <c r="C26" s="48" t="s">
        <v>476</v>
      </c>
      <c r="D26" s="48" t="s">
        <v>484</v>
      </c>
      <c r="E26" s="47" t="s">
        <v>459</v>
      </c>
      <c r="F26" s="47" t="s">
        <v>459</v>
      </c>
      <c r="G26" s="47" t="s">
        <v>110</v>
      </c>
      <c r="H26" s="47" t="s">
        <v>461</v>
      </c>
      <c r="I26" s="48" t="s">
        <v>2560</v>
      </c>
      <c r="J26" s="48"/>
      <c r="K26" s="49" t="n">
        <f aca="false">IF(H26="covered",1,IF(H26="partial",0.5,0))</f>
        <v>1</v>
      </c>
    </row>
    <row r="27" customFormat="false" ht="15" hidden="false" customHeight="true" outlineLevel="0" collapsed="false">
      <c r="A27" s="47" t="n">
        <v>19</v>
      </c>
      <c r="B27" s="48" t="s">
        <v>483</v>
      </c>
      <c r="C27" s="48" t="s">
        <v>476</v>
      </c>
      <c r="D27" s="48" t="s">
        <v>485</v>
      </c>
      <c r="E27" s="47" t="s">
        <v>459</v>
      </c>
      <c r="F27" s="47" t="s">
        <v>459</v>
      </c>
      <c r="G27" s="47" t="s">
        <v>110</v>
      </c>
      <c r="H27" s="47" t="s">
        <v>461</v>
      </c>
      <c r="I27" s="48" t="s">
        <v>2560</v>
      </c>
      <c r="J27" s="48"/>
      <c r="K27" s="49" t="n">
        <f aca="false">IF(H27="covered",1,IF(H27="partial",0.5,0))</f>
        <v>1</v>
      </c>
    </row>
    <row r="28" customFormat="false" ht="15" hidden="false" customHeight="true" outlineLevel="0" collapsed="false">
      <c r="A28" s="47" t="n">
        <v>20</v>
      </c>
      <c r="B28" s="48" t="s">
        <v>486</v>
      </c>
      <c r="C28" s="48" t="s">
        <v>476</v>
      </c>
      <c r="D28" s="48" t="s">
        <v>884</v>
      </c>
      <c r="E28" s="47" t="s">
        <v>459</v>
      </c>
      <c r="F28" s="47" t="s">
        <v>459</v>
      </c>
      <c r="G28" s="47" t="s">
        <v>110</v>
      </c>
      <c r="H28" s="47" t="s">
        <v>461</v>
      </c>
      <c r="I28" s="48" t="s">
        <v>2560</v>
      </c>
      <c r="J28" s="48"/>
      <c r="K28" s="49" t="n">
        <f aca="false">IF(H28="covered",1,IF(H28="partial",0.5,0))</f>
        <v>1</v>
      </c>
    </row>
    <row r="29" customFormat="false" ht="15" hidden="false" customHeight="true" outlineLevel="0" collapsed="false">
      <c r="A29" s="47" t="n">
        <v>21</v>
      </c>
      <c r="B29" s="48" t="s">
        <v>486</v>
      </c>
      <c r="C29" s="48" t="s">
        <v>476</v>
      </c>
      <c r="D29" s="48" t="s">
        <v>2566</v>
      </c>
      <c r="E29" s="47" t="s">
        <v>459</v>
      </c>
      <c r="F29" s="47" t="s">
        <v>459</v>
      </c>
      <c r="G29" s="47" t="s">
        <v>110</v>
      </c>
      <c r="H29" s="47" t="s">
        <v>461</v>
      </c>
      <c r="I29" s="48" t="s">
        <v>2560</v>
      </c>
      <c r="J29" s="48"/>
      <c r="K29" s="49" t="n">
        <f aca="false">IF(H29="covered",1,IF(H29="partial",0.5,0))</f>
        <v>1</v>
      </c>
    </row>
    <row r="30" customFormat="false" ht="15" hidden="false" customHeight="true" outlineLevel="0" collapsed="false">
      <c r="A30" s="47" t="n">
        <v>22</v>
      </c>
      <c r="B30" s="48" t="s">
        <v>488</v>
      </c>
      <c r="C30" s="48" t="s">
        <v>476</v>
      </c>
      <c r="D30" s="48" t="s">
        <v>924</v>
      </c>
      <c r="E30" s="47" t="s">
        <v>459</v>
      </c>
      <c r="F30" s="47" t="s">
        <v>459</v>
      </c>
      <c r="G30" s="47" t="s">
        <v>110</v>
      </c>
      <c r="H30" s="47" t="s">
        <v>461</v>
      </c>
      <c r="I30" s="48" t="s">
        <v>2560</v>
      </c>
      <c r="J30" s="48"/>
      <c r="K30" s="49" t="n">
        <f aca="false">IF(H30="covered",1,IF(H30="partial",0.5,0))</f>
        <v>1</v>
      </c>
    </row>
    <row r="31" customFormat="false" ht="15" hidden="false" customHeight="true" outlineLevel="0" collapsed="false">
      <c r="A31" s="47" t="n">
        <v>23</v>
      </c>
      <c r="B31" s="48" t="s">
        <v>486</v>
      </c>
      <c r="C31" s="48" t="s">
        <v>476</v>
      </c>
      <c r="D31" s="48" t="s">
        <v>495</v>
      </c>
      <c r="E31" s="47" t="s">
        <v>459</v>
      </c>
      <c r="F31" s="47" t="s">
        <v>459</v>
      </c>
      <c r="G31" s="47" t="s">
        <v>110</v>
      </c>
      <c r="H31" s="47" t="s">
        <v>461</v>
      </c>
      <c r="I31" s="48" t="s">
        <v>2560</v>
      </c>
      <c r="J31" s="48"/>
      <c r="K31" s="49" t="n">
        <f aca="false">IF(H31="covered",1,IF(H31="partial",0.5,0))</f>
        <v>1</v>
      </c>
    </row>
    <row r="32" customFormat="false" ht="15" hidden="false" customHeight="true" outlineLevel="0" collapsed="false">
      <c r="A32" s="47" t="n">
        <v>24</v>
      </c>
      <c r="B32" s="48" t="s">
        <v>475</v>
      </c>
      <c r="C32" s="48" t="s">
        <v>2567</v>
      </c>
      <c r="D32" s="48" t="s">
        <v>477</v>
      </c>
      <c r="E32" s="47" t="s">
        <v>459</v>
      </c>
      <c r="F32" s="47" t="s">
        <v>459</v>
      </c>
      <c r="G32" s="47" t="s">
        <v>110</v>
      </c>
      <c r="H32" s="47" t="s">
        <v>461</v>
      </c>
      <c r="I32" s="48" t="s">
        <v>2560</v>
      </c>
      <c r="J32" s="48"/>
      <c r="K32" s="49" t="n">
        <f aca="false">IF(H32="covered",1,IF(H32="partial",0.5,0))</f>
        <v>1</v>
      </c>
    </row>
    <row r="33" customFormat="false" ht="15" hidden="false" customHeight="true" outlineLevel="0" collapsed="false">
      <c r="A33" s="47" t="n">
        <v>25</v>
      </c>
      <c r="B33" s="48" t="s">
        <v>475</v>
      </c>
      <c r="C33" s="48" t="s">
        <v>2567</v>
      </c>
      <c r="D33" s="48" t="s">
        <v>478</v>
      </c>
      <c r="E33" s="47" t="s">
        <v>459</v>
      </c>
      <c r="F33" s="47" t="s">
        <v>459</v>
      </c>
      <c r="G33" s="47" t="s">
        <v>110</v>
      </c>
      <c r="H33" s="47" t="s">
        <v>461</v>
      </c>
      <c r="I33" s="48" t="s">
        <v>2560</v>
      </c>
      <c r="J33" s="48"/>
      <c r="K33" s="49" t="n">
        <f aca="false">IF(H33="covered",1,IF(H33="partial",0.5,0))</f>
        <v>1</v>
      </c>
    </row>
    <row r="34" customFormat="false" ht="30" hidden="false" customHeight="true" outlineLevel="0" collapsed="false">
      <c r="A34" s="47" t="n">
        <v>26</v>
      </c>
      <c r="B34" s="48" t="s">
        <v>479</v>
      </c>
      <c r="C34" s="48" t="s">
        <v>2567</v>
      </c>
      <c r="D34" s="48" t="s">
        <v>480</v>
      </c>
      <c r="E34" s="47" t="s">
        <v>459</v>
      </c>
      <c r="F34" s="47" t="s">
        <v>459</v>
      </c>
      <c r="G34" s="47" t="s">
        <v>110</v>
      </c>
      <c r="H34" s="47" t="s">
        <v>461</v>
      </c>
      <c r="I34" s="48" t="s">
        <v>2560</v>
      </c>
      <c r="J34" s="48"/>
      <c r="K34" s="49" t="n">
        <f aca="false">IF(H34="covered",1,IF(H34="partial",0.5,0))</f>
        <v>1</v>
      </c>
    </row>
    <row r="35" customFormat="false" ht="15" hidden="false" customHeight="true" outlineLevel="0" collapsed="false">
      <c r="A35" s="47" t="n">
        <v>27</v>
      </c>
      <c r="B35" s="48" t="s">
        <v>479</v>
      </c>
      <c r="C35" s="48" t="s">
        <v>2567</v>
      </c>
      <c r="D35" s="48" t="s">
        <v>481</v>
      </c>
      <c r="E35" s="47" t="s">
        <v>459</v>
      </c>
      <c r="F35" s="47" t="s">
        <v>459</v>
      </c>
      <c r="G35" s="47" t="s">
        <v>110</v>
      </c>
      <c r="H35" s="47" t="s">
        <v>461</v>
      </c>
      <c r="I35" s="48" t="s">
        <v>2560</v>
      </c>
      <c r="J35" s="48"/>
      <c r="K35" s="49" t="n">
        <f aca="false">IF(H35="covered",1,IF(H35="partial",0.5,0))</f>
        <v>1</v>
      </c>
    </row>
    <row r="36" customFormat="false" ht="15" hidden="false" customHeight="true" outlineLevel="0" collapsed="false">
      <c r="A36" s="47" t="n">
        <v>28</v>
      </c>
      <c r="B36" s="48" t="s">
        <v>457</v>
      </c>
      <c r="C36" s="48" t="s">
        <v>2567</v>
      </c>
      <c r="D36" s="48" t="s">
        <v>482</v>
      </c>
      <c r="E36" s="47" t="s">
        <v>459</v>
      </c>
      <c r="F36" s="47" t="s">
        <v>459</v>
      </c>
      <c r="G36" s="47" t="s">
        <v>110</v>
      </c>
      <c r="H36" s="47" t="s">
        <v>461</v>
      </c>
      <c r="I36" s="48" t="s">
        <v>2560</v>
      </c>
      <c r="J36" s="48"/>
      <c r="K36" s="49" t="n">
        <f aca="false">IF(H36="covered",1,IF(H36="partial",0.5,0))</f>
        <v>1</v>
      </c>
    </row>
    <row r="37" customFormat="false" ht="15" hidden="false" customHeight="true" outlineLevel="0" collapsed="false">
      <c r="A37" s="47" t="n">
        <v>29</v>
      </c>
      <c r="B37" s="48" t="s">
        <v>774</v>
      </c>
      <c r="C37" s="48" t="s">
        <v>2567</v>
      </c>
      <c r="D37" s="48" t="s">
        <v>775</v>
      </c>
      <c r="E37" s="47" t="s">
        <v>459</v>
      </c>
      <c r="F37" s="47" t="s">
        <v>459</v>
      </c>
      <c r="G37" s="47" t="s">
        <v>110</v>
      </c>
      <c r="H37" s="47" t="s">
        <v>461</v>
      </c>
      <c r="I37" s="48" t="s">
        <v>2560</v>
      </c>
      <c r="J37" s="48"/>
      <c r="K37" s="49" t="n">
        <f aca="false">IF(H37="covered",1,IF(H37="partial",0.5,0))</f>
        <v>1</v>
      </c>
    </row>
    <row r="38" customFormat="false" ht="15" hidden="false" customHeight="true" outlineLevel="0" collapsed="false">
      <c r="A38" s="47" t="n">
        <v>30</v>
      </c>
      <c r="B38" s="48" t="s">
        <v>483</v>
      </c>
      <c r="C38" s="48" t="s">
        <v>2567</v>
      </c>
      <c r="D38" s="48" t="s">
        <v>484</v>
      </c>
      <c r="E38" s="47" t="s">
        <v>459</v>
      </c>
      <c r="F38" s="47" t="s">
        <v>459</v>
      </c>
      <c r="G38" s="47" t="s">
        <v>110</v>
      </c>
      <c r="H38" s="47" t="s">
        <v>461</v>
      </c>
      <c r="I38" s="48" t="s">
        <v>2560</v>
      </c>
      <c r="J38" s="48"/>
      <c r="K38" s="49" t="n">
        <f aca="false">IF(H38="covered",1,IF(H38="partial",0.5,0))</f>
        <v>1</v>
      </c>
    </row>
    <row r="39" customFormat="false" ht="15" hidden="false" customHeight="true" outlineLevel="0" collapsed="false">
      <c r="A39" s="47" t="n">
        <v>31</v>
      </c>
      <c r="B39" s="48" t="s">
        <v>483</v>
      </c>
      <c r="C39" s="48" t="s">
        <v>2567</v>
      </c>
      <c r="D39" s="48" t="s">
        <v>485</v>
      </c>
      <c r="E39" s="47" t="s">
        <v>459</v>
      </c>
      <c r="F39" s="47" t="s">
        <v>459</v>
      </c>
      <c r="G39" s="47" t="s">
        <v>110</v>
      </c>
      <c r="H39" s="47" t="s">
        <v>461</v>
      </c>
      <c r="I39" s="48" t="s">
        <v>2560</v>
      </c>
      <c r="J39" s="48"/>
      <c r="K39" s="49" t="n">
        <f aca="false">IF(H39="covered",1,IF(H39="partial",0.5,0))</f>
        <v>1</v>
      </c>
    </row>
    <row r="40" customFormat="false" ht="15" hidden="false" customHeight="true" outlineLevel="0" collapsed="false">
      <c r="A40" s="47" t="n">
        <v>32</v>
      </c>
      <c r="B40" s="48" t="s">
        <v>486</v>
      </c>
      <c r="C40" s="48" t="s">
        <v>2567</v>
      </c>
      <c r="D40" s="48" t="s">
        <v>1601</v>
      </c>
      <c r="E40" s="47" t="s">
        <v>459</v>
      </c>
      <c r="F40" s="47" t="s">
        <v>459</v>
      </c>
      <c r="G40" s="47" t="s">
        <v>110</v>
      </c>
      <c r="H40" s="47" t="s">
        <v>461</v>
      </c>
      <c r="I40" s="48" t="s">
        <v>2560</v>
      </c>
      <c r="J40" s="48"/>
      <c r="K40" s="49" t="n">
        <f aca="false">IF(H40="covered",1,IF(H40="partial",0.5,0))</f>
        <v>1</v>
      </c>
    </row>
    <row r="41" customFormat="false" ht="15" hidden="false" customHeight="true" outlineLevel="0" collapsed="false">
      <c r="A41" s="47" t="n">
        <v>33</v>
      </c>
      <c r="B41" s="48" t="s">
        <v>486</v>
      </c>
      <c r="C41" s="48" t="s">
        <v>2567</v>
      </c>
      <c r="D41" s="48" t="s">
        <v>2418</v>
      </c>
      <c r="E41" s="47" t="s">
        <v>459</v>
      </c>
      <c r="F41" s="47" t="s">
        <v>459</v>
      </c>
      <c r="G41" s="47" t="s">
        <v>110</v>
      </c>
      <c r="H41" s="47" t="s">
        <v>461</v>
      </c>
      <c r="I41" s="48" t="s">
        <v>2560</v>
      </c>
      <c r="J41" s="48"/>
      <c r="K41" s="49" t="n">
        <f aca="false">IF(H41="covered",1,IF(H41="partial",0.5,0))</f>
        <v>1</v>
      </c>
    </row>
    <row r="42" customFormat="false" ht="15" hidden="false" customHeight="true" outlineLevel="0" collapsed="false">
      <c r="A42" s="47" t="n">
        <v>34</v>
      </c>
      <c r="B42" s="48" t="s">
        <v>486</v>
      </c>
      <c r="C42" s="48" t="s">
        <v>2567</v>
      </c>
      <c r="D42" s="48" t="s">
        <v>495</v>
      </c>
      <c r="E42" s="47" t="s">
        <v>459</v>
      </c>
      <c r="F42" s="47" t="s">
        <v>459</v>
      </c>
      <c r="G42" s="47" t="s">
        <v>110</v>
      </c>
      <c r="H42" s="47" t="s">
        <v>461</v>
      </c>
      <c r="I42" s="48" t="s">
        <v>2560</v>
      </c>
      <c r="J42" s="48"/>
      <c r="K42" s="49" t="n">
        <f aca="false">IF(H42="covered",1,IF(H42="partial",0.5,0))</f>
        <v>1</v>
      </c>
    </row>
    <row r="43" customFormat="false" ht="15" hidden="false" customHeight="true" outlineLevel="0" collapsed="false">
      <c r="A43" s="47" t="n">
        <v>35</v>
      </c>
      <c r="B43" s="48" t="s">
        <v>511</v>
      </c>
      <c r="C43" s="48" t="s">
        <v>506</v>
      </c>
      <c r="D43" s="48" t="s">
        <v>514</v>
      </c>
      <c r="E43" s="47" t="s">
        <v>459</v>
      </c>
      <c r="F43" s="47" t="s">
        <v>459</v>
      </c>
      <c r="G43" s="47" t="s">
        <v>110</v>
      </c>
      <c r="H43" s="47" t="s">
        <v>461</v>
      </c>
      <c r="I43" s="48" t="s">
        <v>2560</v>
      </c>
      <c r="J43" s="48"/>
      <c r="K43" s="49" t="n">
        <f aca="false">IF(H43="covered",1,IF(H43="partial",0.5,0))</f>
        <v>1</v>
      </c>
    </row>
    <row r="44" customFormat="false" ht="30" hidden="false" customHeight="true" outlineLevel="0" collapsed="false">
      <c r="A44" s="47" t="n">
        <v>36</v>
      </c>
      <c r="B44" s="48" t="s">
        <v>483</v>
      </c>
      <c r="C44" s="48" t="s">
        <v>63</v>
      </c>
      <c r="D44" s="48" t="s">
        <v>516</v>
      </c>
      <c r="E44" s="47" t="s">
        <v>459</v>
      </c>
      <c r="F44" s="47" t="s">
        <v>459</v>
      </c>
      <c r="G44" s="47" t="s">
        <v>110</v>
      </c>
      <c r="H44" s="47" t="s">
        <v>461</v>
      </c>
      <c r="I44" s="48" t="s">
        <v>2560</v>
      </c>
      <c r="J44" s="48"/>
      <c r="K44" s="49" t="n">
        <f aca="false">IF(H44="covered",1,IF(H44="partial",0.5,0))</f>
        <v>1</v>
      </c>
    </row>
    <row r="45" customFormat="false" ht="15" hidden="false" customHeight="true" outlineLevel="0" collapsed="false">
      <c r="A45" s="47" t="n">
        <v>37</v>
      </c>
      <c r="B45" s="48" t="s">
        <v>483</v>
      </c>
      <c r="C45" s="48" t="s">
        <v>63</v>
      </c>
      <c r="D45" s="48" t="s">
        <v>517</v>
      </c>
      <c r="E45" s="47" t="s">
        <v>459</v>
      </c>
      <c r="F45" s="47" t="s">
        <v>459</v>
      </c>
      <c r="G45" s="47" t="s">
        <v>110</v>
      </c>
      <c r="H45" s="47" t="s">
        <v>461</v>
      </c>
      <c r="I45" s="48" t="s">
        <v>2560</v>
      </c>
      <c r="J45" s="48"/>
      <c r="K45" s="49" t="n">
        <f aca="false">IF(H45="covered",1,IF(H45="partial",0.5,0))</f>
        <v>1</v>
      </c>
    </row>
    <row r="46" customFormat="false" ht="15" hidden="false" customHeight="true" outlineLevel="0" collapsed="false">
      <c r="A46" s="47" t="n">
        <v>38</v>
      </c>
      <c r="B46" s="48" t="s">
        <v>483</v>
      </c>
      <c r="C46" s="48" t="s">
        <v>63</v>
      </c>
      <c r="D46" s="48" t="s">
        <v>518</v>
      </c>
      <c r="E46" s="47" t="s">
        <v>459</v>
      </c>
      <c r="F46" s="47" t="s">
        <v>459</v>
      </c>
      <c r="G46" s="47" t="s">
        <v>110</v>
      </c>
      <c r="H46" s="47" t="s">
        <v>461</v>
      </c>
      <c r="I46" s="48" t="s">
        <v>2560</v>
      </c>
      <c r="J46" s="48"/>
      <c r="K46" s="49" t="n">
        <f aca="false">IF(H46="covered",1,IF(H46="partial",0.5,0))</f>
        <v>1</v>
      </c>
    </row>
    <row r="47" customFormat="false" ht="15" hidden="false" customHeight="true" outlineLevel="0" collapsed="false">
      <c r="A47" s="47" t="n">
        <v>39</v>
      </c>
      <c r="B47" s="48" t="s">
        <v>483</v>
      </c>
      <c r="C47" s="48" t="s">
        <v>63</v>
      </c>
      <c r="D47" s="48" t="s">
        <v>519</v>
      </c>
      <c r="E47" s="47" t="s">
        <v>459</v>
      </c>
      <c r="F47" s="47" t="s">
        <v>459</v>
      </c>
      <c r="G47" s="47" t="s">
        <v>110</v>
      </c>
      <c r="H47" s="47" t="s">
        <v>461</v>
      </c>
      <c r="I47" s="48" t="s">
        <v>2560</v>
      </c>
      <c r="J47" s="48"/>
      <c r="K47" s="49" t="n">
        <f aca="false">IF(H47="covered",1,IF(H47="partial",0.5,0))</f>
        <v>1</v>
      </c>
    </row>
    <row r="48" customFormat="false" ht="15" hidden="false" customHeight="true" outlineLevel="0" collapsed="false">
      <c r="A48" s="47" t="n">
        <v>40</v>
      </c>
      <c r="B48" s="48" t="s">
        <v>483</v>
      </c>
      <c r="C48" s="48" t="s">
        <v>63</v>
      </c>
      <c r="D48" s="48" t="s">
        <v>520</v>
      </c>
      <c r="E48" s="47" t="s">
        <v>459</v>
      </c>
      <c r="F48" s="47" t="s">
        <v>459</v>
      </c>
      <c r="G48" s="47" t="s">
        <v>110</v>
      </c>
      <c r="H48" s="47" t="s">
        <v>461</v>
      </c>
      <c r="I48" s="48" t="s">
        <v>2560</v>
      </c>
      <c r="J48" s="48"/>
      <c r="K48" s="49" t="n">
        <f aca="false">IF(H48="covered",1,IF(H48="partial",0.5,0))</f>
        <v>1</v>
      </c>
    </row>
    <row r="49" customFormat="false" ht="15" hidden="false" customHeight="true" outlineLevel="0" collapsed="false">
      <c r="A49" s="47" t="n">
        <v>41</v>
      </c>
      <c r="B49" s="48" t="s">
        <v>794</v>
      </c>
      <c r="C49" s="48" t="s">
        <v>63</v>
      </c>
      <c r="D49" s="48" t="s">
        <v>2568</v>
      </c>
      <c r="E49" s="47" t="s">
        <v>459</v>
      </c>
      <c r="F49" s="47" t="s">
        <v>459</v>
      </c>
      <c r="G49" s="47" t="s">
        <v>110</v>
      </c>
      <c r="H49" s="47" t="s">
        <v>461</v>
      </c>
      <c r="I49" s="48" t="s">
        <v>2560</v>
      </c>
      <c r="J49" s="48"/>
      <c r="K49" s="49" t="n">
        <f aca="false">IF(H49="covered",1,IF(H49="partial",0.5,0))</f>
        <v>1</v>
      </c>
    </row>
    <row r="50" customFormat="false" ht="15" hidden="false" customHeight="true" outlineLevel="0" collapsed="false">
      <c r="A50" s="47" t="n">
        <v>42</v>
      </c>
      <c r="B50" s="48" t="s">
        <v>794</v>
      </c>
      <c r="C50" s="48" t="s">
        <v>63</v>
      </c>
      <c r="D50" s="48" t="s">
        <v>2569</v>
      </c>
      <c r="E50" s="47" t="s">
        <v>459</v>
      </c>
      <c r="F50" s="47" t="s">
        <v>459</v>
      </c>
      <c r="G50" s="47" t="s">
        <v>110</v>
      </c>
      <c r="H50" s="47" t="s">
        <v>461</v>
      </c>
      <c r="I50" s="48" t="s">
        <v>2560</v>
      </c>
      <c r="J50" s="48"/>
      <c r="K50" s="49" t="n">
        <f aca="false">IF(H50="covered",1,IF(H50="partial",0.5,0))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2570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104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1615</v>
      </c>
      <c r="H9" s="44" t="s">
        <v>461</v>
      </c>
      <c r="I9" s="42" t="s">
        <v>2571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1615</v>
      </c>
      <c r="H10" s="44" t="s">
        <v>461</v>
      </c>
      <c r="I10" s="42" t="s">
        <v>2571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64</v>
      </c>
      <c r="D11" s="42" t="s">
        <v>464</v>
      </c>
      <c r="E11" s="34" t="s">
        <v>459</v>
      </c>
      <c r="F11" s="43" t="s">
        <v>459</v>
      </c>
      <c r="G11" s="31" t="s">
        <v>1615</v>
      </c>
      <c r="H11" s="44" t="s">
        <v>461</v>
      </c>
      <c r="I11" s="42" t="s">
        <v>2571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64</v>
      </c>
      <c r="D12" s="42" t="s">
        <v>465</v>
      </c>
      <c r="E12" s="34" t="s">
        <v>459</v>
      </c>
      <c r="F12" s="43" t="s">
        <v>459</v>
      </c>
      <c r="G12" s="31" t="s">
        <v>1615</v>
      </c>
      <c r="H12" s="44" t="s">
        <v>461</v>
      </c>
      <c r="I12" s="42" t="s">
        <v>2571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64</v>
      </c>
      <c r="D13" s="42" t="s">
        <v>466</v>
      </c>
      <c r="E13" s="34" t="s">
        <v>459</v>
      </c>
      <c r="F13" s="43" t="s">
        <v>459</v>
      </c>
      <c r="G13" s="31" t="s">
        <v>1615</v>
      </c>
      <c r="H13" s="44" t="s">
        <v>461</v>
      </c>
      <c r="I13" s="42" t="s">
        <v>2571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64</v>
      </c>
      <c r="D14" s="42" t="s">
        <v>467</v>
      </c>
      <c r="E14" s="34" t="s">
        <v>459</v>
      </c>
      <c r="F14" s="43" t="s">
        <v>459</v>
      </c>
      <c r="G14" s="31" t="s">
        <v>1615</v>
      </c>
      <c r="H14" s="44" t="s">
        <v>461</v>
      </c>
      <c r="I14" s="42" t="s">
        <v>2571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64</v>
      </c>
      <c r="D15" s="42" t="s">
        <v>2572</v>
      </c>
      <c r="E15" s="34" t="s">
        <v>459</v>
      </c>
      <c r="F15" s="43" t="s">
        <v>459</v>
      </c>
      <c r="G15" s="31" t="s">
        <v>1615</v>
      </c>
      <c r="H15" s="44" t="s">
        <v>461</v>
      </c>
      <c r="I15" s="42" t="s">
        <v>2571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64</v>
      </c>
      <c r="D16" s="42" t="s">
        <v>1849</v>
      </c>
      <c r="E16" s="34" t="s">
        <v>459</v>
      </c>
      <c r="F16" s="43" t="s">
        <v>459</v>
      </c>
      <c r="G16" s="31" t="s">
        <v>1615</v>
      </c>
      <c r="H16" s="44" t="s">
        <v>461</v>
      </c>
      <c r="I16" s="42" t="s">
        <v>2571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64</v>
      </c>
      <c r="D17" s="42" t="s">
        <v>2573</v>
      </c>
      <c r="E17" s="34" t="s">
        <v>459</v>
      </c>
      <c r="F17" s="43" t="s">
        <v>459</v>
      </c>
      <c r="G17" s="31" t="s">
        <v>1615</v>
      </c>
      <c r="H17" s="44" t="s">
        <v>461</v>
      </c>
      <c r="I17" s="42" t="s">
        <v>2571</v>
      </c>
      <c r="J17" s="42"/>
      <c r="K17" s="45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64</v>
      </c>
      <c r="D18" s="42" t="s">
        <v>2574</v>
      </c>
      <c r="E18" s="34" t="s">
        <v>459</v>
      </c>
      <c r="F18" s="43" t="s">
        <v>459</v>
      </c>
      <c r="G18" s="31" t="s">
        <v>1615</v>
      </c>
      <c r="H18" s="44" t="s">
        <v>461</v>
      </c>
      <c r="I18" s="42" t="s">
        <v>2571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64</v>
      </c>
      <c r="D19" s="42" t="s">
        <v>2575</v>
      </c>
      <c r="E19" s="34" t="s">
        <v>459</v>
      </c>
      <c r="F19" s="43" t="s">
        <v>459</v>
      </c>
      <c r="G19" s="31" t="s">
        <v>1615</v>
      </c>
      <c r="H19" s="44" t="s">
        <v>461</v>
      </c>
      <c r="I19" s="42" t="s">
        <v>2571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64</v>
      </c>
      <c r="D20" s="42" t="s">
        <v>2576</v>
      </c>
      <c r="E20" s="34" t="s">
        <v>459</v>
      </c>
      <c r="F20" s="43" t="s">
        <v>459</v>
      </c>
      <c r="G20" s="31" t="s">
        <v>1615</v>
      </c>
      <c r="H20" s="44" t="s">
        <v>461</v>
      </c>
      <c r="I20" s="42" t="s">
        <v>2571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1615</v>
      </c>
      <c r="H21" s="44" t="s">
        <v>461</v>
      </c>
      <c r="I21" s="42" t="s">
        <v>2571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1615</v>
      </c>
      <c r="H22" s="44" t="s">
        <v>461</v>
      </c>
      <c r="I22" s="42" t="s">
        <v>2571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1615</v>
      </c>
      <c r="H23" s="44" t="s">
        <v>461</v>
      </c>
      <c r="I23" s="42" t="s">
        <v>2571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1615</v>
      </c>
      <c r="H24" s="44" t="s">
        <v>461</v>
      </c>
      <c r="I24" s="42" t="s">
        <v>2571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1615</v>
      </c>
      <c r="H25" s="44" t="s">
        <v>461</v>
      </c>
      <c r="I25" s="42" t="s">
        <v>2571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1615</v>
      </c>
      <c r="H26" s="44" t="s">
        <v>461</v>
      </c>
      <c r="I26" s="42" t="s">
        <v>2571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489</v>
      </c>
      <c r="E27" s="34" t="s">
        <v>459</v>
      </c>
      <c r="F27" s="43" t="s">
        <v>459</v>
      </c>
      <c r="G27" s="31" t="s">
        <v>1615</v>
      </c>
      <c r="H27" s="44" t="s">
        <v>461</v>
      </c>
      <c r="I27" s="42" t="s">
        <v>2571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490</v>
      </c>
      <c r="E28" s="34" t="s">
        <v>459</v>
      </c>
      <c r="F28" s="43" t="s">
        <v>459</v>
      </c>
      <c r="G28" s="31" t="s">
        <v>1615</v>
      </c>
      <c r="H28" s="44" t="s">
        <v>461</v>
      </c>
      <c r="I28" s="42" t="s">
        <v>2571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491</v>
      </c>
      <c r="E29" s="34" t="s">
        <v>459</v>
      </c>
      <c r="F29" s="43" t="s">
        <v>459</v>
      </c>
      <c r="G29" s="31" t="s">
        <v>1615</v>
      </c>
      <c r="H29" s="44" t="s">
        <v>461</v>
      </c>
      <c r="I29" s="42" t="s">
        <v>2571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2577</v>
      </c>
      <c r="E30" s="34" t="s">
        <v>459</v>
      </c>
      <c r="F30" s="43" t="s">
        <v>459</v>
      </c>
      <c r="G30" s="31" t="s">
        <v>1615</v>
      </c>
      <c r="H30" s="44" t="s">
        <v>461</v>
      </c>
      <c r="I30" s="42" t="s">
        <v>2571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2211</v>
      </c>
      <c r="E31" s="34" t="s">
        <v>459</v>
      </c>
      <c r="F31" s="43" t="s">
        <v>459</v>
      </c>
      <c r="G31" s="31" t="s">
        <v>1615</v>
      </c>
      <c r="H31" s="44" t="s">
        <v>461</v>
      </c>
      <c r="I31" s="42" t="s">
        <v>2571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2212</v>
      </c>
      <c r="E32" s="34" t="s">
        <v>459</v>
      </c>
      <c r="F32" s="43" t="s">
        <v>459</v>
      </c>
      <c r="G32" s="31" t="s">
        <v>1615</v>
      </c>
      <c r="H32" s="44" t="s">
        <v>461</v>
      </c>
      <c r="I32" s="42" t="s">
        <v>2571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2213</v>
      </c>
      <c r="E33" s="34" t="s">
        <v>459</v>
      </c>
      <c r="F33" s="43" t="s">
        <v>459</v>
      </c>
      <c r="G33" s="31" t="s">
        <v>1615</v>
      </c>
      <c r="H33" s="44" t="s">
        <v>461</v>
      </c>
      <c r="I33" s="42" t="s">
        <v>2571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476</v>
      </c>
      <c r="D34" s="42" t="s">
        <v>2214</v>
      </c>
      <c r="E34" s="34" t="s">
        <v>459</v>
      </c>
      <c r="F34" s="43" t="s">
        <v>459</v>
      </c>
      <c r="G34" s="31" t="s">
        <v>1615</v>
      </c>
      <c r="H34" s="44" t="s">
        <v>461</v>
      </c>
      <c r="I34" s="42" t="s">
        <v>2571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2578</v>
      </c>
      <c r="E35" s="34" t="s">
        <v>459</v>
      </c>
      <c r="F35" s="43" t="s">
        <v>459</v>
      </c>
      <c r="G35" s="31" t="s">
        <v>1615</v>
      </c>
      <c r="H35" s="44" t="s">
        <v>461</v>
      </c>
      <c r="I35" s="42" t="s">
        <v>2571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488</v>
      </c>
      <c r="C36" s="42" t="s">
        <v>476</v>
      </c>
      <c r="D36" s="42" t="s">
        <v>493</v>
      </c>
      <c r="E36" s="34" t="s">
        <v>459</v>
      </c>
      <c r="F36" s="43" t="s">
        <v>459</v>
      </c>
      <c r="G36" s="31" t="s">
        <v>1615</v>
      </c>
      <c r="H36" s="44" t="s">
        <v>461</v>
      </c>
      <c r="I36" s="42" t="s">
        <v>2571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486</v>
      </c>
      <c r="C37" s="42" t="s">
        <v>476</v>
      </c>
      <c r="D37" s="42" t="s">
        <v>494</v>
      </c>
      <c r="E37" s="34" t="s">
        <v>459</v>
      </c>
      <c r="F37" s="43" t="s">
        <v>459</v>
      </c>
      <c r="G37" s="31" t="s">
        <v>1615</v>
      </c>
      <c r="H37" s="44" t="s">
        <v>461</v>
      </c>
      <c r="I37" s="42" t="s">
        <v>2571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476</v>
      </c>
      <c r="D38" s="42" t="s">
        <v>954</v>
      </c>
      <c r="E38" s="34" t="s">
        <v>459</v>
      </c>
      <c r="F38" s="43" t="s">
        <v>459</v>
      </c>
      <c r="G38" s="31" t="s">
        <v>1615</v>
      </c>
      <c r="H38" s="44" t="s">
        <v>461</v>
      </c>
      <c r="I38" s="42" t="s">
        <v>2571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476</v>
      </c>
      <c r="D39" s="42" t="s">
        <v>955</v>
      </c>
      <c r="E39" s="34" t="s">
        <v>459</v>
      </c>
      <c r="F39" s="43" t="s">
        <v>459</v>
      </c>
      <c r="G39" s="31" t="s">
        <v>1615</v>
      </c>
      <c r="H39" s="44" t="s">
        <v>461</v>
      </c>
      <c r="I39" s="42" t="s">
        <v>2571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882</v>
      </c>
      <c r="C40" s="42" t="s">
        <v>476</v>
      </c>
      <c r="D40" s="42" t="s">
        <v>956</v>
      </c>
      <c r="E40" s="34" t="s">
        <v>459</v>
      </c>
      <c r="F40" s="43" t="s">
        <v>459</v>
      </c>
      <c r="G40" s="31" t="s">
        <v>1615</v>
      </c>
      <c r="H40" s="44" t="s">
        <v>461</v>
      </c>
      <c r="I40" s="42" t="s">
        <v>2571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882</v>
      </c>
      <c r="C41" s="42" t="s">
        <v>476</v>
      </c>
      <c r="D41" s="42" t="s">
        <v>2219</v>
      </c>
      <c r="E41" s="34" t="s">
        <v>459</v>
      </c>
      <c r="F41" s="43" t="s">
        <v>459</v>
      </c>
      <c r="G41" s="31" t="s">
        <v>1615</v>
      </c>
      <c r="H41" s="44" t="s">
        <v>461</v>
      </c>
      <c r="I41" s="42" t="s">
        <v>2571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486</v>
      </c>
      <c r="C42" s="42" t="s">
        <v>476</v>
      </c>
      <c r="D42" s="42" t="s">
        <v>495</v>
      </c>
      <c r="E42" s="34" t="s">
        <v>459</v>
      </c>
      <c r="F42" s="43" t="s">
        <v>459</v>
      </c>
      <c r="G42" s="31" t="s">
        <v>1615</v>
      </c>
      <c r="H42" s="44" t="s">
        <v>461</v>
      </c>
      <c r="I42" s="42" t="s">
        <v>2571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486</v>
      </c>
      <c r="C43" s="42" t="s">
        <v>476</v>
      </c>
      <c r="D43" s="42" t="s">
        <v>496</v>
      </c>
      <c r="E43" s="34" t="s">
        <v>459</v>
      </c>
      <c r="F43" s="43" t="s">
        <v>459</v>
      </c>
      <c r="G43" s="31" t="s">
        <v>1615</v>
      </c>
      <c r="H43" s="44" t="s">
        <v>461</v>
      </c>
      <c r="I43" s="42" t="s">
        <v>2571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488</v>
      </c>
      <c r="C44" s="42" t="s">
        <v>476</v>
      </c>
      <c r="D44" s="42" t="s">
        <v>497</v>
      </c>
      <c r="E44" s="34" t="s">
        <v>459</v>
      </c>
      <c r="F44" s="43" t="s">
        <v>459</v>
      </c>
      <c r="G44" s="31" t="s">
        <v>1615</v>
      </c>
      <c r="H44" s="44" t="s">
        <v>461</v>
      </c>
      <c r="I44" s="42" t="s">
        <v>2571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475</v>
      </c>
      <c r="C45" s="42" t="s">
        <v>2579</v>
      </c>
      <c r="D45" s="42" t="s">
        <v>477</v>
      </c>
      <c r="E45" s="34" t="s">
        <v>459</v>
      </c>
      <c r="F45" s="43" t="s">
        <v>459</v>
      </c>
      <c r="G45" s="31" t="s">
        <v>1615</v>
      </c>
      <c r="H45" s="44" t="s">
        <v>461</v>
      </c>
      <c r="I45" s="42" t="s">
        <v>2571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475</v>
      </c>
      <c r="C46" s="42" t="s">
        <v>2579</v>
      </c>
      <c r="D46" s="42" t="s">
        <v>478</v>
      </c>
      <c r="E46" s="34" t="s">
        <v>459</v>
      </c>
      <c r="F46" s="43" t="s">
        <v>459</v>
      </c>
      <c r="G46" s="31" t="s">
        <v>1615</v>
      </c>
      <c r="H46" s="44" t="s">
        <v>461</v>
      </c>
      <c r="I46" s="42" t="s">
        <v>2571</v>
      </c>
      <c r="J46" s="42"/>
      <c r="K46" s="45" t="n">
        <f aca="false">IF(AND(E46="yes",F46="yes",H46="covered"),1,IF(H46="partial",0.5,0))</f>
        <v>1</v>
      </c>
    </row>
    <row r="47" customFormat="false" ht="30" hidden="false" customHeight="true" outlineLevel="0" collapsed="false">
      <c r="A47" s="31" t="n">
        <v>39</v>
      </c>
      <c r="B47" s="42" t="s">
        <v>479</v>
      </c>
      <c r="C47" s="42" t="s">
        <v>2579</v>
      </c>
      <c r="D47" s="42" t="s">
        <v>480</v>
      </c>
      <c r="E47" s="34" t="s">
        <v>459</v>
      </c>
      <c r="F47" s="43" t="s">
        <v>459</v>
      </c>
      <c r="G47" s="31" t="s">
        <v>1615</v>
      </c>
      <c r="H47" s="44" t="s">
        <v>461</v>
      </c>
      <c r="I47" s="42" t="s">
        <v>2571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479</v>
      </c>
      <c r="C48" s="42" t="s">
        <v>2579</v>
      </c>
      <c r="D48" s="42" t="s">
        <v>481</v>
      </c>
      <c r="E48" s="34" t="s">
        <v>459</v>
      </c>
      <c r="F48" s="43" t="s">
        <v>459</v>
      </c>
      <c r="G48" s="31" t="s">
        <v>1615</v>
      </c>
      <c r="H48" s="44" t="s">
        <v>461</v>
      </c>
      <c r="I48" s="42" t="s">
        <v>2571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457</v>
      </c>
      <c r="C49" s="42" t="s">
        <v>2579</v>
      </c>
      <c r="D49" s="42" t="s">
        <v>482</v>
      </c>
      <c r="E49" s="34" t="s">
        <v>459</v>
      </c>
      <c r="F49" s="43" t="s">
        <v>459</v>
      </c>
      <c r="G49" s="31" t="s">
        <v>1615</v>
      </c>
      <c r="H49" s="44" t="s">
        <v>461</v>
      </c>
      <c r="I49" s="42" t="s">
        <v>2571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774</v>
      </c>
      <c r="C50" s="42" t="s">
        <v>2579</v>
      </c>
      <c r="D50" s="42" t="s">
        <v>775</v>
      </c>
      <c r="E50" s="34" t="s">
        <v>459</v>
      </c>
      <c r="F50" s="43" t="s">
        <v>459</v>
      </c>
      <c r="G50" s="31" t="s">
        <v>1615</v>
      </c>
      <c r="H50" s="44" t="s">
        <v>461</v>
      </c>
      <c r="I50" s="42" t="s">
        <v>2571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486</v>
      </c>
      <c r="C51" s="42" t="s">
        <v>2579</v>
      </c>
      <c r="D51" s="42" t="s">
        <v>2580</v>
      </c>
      <c r="E51" s="34" t="s">
        <v>459</v>
      </c>
      <c r="F51" s="43" t="s">
        <v>459</v>
      </c>
      <c r="G51" s="31" t="s">
        <v>1615</v>
      </c>
      <c r="H51" s="44" t="s">
        <v>461</v>
      </c>
      <c r="I51" s="42" t="s">
        <v>2571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486</v>
      </c>
      <c r="C52" s="42" t="s">
        <v>2579</v>
      </c>
      <c r="D52" s="42" t="s">
        <v>2581</v>
      </c>
      <c r="E52" s="34" t="s">
        <v>459</v>
      </c>
      <c r="F52" s="43" t="s">
        <v>459</v>
      </c>
      <c r="G52" s="31" t="s">
        <v>1615</v>
      </c>
      <c r="H52" s="44" t="s">
        <v>461</v>
      </c>
      <c r="I52" s="42" t="s">
        <v>2571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486</v>
      </c>
      <c r="C53" s="42" t="s">
        <v>2579</v>
      </c>
      <c r="D53" s="42" t="s">
        <v>2582</v>
      </c>
      <c r="E53" s="34" t="s">
        <v>459</v>
      </c>
      <c r="F53" s="43" t="s">
        <v>459</v>
      </c>
      <c r="G53" s="31" t="s">
        <v>1615</v>
      </c>
      <c r="H53" s="44" t="s">
        <v>461</v>
      </c>
      <c r="I53" s="42" t="s">
        <v>2571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2579</v>
      </c>
      <c r="D54" s="42" t="s">
        <v>2583</v>
      </c>
      <c r="E54" s="34" t="s">
        <v>459</v>
      </c>
      <c r="F54" s="43" t="s">
        <v>459</v>
      </c>
      <c r="G54" s="31" t="s">
        <v>1615</v>
      </c>
      <c r="H54" s="44" t="s">
        <v>461</v>
      </c>
      <c r="I54" s="42" t="s">
        <v>2571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475</v>
      </c>
      <c r="C55" s="42" t="s">
        <v>2584</v>
      </c>
      <c r="D55" s="42" t="s">
        <v>477</v>
      </c>
      <c r="E55" s="34" t="s">
        <v>459</v>
      </c>
      <c r="F55" s="43" t="s">
        <v>459</v>
      </c>
      <c r="G55" s="31" t="s">
        <v>1615</v>
      </c>
      <c r="H55" s="44" t="s">
        <v>461</v>
      </c>
      <c r="I55" s="42" t="s">
        <v>2571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475</v>
      </c>
      <c r="C56" s="42" t="s">
        <v>2584</v>
      </c>
      <c r="D56" s="42" t="s">
        <v>478</v>
      </c>
      <c r="E56" s="34" t="s">
        <v>459</v>
      </c>
      <c r="F56" s="43" t="s">
        <v>459</v>
      </c>
      <c r="G56" s="31" t="s">
        <v>1615</v>
      </c>
      <c r="H56" s="44" t="s">
        <v>461</v>
      </c>
      <c r="I56" s="42" t="s">
        <v>2571</v>
      </c>
      <c r="J56" s="42"/>
      <c r="K56" s="45" t="n">
        <f aca="false">IF(AND(E56="yes",F56="yes",H56="covered"),1,IF(H56="partial",0.5,0))</f>
        <v>1</v>
      </c>
    </row>
    <row r="57" customFormat="false" ht="30" hidden="false" customHeight="true" outlineLevel="0" collapsed="false">
      <c r="A57" s="31" t="n">
        <v>49</v>
      </c>
      <c r="B57" s="42" t="s">
        <v>479</v>
      </c>
      <c r="C57" s="42" t="s">
        <v>2584</v>
      </c>
      <c r="D57" s="42" t="s">
        <v>480</v>
      </c>
      <c r="E57" s="34" t="s">
        <v>459</v>
      </c>
      <c r="F57" s="43" t="s">
        <v>459</v>
      </c>
      <c r="G57" s="31" t="s">
        <v>1615</v>
      </c>
      <c r="H57" s="44" t="s">
        <v>461</v>
      </c>
      <c r="I57" s="42" t="s">
        <v>2571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479</v>
      </c>
      <c r="C58" s="42" t="s">
        <v>2584</v>
      </c>
      <c r="D58" s="42" t="s">
        <v>481</v>
      </c>
      <c r="E58" s="34" t="s">
        <v>459</v>
      </c>
      <c r="F58" s="43" t="s">
        <v>459</v>
      </c>
      <c r="G58" s="31" t="s">
        <v>1615</v>
      </c>
      <c r="H58" s="44" t="s">
        <v>461</v>
      </c>
      <c r="I58" s="42" t="s">
        <v>2571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457</v>
      </c>
      <c r="C59" s="42" t="s">
        <v>2584</v>
      </c>
      <c r="D59" s="42" t="s">
        <v>482</v>
      </c>
      <c r="E59" s="34" t="s">
        <v>459</v>
      </c>
      <c r="F59" s="43" t="s">
        <v>459</v>
      </c>
      <c r="G59" s="31" t="s">
        <v>1615</v>
      </c>
      <c r="H59" s="44" t="s">
        <v>461</v>
      </c>
      <c r="I59" s="42" t="s">
        <v>2571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774</v>
      </c>
      <c r="C60" s="42" t="s">
        <v>2584</v>
      </c>
      <c r="D60" s="42" t="s">
        <v>775</v>
      </c>
      <c r="E60" s="34" t="s">
        <v>459</v>
      </c>
      <c r="F60" s="43" t="s">
        <v>459</v>
      </c>
      <c r="G60" s="31" t="s">
        <v>1615</v>
      </c>
      <c r="H60" s="44" t="s">
        <v>461</v>
      </c>
      <c r="I60" s="42" t="s">
        <v>2571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486</v>
      </c>
      <c r="C61" s="42" t="s">
        <v>2584</v>
      </c>
      <c r="D61" s="42" t="s">
        <v>1302</v>
      </c>
      <c r="E61" s="34" t="s">
        <v>459</v>
      </c>
      <c r="F61" s="43" t="s">
        <v>459</v>
      </c>
      <c r="G61" s="31" t="s">
        <v>1615</v>
      </c>
      <c r="H61" s="44" t="s">
        <v>461</v>
      </c>
      <c r="I61" s="42" t="s">
        <v>2571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483</v>
      </c>
      <c r="C62" s="42" t="s">
        <v>2584</v>
      </c>
      <c r="D62" s="42" t="s">
        <v>484</v>
      </c>
      <c r="E62" s="34" t="s">
        <v>459</v>
      </c>
      <c r="F62" s="43" t="s">
        <v>459</v>
      </c>
      <c r="G62" s="31" t="s">
        <v>1615</v>
      </c>
      <c r="H62" s="44" t="s">
        <v>461</v>
      </c>
      <c r="I62" s="42" t="s">
        <v>2571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483</v>
      </c>
      <c r="C63" s="42" t="s">
        <v>2584</v>
      </c>
      <c r="D63" s="42" t="s">
        <v>485</v>
      </c>
      <c r="E63" s="34" t="s">
        <v>459</v>
      </c>
      <c r="F63" s="43" t="s">
        <v>459</v>
      </c>
      <c r="G63" s="31" t="s">
        <v>1615</v>
      </c>
      <c r="H63" s="44" t="s">
        <v>461</v>
      </c>
      <c r="I63" s="42" t="s">
        <v>2571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486</v>
      </c>
      <c r="C64" s="42" t="s">
        <v>2584</v>
      </c>
      <c r="D64" s="42" t="s">
        <v>495</v>
      </c>
      <c r="E64" s="34" t="s">
        <v>459</v>
      </c>
      <c r="F64" s="43" t="s">
        <v>459</v>
      </c>
      <c r="G64" s="31" t="s">
        <v>1615</v>
      </c>
      <c r="H64" s="44" t="s">
        <v>461</v>
      </c>
      <c r="I64" s="42" t="s">
        <v>2571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488</v>
      </c>
      <c r="C65" s="42" t="s">
        <v>2584</v>
      </c>
      <c r="D65" s="42" t="s">
        <v>887</v>
      </c>
      <c r="E65" s="34" t="s">
        <v>459</v>
      </c>
      <c r="F65" s="43" t="s">
        <v>459</v>
      </c>
      <c r="G65" s="31" t="s">
        <v>1615</v>
      </c>
      <c r="H65" s="44" t="s">
        <v>461</v>
      </c>
      <c r="I65" s="42" t="s">
        <v>2571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486</v>
      </c>
      <c r="C66" s="42" t="s">
        <v>2584</v>
      </c>
      <c r="D66" s="42" t="s">
        <v>2396</v>
      </c>
      <c r="E66" s="34" t="s">
        <v>459</v>
      </c>
      <c r="F66" s="43" t="s">
        <v>459</v>
      </c>
      <c r="G66" s="31" t="s">
        <v>1615</v>
      </c>
      <c r="H66" s="44" t="s">
        <v>461</v>
      </c>
      <c r="I66" s="42" t="s">
        <v>2571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475</v>
      </c>
      <c r="C67" s="42" t="s">
        <v>2585</v>
      </c>
      <c r="D67" s="42" t="s">
        <v>477</v>
      </c>
      <c r="E67" s="34" t="s">
        <v>459</v>
      </c>
      <c r="F67" s="43" t="s">
        <v>459</v>
      </c>
      <c r="G67" s="31" t="s">
        <v>1615</v>
      </c>
      <c r="H67" s="44" t="s">
        <v>461</v>
      </c>
      <c r="I67" s="42" t="s">
        <v>2571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475</v>
      </c>
      <c r="C68" s="42" t="s">
        <v>2585</v>
      </c>
      <c r="D68" s="42" t="s">
        <v>478</v>
      </c>
      <c r="E68" s="34" t="s">
        <v>459</v>
      </c>
      <c r="F68" s="43" t="s">
        <v>459</v>
      </c>
      <c r="G68" s="31" t="s">
        <v>1615</v>
      </c>
      <c r="H68" s="44" t="s">
        <v>461</v>
      </c>
      <c r="I68" s="42" t="s">
        <v>2571</v>
      </c>
      <c r="J68" s="42"/>
      <c r="K68" s="45" t="n">
        <f aca="false">IF(AND(E68="yes",F68="yes",H68="covered"),1,IF(H68="partial",0.5,0))</f>
        <v>1</v>
      </c>
    </row>
    <row r="69" customFormat="false" ht="30" hidden="false" customHeight="true" outlineLevel="0" collapsed="false">
      <c r="A69" s="31" t="n">
        <v>61</v>
      </c>
      <c r="B69" s="42" t="s">
        <v>479</v>
      </c>
      <c r="C69" s="42" t="s">
        <v>2585</v>
      </c>
      <c r="D69" s="42" t="s">
        <v>480</v>
      </c>
      <c r="E69" s="34" t="s">
        <v>459</v>
      </c>
      <c r="F69" s="43" t="s">
        <v>459</v>
      </c>
      <c r="G69" s="31" t="s">
        <v>1615</v>
      </c>
      <c r="H69" s="44" t="s">
        <v>461</v>
      </c>
      <c r="I69" s="42" t="s">
        <v>2571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479</v>
      </c>
      <c r="C70" s="42" t="s">
        <v>2585</v>
      </c>
      <c r="D70" s="42" t="s">
        <v>481</v>
      </c>
      <c r="E70" s="34" t="s">
        <v>459</v>
      </c>
      <c r="F70" s="43" t="s">
        <v>459</v>
      </c>
      <c r="G70" s="31" t="s">
        <v>1615</v>
      </c>
      <c r="H70" s="44" t="s">
        <v>461</v>
      </c>
      <c r="I70" s="42" t="s">
        <v>2571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457</v>
      </c>
      <c r="C71" s="42" t="s">
        <v>2585</v>
      </c>
      <c r="D71" s="42" t="s">
        <v>482</v>
      </c>
      <c r="E71" s="34" t="s">
        <v>459</v>
      </c>
      <c r="F71" s="43" t="s">
        <v>459</v>
      </c>
      <c r="G71" s="31" t="s">
        <v>1615</v>
      </c>
      <c r="H71" s="44" t="s">
        <v>461</v>
      </c>
      <c r="I71" s="42" t="s">
        <v>2571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774</v>
      </c>
      <c r="C72" s="42" t="s">
        <v>2585</v>
      </c>
      <c r="D72" s="42" t="s">
        <v>775</v>
      </c>
      <c r="E72" s="34" t="s">
        <v>459</v>
      </c>
      <c r="F72" s="43" t="s">
        <v>459</v>
      </c>
      <c r="G72" s="31" t="s">
        <v>1615</v>
      </c>
      <c r="H72" s="44" t="s">
        <v>461</v>
      </c>
      <c r="I72" s="42" t="s">
        <v>2571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483</v>
      </c>
      <c r="C73" s="42" t="s">
        <v>2585</v>
      </c>
      <c r="D73" s="42" t="s">
        <v>484</v>
      </c>
      <c r="E73" s="34" t="s">
        <v>459</v>
      </c>
      <c r="F73" s="43" t="s">
        <v>459</v>
      </c>
      <c r="G73" s="31" t="s">
        <v>1615</v>
      </c>
      <c r="H73" s="44" t="s">
        <v>461</v>
      </c>
      <c r="I73" s="42" t="s">
        <v>2571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483</v>
      </c>
      <c r="C74" s="42" t="s">
        <v>2585</v>
      </c>
      <c r="D74" s="42" t="s">
        <v>485</v>
      </c>
      <c r="E74" s="34" t="s">
        <v>459</v>
      </c>
      <c r="F74" s="43" t="s">
        <v>459</v>
      </c>
      <c r="G74" s="31" t="s">
        <v>1615</v>
      </c>
      <c r="H74" s="44" t="s">
        <v>461</v>
      </c>
      <c r="I74" s="42" t="s">
        <v>2571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486</v>
      </c>
      <c r="C75" s="42" t="s">
        <v>2585</v>
      </c>
      <c r="D75" s="42" t="s">
        <v>495</v>
      </c>
      <c r="E75" s="34" t="s">
        <v>459</v>
      </c>
      <c r="F75" s="43" t="s">
        <v>459</v>
      </c>
      <c r="G75" s="31" t="s">
        <v>1615</v>
      </c>
      <c r="H75" s="44" t="s">
        <v>461</v>
      </c>
      <c r="I75" s="42" t="s">
        <v>2571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486</v>
      </c>
      <c r="C76" s="42" t="s">
        <v>2585</v>
      </c>
      <c r="D76" s="42" t="s">
        <v>496</v>
      </c>
      <c r="E76" s="34" t="s">
        <v>459</v>
      </c>
      <c r="F76" s="43" t="s">
        <v>459</v>
      </c>
      <c r="G76" s="31" t="s">
        <v>1615</v>
      </c>
      <c r="H76" s="44" t="s">
        <v>461</v>
      </c>
      <c r="I76" s="42" t="s">
        <v>2571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488</v>
      </c>
      <c r="C77" s="42" t="s">
        <v>2585</v>
      </c>
      <c r="D77" s="42" t="s">
        <v>497</v>
      </c>
      <c r="E77" s="34" t="s">
        <v>459</v>
      </c>
      <c r="F77" s="43" t="s">
        <v>459</v>
      </c>
      <c r="G77" s="31" t="s">
        <v>1615</v>
      </c>
      <c r="H77" s="44" t="s">
        <v>461</v>
      </c>
      <c r="I77" s="42" t="s">
        <v>2571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505</v>
      </c>
      <c r="C78" s="42" t="s">
        <v>506</v>
      </c>
      <c r="D78" s="42" t="s">
        <v>508</v>
      </c>
      <c r="E78" s="34" t="s">
        <v>459</v>
      </c>
      <c r="F78" s="43" t="s">
        <v>459</v>
      </c>
      <c r="G78" s="31" t="s">
        <v>1615</v>
      </c>
      <c r="H78" s="44" t="s">
        <v>461</v>
      </c>
      <c r="I78" s="42" t="s">
        <v>2571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505</v>
      </c>
      <c r="C79" s="42" t="s">
        <v>506</v>
      </c>
      <c r="D79" s="42" t="s">
        <v>905</v>
      </c>
      <c r="E79" s="34" t="s">
        <v>459</v>
      </c>
      <c r="F79" s="43" t="s">
        <v>459</v>
      </c>
      <c r="G79" s="31" t="s">
        <v>1615</v>
      </c>
      <c r="H79" s="44" t="s">
        <v>461</v>
      </c>
      <c r="I79" s="42" t="s">
        <v>2571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505</v>
      </c>
      <c r="C80" s="42" t="s">
        <v>506</v>
      </c>
      <c r="D80" s="42" t="s">
        <v>783</v>
      </c>
      <c r="E80" s="34" t="s">
        <v>459</v>
      </c>
      <c r="F80" s="43" t="s">
        <v>459</v>
      </c>
      <c r="G80" s="31" t="s">
        <v>1615</v>
      </c>
      <c r="H80" s="44" t="s">
        <v>461</v>
      </c>
      <c r="I80" s="42" t="s">
        <v>2571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505</v>
      </c>
      <c r="C81" s="42" t="s">
        <v>506</v>
      </c>
      <c r="D81" s="42" t="s">
        <v>1442</v>
      </c>
      <c r="E81" s="34" t="s">
        <v>459</v>
      </c>
      <c r="F81" s="43" t="s">
        <v>459</v>
      </c>
      <c r="G81" s="31" t="s">
        <v>1615</v>
      </c>
      <c r="H81" s="44" t="s">
        <v>461</v>
      </c>
      <c r="I81" s="42" t="s">
        <v>2571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505</v>
      </c>
      <c r="C82" s="42" t="s">
        <v>506</v>
      </c>
      <c r="D82" s="42" t="s">
        <v>2221</v>
      </c>
      <c r="E82" s="34" t="s">
        <v>459</v>
      </c>
      <c r="F82" s="43" t="s">
        <v>459</v>
      </c>
      <c r="G82" s="31" t="s">
        <v>1615</v>
      </c>
      <c r="H82" s="44" t="s">
        <v>461</v>
      </c>
      <c r="I82" s="42" t="s">
        <v>2571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505</v>
      </c>
      <c r="C83" s="42" t="s">
        <v>506</v>
      </c>
      <c r="D83" s="42" t="s">
        <v>2222</v>
      </c>
      <c r="E83" s="34" t="s">
        <v>459</v>
      </c>
      <c r="F83" s="43" t="s">
        <v>459</v>
      </c>
      <c r="G83" s="31" t="s">
        <v>1615</v>
      </c>
      <c r="H83" s="44" t="s">
        <v>461</v>
      </c>
      <c r="I83" s="42" t="s">
        <v>2571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505</v>
      </c>
      <c r="C84" s="42" t="s">
        <v>506</v>
      </c>
      <c r="D84" s="42" t="s">
        <v>2223</v>
      </c>
      <c r="E84" s="34" t="s">
        <v>459</v>
      </c>
      <c r="F84" s="43" t="s">
        <v>459</v>
      </c>
      <c r="G84" s="31" t="s">
        <v>1615</v>
      </c>
      <c r="H84" s="44" t="s">
        <v>461</v>
      </c>
      <c r="I84" s="42" t="s">
        <v>2571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505</v>
      </c>
      <c r="C85" s="42" t="s">
        <v>506</v>
      </c>
      <c r="D85" s="42" t="s">
        <v>2224</v>
      </c>
      <c r="E85" s="34" t="s">
        <v>459</v>
      </c>
      <c r="F85" s="43" t="s">
        <v>459</v>
      </c>
      <c r="G85" s="31" t="s">
        <v>1615</v>
      </c>
      <c r="H85" s="44" t="s">
        <v>461</v>
      </c>
      <c r="I85" s="42" t="s">
        <v>2571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511</v>
      </c>
      <c r="C86" s="42" t="s">
        <v>506</v>
      </c>
      <c r="D86" s="42" t="s">
        <v>512</v>
      </c>
      <c r="E86" s="34" t="s">
        <v>459</v>
      </c>
      <c r="F86" s="43" t="s">
        <v>459</v>
      </c>
      <c r="G86" s="31" t="s">
        <v>1615</v>
      </c>
      <c r="H86" s="44" t="s">
        <v>461</v>
      </c>
      <c r="I86" s="42" t="s">
        <v>2571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511</v>
      </c>
      <c r="C87" s="42" t="s">
        <v>506</v>
      </c>
      <c r="D87" s="42" t="s">
        <v>2586</v>
      </c>
      <c r="E87" s="34" t="s">
        <v>459</v>
      </c>
      <c r="F87" s="43" t="s">
        <v>459</v>
      </c>
      <c r="G87" s="31" t="s">
        <v>1615</v>
      </c>
      <c r="H87" s="44" t="s">
        <v>461</v>
      </c>
      <c r="I87" s="42" t="s">
        <v>2571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511</v>
      </c>
      <c r="C88" s="42" t="s">
        <v>506</v>
      </c>
      <c r="D88" s="42" t="s">
        <v>513</v>
      </c>
      <c r="E88" s="34" t="s">
        <v>459</v>
      </c>
      <c r="F88" s="43" t="s">
        <v>459</v>
      </c>
      <c r="G88" s="31" t="s">
        <v>1615</v>
      </c>
      <c r="H88" s="44" t="s">
        <v>461</v>
      </c>
      <c r="I88" s="42" t="s">
        <v>2571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511</v>
      </c>
      <c r="C89" s="42" t="s">
        <v>506</v>
      </c>
      <c r="D89" s="42" t="s">
        <v>2399</v>
      </c>
      <c r="E89" s="34" t="s">
        <v>459</v>
      </c>
      <c r="F89" s="43" t="s">
        <v>459</v>
      </c>
      <c r="G89" s="31" t="s">
        <v>1615</v>
      </c>
      <c r="H89" s="44" t="s">
        <v>461</v>
      </c>
      <c r="I89" s="42" t="s">
        <v>2571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511</v>
      </c>
      <c r="C90" s="42" t="s">
        <v>506</v>
      </c>
      <c r="D90" s="42" t="s">
        <v>514</v>
      </c>
      <c r="E90" s="34" t="s">
        <v>459</v>
      </c>
      <c r="F90" s="43" t="s">
        <v>459</v>
      </c>
      <c r="G90" s="31" t="s">
        <v>1615</v>
      </c>
      <c r="H90" s="44" t="s">
        <v>461</v>
      </c>
      <c r="I90" s="42" t="s">
        <v>2571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511</v>
      </c>
      <c r="C91" s="42" t="s">
        <v>506</v>
      </c>
      <c r="D91" s="42" t="s">
        <v>2587</v>
      </c>
      <c r="E91" s="34" t="s">
        <v>459</v>
      </c>
      <c r="F91" s="43" t="s">
        <v>459</v>
      </c>
      <c r="G91" s="31" t="s">
        <v>1615</v>
      </c>
      <c r="H91" s="44" t="s">
        <v>461</v>
      </c>
      <c r="I91" s="42" t="s">
        <v>2571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511</v>
      </c>
      <c r="C92" s="42" t="s">
        <v>506</v>
      </c>
      <c r="D92" s="42" t="s">
        <v>893</v>
      </c>
      <c r="E92" s="34" t="s">
        <v>459</v>
      </c>
      <c r="F92" s="43" t="s">
        <v>459</v>
      </c>
      <c r="G92" s="31" t="s">
        <v>1615</v>
      </c>
      <c r="H92" s="44" t="s">
        <v>461</v>
      </c>
      <c r="I92" s="42" t="s">
        <v>2571</v>
      </c>
      <c r="J92" s="42"/>
      <c r="K92" s="45" t="n">
        <f aca="false">IF(AND(E92="yes",F92="yes",H92="covered"),1,IF(H92="partial",0.5,0))</f>
        <v>1</v>
      </c>
    </row>
    <row r="93" customFormat="false" ht="30" hidden="false" customHeight="true" outlineLevel="0" collapsed="false">
      <c r="A93" s="31" t="n">
        <v>85</v>
      </c>
      <c r="B93" s="42" t="s">
        <v>483</v>
      </c>
      <c r="C93" s="42" t="s">
        <v>64</v>
      </c>
      <c r="D93" s="42" t="s">
        <v>516</v>
      </c>
      <c r="E93" s="34" t="s">
        <v>459</v>
      </c>
      <c r="F93" s="43" t="s">
        <v>459</v>
      </c>
      <c r="G93" s="31" t="s">
        <v>1615</v>
      </c>
      <c r="H93" s="44" t="s">
        <v>461</v>
      </c>
      <c r="I93" s="42" t="s">
        <v>2571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483</v>
      </c>
      <c r="C94" s="42" t="s">
        <v>64</v>
      </c>
      <c r="D94" s="42" t="s">
        <v>517</v>
      </c>
      <c r="E94" s="34" t="s">
        <v>459</v>
      </c>
      <c r="F94" s="43" t="s">
        <v>459</v>
      </c>
      <c r="G94" s="31" t="s">
        <v>1615</v>
      </c>
      <c r="H94" s="44" t="s">
        <v>461</v>
      </c>
      <c r="I94" s="42" t="s">
        <v>2571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483</v>
      </c>
      <c r="C95" s="42" t="s">
        <v>64</v>
      </c>
      <c r="D95" s="42" t="s">
        <v>518</v>
      </c>
      <c r="E95" s="34" t="s">
        <v>459</v>
      </c>
      <c r="F95" s="43" t="s">
        <v>459</v>
      </c>
      <c r="G95" s="31" t="s">
        <v>1615</v>
      </c>
      <c r="H95" s="44" t="s">
        <v>461</v>
      </c>
      <c r="I95" s="42" t="s">
        <v>2571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483</v>
      </c>
      <c r="C96" s="42" t="s">
        <v>64</v>
      </c>
      <c r="D96" s="42" t="s">
        <v>519</v>
      </c>
      <c r="E96" s="34" t="s">
        <v>459</v>
      </c>
      <c r="F96" s="43" t="s">
        <v>459</v>
      </c>
      <c r="G96" s="31" t="s">
        <v>1615</v>
      </c>
      <c r="H96" s="44" t="s">
        <v>461</v>
      </c>
      <c r="I96" s="42" t="s">
        <v>2571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483</v>
      </c>
      <c r="C97" s="42" t="s">
        <v>64</v>
      </c>
      <c r="D97" s="42" t="s">
        <v>520</v>
      </c>
      <c r="E97" s="34" t="s">
        <v>459</v>
      </c>
      <c r="F97" s="43" t="s">
        <v>459</v>
      </c>
      <c r="G97" s="31" t="s">
        <v>1615</v>
      </c>
      <c r="H97" s="44" t="s">
        <v>461</v>
      </c>
      <c r="I97" s="42" t="s">
        <v>2571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488</v>
      </c>
      <c r="C98" s="42" t="s">
        <v>476</v>
      </c>
      <c r="D98" s="42" t="s">
        <v>521</v>
      </c>
      <c r="E98" s="34" t="s">
        <v>459</v>
      </c>
      <c r="F98" s="43" t="s">
        <v>459</v>
      </c>
      <c r="G98" s="31" t="s">
        <v>1615</v>
      </c>
      <c r="H98" s="44" t="s">
        <v>461</v>
      </c>
      <c r="I98" s="42" t="s">
        <v>2571</v>
      </c>
      <c r="J98" s="42"/>
      <c r="K98" s="45" t="n">
        <f aca="false">IF(AND(E98="yes",F98="yes",H98="covered"),1,IF(H98="partial",0.5,0))</f>
        <v>1</v>
      </c>
    </row>
    <row r="99" customFormat="false" ht="30" hidden="false" customHeight="true" outlineLevel="0" collapsed="false">
      <c r="A99" s="31" t="n">
        <v>91</v>
      </c>
      <c r="B99" s="42" t="s">
        <v>488</v>
      </c>
      <c r="C99" s="42" t="s">
        <v>476</v>
      </c>
      <c r="D99" s="42" t="s">
        <v>522</v>
      </c>
      <c r="E99" s="34" t="s">
        <v>459</v>
      </c>
      <c r="F99" s="43" t="s">
        <v>459</v>
      </c>
      <c r="G99" s="31" t="s">
        <v>1615</v>
      </c>
      <c r="H99" s="44" t="s">
        <v>461</v>
      </c>
      <c r="I99" s="42" t="s">
        <v>2571</v>
      </c>
      <c r="J99" s="42"/>
      <c r="K99" s="45" t="n">
        <f aca="false">IF(AND(E99="yes",F99="yes",H99="covered"),1,IF(H99="partial",0.5,0))</f>
        <v>1</v>
      </c>
    </row>
    <row r="100" customFormat="false" ht="30" hidden="false" customHeight="true" outlineLevel="0" collapsed="false">
      <c r="A100" s="31" t="n">
        <v>92</v>
      </c>
      <c r="B100" s="42" t="s">
        <v>488</v>
      </c>
      <c r="C100" s="42" t="s">
        <v>476</v>
      </c>
      <c r="D100" s="42" t="s">
        <v>523</v>
      </c>
      <c r="E100" s="34" t="s">
        <v>459</v>
      </c>
      <c r="F100" s="43" t="s">
        <v>459</v>
      </c>
      <c r="G100" s="31" t="s">
        <v>1615</v>
      </c>
      <c r="H100" s="44" t="s">
        <v>461</v>
      </c>
      <c r="I100" s="42" t="s">
        <v>2571</v>
      </c>
      <c r="J100" s="42"/>
      <c r="K100" s="45" t="n">
        <f aca="false">IF(AND(E100="yes",F100="yes",H100="covered"),1,IF(H100="partial",0.5,0))</f>
        <v>1</v>
      </c>
    </row>
    <row r="101" customFormat="false" ht="30" hidden="false" customHeight="true" outlineLevel="0" collapsed="false">
      <c r="A101" s="31" t="n">
        <v>93</v>
      </c>
      <c r="B101" s="42" t="s">
        <v>488</v>
      </c>
      <c r="C101" s="42" t="s">
        <v>64</v>
      </c>
      <c r="D101" s="42" t="s">
        <v>968</v>
      </c>
      <c r="E101" s="34" t="s">
        <v>459</v>
      </c>
      <c r="F101" s="43" t="s">
        <v>459</v>
      </c>
      <c r="G101" s="31" t="s">
        <v>1615</v>
      </c>
      <c r="H101" s="44" t="s">
        <v>461</v>
      </c>
      <c r="I101" s="42" t="s">
        <v>2571</v>
      </c>
      <c r="J101" s="42"/>
      <c r="K101" s="45" t="n">
        <f aca="false">IF(AND(E101="yes",F101="yes",H101="covered"),1,IF(H101="partial",0.5,0))</f>
        <v>1</v>
      </c>
    </row>
    <row r="102" customFormat="false" ht="30" hidden="false" customHeight="true" outlineLevel="0" collapsed="false">
      <c r="A102" s="31" t="n">
        <v>94</v>
      </c>
      <c r="B102" s="42" t="s">
        <v>488</v>
      </c>
      <c r="C102" s="42" t="s">
        <v>64</v>
      </c>
      <c r="D102" s="42" t="s">
        <v>969</v>
      </c>
      <c r="E102" s="34" t="s">
        <v>459</v>
      </c>
      <c r="F102" s="43" t="s">
        <v>459</v>
      </c>
      <c r="G102" s="31" t="s">
        <v>1615</v>
      </c>
      <c r="H102" s="44" t="s">
        <v>461</v>
      </c>
      <c r="I102" s="42" t="s">
        <v>2571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488</v>
      </c>
      <c r="C103" s="42" t="s">
        <v>64</v>
      </c>
      <c r="D103" s="42" t="s">
        <v>970</v>
      </c>
      <c r="E103" s="34" t="s">
        <v>459</v>
      </c>
      <c r="F103" s="43" t="s">
        <v>459</v>
      </c>
      <c r="G103" s="31" t="s">
        <v>1615</v>
      </c>
      <c r="H103" s="44" t="s">
        <v>461</v>
      </c>
      <c r="I103" s="42" t="s">
        <v>2571</v>
      </c>
      <c r="J103" s="42"/>
      <c r="K103" s="45" t="n">
        <f aca="false">IF(AND(E103="yes",F103="yes",H103="covered"),1,IF(H103="partial",0.5,0))</f>
        <v>1</v>
      </c>
    </row>
    <row r="104" customFormat="false" ht="30" hidden="false" customHeight="true" outlineLevel="0" collapsed="false">
      <c r="A104" s="31" t="n">
        <v>96</v>
      </c>
      <c r="B104" s="42" t="s">
        <v>488</v>
      </c>
      <c r="C104" s="42" t="s">
        <v>64</v>
      </c>
      <c r="D104" s="42" t="s">
        <v>971</v>
      </c>
      <c r="E104" s="34" t="s">
        <v>459</v>
      </c>
      <c r="F104" s="43" t="s">
        <v>459</v>
      </c>
      <c r="G104" s="31" t="s">
        <v>1615</v>
      </c>
      <c r="H104" s="44" t="s">
        <v>461</v>
      </c>
      <c r="I104" s="42" t="s">
        <v>2571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933</v>
      </c>
      <c r="C105" s="42" t="s">
        <v>64</v>
      </c>
      <c r="D105" s="42" t="s">
        <v>972</v>
      </c>
      <c r="E105" s="34" t="s">
        <v>459</v>
      </c>
      <c r="F105" s="43" t="s">
        <v>459</v>
      </c>
      <c r="G105" s="31" t="s">
        <v>1615</v>
      </c>
      <c r="H105" s="44" t="s">
        <v>461</v>
      </c>
      <c r="I105" s="42" t="s">
        <v>2571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933</v>
      </c>
      <c r="C106" s="42" t="s">
        <v>64</v>
      </c>
      <c r="D106" s="42" t="s">
        <v>973</v>
      </c>
      <c r="E106" s="34" t="s">
        <v>459</v>
      </c>
      <c r="F106" s="43" t="s">
        <v>459</v>
      </c>
      <c r="G106" s="31" t="s">
        <v>1615</v>
      </c>
      <c r="H106" s="44" t="s">
        <v>461</v>
      </c>
      <c r="I106" s="42" t="s">
        <v>2571</v>
      </c>
      <c r="J106" s="42"/>
      <c r="K106" s="45" t="n">
        <f aca="false">IF(AND(E106="yes",F106="yes",H106="covered"),1,IF(H106="partial",0.5,0))</f>
        <v>1</v>
      </c>
    </row>
    <row r="107" customFormat="false" ht="30" hidden="false" customHeight="true" outlineLevel="0" collapsed="false">
      <c r="A107" s="31" t="n">
        <v>99</v>
      </c>
      <c r="B107" s="42" t="s">
        <v>55</v>
      </c>
      <c r="C107" s="42" t="s">
        <v>64</v>
      </c>
      <c r="D107" s="42" t="s">
        <v>1074</v>
      </c>
      <c r="E107" s="34" t="s">
        <v>459</v>
      </c>
      <c r="F107" s="43" t="s">
        <v>459</v>
      </c>
      <c r="G107" s="31" t="s">
        <v>1615</v>
      </c>
      <c r="H107" s="44" t="s">
        <v>461</v>
      </c>
      <c r="I107" s="42" t="s">
        <v>2571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55</v>
      </c>
      <c r="C108" s="42" t="s">
        <v>64</v>
      </c>
      <c r="D108" s="42" t="s">
        <v>1075</v>
      </c>
      <c r="E108" s="34" t="s">
        <v>459</v>
      </c>
      <c r="F108" s="43" t="s">
        <v>459</v>
      </c>
      <c r="G108" s="31" t="s">
        <v>1615</v>
      </c>
      <c r="H108" s="44" t="s">
        <v>461</v>
      </c>
      <c r="I108" s="42" t="s">
        <v>2571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31</v>
      </c>
      <c r="C109" s="42" t="s">
        <v>476</v>
      </c>
      <c r="D109" s="42" t="s">
        <v>2588</v>
      </c>
      <c r="E109" s="46" t="s">
        <v>459</v>
      </c>
      <c r="F109" s="43" t="s">
        <v>459</v>
      </c>
      <c r="G109" s="31" t="s">
        <v>1615</v>
      </c>
      <c r="H109" s="46" t="s">
        <v>461</v>
      </c>
      <c r="I109" s="42" t="s">
        <v>2571</v>
      </c>
      <c r="J109" s="42"/>
      <c r="K109" s="45" t="n">
        <f aca="false">IF(AND(E109="yes",F109="yes",H109="covered"),1,IF(H109="partial",0.5,0))</f>
        <v>1</v>
      </c>
    </row>
    <row r="110" customFormat="false" ht="30" hidden="false" customHeight="true" outlineLevel="0" collapsed="false">
      <c r="A110" s="31" t="n">
        <v>102</v>
      </c>
      <c r="B110" s="42" t="s">
        <v>31</v>
      </c>
      <c r="C110" s="42" t="s">
        <v>476</v>
      </c>
      <c r="D110" s="42" t="s">
        <v>2589</v>
      </c>
      <c r="E110" s="46" t="s">
        <v>459</v>
      </c>
      <c r="F110" s="43" t="s">
        <v>459</v>
      </c>
      <c r="G110" s="31" t="s">
        <v>1615</v>
      </c>
      <c r="H110" s="46" t="s">
        <v>461</v>
      </c>
      <c r="I110" s="42" t="s">
        <v>2571</v>
      </c>
      <c r="J110" s="42"/>
      <c r="K110" s="45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2" t="s">
        <v>31</v>
      </c>
      <c r="C111" s="42" t="s">
        <v>476</v>
      </c>
      <c r="D111" s="42" t="s">
        <v>2590</v>
      </c>
      <c r="E111" s="46" t="s">
        <v>459</v>
      </c>
      <c r="F111" s="43" t="s">
        <v>459</v>
      </c>
      <c r="G111" s="31" t="s">
        <v>1615</v>
      </c>
      <c r="H111" s="46" t="s">
        <v>461</v>
      </c>
      <c r="I111" s="42" t="s">
        <v>2571</v>
      </c>
      <c r="J111" s="42"/>
      <c r="K111" s="45" t="n">
        <f aca="false">IF(AND(E111="yes",F111="yes",H111="covered"),1,IF(H111="partial",0.5,0))</f>
        <v>1</v>
      </c>
    </row>
    <row r="112" customFormat="false" ht="30" hidden="false" customHeight="true" outlineLevel="0" collapsed="false">
      <c r="A112" s="31" t="n">
        <v>104</v>
      </c>
      <c r="B112" s="42" t="s">
        <v>456</v>
      </c>
      <c r="C112" s="42" t="s">
        <v>540</v>
      </c>
      <c r="D112" s="42" t="s">
        <v>541</v>
      </c>
      <c r="E112" s="46" t="s">
        <v>459</v>
      </c>
      <c r="F112" s="43" t="s">
        <v>459</v>
      </c>
      <c r="G112" s="31" t="s">
        <v>1615</v>
      </c>
      <c r="H112" s="46" t="s">
        <v>461</v>
      </c>
      <c r="I112" s="42" t="s">
        <v>2571</v>
      </c>
      <c r="J112" s="42"/>
      <c r="K112" s="45" t="n">
        <f aca="false">IF(AND(E112="yes",F112="yes",H112="covered"),1,IF(H112="partial",0.5,0))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2591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90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54" t="n">
        <v>1</v>
      </c>
      <c r="B9" s="55" t="s">
        <v>456</v>
      </c>
      <c r="C9" s="55" t="s">
        <v>457</v>
      </c>
      <c r="D9" s="55" t="s">
        <v>458</v>
      </c>
      <c r="E9" s="54" t="s">
        <v>459</v>
      </c>
      <c r="F9" s="54" t="s">
        <v>459</v>
      </c>
      <c r="G9" s="54" t="s">
        <v>543</v>
      </c>
      <c r="H9" s="51" t="s">
        <v>461</v>
      </c>
      <c r="I9" s="55" t="s">
        <v>2592</v>
      </c>
      <c r="J9" s="55"/>
      <c r="K9" s="56" t="n">
        <f aca="false">IF(AND(E9="yes",F9="yes",H9="covered"),1,IF(H9="partial",0.5,0))</f>
        <v>1</v>
      </c>
    </row>
    <row r="10" customFormat="false" ht="15" hidden="false" customHeight="true" outlineLevel="0" collapsed="false">
      <c r="A10" s="54" t="n">
        <v>2</v>
      </c>
      <c r="B10" s="55" t="s">
        <v>456</v>
      </c>
      <c r="C10" s="55" t="s">
        <v>457</v>
      </c>
      <c r="D10" s="55" t="s">
        <v>463</v>
      </c>
      <c r="E10" s="54" t="s">
        <v>459</v>
      </c>
      <c r="F10" s="54" t="s">
        <v>459</v>
      </c>
      <c r="G10" s="54" t="s">
        <v>543</v>
      </c>
      <c r="H10" s="51" t="s">
        <v>461</v>
      </c>
      <c r="I10" s="55" t="s">
        <v>2592</v>
      </c>
      <c r="J10" s="55"/>
      <c r="K10" s="56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54" t="n">
        <v>3</v>
      </c>
      <c r="B11" s="55" t="s">
        <v>456</v>
      </c>
      <c r="C11" s="55" t="s">
        <v>65</v>
      </c>
      <c r="D11" s="55" t="s">
        <v>464</v>
      </c>
      <c r="E11" s="54" t="s">
        <v>459</v>
      </c>
      <c r="F11" s="54" t="s">
        <v>459</v>
      </c>
      <c r="G11" s="54" t="s">
        <v>543</v>
      </c>
      <c r="H11" s="51" t="s">
        <v>461</v>
      </c>
      <c r="I11" s="55" t="s">
        <v>2592</v>
      </c>
      <c r="J11" s="55"/>
      <c r="K11" s="56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54" t="n">
        <v>4</v>
      </c>
      <c r="B12" s="55" t="s">
        <v>456</v>
      </c>
      <c r="C12" s="55" t="s">
        <v>65</v>
      </c>
      <c r="D12" s="55" t="s">
        <v>465</v>
      </c>
      <c r="E12" s="54" t="s">
        <v>459</v>
      </c>
      <c r="F12" s="54" t="s">
        <v>459</v>
      </c>
      <c r="G12" s="54" t="s">
        <v>543</v>
      </c>
      <c r="H12" s="51" t="s">
        <v>461</v>
      </c>
      <c r="I12" s="55" t="s">
        <v>2592</v>
      </c>
      <c r="J12" s="55"/>
      <c r="K12" s="56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54" t="n">
        <v>5</v>
      </c>
      <c r="B13" s="55" t="s">
        <v>456</v>
      </c>
      <c r="C13" s="55" t="s">
        <v>65</v>
      </c>
      <c r="D13" s="55" t="s">
        <v>466</v>
      </c>
      <c r="E13" s="54" t="s">
        <v>459</v>
      </c>
      <c r="F13" s="54" t="s">
        <v>459</v>
      </c>
      <c r="G13" s="54" t="s">
        <v>543</v>
      </c>
      <c r="H13" s="51" t="s">
        <v>461</v>
      </c>
      <c r="I13" s="55" t="s">
        <v>2592</v>
      </c>
      <c r="J13" s="55"/>
      <c r="K13" s="56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54" t="n">
        <v>6</v>
      </c>
      <c r="B14" s="55" t="s">
        <v>456</v>
      </c>
      <c r="C14" s="55" t="s">
        <v>65</v>
      </c>
      <c r="D14" s="55" t="s">
        <v>467</v>
      </c>
      <c r="E14" s="54" t="s">
        <v>459</v>
      </c>
      <c r="F14" s="54" t="s">
        <v>459</v>
      </c>
      <c r="G14" s="54" t="s">
        <v>543</v>
      </c>
      <c r="H14" s="51" t="s">
        <v>461</v>
      </c>
      <c r="I14" s="55" t="s">
        <v>2592</v>
      </c>
      <c r="J14" s="55"/>
      <c r="K14" s="56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54" t="n">
        <v>7</v>
      </c>
      <c r="B15" s="55" t="s">
        <v>468</v>
      </c>
      <c r="C15" s="55" t="s">
        <v>65</v>
      </c>
      <c r="D15" s="55" t="s">
        <v>2593</v>
      </c>
      <c r="E15" s="54" t="s">
        <v>459</v>
      </c>
      <c r="F15" s="54" t="s">
        <v>459</v>
      </c>
      <c r="G15" s="54" t="s">
        <v>543</v>
      </c>
      <c r="H15" s="51" t="s">
        <v>461</v>
      </c>
      <c r="I15" s="55" t="s">
        <v>2592</v>
      </c>
      <c r="J15" s="55"/>
      <c r="K15" s="56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54" t="n">
        <v>8</v>
      </c>
      <c r="B16" s="55" t="s">
        <v>468</v>
      </c>
      <c r="C16" s="55" t="s">
        <v>65</v>
      </c>
      <c r="D16" s="55" t="s">
        <v>2594</v>
      </c>
      <c r="E16" s="54" t="s">
        <v>459</v>
      </c>
      <c r="F16" s="54" t="s">
        <v>459</v>
      </c>
      <c r="G16" s="54" t="s">
        <v>543</v>
      </c>
      <c r="H16" s="51" t="s">
        <v>461</v>
      </c>
      <c r="I16" s="55" t="s">
        <v>2592</v>
      </c>
      <c r="J16" s="55"/>
      <c r="K16" s="56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54" t="n">
        <v>9</v>
      </c>
      <c r="B17" s="55" t="s">
        <v>468</v>
      </c>
      <c r="C17" s="55" t="s">
        <v>65</v>
      </c>
      <c r="D17" s="55" t="s">
        <v>2595</v>
      </c>
      <c r="E17" s="54" t="s">
        <v>459</v>
      </c>
      <c r="F17" s="54" t="s">
        <v>459</v>
      </c>
      <c r="G17" s="54" t="s">
        <v>543</v>
      </c>
      <c r="H17" s="51" t="s">
        <v>461</v>
      </c>
      <c r="I17" s="55" t="s">
        <v>2592</v>
      </c>
      <c r="J17" s="55"/>
      <c r="K17" s="56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54" t="n">
        <v>10</v>
      </c>
      <c r="B18" s="55" t="s">
        <v>468</v>
      </c>
      <c r="C18" s="55" t="s">
        <v>65</v>
      </c>
      <c r="D18" s="55" t="s">
        <v>2596</v>
      </c>
      <c r="E18" s="54" t="s">
        <v>459</v>
      </c>
      <c r="F18" s="54" t="s">
        <v>459</v>
      </c>
      <c r="G18" s="54" t="s">
        <v>543</v>
      </c>
      <c r="H18" s="51" t="s">
        <v>461</v>
      </c>
      <c r="I18" s="55" t="s">
        <v>2592</v>
      </c>
      <c r="J18" s="55"/>
      <c r="K18" s="56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54" t="n">
        <v>11</v>
      </c>
      <c r="B19" s="55" t="s">
        <v>468</v>
      </c>
      <c r="C19" s="55" t="s">
        <v>65</v>
      </c>
      <c r="D19" s="55" t="s">
        <v>2597</v>
      </c>
      <c r="E19" s="54" t="s">
        <v>459</v>
      </c>
      <c r="F19" s="54" t="s">
        <v>459</v>
      </c>
      <c r="G19" s="54" t="s">
        <v>543</v>
      </c>
      <c r="H19" s="51" t="s">
        <v>461</v>
      </c>
      <c r="I19" s="55" t="s">
        <v>2592</v>
      </c>
      <c r="J19" s="55"/>
      <c r="K19" s="56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54" t="n">
        <v>12</v>
      </c>
      <c r="B20" s="55" t="s">
        <v>468</v>
      </c>
      <c r="C20" s="55" t="s">
        <v>65</v>
      </c>
      <c r="D20" s="55" t="s">
        <v>474</v>
      </c>
      <c r="E20" s="54" t="s">
        <v>459</v>
      </c>
      <c r="F20" s="54" t="s">
        <v>459</v>
      </c>
      <c r="G20" s="54" t="s">
        <v>543</v>
      </c>
      <c r="H20" s="51" t="s">
        <v>461</v>
      </c>
      <c r="I20" s="55" t="s">
        <v>2592</v>
      </c>
      <c r="J20" s="55"/>
      <c r="K20" s="56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54" t="n">
        <v>13</v>
      </c>
      <c r="B21" s="55" t="s">
        <v>475</v>
      </c>
      <c r="C21" s="55" t="s">
        <v>476</v>
      </c>
      <c r="D21" s="55" t="s">
        <v>477</v>
      </c>
      <c r="E21" s="54" t="s">
        <v>459</v>
      </c>
      <c r="F21" s="54" t="s">
        <v>459</v>
      </c>
      <c r="G21" s="54" t="s">
        <v>543</v>
      </c>
      <c r="H21" s="51" t="s">
        <v>461</v>
      </c>
      <c r="I21" s="55" t="s">
        <v>2592</v>
      </c>
      <c r="J21" s="55"/>
      <c r="K21" s="56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54" t="n">
        <v>14</v>
      </c>
      <c r="B22" s="55" t="s">
        <v>475</v>
      </c>
      <c r="C22" s="55" t="s">
        <v>476</v>
      </c>
      <c r="D22" s="55" t="s">
        <v>478</v>
      </c>
      <c r="E22" s="54" t="s">
        <v>459</v>
      </c>
      <c r="F22" s="54" t="s">
        <v>459</v>
      </c>
      <c r="G22" s="54" t="s">
        <v>543</v>
      </c>
      <c r="H22" s="51" t="s">
        <v>461</v>
      </c>
      <c r="I22" s="55" t="s">
        <v>2592</v>
      </c>
      <c r="J22" s="55"/>
      <c r="K22" s="56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54" t="n">
        <v>15</v>
      </c>
      <c r="B23" s="55" t="s">
        <v>479</v>
      </c>
      <c r="C23" s="55" t="s">
        <v>476</v>
      </c>
      <c r="D23" s="55" t="s">
        <v>480</v>
      </c>
      <c r="E23" s="54" t="s">
        <v>459</v>
      </c>
      <c r="F23" s="54" t="s">
        <v>459</v>
      </c>
      <c r="G23" s="54" t="s">
        <v>543</v>
      </c>
      <c r="H23" s="51" t="s">
        <v>461</v>
      </c>
      <c r="I23" s="55" t="s">
        <v>2592</v>
      </c>
      <c r="J23" s="55"/>
      <c r="K23" s="56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54" t="n">
        <v>16</v>
      </c>
      <c r="B24" s="55" t="s">
        <v>479</v>
      </c>
      <c r="C24" s="55" t="s">
        <v>476</v>
      </c>
      <c r="D24" s="55" t="s">
        <v>481</v>
      </c>
      <c r="E24" s="54" t="s">
        <v>459</v>
      </c>
      <c r="F24" s="54" t="s">
        <v>459</v>
      </c>
      <c r="G24" s="54" t="s">
        <v>543</v>
      </c>
      <c r="H24" s="51" t="s">
        <v>461</v>
      </c>
      <c r="I24" s="55" t="s">
        <v>2592</v>
      </c>
      <c r="J24" s="55"/>
      <c r="K24" s="56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54" t="n">
        <v>17</v>
      </c>
      <c r="B25" s="55" t="s">
        <v>457</v>
      </c>
      <c r="C25" s="55" t="s">
        <v>476</v>
      </c>
      <c r="D25" s="55" t="s">
        <v>482</v>
      </c>
      <c r="E25" s="54" t="s">
        <v>459</v>
      </c>
      <c r="F25" s="54" t="s">
        <v>459</v>
      </c>
      <c r="G25" s="54" t="s">
        <v>543</v>
      </c>
      <c r="H25" s="51" t="s">
        <v>461</v>
      </c>
      <c r="I25" s="55" t="s">
        <v>2592</v>
      </c>
      <c r="J25" s="55"/>
      <c r="K25" s="56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54" t="n">
        <v>18</v>
      </c>
      <c r="B26" s="55" t="s">
        <v>774</v>
      </c>
      <c r="C26" s="55" t="s">
        <v>476</v>
      </c>
      <c r="D26" s="55" t="s">
        <v>775</v>
      </c>
      <c r="E26" s="54" t="s">
        <v>459</v>
      </c>
      <c r="F26" s="54" t="s">
        <v>459</v>
      </c>
      <c r="G26" s="54" t="s">
        <v>543</v>
      </c>
      <c r="H26" s="51" t="s">
        <v>461</v>
      </c>
      <c r="I26" s="55" t="s">
        <v>2592</v>
      </c>
      <c r="J26" s="55"/>
      <c r="K26" s="56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54" t="n">
        <v>19</v>
      </c>
      <c r="B27" s="55" t="s">
        <v>483</v>
      </c>
      <c r="C27" s="55" t="s">
        <v>476</v>
      </c>
      <c r="D27" s="55" t="s">
        <v>484</v>
      </c>
      <c r="E27" s="54" t="s">
        <v>459</v>
      </c>
      <c r="F27" s="54" t="s">
        <v>459</v>
      </c>
      <c r="G27" s="54" t="s">
        <v>543</v>
      </c>
      <c r="H27" s="51" t="s">
        <v>461</v>
      </c>
      <c r="I27" s="55" t="s">
        <v>2592</v>
      </c>
      <c r="J27" s="55"/>
      <c r="K27" s="56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54" t="n">
        <v>20</v>
      </c>
      <c r="B28" s="55" t="s">
        <v>483</v>
      </c>
      <c r="C28" s="55" t="s">
        <v>476</v>
      </c>
      <c r="D28" s="55" t="s">
        <v>485</v>
      </c>
      <c r="E28" s="54" t="s">
        <v>459</v>
      </c>
      <c r="F28" s="54" t="s">
        <v>459</v>
      </c>
      <c r="G28" s="54" t="s">
        <v>543</v>
      </c>
      <c r="H28" s="51" t="s">
        <v>461</v>
      </c>
      <c r="I28" s="55" t="s">
        <v>2592</v>
      </c>
      <c r="J28" s="55"/>
      <c r="K28" s="56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54" t="n">
        <v>21</v>
      </c>
      <c r="B29" s="55" t="s">
        <v>488</v>
      </c>
      <c r="C29" s="55" t="s">
        <v>476</v>
      </c>
      <c r="D29" s="55" t="s">
        <v>2598</v>
      </c>
      <c r="E29" s="54" t="s">
        <v>459</v>
      </c>
      <c r="F29" s="54" t="s">
        <v>459</v>
      </c>
      <c r="G29" s="54" t="s">
        <v>543</v>
      </c>
      <c r="H29" s="51" t="s">
        <v>461</v>
      </c>
      <c r="I29" s="55" t="s">
        <v>2592</v>
      </c>
      <c r="J29" s="55"/>
      <c r="K29" s="56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54" t="n">
        <v>22</v>
      </c>
      <c r="B30" s="55" t="s">
        <v>488</v>
      </c>
      <c r="C30" s="55" t="s">
        <v>476</v>
      </c>
      <c r="D30" s="55" t="s">
        <v>2599</v>
      </c>
      <c r="E30" s="54" t="s">
        <v>459</v>
      </c>
      <c r="F30" s="54" t="s">
        <v>459</v>
      </c>
      <c r="G30" s="54" t="s">
        <v>543</v>
      </c>
      <c r="H30" s="51" t="s">
        <v>461</v>
      </c>
      <c r="I30" s="55" t="s">
        <v>2592</v>
      </c>
      <c r="J30" s="55"/>
      <c r="K30" s="56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54" t="n">
        <v>23</v>
      </c>
      <c r="B31" s="55" t="s">
        <v>488</v>
      </c>
      <c r="C31" s="55" t="s">
        <v>476</v>
      </c>
      <c r="D31" s="55" t="s">
        <v>2600</v>
      </c>
      <c r="E31" s="54" t="s">
        <v>459</v>
      </c>
      <c r="F31" s="54" t="s">
        <v>459</v>
      </c>
      <c r="G31" s="54" t="s">
        <v>543</v>
      </c>
      <c r="H31" s="51" t="s">
        <v>461</v>
      </c>
      <c r="I31" s="55" t="s">
        <v>2592</v>
      </c>
      <c r="J31" s="55"/>
      <c r="K31" s="56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54" t="n">
        <v>24</v>
      </c>
      <c r="B32" s="55" t="s">
        <v>488</v>
      </c>
      <c r="C32" s="55" t="s">
        <v>476</v>
      </c>
      <c r="D32" s="55" t="s">
        <v>2601</v>
      </c>
      <c r="E32" s="54" t="s">
        <v>459</v>
      </c>
      <c r="F32" s="54" t="s">
        <v>459</v>
      </c>
      <c r="G32" s="54" t="s">
        <v>543</v>
      </c>
      <c r="H32" s="51" t="s">
        <v>461</v>
      </c>
      <c r="I32" s="55" t="s">
        <v>2592</v>
      </c>
      <c r="J32" s="55"/>
      <c r="K32" s="56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54" t="n">
        <v>25</v>
      </c>
      <c r="B33" s="55" t="s">
        <v>488</v>
      </c>
      <c r="C33" s="55" t="s">
        <v>476</v>
      </c>
      <c r="D33" s="55" t="s">
        <v>493</v>
      </c>
      <c r="E33" s="54" t="s">
        <v>459</v>
      </c>
      <c r="F33" s="54" t="s">
        <v>459</v>
      </c>
      <c r="G33" s="54" t="s">
        <v>543</v>
      </c>
      <c r="H33" s="51" t="s">
        <v>461</v>
      </c>
      <c r="I33" s="55" t="s">
        <v>2592</v>
      </c>
      <c r="J33" s="55"/>
      <c r="K33" s="56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54" t="n">
        <v>26</v>
      </c>
      <c r="B34" s="55" t="s">
        <v>488</v>
      </c>
      <c r="C34" s="55" t="s">
        <v>476</v>
      </c>
      <c r="D34" s="55" t="s">
        <v>951</v>
      </c>
      <c r="E34" s="54" t="s">
        <v>459</v>
      </c>
      <c r="F34" s="54" t="s">
        <v>459</v>
      </c>
      <c r="G34" s="54" t="s">
        <v>543</v>
      </c>
      <c r="H34" s="51" t="s">
        <v>461</v>
      </c>
      <c r="I34" s="55" t="s">
        <v>2592</v>
      </c>
      <c r="J34" s="55"/>
      <c r="K34" s="56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54" t="n">
        <v>27</v>
      </c>
      <c r="B35" s="55" t="s">
        <v>486</v>
      </c>
      <c r="C35" s="55" t="s">
        <v>476</v>
      </c>
      <c r="D35" s="55" t="s">
        <v>2602</v>
      </c>
      <c r="E35" s="54" t="s">
        <v>459</v>
      </c>
      <c r="F35" s="54" t="s">
        <v>459</v>
      </c>
      <c r="G35" s="54" t="s">
        <v>543</v>
      </c>
      <c r="H35" s="51" t="s">
        <v>461</v>
      </c>
      <c r="I35" s="55" t="s">
        <v>2592</v>
      </c>
      <c r="J35" s="55"/>
      <c r="K35" s="56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54" t="n">
        <v>28</v>
      </c>
      <c r="B36" s="55" t="s">
        <v>486</v>
      </c>
      <c r="C36" s="55" t="s">
        <v>476</v>
      </c>
      <c r="D36" s="55" t="s">
        <v>2603</v>
      </c>
      <c r="E36" s="54" t="s">
        <v>459</v>
      </c>
      <c r="F36" s="54" t="s">
        <v>459</v>
      </c>
      <c r="G36" s="54" t="s">
        <v>543</v>
      </c>
      <c r="H36" s="51" t="s">
        <v>461</v>
      </c>
      <c r="I36" s="55" t="s">
        <v>2592</v>
      </c>
      <c r="J36" s="55"/>
      <c r="K36" s="56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54" t="n">
        <v>29</v>
      </c>
      <c r="B37" s="55" t="s">
        <v>486</v>
      </c>
      <c r="C37" s="55" t="s">
        <v>476</v>
      </c>
      <c r="D37" s="55" t="s">
        <v>1432</v>
      </c>
      <c r="E37" s="54" t="s">
        <v>459</v>
      </c>
      <c r="F37" s="54" t="s">
        <v>459</v>
      </c>
      <c r="G37" s="54" t="s">
        <v>543</v>
      </c>
      <c r="H37" s="51" t="s">
        <v>461</v>
      </c>
      <c r="I37" s="55" t="s">
        <v>2592</v>
      </c>
      <c r="J37" s="55"/>
      <c r="K37" s="56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54" t="n">
        <v>30</v>
      </c>
      <c r="B38" s="55" t="s">
        <v>486</v>
      </c>
      <c r="C38" s="55" t="s">
        <v>476</v>
      </c>
      <c r="D38" s="55" t="s">
        <v>495</v>
      </c>
      <c r="E38" s="54" t="s">
        <v>459</v>
      </c>
      <c r="F38" s="54" t="s">
        <v>459</v>
      </c>
      <c r="G38" s="54" t="s">
        <v>543</v>
      </c>
      <c r="H38" s="51" t="s">
        <v>461</v>
      </c>
      <c r="I38" s="55" t="s">
        <v>2592</v>
      </c>
      <c r="J38" s="55"/>
      <c r="K38" s="56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54" t="n">
        <v>31</v>
      </c>
      <c r="B39" s="55" t="s">
        <v>486</v>
      </c>
      <c r="C39" s="55" t="s">
        <v>476</v>
      </c>
      <c r="D39" s="55" t="s">
        <v>499</v>
      </c>
      <c r="E39" s="54" t="s">
        <v>459</v>
      </c>
      <c r="F39" s="54" t="s">
        <v>459</v>
      </c>
      <c r="G39" s="54" t="s">
        <v>543</v>
      </c>
      <c r="H39" s="51" t="s">
        <v>461</v>
      </c>
      <c r="I39" s="55" t="s">
        <v>2592</v>
      </c>
      <c r="J39" s="55"/>
      <c r="K39" s="56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54" t="n">
        <v>32</v>
      </c>
      <c r="B40" s="55" t="s">
        <v>1056</v>
      </c>
      <c r="C40" s="55" t="s">
        <v>476</v>
      </c>
      <c r="D40" s="55" t="s">
        <v>2314</v>
      </c>
      <c r="E40" s="54" t="s">
        <v>459</v>
      </c>
      <c r="F40" s="54" t="s">
        <v>459</v>
      </c>
      <c r="G40" s="54" t="s">
        <v>543</v>
      </c>
      <c r="H40" s="51" t="s">
        <v>461</v>
      </c>
      <c r="I40" s="55" t="s">
        <v>2592</v>
      </c>
      <c r="J40" s="55"/>
      <c r="K40" s="56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54" t="n">
        <v>33</v>
      </c>
      <c r="B41" s="55" t="s">
        <v>486</v>
      </c>
      <c r="C41" s="55" t="s">
        <v>476</v>
      </c>
      <c r="D41" s="55" t="s">
        <v>2604</v>
      </c>
      <c r="E41" s="54" t="s">
        <v>459</v>
      </c>
      <c r="F41" s="54" t="s">
        <v>459</v>
      </c>
      <c r="G41" s="54" t="s">
        <v>543</v>
      </c>
      <c r="H41" s="51" t="s">
        <v>461</v>
      </c>
      <c r="I41" s="55" t="s">
        <v>2592</v>
      </c>
      <c r="J41" s="55"/>
      <c r="K41" s="56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54" t="n">
        <v>34</v>
      </c>
      <c r="B42" s="55" t="s">
        <v>488</v>
      </c>
      <c r="C42" s="55" t="s">
        <v>476</v>
      </c>
      <c r="D42" s="55" t="s">
        <v>497</v>
      </c>
      <c r="E42" s="54" t="s">
        <v>459</v>
      </c>
      <c r="F42" s="54" t="s">
        <v>459</v>
      </c>
      <c r="G42" s="54" t="s">
        <v>543</v>
      </c>
      <c r="H42" s="51" t="s">
        <v>461</v>
      </c>
      <c r="I42" s="55" t="s">
        <v>2592</v>
      </c>
      <c r="J42" s="55"/>
      <c r="K42" s="56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54" t="n">
        <v>35</v>
      </c>
      <c r="B43" s="55" t="s">
        <v>488</v>
      </c>
      <c r="C43" s="55" t="s">
        <v>476</v>
      </c>
      <c r="D43" s="55" t="s">
        <v>957</v>
      </c>
      <c r="E43" s="54" t="s">
        <v>459</v>
      </c>
      <c r="F43" s="54" t="s">
        <v>459</v>
      </c>
      <c r="G43" s="54" t="s">
        <v>543</v>
      </c>
      <c r="H43" s="51" t="s">
        <v>461</v>
      </c>
      <c r="I43" s="55" t="s">
        <v>2592</v>
      </c>
      <c r="J43" s="55"/>
      <c r="K43" s="56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54" t="n">
        <v>36</v>
      </c>
      <c r="B44" s="55" t="s">
        <v>1056</v>
      </c>
      <c r="C44" s="55" t="s">
        <v>476</v>
      </c>
      <c r="D44" s="55" t="s">
        <v>2605</v>
      </c>
      <c r="E44" s="54" t="s">
        <v>459</v>
      </c>
      <c r="F44" s="54" t="s">
        <v>459</v>
      </c>
      <c r="G44" s="54" t="s">
        <v>543</v>
      </c>
      <c r="H44" s="51" t="s">
        <v>461</v>
      </c>
      <c r="I44" s="55" t="s">
        <v>2592</v>
      </c>
      <c r="J44" s="55"/>
      <c r="K44" s="56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54" t="n">
        <v>37</v>
      </c>
      <c r="B45" s="55" t="s">
        <v>486</v>
      </c>
      <c r="C45" s="55" t="s">
        <v>476</v>
      </c>
      <c r="D45" s="55" t="s">
        <v>2606</v>
      </c>
      <c r="E45" s="54" t="s">
        <v>459</v>
      </c>
      <c r="F45" s="54" t="s">
        <v>459</v>
      </c>
      <c r="G45" s="54" t="s">
        <v>543</v>
      </c>
      <c r="H45" s="51" t="s">
        <v>461</v>
      </c>
      <c r="I45" s="55" t="s">
        <v>2592</v>
      </c>
      <c r="J45" s="55"/>
      <c r="K45" s="56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54" t="n">
        <v>38</v>
      </c>
      <c r="B46" s="55" t="s">
        <v>486</v>
      </c>
      <c r="C46" s="55" t="s">
        <v>476</v>
      </c>
      <c r="D46" s="55" t="s">
        <v>2607</v>
      </c>
      <c r="E46" s="54" t="s">
        <v>459</v>
      </c>
      <c r="F46" s="54" t="s">
        <v>459</v>
      </c>
      <c r="G46" s="54" t="s">
        <v>543</v>
      </c>
      <c r="H46" s="51" t="s">
        <v>461</v>
      </c>
      <c r="I46" s="55" t="s">
        <v>2592</v>
      </c>
      <c r="J46" s="55"/>
      <c r="K46" s="56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54" t="n">
        <v>39</v>
      </c>
      <c r="B47" s="55" t="s">
        <v>475</v>
      </c>
      <c r="C47" s="55" t="s">
        <v>500</v>
      </c>
      <c r="D47" s="55" t="s">
        <v>477</v>
      </c>
      <c r="E47" s="54" t="s">
        <v>459</v>
      </c>
      <c r="F47" s="54" t="s">
        <v>459</v>
      </c>
      <c r="G47" s="54" t="s">
        <v>543</v>
      </c>
      <c r="H47" s="51" t="s">
        <v>461</v>
      </c>
      <c r="I47" s="55" t="s">
        <v>2592</v>
      </c>
      <c r="J47" s="55"/>
      <c r="K47" s="56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54" t="n">
        <v>40</v>
      </c>
      <c r="B48" s="55" t="s">
        <v>475</v>
      </c>
      <c r="C48" s="55" t="s">
        <v>500</v>
      </c>
      <c r="D48" s="55" t="s">
        <v>478</v>
      </c>
      <c r="E48" s="54" t="s">
        <v>459</v>
      </c>
      <c r="F48" s="54" t="s">
        <v>459</v>
      </c>
      <c r="G48" s="54" t="s">
        <v>543</v>
      </c>
      <c r="H48" s="51" t="s">
        <v>461</v>
      </c>
      <c r="I48" s="55" t="s">
        <v>2592</v>
      </c>
      <c r="J48" s="55"/>
      <c r="K48" s="56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54" t="n">
        <v>41</v>
      </c>
      <c r="B49" s="55" t="s">
        <v>479</v>
      </c>
      <c r="C49" s="55" t="s">
        <v>500</v>
      </c>
      <c r="D49" s="55" t="s">
        <v>480</v>
      </c>
      <c r="E49" s="54" t="s">
        <v>459</v>
      </c>
      <c r="F49" s="54" t="s">
        <v>459</v>
      </c>
      <c r="G49" s="54" t="s">
        <v>543</v>
      </c>
      <c r="H49" s="51" t="s">
        <v>461</v>
      </c>
      <c r="I49" s="55" t="s">
        <v>2592</v>
      </c>
      <c r="J49" s="55"/>
      <c r="K49" s="56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54" t="n">
        <v>42</v>
      </c>
      <c r="B50" s="55" t="s">
        <v>479</v>
      </c>
      <c r="C50" s="55" t="s">
        <v>500</v>
      </c>
      <c r="D50" s="55" t="s">
        <v>481</v>
      </c>
      <c r="E50" s="54" t="s">
        <v>459</v>
      </c>
      <c r="F50" s="54" t="s">
        <v>459</v>
      </c>
      <c r="G50" s="54" t="s">
        <v>543</v>
      </c>
      <c r="H50" s="51" t="s">
        <v>461</v>
      </c>
      <c r="I50" s="55" t="s">
        <v>2592</v>
      </c>
      <c r="J50" s="55"/>
      <c r="K50" s="56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54" t="n">
        <v>43</v>
      </c>
      <c r="B51" s="55" t="s">
        <v>457</v>
      </c>
      <c r="C51" s="55" t="s">
        <v>500</v>
      </c>
      <c r="D51" s="55" t="s">
        <v>482</v>
      </c>
      <c r="E51" s="54" t="s">
        <v>459</v>
      </c>
      <c r="F51" s="54" t="s">
        <v>459</v>
      </c>
      <c r="G51" s="54" t="s">
        <v>543</v>
      </c>
      <c r="H51" s="51" t="s">
        <v>461</v>
      </c>
      <c r="I51" s="55" t="s">
        <v>2592</v>
      </c>
      <c r="J51" s="55"/>
      <c r="K51" s="56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54" t="n">
        <v>44</v>
      </c>
      <c r="B52" s="55" t="s">
        <v>774</v>
      </c>
      <c r="C52" s="55" t="s">
        <v>500</v>
      </c>
      <c r="D52" s="55" t="s">
        <v>775</v>
      </c>
      <c r="E52" s="54" t="s">
        <v>459</v>
      </c>
      <c r="F52" s="54" t="s">
        <v>459</v>
      </c>
      <c r="G52" s="54" t="s">
        <v>543</v>
      </c>
      <c r="H52" s="51" t="s">
        <v>461</v>
      </c>
      <c r="I52" s="55" t="s">
        <v>2592</v>
      </c>
      <c r="J52" s="55"/>
      <c r="K52" s="56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54" t="n">
        <v>45</v>
      </c>
      <c r="B53" s="55" t="s">
        <v>483</v>
      </c>
      <c r="C53" s="55" t="s">
        <v>500</v>
      </c>
      <c r="D53" s="55" t="s">
        <v>484</v>
      </c>
      <c r="E53" s="54" t="s">
        <v>459</v>
      </c>
      <c r="F53" s="54" t="s">
        <v>459</v>
      </c>
      <c r="G53" s="54" t="s">
        <v>543</v>
      </c>
      <c r="H53" s="51" t="s">
        <v>461</v>
      </c>
      <c r="I53" s="55" t="s">
        <v>2592</v>
      </c>
      <c r="J53" s="55"/>
      <c r="K53" s="56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54" t="n">
        <v>46</v>
      </c>
      <c r="B54" s="55" t="s">
        <v>483</v>
      </c>
      <c r="C54" s="55" t="s">
        <v>500</v>
      </c>
      <c r="D54" s="55" t="s">
        <v>485</v>
      </c>
      <c r="E54" s="54" t="s">
        <v>459</v>
      </c>
      <c r="F54" s="54" t="s">
        <v>459</v>
      </c>
      <c r="G54" s="54" t="s">
        <v>543</v>
      </c>
      <c r="H54" s="51" t="s">
        <v>461</v>
      </c>
      <c r="I54" s="55" t="s">
        <v>2592</v>
      </c>
      <c r="J54" s="55"/>
      <c r="K54" s="56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54" t="n">
        <v>47</v>
      </c>
      <c r="B55" s="55" t="s">
        <v>486</v>
      </c>
      <c r="C55" s="55" t="s">
        <v>500</v>
      </c>
      <c r="D55" s="55" t="s">
        <v>2418</v>
      </c>
      <c r="E55" s="54" t="s">
        <v>459</v>
      </c>
      <c r="F55" s="54" t="s">
        <v>459</v>
      </c>
      <c r="G55" s="54" t="s">
        <v>543</v>
      </c>
      <c r="H55" s="51" t="s">
        <v>461</v>
      </c>
      <c r="I55" s="55" t="s">
        <v>2592</v>
      </c>
      <c r="J55" s="55"/>
      <c r="K55" s="56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54" t="n">
        <v>48</v>
      </c>
      <c r="B56" s="55" t="s">
        <v>486</v>
      </c>
      <c r="C56" s="55" t="s">
        <v>500</v>
      </c>
      <c r="D56" s="55" t="s">
        <v>495</v>
      </c>
      <c r="E56" s="54" t="s">
        <v>459</v>
      </c>
      <c r="F56" s="54" t="s">
        <v>459</v>
      </c>
      <c r="G56" s="54" t="s">
        <v>543</v>
      </c>
      <c r="H56" s="51" t="s">
        <v>461</v>
      </c>
      <c r="I56" s="55" t="s">
        <v>2592</v>
      </c>
      <c r="J56" s="55"/>
      <c r="K56" s="56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54" t="n">
        <v>49</v>
      </c>
      <c r="B57" s="55" t="s">
        <v>486</v>
      </c>
      <c r="C57" s="55" t="s">
        <v>500</v>
      </c>
      <c r="D57" s="55" t="s">
        <v>499</v>
      </c>
      <c r="E57" s="54" t="s">
        <v>459</v>
      </c>
      <c r="F57" s="54" t="s">
        <v>459</v>
      </c>
      <c r="G57" s="54" t="s">
        <v>543</v>
      </c>
      <c r="H57" s="51" t="s">
        <v>461</v>
      </c>
      <c r="I57" s="55" t="s">
        <v>2592</v>
      </c>
      <c r="J57" s="55"/>
      <c r="K57" s="56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54" t="n">
        <v>50</v>
      </c>
      <c r="B58" s="55" t="s">
        <v>1056</v>
      </c>
      <c r="C58" s="55" t="s">
        <v>500</v>
      </c>
      <c r="D58" s="55" t="s">
        <v>2314</v>
      </c>
      <c r="E58" s="54" t="s">
        <v>459</v>
      </c>
      <c r="F58" s="54" t="s">
        <v>459</v>
      </c>
      <c r="G58" s="54" t="s">
        <v>543</v>
      </c>
      <c r="H58" s="51" t="s">
        <v>461</v>
      </c>
      <c r="I58" s="55" t="s">
        <v>2592</v>
      </c>
      <c r="J58" s="55"/>
      <c r="K58" s="56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54" t="n">
        <v>51</v>
      </c>
      <c r="B59" s="55" t="s">
        <v>486</v>
      </c>
      <c r="C59" s="55" t="s">
        <v>500</v>
      </c>
      <c r="D59" s="55" t="s">
        <v>2604</v>
      </c>
      <c r="E59" s="54" t="s">
        <v>459</v>
      </c>
      <c r="F59" s="54" t="s">
        <v>459</v>
      </c>
      <c r="G59" s="54" t="s">
        <v>543</v>
      </c>
      <c r="H59" s="51" t="s">
        <v>461</v>
      </c>
      <c r="I59" s="55" t="s">
        <v>2592</v>
      </c>
      <c r="J59" s="55"/>
      <c r="K59" s="56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54" t="n">
        <v>52</v>
      </c>
      <c r="B60" s="55" t="s">
        <v>488</v>
      </c>
      <c r="C60" s="55" t="s">
        <v>500</v>
      </c>
      <c r="D60" s="55" t="s">
        <v>497</v>
      </c>
      <c r="E60" s="54" t="s">
        <v>459</v>
      </c>
      <c r="F60" s="54" t="s">
        <v>459</v>
      </c>
      <c r="G60" s="54" t="s">
        <v>543</v>
      </c>
      <c r="H60" s="51" t="s">
        <v>461</v>
      </c>
      <c r="I60" s="55" t="s">
        <v>2592</v>
      </c>
      <c r="J60" s="55"/>
      <c r="K60" s="56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54" t="n">
        <v>53</v>
      </c>
      <c r="B61" s="55" t="s">
        <v>488</v>
      </c>
      <c r="C61" s="55" t="s">
        <v>500</v>
      </c>
      <c r="D61" s="55" t="s">
        <v>957</v>
      </c>
      <c r="E61" s="54" t="s">
        <v>459</v>
      </c>
      <c r="F61" s="54" t="s">
        <v>459</v>
      </c>
      <c r="G61" s="54" t="s">
        <v>543</v>
      </c>
      <c r="H61" s="51" t="s">
        <v>461</v>
      </c>
      <c r="I61" s="55" t="s">
        <v>2592</v>
      </c>
      <c r="J61" s="55"/>
      <c r="K61" s="56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54" t="n">
        <v>54</v>
      </c>
      <c r="B62" s="55" t="s">
        <v>475</v>
      </c>
      <c r="C62" s="55" t="s">
        <v>2608</v>
      </c>
      <c r="D62" s="55" t="s">
        <v>477</v>
      </c>
      <c r="E62" s="54" t="s">
        <v>459</v>
      </c>
      <c r="F62" s="54" t="s">
        <v>459</v>
      </c>
      <c r="G62" s="54" t="s">
        <v>543</v>
      </c>
      <c r="H62" s="51" t="s">
        <v>461</v>
      </c>
      <c r="I62" s="55" t="s">
        <v>2592</v>
      </c>
      <c r="J62" s="55"/>
      <c r="K62" s="56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54" t="n">
        <v>55</v>
      </c>
      <c r="B63" s="55" t="s">
        <v>475</v>
      </c>
      <c r="C63" s="55" t="s">
        <v>2608</v>
      </c>
      <c r="D63" s="55" t="s">
        <v>478</v>
      </c>
      <c r="E63" s="54" t="s">
        <v>459</v>
      </c>
      <c r="F63" s="54" t="s">
        <v>459</v>
      </c>
      <c r="G63" s="54" t="s">
        <v>543</v>
      </c>
      <c r="H63" s="51" t="s">
        <v>461</v>
      </c>
      <c r="I63" s="55" t="s">
        <v>2592</v>
      </c>
      <c r="J63" s="55"/>
      <c r="K63" s="56" t="n">
        <f aca="false">IF(AND(E63="yes",F63="yes",H63="covered"),1,IF(H63="partial",0.5,0))</f>
        <v>1</v>
      </c>
    </row>
    <row r="64" customFormat="false" ht="30" hidden="false" customHeight="true" outlineLevel="0" collapsed="false">
      <c r="A64" s="54" t="n">
        <v>56</v>
      </c>
      <c r="B64" s="55" t="s">
        <v>479</v>
      </c>
      <c r="C64" s="55" t="s">
        <v>2608</v>
      </c>
      <c r="D64" s="55" t="s">
        <v>480</v>
      </c>
      <c r="E64" s="54" t="s">
        <v>459</v>
      </c>
      <c r="F64" s="54" t="s">
        <v>459</v>
      </c>
      <c r="G64" s="54" t="s">
        <v>543</v>
      </c>
      <c r="H64" s="51" t="s">
        <v>461</v>
      </c>
      <c r="I64" s="55" t="s">
        <v>2592</v>
      </c>
      <c r="J64" s="55"/>
      <c r="K64" s="56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54" t="n">
        <v>57</v>
      </c>
      <c r="B65" s="55" t="s">
        <v>479</v>
      </c>
      <c r="C65" s="55" t="s">
        <v>2608</v>
      </c>
      <c r="D65" s="55" t="s">
        <v>481</v>
      </c>
      <c r="E65" s="54" t="s">
        <v>459</v>
      </c>
      <c r="F65" s="54" t="s">
        <v>459</v>
      </c>
      <c r="G65" s="54" t="s">
        <v>543</v>
      </c>
      <c r="H65" s="51" t="s">
        <v>461</v>
      </c>
      <c r="I65" s="55" t="s">
        <v>2592</v>
      </c>
      <c r="J65" s="55"/>
      <c r="K65" s="56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54" t="n">
        <v>58</v>
      </c>
      <c r="B66" s="55" t="s">
        <v>457</v>
      </c>
      <c r="C66" s="55" t="s">
        <v>2608</v>
      </c>
      <c r="D66" s="55" t="s">
        <v>482</v>
      </c>
      <c r="E66" s="54" t="s">
        <v>459</v>
      </c>
      <c r="F66" s="54" t="s">
        <v>459</v>
      </c>
      <c r="G66" s="54" t="s">
        <v>543</v>
      </c>
      <c r="H66" s="51" t="s">
        <v>461</v>
      </c>
      <c r="I66" s="55" t="s">
        <v>2592</v>
      </c>
      <c r="J66" s="55"/>
      <c r="K66" s="56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54" t="n">
        <v>59</v>
      </c>
      <c r="B67" s="55" t="s">
        <v>774</v>
      </c>
      <c r="C67" s="55" t="s">
        <v>2608</v>
      </c>
      <c r="D67" s="55" t="s">
        <v>775</v>
      </c>
      <c r="E67" s="54" t="s">
        <v>459</v>
      </c>
      <c r="F67" s="54" t="s">
        <v>459</v>
      </c>
      <c r="G67" s="54" t="s">
        <v>543</v>
      </c>
      <c r="H67" s="51" t="s">
        <v>461</v>
      </c>
      <c r="I67" s="55" t="s">
        <v>2592</v>
      </c>
      <c r="J67" s="55"/>
      <c r="K67" s="56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54" t="n">
        <v>60</v>
      </c>
      <c r="B68" s="55" t="s">
        <v>483</v>
      </c>
      <c r="C68" s="55" t="s">
        <v>2608</v>
      </c>
      <c r="D68" s="55" t="s">
        <v>484</v>
      </c>
      <c r="E68" s="54" t="s">
        <v>459</v>
      </c>
      <c r="F68" s="54" t="s">
        <v>459</v>
      </c>
      <c r="G68" s="54" t="s">
        <v>543</v>
      </c>
      <c r="H68" s="51" t="s">
        <v>461</v>
      </c>
      <c r="I68" s="55" t="s">
        <v>2592</v>
      </c>
      <c r="J68" s="55"/>
      <c r="K68" s="56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54" t="n">
        <v>61</v>
      </c>
      <c r="B69" s="55" t="s">
        <v>483</v>
      </c>
      <c r="C69" s="55" t="s">
        <v>2608</v>
      </c>
      <c r="D69" s="55" t="s">
        <v>485</v>
      </c>
      <c r="E69" s="54" t="s">
        <v>459</v>
      </c>
      <c r="F69" s="54" t="s">
        <v>459</v>
      </c>
      <c r="G69" s="54" t="s">
        <v>543</v>
      </c>
      <c r="H69" s="51" t="s">
        <v>461</v>
      </c>
      <c r="I69" s="55" t="s">
        <v>2592</v>
      </c>
      <c r="J69" s="55"/>
      <c r="K69" s="56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54" t="n">
        <v>62</v>
      </c>
      <c r="B70" s="55" t="s">
        <v>1056</v>
      </c>
      <c r="C70" s="55" t="s">
        <v>2608</v>
      </c>
      <c r="D70" s="55" t="s">
        <v>1748</v>
      </c>
      <c r="E70" s="54" t="s">
        <v>459</v>
      </c>
      <c r="F70" s="54" t="s">
        <v>459</v>
      </c>
      <c r="G70" s="54" t="s">
        <v>543</v>
      </c>
      <c r="H70" s="51" t="s">
        <v>461</v>
      </c>
      <c r="I70" s="55" t="s">
        <v>2592</v>
      </c>
      <c r="J70" s="55"/>
      <c r="K70" s="56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54" t="n">
        <v>63</v>
      </c>
      <c r="B71" s="55" t="s">
        <v>882</v>
      </c>
      <c r="C71" s="55" t="s">
        <v>2608</v>
      </c>
      <c r="D71" s="55" t="s">
        <v>883</v>
      </c>
      <c r="E71" s="54" t="s">
        <v>459</v>
      </c>
      <c r="F71" s="54" t="s">
        <v>459</v>
      </c>
      <c r="G71" s="54" t="s">
        <v>543</v>
      </c>
      <c r="H71" s="51" t="s">
        <v>461</v>
      </c>
      <c r="I71" s="55" t="s">
        <v>2592</v>
      </c>
      <c r="J71" s="55"/>
      <c r="K71" s="56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54" t="n">
        <v>64</v>
      </c>
      <c r="B72" s="55" t="s">
        <v>486</v>
      </c>
      <c r="C72" s="55" t="s">
        <v>2608</v>
      </c>
      <c r="D72" s="55" t="s">
        <v>495</v>
      </c>
      <c r="E72" s="54" t="s">
        <v>459</v>
      </c>
      <c r="F72" s="54" t="s">
        <v>459</v>
      </c>
      <c r="G72" s="54" t="s">
        <v>543</v>
      </c>
      <c r="H72" s="51" t="s">
        <v>461</v>
      </c>
      <c r="I72" s="55" t="s">
        <v>2592</v>
      </c>
      <c r="J72" s="55"/>
      <c r="K72" s="56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54" t="n">
        <v>65</v>
      </c>
      <c r="B73" s="55" t="s">
        <v>1056</v>
      </c>
      <c r="C73" s="55" t="s">
        <v>2608</v>
      </c>
      <c r="D73" s="55" t="s">
        <v>2314</v>
      </c>
      <c r="E73" s="54" t="s">
        <v>459</v>
      </c>
      <c r="F73" s="54" t="s">
        <v>459</v>
      </c>
      <c r="G73" s="54" t="s">
        <v>543</v>
      </c>
      <c r="H73" s="51" t="s">
        <v>461</v>
      </c>
      <c r="I73" s="55" t="s">
        <v>2592</v>
      </c>
      <c r="J73" s="55"/>
      <c r="K73" s="56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54" t="n">
        <v>66</v>
      </c>
      <c r="B74" s="55" t="s">
        <v>486</v>
      </c>
      <c r="C74" s="55" t="s">
        <v>2608</v>
      </c>
      <c r="D74" s="55" t="s">
        <v>499</v>
      </c>
      <c r="E74" s="54" t="s">
        <v>459</v>
      </c>
      <c r="F74" s="54" t="s">
        <v>459</v>
      </c>
      <c r="G74" s="54" t="s">
        <v>543</v>
      </c>
      <c r="H74" s="51" t="s">
        <v>461</v>
      </c>
      <c r="I74" s="55" t="s">
        <v>2592</v>
      </c>
      <c r="J74" s="55"/>
      <c r="K74" s="56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54" t="n">
        <v>67</v>
      </c>
      <c r="B75" s="55" t="s">
        <v>505</v>
      </c>
      <c r="C75" s="55" t="s">
        <v>506</v>
      </c>
      <c r="D75" s="55" t="s">
        <v>508</v>
      </c>
      <c r="E75" s="54" t="s">
        <v>459</v>
      </c>
      <c r="F75" s="54" t="s">
        <v>459</v>
      </c>
      <c r="G75" s="54" t="s">
        <v>543</v>
      </c>
      <c r="H75" s="51" t="s">
        <v>461</v>
      </c>
      <c r="I75" s="55" t="s">
        <v>2592</v>
      </c>
      <c r="J75" s="55"/>
      <c r="K75" s="56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54" t="n">
        <v>68</v>
      </c>
      <c r="B76" s="55" t="s">
        <v>505</v>
      </c>
      <c r="C76" s="55" t="s">
        <v>506</v>
      </c>
      <c r="D76" s="55" t="s">
        <v>905</v>
      </c>
      <c r="E76" s="54" t="s">
        <v>459</v>
      </c>
      <c r="F76" s="54" t="s">
        <v>459</v>
      </c>
      <c r="G76" s="54" t="s">
        <v>543</v>
      </c>
      <c r="H76" s="51" t="s">
        <v>461</v>
      </c>
      <c r="I76" s="55" t="s">
        <v>2592</v>
      </c>
      <c r="J76" s="55"/>
      <c r="K76" s="56" t="n">
        <f aca="false">IF(AND(E76="yes",F76="yes",H76="covered"),1,IF(H76="partial",0.5,0))</f>
        <v>1</v>
      </c>
    </row>
    <row r="77" customFormat="false" ht="30" hidden="false" customHeight="true" outlineLevel="0" collapsed="false">
      <c r="A77" s="54" t="n">
        <v>69</v>
      </c>
      <c r="B77" s="55" t="s">
        <v>505</v>
      </c>
      <c r="C77" s="55" t="s">
        <v>506</v>
      </c>
      <c r="D77" s="55" t="s">
        <v>783</v>
      </c>
      <c r="E77" s="54" t="s">
        <v>459</v>
      </c>
      <c r="F77" s="54" t="s">
        <v>459</v>
      </c>
      <c r="G77" s="54" t="s">
        <v>543</v>
      </c>
      <c r="H77" s="51" t="s">
        <v>461</v>
      </c>
      <c r="I77" s="55" t="s">
        <v>2592</v>
      </c>
      <c r="J77" s="55"/>
      <c r="K77" s="56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54" t="n">
        <v>70</v>
      </c>
      <c r="B78" s="55" t="s">
        <v>511</v>
      </c>
      <c r="C78" s="55" t="s">
        <v>506</v>
      </c>
      <c r="D78" s="55" t="s">
        <v>512</v>
      </c>
      <c r="E78" s="54" t="s">
        <v>459</v>
      </c>
      <c r="F78" s="54" t="s">
        <v>459</v>
      </c>
      <c r="G78" s="54" t="s">
        <v>543</v>
      </c>
      <c r="H78" s="51" t="s">
        <v>461</v>
      </c>
      <c r="I78" s="55" t="s">
        <v>2592</v>
      </c>
      <c r="J78" s="55"/>
      <c r="K78" s="56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54" t="n">
        <v>71</v>
      </c>
      <c r="B79" s="55" t="s">
        <v>511</v>
      </c>
      <c r="C79" s="55" t="s">
        <v>506</v>
      </c>
      <c r="D79" s="55" t="s">
        <v>2609</v>
      </c>
      <c r="E79" s="54" t="s">
        <v>459</v>
      </c>
      <c r="F79" s="54" t="s">
        <v>459</v>
      </c>
      <c r="G79" s="54" t="s">
        <v>543</v>
      </c>
      <c r="H79" s="51" t="s">
        <v>461</v>
      </c>
      <c r="I79" s="55" t="s">
        <v>2592</v>
      </c>
      <c r="J79" s="55"/>
      <c r="K79" s="56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54" t="n">
        <v>72</v>
      </c>
      <c r="B80" s="55" t="s">
        <v>511</v>
      </c>
      <c r="C80" s="55" t="s">
        <v>506</v>
      </c>
      <c r="D80" s="55" t="s">
        <v>966</v>
      </c>
      <c r="E80" s="54" t="s">
        <v>459</v>
      </c>
      <c r="F80" s="54" t="s">
        <v>459</v>
      </c>
      <c r="G80" s="54" t="s">
        <v>543</v>
      </c>
      <c r="H80" s="51" t="s">
        <v>461</v>
      </c>
      <c r="I80" s="55" t="s">
        <v>2592</v>
      </c>
      <c r="J80" s="55"/>
      <c r="K80" s="56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54" t="n">
        <v>73</v>
      </c>
      <c r="B81" s="55" t="s">
        <v>511</v>
      </c>
      <c r="C81" s="55" t="s">
        <v>506</v>
      </c>
      <c r="D81" s="55" t="s">
        <v>2321</v>
      </c>
      <c r="E81" s="54" t="s">
        <v>459</v>
      </c>
      <c r="F81" s="54" t="s">
        <v>459</v>
      </c>
      <c r="G81" s="54" t="s">
        <v>543</v>
      </c>
      <c r="H81" s="51" t="s">
        <v>461</v>
      </c>
      <c r="I81" s="55" t="s">
        <v>2592</v>
      </c>
      <c r="J81" s="55"/>
      <c r="K81" s="56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54" t="n">
        <v>74</v>
      </c>
      <c r="B82" s="55" t="s">
        <v>511</v>
      </c>
      <c r="C82" s="55" t="s">
        <v>506</v>
      </c>
      <c r="D82" s="55" t="s">
        <v>514</v>
      </c>
      <c r="E82" s="54" t="s">
        <v>459</v>
      </c>
      <c r="F82" s="54" t="s">
        <v>459</v>
      </c>
      <c r="G82" s="54" t="s">
        <v>543</v>
      </c>
      <c r="H82" s="51" t="s">
        <v>461</v>
      </c>
      <c r="I82" s="55" t="s">
        <v>2592</v>
      </c>
      <c r="J82" s="55"/>
      <c r="K82" s="56" t="n">
        <f aca="false">IF(AND(E82="yes",F82="yes",H82="covered"),1,IF(H82="partial",0.5,0))</f>
        <v>1</v>
      </c>
    </row>
    <row r="83" customFormat="false" ht="30" hidden="false" customHeight="true" outlineLevel="0" collapsed="false">
      <c r="A83" s="54" t="n">
        <v>75</v>
      </c>
      <c r="B83" s="55" t="s">
        <v>511</v>
      </c>
      <c r="C83" s="55" t="s">
        <v>506</v>
      </c>
      <c r="D83" s="55" t="s">
        <v>515</v>
      </c>
      <c r="E83" s="54" t="s">
        <v>459</v>
      </c>
      <c r="F83" s="54" t="s">
        <v>459</v>
      </c>
      <c r="G83" s="54" t="s">
        <v>543</v>
      </c>
      <c r="H83" s="51" t="s">
        <v>461</v>
      </c>
      <c r="I83" s="55" t="s">
        <v>2592</v>
      </c>
      <c r="J83" s="55"/>
      <c r="K83" s="56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54" t="n">
        <v>76</v>
      </c>
      <c r="B84" s="55" t="s">
        <v>483</v>
      </c>
      <c r="C84" s="55" t="s">
        <v>65</v>
      </c>
      <c r="D84" s="55" t="s">
        <v>516</v>
      </c>
      <c r="E84" s="54" t="s">
        <v>459</v>
      </c>
      <c r="F84" s="54" t="s">
        <v>459</v>
      </c>
      <c r="G84" s="54" t="s">
        <v>543</v>
      </c>
      <c r="H84" s="51" t="s">
        <v>461</v>
      </c>
      <c r="I84" s="55" t="s">
        <v>2592</v>
      </c>
      <c r="J84" s="55"/>
      <c r="K84" s="56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54" t="n">
        <v>77</v>
      </c>
      <c r="B85" s="55" t="s">
        <v>483</v>
      </c>
      <c r="C85" s="55" t="s">
        <v>65</v>
      </c>
      <c r="D85" s="55" t="s">
        <v>517</v>
      </c>
      <c r="E85" s="54" t="s">
        <v>459</v>
      </c>
      <c r="F85" s="54" t="s">
        <v>459</v>
      </c>
      <c r="G85" s="54" t="s">
        <v>543</v>
      </c>
      <c r="H85" s="51" t="s">
        <v>461</v>
      </c>
      <c r="I85" s="55" t="s">
        <v>2592</v>
      </c>
      <c r="J85" s="55"/>
      <c r="K85" s="56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54" t="n">
        <v>78</v>
      </c>
      <c r="B86" s="55" t="s">
        <v>483</v>
      </c>
      <c r="C86" s="55" t="s">
        <v>65</v>
      </c>
      <c r="D86" s="55" t="s">
        <v>519</v>
      </c>
      <c r="E86" s="54" t="s">
        <v>459</v>
      </c>
      <c r="F86" s="54" t="s">
        <v>459</v>
      </c>
      <c r="G86" s="54" t="s">
        <v>543</v>
      </c>
      <c r="H86" s="51" t="s">
        <v>461</v>
      </c>
      <c r="I86" s="55" t="s">
        <v>2592</v>
      </c>
      <c r="J86" s="55"/>
      <c r="K86" s="56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54" t="n">
        <v>79</v>
      </c>
      <c r="B87" s="55" t="s">
        <v>483</v>
      </c>
      <c r="C87" s="55" t="s">
        <v>65</v>
      </c>
      <c r="D87" s="55" t="s">
        <v>520</v>
      </c>
      <c r="E87" s="54" t="s">
        <v>459</v>
      </c>
      <c r="F87" s="54" t="s">
        <v>459</v>
      </c>
      <c r="G87" s="54" t="s">
        <v>543</v>
      </c>
      <c r="H87" s="51" t="s">
        <v>461</v>
      </c>
      <c r="I87" s="55" t="s">
        <v>2592</v>
      </c>
      <c r="J87" s="55"/>
      <c r="K87" s="56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54" t="n">
        <v>80</v>
      </c>
      <c r="B88" s="55" t="s">
        <v>488</v>
      </c>
      <c r="C88" s="55" t="s">
        <v>476</v>
      </c>
      <c r="D88" s="55" t="s">
        <v>521</v>
      </c>
      <c r="E88" s="54" t="s">
        <v>459</v>
      </c>
      <c r="F88" s="54" t="s">
        <v>459</v>
      </c>
      <c r="G88" s="54" t="s">
        <v>543</v>
      </c>
      <c r="H88" s="51" t="s">
        <v>461</v>
      </c>
      <c r="I88" s="55" t="s">
        <v>2592</v>
      </c>
      <c r="J88" s="55"/>
      <c r="K88" s="56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54" t="n">
        <v>81</v>
      </c>
      <c r="B89" s="55" t="s">
        <v>488</v>
      </c>
      <c r="C89" s="55" t="s">
        <v>476</v>
      </c>
      <c r="D89" s="55" t="s">
        <v>522</v>
      </c>
      <c r="E89" s="54" t="s">
        <v>459</v>
      </c>
      <c r="F89" s="54" t="s">
        <v>459</v>
      </c>
      <c r="G89" s="54" t="s">
        <v>543</v>
      </c>
      <c r="H89" s="51" t="s">
        <v>461</v>
      </c>
      <c r="I89" s="55" t="s">
        <v>2592</v>
      </c>
      <c r="J89" s="55"/>
      <c r="K89" s="56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54" t="n">
        <v>82</v>
      </c>
      <c r="B90" s="55" t="s">
        <v>488</v>
      </c>
      <c r="C90" s="55" t="s">
        <v>476</v>
      </c>
      <c r="D90" s="55" t="s">
        <v>523</v>
      </c>
      <c r="E90" s="54" t="s">
        <v>459</v>
      </c>
      <c r="F90" s="54" t="s">
        <v>459</v>
      </c>
      <c r="G90" s="54" t="s">
        <v>543</v>
      </c>
      <c r="H90" s="51" t="s">
        <v>461</v>
      </c>
      <c r="I90" s="55" t="s">
        <v>2592</v>
      </c>
      <c r="J90" s="55"/>
      <c r="K90" s="56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54" t="n">
        <v>83</v>
      </c>
      <c r="B91" s="55" t="s">
        <v>531</v>
      </c>
      <c r="C91" s="55" t="s">
        <v>65</v>
      </c>
      <c r="D91" s="55" t="s">
        <v>2610</v>
      </c>
      <c r="E91" s="54" t="s">
        <v>459</v>
      </c>
      <c r="F91" s="54" t="s">
        <v>459</v>
      </c>
      <c r="G91" s="54" t="s">
        <v>543</v>
      </c>
      <c r="H91" s="51" t="s">
        <v>461</v>
      </c>
      <c r="I91" s="55" t="s">
        <v>2592</v>
      </c>
      <c r="J91" s="55"/>
      <c r="K91" s="56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54" t="n">
        <v>84</v>
      </c>
      <c r="B92" s="55" t="s">
        <v>1056</v>
      </c>
      <c r="C92" s="55" t="s">
        <v>65</v>
      </c>
      <c r="D92" s="55" t="s">
        <v>1076</v>
      </c>
      <c r="E92" s="54" t="s">
        <v>459</v>
      </c>
      <c r="F92" s="54" t="s">
        <v>459</v>
      </c>
      <c r="G92" s="54" t="s">
        <v>543</v>
      </c>
      <c r="H92" s="51" t="s">
        <v>461</v>
      </c>
      <c r="I92" s="55" t="s">
        <v>2592</v>
      </c>
      <c r="J92" s="55"/>
      <c r="K92" s="56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54" t="n">
        <v>85</v>
      </c>
      <c r="B93" s="55" t="s">
        <v>31</v>
      </c>
      <c r="C93" s="55" t="s">
        <v>476</v>
      </c>
      <c r="D93" s="55" t="s">
        <v>2611</v>
      </c>
      <c r="E93" s="54" t="s">
        <v>459</v>
      </c>
      <c r="F93" s="54" t="s">
        <v>459</v>
      </c>
      <c r="G93" s="54" t="s">
        <v>543</v>
      </c>
      <c r="H93" s="51" t="s">
        <v>461</v>
      </c>
      <c r="I93" s="55" t="s">
        <v>2612</v>
      </c>
      <c r="J93" s="55"/>
      <c r="K93" s="56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54" t="n">
        <v>86</v>
      </c>
      <c r="B94" s="55" t="s">
        <v>31</v>
      </c>
      <c r="C94" s="55" t="s">
        <v>476</v>
      </c>
      <c r="D94" s="55" t="s">
        <v>2613</v>
      </c>
      <c r="E94" s="54" t="s">
        <v>459</v>
      </c>
      <c r="F94" s="54" t="s">
        <v>459</v>
      </c>
      <c r="G94" s="54" t="s">
        <v>543</v>
      </c>
      <c r="H94" s="51" t="s">
        <v>461</v>
      </c>
      <c r="I94" s="55" t="s">
        <v>2612</v>
      </c>
      <c r="J94" s="55"/>
      <c r="K94" s="56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54" t="n">
        <v>87</v>
      </c>
      <c r="B95" s="55" t="s">
        <v>31</v>
      </c>
      <c r="C95" s="55" t="s">
        <v>476</v>
      </c>
      <c r="D95" s="55" t="s">
        <v>2614</v>
      </c>
      <c r="E95" s="54" t="s">
        <v>459</v>
      </c>
      <c r="F95" s="54" t="s">
        <v>459</v>
      </c>
      <c r="G95" s="54" t="s">
        <v>543</v>
      </c>
      <c r="H95" s="51" t="s">
        <v>461</v>
      </c>
      <c r="I95" s="55" t="s">
        <v>2612</v>
      </c>
      <c r="J95" s="55"/>
      <c r="K95" s="56" t="n">
        <f aca="false">IF(AND(E95="yes",F95="yes",H95="covered"),1,IF(H95="partial",0.5,0))</f>
        <v>1</v>
      </c>
    </row>
    <row r="96" customFormat="false" ht="30" hidden="false" customHeight="true" outlineLevel="0" collapsed="false">
      <c r="A96" s="54" t="n">
        <v>88</v>
      </c>
      <c r="B96" s="55" t="s">
        <v>31</v>
      </c>
      <c r="C96" s="55" t="s">
        <v>476</v>
      </c>
      <c r="D96" s="55" t="s">
        <v>2615</v>
      </c>
      <c r="E96" s="54" t="s">
        <v>459</v>
      </c>
      <c r="F96" s="54" t="s">
        <v>459</v>
      </c>
      <c r="G96" s="54" t="s">
        <v>543</v>
      </c>
      <c r="H96" s="51" t="s">
        <v>461</v>
      </c>
      <c r="I96" s="55" t="s">
        <v>2612</v>
      </c>
      <c r="J96" s="55"/>
      <c r="K96" s="56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54" t="n">
        <v>89</v>
      </c>
      <c r="B97" s="55" t="s">
        <v>456</v>
      </c>
      <c r="C97" s="55" t="s">
        <v>540</v>
      </c>
      <c r="D97" s="55" t="s">
        <v>2616</v>
      </c>
      <c r="E97" s="54" t="s">
        <v>459</v>
      </c>
      <c r="F97" s="54" t="s">
        <v>459</v>
      </c>
      <c r="G97" s="54" t="s">
        <v>543</v>
      </c>
      <c r="H97" s="51" t="s">
        <v>461</v>
      </c>
      <c r="I97" s="55" t="s">
        <v>2592</v>
      </c>
      <c r="J97" s="55"/>
      <c r="K97" s="56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54" t="n">
        <v>90</v>
      </c>
      <c r="B98" s="55" t="s">
        <v>1799</v>
      </c>
      <c r="C98" s="55" t="s">
        <v>2608</v>
      </c>
      <c r="D98" s="55" t="s">
        <v>2617</v>
      </c>
      <c r="E98" s="54" t="s">
        <v>459</v>
      </c>
      <c r="F98" s="54" t="s">
        <v>459</v>
      </c>
      <c r="G98" s="54" t="s">
        <v>543</v>
      </c>
      <c r="H98" s="51" t="s">
        <v>461</v>
      </c>
      <c r="I98" s="55" t="s">
        <v>2592</v>
      </c>
      <c r="J98" s="55"/>
      <c r="K98" s="56" t="n">
        <f aca="false">IF(AND(E98="yes",F98="yes",H98="covered"),1,IF(H98="partial",0.5,0))</f>
        <v>1</v>
      </c>
    </row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30" hidden="false" customHeight="true" outlineLevel="0" collapsed="false"/>
    <row r="107" customFormat="false" ht="30" hidden="false" customHeight="true" outlineLevel="0" collapsed="false"/>
    <row r="108" customFormat="false" ht="30" hidden="false" customHeight="true" outlineLevel="0" collapsed="false"/>
    <row r="109" customFormat="false" ht="30" hidden="false" customHeight="true" outlineLevel="0" collapsed="false"/>
    <row r="110" customFormat="false" ht="30" hidden="false" customHeight="true" outlineLevel="0" collapsed="false"/>
    <row r="111" customFormat="false" ht="30" hidden="false" customHeight="true" outlineLevel="0" collapsed="false"/>
    <row r="112" customFormat="false" ht="30" hidden="false" customHeight="true" outlineLevel="0" collapsed="false"/>
    <row r="113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2618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77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110</v>
      </c>
      <c r="H9" s="44" t="s">
        <v>461</v>
      </c>
      <c r="I9" s="42" t="s">
        <v>2619</v>
      </c>
      <c r="J9" s="42"/>
      <c r="K9" s="45" t="n">
        <v>0</v>
      </c>
    </row>
    <row r="10" customFormat="false" ht="4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110</v>
      </c>
      <c r="H10" s="44" t="s">
        <v>461</v>
      </c>
      <c r="I10" s="42" t="s">
        <v>2619</v>
      </c>
      <c r="J10" s="42"/>
      <c r="K10" s="45" t="n">
        <v>0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66</v>
      </c>
      <c r="D11" s="42" t="s">
        <v>464</v>
      </c>
      <c r="E11" s="34" t="s">
        <v>459</v>
      </c>
      <c r="F11" s="43" t="s">
        <v>459</v>
      </c>
      <c r="G11" s="31" t="s">
        <v>110</v>
      </c>
      <c r="H11" s="44" t="s">
        <v>461</v>
      </c>
      <c r="I11" s="42" t="s">
        <v>2619</v>
      </c>
      <c r="J11" s="42"/>
      <c r="K11" s="45" t="n">
        <v>0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66</v>
      </c>
      <c r="D12" s="42" t="s">
        <v>465</v>
      </c>
      <c r="E12" s="34" t="s">
        <v>459</v>
      </c>
      <c r="F12" s="43" t="s">
        <v>459</v>
      </c>
      <c r="G12" s="31" t="s">
        <v>110</v>
      </c>
      <c r="H12" s="44" t="s">
        <v>461</v>
      </c>
      <c r="I12" s="42" t="s">
        <v>2620</v>
      </c>
      <c r="J12" s="42"/>
      <c r="K12" s="45" t="n">
        <v>0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66</v>
      </c>
      <c r="D13" s="42" t="s">
        <v>466</v>
      </c>
      <c r="E13" s="34" t="s">
        <v>459</v>
      </c>
      <c r="F13" s="43" t="s">
        <v>459</v>
      </c>
      <c r="G13" s="31" t="s">
        <v>110</v>
      </c>
      <c r="H13" s="44" t="s">
        <v>461</v>
      </c>
      <c r="I13" s="42" t="s">
        <v>2619</v>
      </c>
      <c r="J13" s="42"/>
      <c r="K13" s="45" t="n">
        <v>0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66</v>
      </c>
      <c r="D14" s="42" t="s">
        <v>467</v>
      </c>
      <c r="E14" s="34" t="s">
        <v>459</v>
      </c>
      <c r="F14" s="43" t="s">
        <v>459</v>
      </c>
      <c r="G14" s="31" t="s">
        <v>110</v>
      </c>
      <c r="H14" s="44" t="s">
        <v>461</v>
      </c>
      <c r="I14" s="42" t="s">
        <v>2619</v>
      </c>
      <c r="J14" s="42"/>
      <c r="K14" s="45" t="n">
        <v>0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66</v>
      </c>
      <c r="D15" s="42" t="s">
        <v>2621</v>
      </c>
      <c r="E15" s="34" t="s">
        <v>459</v>
      </c>
      <c r="F15" s="43" t="s">
        <v>459</v>
      </c>
      <c r="G15" s="31" t="s">
        <v>110</v>
      </c>
      <c r="H15" s="44" t="s">
        <v>461</v>
      </c>
      <c r="I15" s="42" t="s">
        <v>2619</v>
      </c>
      <c r="J15" s="42"/>
      <c r="K15" s="45" t="n">
        <v>0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66</v>
      </c>
      <c r="D16" s="42" t="s">
        <v>943</v>
      </c>
      <c r="E16" s="34" t="s">
        <v>459</v>
      </c>
      <c r="F16" s="43" t="s">
        <v>459</v>
      </c>
      <c r="G16" s="31" t="s">
        <v>110</v>
      </c>
      <c r="H16" s="44" t="s">
        <v>461</v>
      </c>
      <c r="I16" s="42" t="s">
        <v>2619</v>
      </c>
      <c r="J16" s="42"/>
      <c r="K16" s="45" t="n">
        <v>0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66</v>
      </c>
      <c r="D17" s="42" t="s">
        <v>2622</v>
      </c>
      <c r="E17" s="34" t="s">
        <v>459</v>
      </c>
      <c r="F17" s="43" t="s">
        <v>459</v>
      </c>
      <c r="G17" s="31" t="s">
        <v>110</v>
      </c>
      <c r="H17" s="44" t="s">
        <v>461</v>
      </c>
      <c r="I17" s="42" t="s">
        <v>2619</v>
      </c>
      <c r="J17" s="42"/>
      <c r="K17" s="45" t="n">
        <v>0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66</v>
      </c>
      <c r="D18" s="42" t="s">
        <v>945</v>
      </c>
      <c r="E18" s="34" t="s">
        <v>459</v>
      </c>
      <c r="F18" s="43" t="s">
        <v>459</v>
      </c>
      <c r="G18" s="31" t="s">
        <v>110</v>
      </c>
      <c r="H18" s="44" t="s">
        <v>461</v>
      </c>
      <c r="I18" s="42" t="s">
        <v>2619</v>
      </c>
      <c r="J18" s="42"/>
      <c r="K18" s="45" t="n">
        <v>0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66</v>
      </c>
      <c r="D19" s="42" t="s">
        <v>2623</v>
      </c>
      <c r="E19" s="34" t="s">
        <v>459</v>
      </c>
      <c r="F19" s="43" t="s">
        <v>459</v>
      </c>
      <c r="G19" s="31" t="s">
        <v>110</v>
      </c>
      <c r="H19" s="44" t="s">
        <v>461</v>
      </c>
      <c r="I19" s="42" t="s">
        <v>2619</v>
      </c>
      <c r="J19" s="42"/>
      <c r="K19" s="45" t="n">
        <v>0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66</v>
      </c>
      <c r="D20" s="42" t="s">
        <v>792</v>
      </c>
      <c r="E20" s="34" t="s">
        <v>459</v>
      </c>
      <c r="F20" s="43" t="s">
        <v>459</v>
      </c>
      <c r="G20" s="31" t="s">
        <v>110</v>
      </c>
      <c r="H20" s="44" t="s">
        <v>461</v>
      </c>
      <c r="I20" s="42" t="s">
        <v>2619</v>
      </c>
      <c r="J20" s="42"/>
      <c r="K20" s="45" t="n">
        <v>0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110</v>
      </c>
      <c r="H21" s="44" t="s">
        <v>461</v>
      </c>
      <c r="I21" s="42" t="s">
        <v>2619</v>
      </c>
      <c r="J21" s="42"/>
      <c r="K21" s="45" t="n">
        <v>0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110</v>
      </c>
      <c r="H22" s="44" t="s">
        <v>461</v>
      </c>
      <c r="I22" s="42" t="s">
        <v>2619</v>
      </c>
      <c r="J22" s="42"/>
      <c r="K22" s="45" t="n">
        <v>0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110</v>
      </c>
      <c r="H23" s="44" t="s">
        <v>461</v>
      </c>
      <c r="I23" s="42" t="s">
        <v>2619</v>
      </c>
      <c r="J23" s="42"/>
      <c r="K23" s="45" t="n">
        <v>0</v>
      </c>
    </row>
    <row r="24" customFormat="false" ht="4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110</v>
      </c>
      <c r="H24" s="44" t="s">
        <v>461</v>
      </c>
      <c r="I24" s="42" t="s">
        <v>2619</v>
      </c>
      <c r="J24" s="42"/>
      <c r="K24" s="45" t="n">
        <v>0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110</v>
      </c>
      <c r="H25" s="44" t="s">
        <v>461</v>
      </c>
      <c r="I25" s="42" t="s">
        <v>2619</v>
      </c>
      <c r="J25" s="42"/>
      <c r="K25" s="45" t="n">
        <v>0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110</v>
      </c>
      <c r="H26" s="44" t="s">
        <v>461</v>
      </c>
      <c r="I26" s="42" t="s">
        <v>2624</v>
      </c>
      <c r="J26" s="42"/>
      <c r="K26" s="45" t="n">
        <v>0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948</v>
      </c>
      <c r="E27" s="34" t="s">
        <v>459</v>
      </c>
      <c r="F27" s="43" t="s">
        <v>459</v>
      </c>
      <c r="G27" s="31" t="s">
        <v>110</v>
      </c>
      <c r="H27" s="44" t="s">
        <v>461</v>
      </c>
      <c r="I27" s="42" t="s">
        <v>2619</v>
      </c>
      <c r="J27" s="42"/>
      <c r="K27" s="45" t="n">
        <v>0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949</v>
      </c>
      <c r="E28" s="34" t="s">
        <v>459</v>
      </c>
      <c r="F28" s="43" t="s">
        <v>459</v>
      </c>
      <c r="G28" s="31" t="s">
        <v>110</v>
      </c>
      <c r="H28" s="44" t="s">
        <v>461</v>
      </c>
      <c r="I28" s="42" t="s">
        <v>2619</v>
      </c>
      <c r="J28" s="42"/>
      <c r="K28" s="45" t="n">
        <v>0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950</v>
      </c>
      <c r="E29" s="34" t="s">
        <v>459</v>
      </c>
      <c r="F29" s="43" t="s">
        <v>459</v>
      </c>
      <c r="G29" s="31" t="s">
        <v>110</v>
      </c>
      <c r="H29" s="44" t="s">
        <v>461</v>
      </c>
      <c r="I29" s="42" t="s">
        <v>2619</v>
      </c>
      <c r="J29" s="42"/>
      <c r="K29" s="45" t="n">
        <v>0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493</v>
      </c>
      <c r="E30" s="34" t="s">
        <v>459</v>
      </c>
      <c r="F30" s="43" t="s">
        <v>459</v>
      </c>
      <c r="G30" s="31" t="s">
        <v>110</v>
      </c>
      <c r="H30" s="44" t="s">
        <v>461</v>
      </c>
      <c r="I30" s="42" t="s">
        <v>2619</v>
      </c>
      <c r="J30" s="42"/>
      <c r="K30" s="45" t="n">
        <v>0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951</v>
      </c>
      <c r="E31" s="34" t="s">
        <v>459</v>
      </c>
      <c r="F31" s="43" t="s">
        <v>459</v>
      </c>
      <c r="G31" s="31" t="s">
        <v>110</v>
      </c>
      <c r="H31" s="44" t="s">
        <v>461</v>
      </c>
      <c r="I31" s="42" t="s">
        <v>2619</v>
      </c>
      <c r="J31" s="42"/>
      <c r="K31" s="45" t="n">
        <v>0</v>
      </c>
    </row>
    <row r="32" customFormat="false" ht="1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952</v>
      </c>
      <c r="E32" s="34" t="s">
        <v>459</v>
      </c>
      <c r="F32" s="43" t="s">
        <v>459</v>
      </c>
      <c r="G32" s="31" t="s">
        <v>110</v>
      </c>
      <c r="H32" s="44" t="s">
        <v>461</v>
      </c>
      <c r="I32" s="42" t="s">
        <v>2619</v>
      </c>
      <c r="J32" s="42"/>
      <c r="K32" s="45" t="n">
        <v>0</v>
      </c>
    </row>
    <row r="33" customFormat="false" ht="15" hidden="false" customHeight="true" outlineLevel="0" collapsed="false">
      <c r="A33" s="31" t="n">
        <v>25</v>
      </c>
      <c r="B33" s="42" t="s">
        <v>488</v>
      </c>
      <c r="C33" s="42" t="s">
        <v>476</v>
      </c>
      <c r="D33" s="42" t="s">
        <v>953</v>
      </c>
      <c r="E33" s="34" t="s">
        <v>459</v>
      </c>
      <c r="F33" s="43" t="s">
        <v>459</v>
      </c>
      <c r="G33" s="31" t="s">
        <v>110</v>
      </c>
      <c r="H33" s="44" t="s">
        <v>461</v>
      </c>
      <c r="I33" s="42" t="s">
        <v>2619</v>
      </c>
      <c r="J33" s="42"/>
      <c r="K33" s="45" t="n">
        <v>0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476</v>
      </c>
      <c r="D34" s="42" t="s">
        <v>954</v>
      </c>
      <c r="E34" s="34" t="s">
        <v>459</v>
      </c>
      <c r="F34" s="43" t="s">
        <v>459</v>
      </c>
      <c r="G34" s="31" t="s">
        <v>110</v>
      </c>
      <c r="H34" s="44" t="s">
        <v>461</v>
      </c>
      <c r="I34" s="42" t="s">
        <v>2619</v>
      </c>
      <c r="J34" s="42"/>
      <c r="K34" s="45" t="n">
        <v>0</v>
      </c>
    </row>
    <row r="35" customFormat="false" ht="15" hidden="false" customHeight="true" outlineLevel="0" collapsed="false">
      <c r="A35" s="31" t="n">
        <v>27</v>
      </c>
      <c r="B35" s="42" t="s">
        <v>488</v>
      </c>
      <c r="C35" s="42" t="s">
        <v>476</v>
      </c>
      <c r="D35" s="42" t="s">
        <v>489</v>
      </c>
      <c r="E35" s="34" t="s">
        <v>459</v>
      </c>
      <c r="F35" s="43" t="s">
        <v>459</v>
      </c>
      <c r="G35" s="31" t="s">
        <v>110</v>
      </c>
      <c r="H35" s="44" t="s">
        <v>461</v>
      </c>
      <c r="I35" s="42" t="s">
        <v>2619</v>
      </c>
      <c r="J35" s="42"/>
      <c r="K35" s="45" t="n">
        <v>0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955</v>
      </c>
      <c r="E36" s="34" t="s">
        <v>459</v>
      </c>
      <c r="F36" s="43" t="s">
        <v>459</v>
      </c>
      <c r="G36" s="31" t="s">
        <v>110</v>
      </c>
      <c r="H36" s="44" t="s">
        <v>461</v>
      </c>
      <c r="I36" s="42" t="s">
        <v>2619</v>
      </c>
      <c r="J36" s="42"/>
      <c r="K36" s="45" t="n">
        <v>0</v>
      </c>
    </row>
    <row r="37" customFormat="false" ht="15" hidden="false" customHeight="true" outlineLevel="0" collapsed="false">
      <c r="A37" s="31" t="n">
        <v>29</v>
      </c>
      <c r="B37" s="42" t="s">
        <v>882</v>
      </c>
      <c r="C37" s="42" t="s">
        <v>476</v>
      </c>
      <c r="D37" s="42" t="s">
        <v>956</v>
      </c>
      <c r="E37" s="34" t="s">
        <v>459</v>
      </c>
      <c r="F37" s="43" t="s">
        <v>459</v>
      </c>
      <c r="G37" s="31" t="s">
        <v>110</v>
      </c>
      <c r="H37" s="44" t="s">
        <v>461</v>
      </c>
      <c r="I37" s="42" t="s">
        <v>2619</v>
      </c>
      <c r="J37" s="42"/>
      <c r="K37" s="45" t="n">
        <v>0</v>
      </c>
    </row>
    <row r="38" customFormat="false" ht="15" hidden="false" customHeight="true" outlineLevel="0" collapsed="false">
      <c r="A38" s="31" t="n">
        <v>30</v>
      </c>
      <c r="B38" s="42" t="s">
        <v>483</v>
      </c>
      <c r="C38" s="42" t="s">
        <v>476</v>
      </c>
      <c r="D38" s="42" t="s">
        <v>484</v>
      </c>
      <c r="E38" s="34" t="s">
        <v>459</v>
      </c>
      <c r="F38" s="43" t="s">
        <v>459</v>
      </c>
      <c r="G38" s="31" t="s">
        <v>110</v>
      </c>
      <c r="H38" s="44" t="s">
        <v>461</v>
      </c>
      <c r="I38" s="42" t="s">
        <v>2619</v>
      </c>
      <c r="J38" s="42"/>
      <c r="K38" s="45" t="n">
        <v>0</v>
      </c>
    </row>
    <row r="39" customFormat="false" ht="15" hidden="false" customHeight="true" outlineLevel="0" collapsed="false">
      <c r="A39" s="31" t="n">
        <v>31</v>
      </c>
      <c r="B39" s="42" t="s">
        <v>483</v>
      </c>
      <c r="C39" s="42" t="s">
        <v>476</v>
      </c>
      <c r="D39" s="42" t="s">
        <v>485</v>
      </c>
      <c r="E39" s="34" t="s">
        <v>459</v>
      </c>
      <c r="F39" s="43" t="s">
        <v>459</v>
      </c>
      <c r="G39" s="31" t="s">
        <v>110</v>
      </c>
      <c r="H39" s="44" t="s">
        <v>461</v>
      </c>
      <c r="I39" s="42" t="s">
        <v>2619</v>
      </c>
      <c r="J39" s="42"/>
      <c r="K39" s="45" t="n">
        <v>0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476</v>
      </c>
      <c r="D40" s="42" t="s">
        <v>495</v>
      </c>
      <c r="E40" s="34" t="s">
        <v>459</v>
      </c>
      <c r="F40" s="43" t="s">
        <v>459</v>
      </c>
      <c r="G40" s="31" t="s">
        <v>110</v>
      </c>
      <c r="H40" s="44" t="s">
        <v>461</v>
      </c>
      <c r="I40" s="42" t="s">
        <v>2619</v>
      </c>
      <c r="J40" s="42"/>
      <c r="K40" s="45" t="n">
        <v>0</v>
      </c>
    </row>
    <row r="41" customFormat="false" ht="15" hidden="false" customHeight="true" outlineLevel="0" collapsed="false">
      <c r="A41" s="31" t="n">
        <v>33</v>
      </c>
      <c r="B41" s="42" t="s">
        <v>486</v>
      </c>
      <c r="C41" s="42" t="s">
        <v>476</v>
      </c>
      <c r="D41" s="42" t="s">
        <v>499</v>
      </c>
      <c r="E41" s="34" t="s">
        <v>459</v>
      </c>
      <c r="F41" s="43" t="s">
        <v>459</v>
      </c>
      <c r="G41" s="31" t="s">
        <v>110</v>
      </c>
      <c r="H41" s="44" t="s">
        <v>461</v>
      </c>
      <c r="I41" s="42" t="s">
        <v>2619</v>
      </c>
      <c r="J41" s="42"/>
      <c r="K41" s="45" t="n">
        <v>0</v>
      </c>
    </row>
    <row r="42" customFormat="false" ht="15" hidden="false" customHeight="true" outlineLevel="0" collapsed="false">
      <c r="A42" s="31" t="n">
        <v>34</v>
      </c>
      <c r="B42" s="42" t="s">
        <v>488</v>
      </c>
      <c r="C42" s="42" t="s">
        <v>476</v>
      </c>
      <c r="D42" s="42" t="s">
        <v>497</v>
      </c>
      <c r="E42" s="34" t="s">
        <v>459</v>
      </c>
      <c r="F42" s="43" t="s">
        <v>459</v>
      </c>
      <c r="G42" s="31" t="s">
        <v>110</v>
      </c>
      <c r="H42" s="44" t="s">
        <v>461</v>
      </c>
      <c r="I42" s="42" t="s">
        <v>2619</v>
      </c>
      <c r="J42" s="42"/>
      <c r="K42" s="45" t="n">
        <v>0</v>
      </c>
    </row>
    <row r="43" customFormat="false" ht="15" hidden="false" customHeight="true" outlineLevel="0" collapsed="false">
      <c r="A43" s="31" t="n">
        <v>35</v>
      </c>
      <c r="B43" s="42" t="s">
        <v>488</v>
      </c>
      <c r="C43" s="42" t="s">
        <v>476</v>
      </c>
      <c r="D43" s="42" t="s">
        <v>957</v>
      </c>
      <c r="E43" s="34" t="s">
        <v>459</v>
      </c>
      <c r="F43" s="43" t="s">
        <v>459</v>
      </c>
      <c r="G43" s="31" t="s">
        <v>110</v>
      </c>
      <c r="H43" s="44" t="s">
        <v>461</v>
      </c>
      <c r="I43" s="42" t="s">
        <v>2619</v>
      </c>
      <c r="J43" s="42"/>
      <c r="K43" s="45" t="n">
        <v>0</v>
      </c>
    </row>
    <row r="44" customFormat="false" ht="15" hidden="false" customHeight="true" outlineLevel="0" collapsed="false">
      <c r="A44" s="31" t="n">
        <v>36</v>
      </c>
      <c r="B44" s="42" t="s">
        <v>488</v>
      </c>
      <c r="C44" s="42" t="s">
        <v>476</v>
      </c>
      <c r="D44" s="42" t="s">
        <v>1602</v>
      </c>
      <c r="E44" s="34" t="s">
        <v>459</v>
      </c>
      <c r="F44" s="43" t="s">
        <v>459</v>
      </c>
      <c r="G44" s="31" t="s">
        <v>110</v>
      </c>
      <c r="H44" s="44" t="s">
        <v>461</v>
      </c>
      <c r="I44" s="42" t="s">
        <v>2619</v>
      </c>
      <c r="J44" s="42"/>
      <c r="K44" s="45" t="n">
        <v>0</v>
      </c>
    </row>
    <row r="45" customFormat="false" ht="15" hidden="false" customHeight="true" outlineLevel="0" collapsed="false">
      <c r="A45" s="31" t="n">
        <v>37</v>
      </c>
      <c r="B45" s="42" t="s">
        <v>488</v>
      </c>
      <c r="C45" s="42" t="s">
        <v>476</v>
      </c>
      <c r="D45" s="42" t="s">
        <v>958</v>
      </c>
      <c r="E45" s="34" t="s">
        <v>459</v>
      </c>
      <c r="F45" s="43" t="s">
        <v>459</v>
      </c>
      <c r="G45" s="31" t="s">
        <v>110</v>
      </c>
      <c r="H45" s="44" t="s">
        <v>461</v>
      </c>
      <c r="I45" s="42" t="s">
        <v>2619</v>
      </c>
      <c r="J45" s="42"/>
      <c r="K45" s="45" t="n">
        <v>0</v>
      </c>
    </row>
    <row r="46" customFormat="false" ht="15" hidden="false" customHeight="true" outlineLevel="0" collapsed="false">
      <c r="A46" s="31" t="n">
        <v>38</v>
      </c>
      <c r="B46" s="42" t="s">
        <v>475</v>
      </c>
      <c r="C46" s="42" t="s">
        <v>2584</v>
      </c>
      <c r="D46" s="42" t="s">
        <v>477</v>
      </c>
      <c r="E46" s="34" t="s">
        <v>459</v>
      </c>
      <c r="F46" s="43" t="s">
        <v>459</v>
      </c>
      <c r="G46" s="31" t="s">
        <v>110</v>
      </c>
      <c r="H46" s="44" t="s">
        <v>461</v>
      </c>
      <c r="I46" s="42" t="s">
        <v>2619</v>
      </c>
      <c r="J46" s="42"/>
      <c r="K46" s="45" t="n">
        <v>0</v>
      </c>
    </row>
    <row r="47" customFormat="false" ht="15" hidden="false" customHeight="true" outlineLevel="0" collapsed="false">
      <c r="A47" s="31" t="n">
        <v>39</v>
      </c>
      <c r="B47" s="42" t="s">
        <v>475</v>
      </c>
      <c r="C47" s="42" t="s">
        <v>2584</v>
      </c>
      <c r="D47" s="42" t="s">
        <v>478</v>
      </c>
      <c r="E47" s="34" t="s">
        <v>459</v>
      </c>
      <c r="F47" s="43" t="s">
        <v>459</v>
      </c>
      <c r="G47" s="31" t="s">
        <v>110</v>
      </c>
      <c r="H47" s="44" t="s">
        <v>461</v>
      </c>
      <c r="I47" s="42" t="s">
        <v>2619</v>
      </c>
      <c r="J47" s="42"/>
      <c r="K47" s="45" t="n">
        <v>0</v>
      </c>
    </row>
    <row r="48" customFormat="false" ht="30" hidden="false" customHeight="true" outlineLevel="0" collapsed="false">
      <c r="A48" s="31" t="n">
        <v>40</v>
      </c>
      <c r="B48" s="42" t="s">
        <v>479</v>
      </c>
      <c r="C48" s="42" t="s">
        <v>2584</v>
      </c>
      <c r="D48" s="42" t="s">
        <v>480</v>
      </c>
      <c r="E48" s="34" t="s">
        <v>459</v>
      </c>
      <c r="F48" s="43" t="s">
        <v>459</v>
      </c>
      <c r="G48" s="31" t="s">
        <v>110</v>
      </c>
      <c r="H48" s="44" t="s">
        <v>461</v>
      </c>
      <c r="I48" s="42" t="s">
        <v>2619</v>
      </c>
      <c r="J48" s="42"/>
      <c r="K48" s="45" t="n">
        <v>0</v>
      </c>
    </row>
    <row r="49" customFormat="false" ht="45" hidden="false" customHeight="true" outlineLevel="0" collapsed="false">
      <c r="A49" s="31" t="n">
        <v>41</v>
      </c>
      <c r="B49" s="42" t="s">
        <v>479</v>
      </c>
      <c r="C49" s="42" t="s">
        <v>2584</v>
      </c>
      <c r="D49" s="42" t="s">
        <v>481</v>
      </c>
      <c r="E49" s="34" t="s">
        <v>459</v>
      </c>
      <c r="F49" s="43" t="s">
        <v>459</v>
      </c>
      <c r="G49" s="31" t="s">
        <v>110</v>
      </c>
      <c r="H49" s="44" t="s">
        <v>461</v>
      </c>
      <c r="I49" s="42" t="s">
        <v>2619</v>
      </c>
      <c r="J49" s="42"/>
      <c r="K49" s="45" t="n">
        <v>0</v>
      </c>
    </row>
    <row r="50" customFormat="false" ht="15" hidden="false" customHeight="true" outlineLevel="0" collapsed="false">
      <c r="A50" s="31" t="n">
        <v>42</v>
      </c>
      <c r="B50" s="42" t="s">
        <v>457</v>
      </c>
      <c r="C50" s="42" t="s">
        <v>2584</v>
      </c>
      <c r="D50" s="42" t="s">
        <v>482</v>
      </c>
      <c r="E50" s="34" t="s">
        <v>459</v>
      </c>
      <c r="F50" s="43" t="s">
        <v>459</v>
      </c>
      <c r="G50" s="31" t="s">
        <v>110</v>
      </c>
      <c r="H50" s="44" t="s">
        <v>461</v>
      </c>
      <c r="I50" s="42" t="s">
        <v>2619</v>
      </c>
      <c r="J50" s="42"/>
      <c r="K50" s="45" t="n">
        <v>0</v>
      </c>
    </row>
    <row r="51" customFormat="false" ht="15" hidden="false" customHeight="true" outlineLevel="0" collapsed="false">
      <c r="A51" s="31" t="n">
        <v>43</v>
      </c>
      <c r="B51" s="42" t="s">
        <v>774</v>
      </c>
      <c r="C51" s="42" t="s">
        <v>2584</v>
      </c>
      <c r="D51" s="42" t="s">
        <v>775</v>
      </c>
      <c r="E51" s="34" t="s">
        <v>459</v>
      </c>
      <c r="F51" s="43" t="s">
        <v>459</v>
      </c>
      <c r="G51" s="31" t="s">
        <v>110</v>
      </c>
      <c r="H51" s="44" t="s">
        <v>461</v>
      </c>
      <c r="I51" s="42" t="s">
        <v>2624</v>
      </c>
      <c r="J51" s="42"/>
      <c r="K51" s="45" t="n">
        <v>0</v>
      </c>
    </row>
    <row r="52" customFormat="false" ht="15" hidden="false" customHeight="true" outlineLevel="0" collapsed="false">
      <c r="A52" s="31" t="n">
        <v>44</v>
      </c>
      <c r="B52" s="42" t="s">
        <v>483</v>
      </c>
      <c r="C52" s="42" t="s">
        <v>2584</v>
      </c>
      <c r="D52" s="42" t="s">
        <v>484</v>
      </c>
      <c r="E52" s="34" t="s">
        <v>459</v>
      </c>
      <c r="F52" s="43" t="s">
        <v>459</v>
      </c>
      <c r="G52" s="31" t="s">
        <v>110</v>
      </c>
      <c r="H52" s="44" t="s">
        <v>461</v>
      </c>
      <c r="I52" s="42" t="s">
        <v>2619</v>
      </c>
      <c r="J52" s="42"/>
      <c r="K52" s="45" t="n">
        <v>0</v>
      </c>
    </row>
    <row r="53" customFormat="false" ht="15" hidden="false" customHeight="true" outlineLevel="0" collapsed="false">
      <c r="A53" s="31" t="n">
        <v>45</v>
      </c>
      <c r="B53" s="42" t="s">
        <v>483</v>
      </c>
      <c r="C53" s="42" t="s">
        <v>2584</v>
      </c>
      <c r="D53" s="42" t="s">
        <v>485</v>
      </c>
      <c r="E53" s="34" t="s">
        <v>459</v>
      </c>
      <c r="F53" s="43" t="s">
        <v>459</v>
      </c>
      <c r="G53" s="31" t="s">
        <v>110</v>
      </c>
      <c r="H53" s="44" t="s">
        <v>461</v>
      </c>
      <c r="I53" s="42" t="s">
        <v>2619</v>
      </c>
      <c r="J53" s="42"/>
      <c r="K53" s="45" t="n">
        <v>0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2584</v>
      </c>
      <c r="D54" s="42" t="s">
        <v>495</v>
      </c>
      <c r="E54" s="34" t="s">
        <v>459</v>
      </c>
      <c r="F54" s="43" t="s">
        <v>459</v>
      </c>
      <c r="G54" s="31" t="s">
        <v>110</v>
      </c>
      <c r="H54" s="44" t="s">
        <v>461</v>
      </c>
      <c r="I54" s="42" t="s">
        <v>2619</v>
      </c>
      <c r="J54" s="42"/>
      <c r="K54" s="45" t="n">
        <v>0</v>
      </c>
    </row>
    <row r="55" customFormat="false" ht="15" hidden="false" customHeight="true" outlineLevel="0" collapsed="false">
      <c r="A55" s="31" t="n">
        <v>47</v>
      </c>
      <c r="B55" s="42" t="s">
        <v>486</v>
      </c>
      <c r="C55" s="42" t="s">
        <v>2584</v>
      </c>
      <c r="D55" s="42" t="s">
        <v>499</v>
      </c>
      <c r="E55" s="34" t="s">
        <v>459</v>
      </c>
      <c r="F55" s="43" t="s">
        <v>459</v>
      </c>
      <c r="G55" s="31" t="s">
        <v>110</v>
      </c>
      <c r="H55" s="44" t="s">
        <v>461</v>
      </c>
      <c r="I55" s="42" t="s">
        <v>2619</v>
      </c>
      <c r="J55" s="42"/>
      <c r="K55" s="45" t="n">
        <v>0</v>
      </c>
    </row>
    <row r="56" customFormat="false" ht="15" hidden="false" customHeight="true" outlineLevel="0" collapsed="false">
      <c r="A56" s="31" t="n">
        <v>48</v>
      </c>
      <c r="B56" s="42" t="s">
        <v>488</v>
      </c>
      <c r="C56" s="42" t="s">
        <v>2584</v>
      </c>
      <c r="D56" s="42" t="s">
        <v>497</v>
      </c>
      <c r="E56" s="34" t="s">
        <v>459</v>
      </c>
      <c r="F56" s="43" t="s">
        <v>459</v>
      </c>
      <c r="G56" s="31" t="s">
        <v>110</v>
      </c>
      <c r="H56" s="44" t="s">
        <v>461</v>
      </c>
      <c r="I56" s="42" t="s">
        <v>2619</v>
      </c>
      <c r="J56" s="42"/>
      <c r="K56" s="45" t="n">
        <v>0</v>
      </c>
    </row>
    <row r="57" customFormat="false" ht="15" hidden="false" customHeight="true" outlineLevel="0" collapsed="false">
      <c r="A57" s="31" t="n">
        <v>49</v>
      </c>
      <c r="B57" s="42" t="s">
        <v>488</v>
      </c>
      <c r="C57" s="42" t="s">
        <v>2584</v>
      </c>
      <c r="D57" s="42" t="s">
        <v>957</v>
      </c>
      <c r="E57" s="34" t="s">
        <v>459</v>
      </c>
      <c r="F57" s="43" t="s">
        <v>459</v>
      </c>
      <c r="G57" s="31" t="s">
        <v>110</v>
      </c>
      <c r="H57" s="44" t="s">
        <v>461</v>
      </c>
      <c r="I57" s="42" t="s">
        <v>2619</v>
      </c>
      <c r="J57" s="42"/>
      <c r="K57" s="45" t="n">
        <v>0</v>
      </c>
    </row>
    <row r="58" customFormat="false" ht="15" hidden="false" customHeight="true" outlineLevel="0" collapsed="false">
      <c r="A58" s="31" t="n">
        <v>50</v>
      </c>
      <c r="B58" s="42" t="s">
        <v>488</v>
      </c>
      <c r="C58" s="42" t="s">
        <v>2584</v>
      </c>
      <c r="D58" s="42" t="s">
        <v>1602</v>
      </c>
      <c r="E58" s="34" t="s">
        <v>459</v>
      </c>
      <c r="F58" s="43" t="s">
        <v>459</v>
      </c>
      <c r="G58" s="31" t="s">
        <v>110</v>
      </c>
      <c r="H58" s="44" t="s">
        <v>461</v>
      </c>
      <c r="I58" s="42" t="s">
        <v>2619</v>
      </c>
      <c r="J58" s="42"/>
      <c r="K58" s="45" t="n">
        <v>0</v>
      </c>
    </row>
    <row r="59" customFormat="false" ht="15" hidden="false" customHeight="true" outlineLevel="0" collapsed="false">
      <c r="A59" s="31" t="n">
        <v>51</v>
      </c>
      <c r="B59" s="42" t="s">
        <v>488</v>
      </c>
      <c r="C59" s="42" t="s">
        <v>2584</v>
      </c>
      <c r="D59" s="42" t="s">
        <v>958</v>
      </c>
      <c r="E59" s="34" t="s">
        <v>459</v>
      </c>
      <c r="F59" s="43" t="s">
        <v>459</v>
      </c>
      <c r="G59" s="31" t="s">
        <v>110</v>
      </c>
      <c r="H59" s="44" t="s">
        <v>461</v>
      </c>
      <c r="I59" s="42" t="s">
        <v>2619</v>
      </c>
      <c r="J59" s="42"/>
      <c r="K59" s="45" t="n">
        <v>0</v>
      </c>
    </row>
    <row r="60" customFormat="false" ht="15" hidden="false" customHeight="true" outlineLevel="0" collapsed="false">
      <c r="A60" s="31" t="n">
        <v>52</v>
      </c>
      <c r="B60" s="42" t="s">
        <v>505</v>
      </c>
      <c r="C60" s="42" t="s">
        <v>506</v>
      </c>
      <c r="D60" s="42" t="s">
        <v>961</v>
      </c>
      <c r="E60" s="34" t="s">
        <v>459</v>
      </c>
      <c r="F60" s="43" t="s">
        <v>459</v>
      </c>
      <c r="G60" s="31" t="s">
        <v>110</v>
      </c>
      <c r="H60" s="44" t="s">
        <v>461</v>
      </c>
      <c r="I60" s="42" t="s">
        <v>2619</v>
      </c>
      <c r="J60" s="42"/>
      <c r="K60" s="45" t="n">
        <v>0</v>
      </c>
    </row>
    <row r="61" customFormat="false" ht="15" hidden="false" customHeight="true" outlineLevel="0" collapsed="false">
      <c r="A61" s="31" t="n">
        <v>53</v>
      </c>
      <c r="B61" s="42" t="s">
        <v>505</v>
      </c>
      <c r="C61" s="42" t="s">
        <v>506</v>
      </c>
      <c r="D61" s="42" t="s">
        <v>905</v>
      </c>
      <c r="E61" s="34" t="s">
        <v>459</v>
      </c>
      <c r="F61" s="43" t="s">
        <v>459</v>
      </c>
      <c r="G61" s="31" t="s">
        <v>110</v>
      </c>
      <c r="H61" s="44" t="s">
        <v>461</v>
      </c>
      <c r="I61" s="42" t="s">
        <v>2619</v>
      </c>
      <c r="J61" s="42"/>
      <c r="K61" s="45" t="n">
        <v>0</v>
      </c>
    </row>
    <row r="62" customFormat="false" ht="15" hidden="false" customHeight="true" outlineLevel="0" collapsed="false">
      <c r="A62" s="31" t="n">
        <v>54</v>
      </c>
      <c r="B62" s="42" t="s">
        <v>505</v>
      </c>
      <c r="C62" s="42" t="s">
        <v>506</v>
      </c>
      <c r="D62" s="42" t="s">
        <v>962</v>
      </c>
      <c r="E62" s="34" t="s">
        <v>459</v>
      </c>
      <c r="F62" s="43" t="s">
        <v>459</v>
      </c>
      <c r="G62" s="31" t="s">
        <v>110</v>
      </c>
      <c r="H62" s="44" t="s">
        <v>461</v>
      </c>
      <c r="I62" s="42" t="s">
        <v>2619</v>
      </c>
      <c r="J62" s="42"/>
      <c r="K62" s="45" t="n">
        <v>0</v>
      </c>
    </row>
    <row r="63" customFormat="false" ht="15" hidden="false" customHeight="true" outlineLevel="0" collapsed="false">
      <c r="A63" s="31" t="n">
        <v>55</v>
      </c>
      <c r="B63" s="42" t="s">
        <v>505</v>
      </c>
      <c r="C63" s="42" t="s">
        <v>506</v>
      </c>
      <c r="D63" s="42" t="s">
        <v>783</v>
      </c>
      <c r="E63" s="34" t="s">
        <v>459</v>
      </c>
      <c r="F63" s="43" t="s">
        <v>459</v>
      </c>
      <c r="G63" s="31" t="s">
        <v>110</v>
      </c>
      <c r="H63" s="44" t="s">
        <v>461</v>
      </c>
      <c r="I63" s="42" t="s">
        <v>2619</v>
      </c>
      <c r="J63" s="42"/>
      <c r="K63" s="45" t="n">
        <v>0</v>
      </c>
    </row>
    <row r="64" customFormat="false" ht="15" hidden="false" customHeight="true" outlineLevel="0" collapsed="false">
      <c r="A64" s="31" t="n">
        <v>56</v>
      </c>
      <c r="B64" s="42" t="s">
        <v>505</v>
      </c>
      <c r="C64" s="42" t="s">
        <v>506</v>
      </c>
      <c r="D64" s="42" t="s">
        <v>963</v>
      </c>
      <c r="E64" s="34" t="s">
        <v>459</v>
      </c>
      <c r="F64" s="43" t="s">
        <v>459</v>
      </c>
      <c r="G64" s="31" t="s">
        <v>110</v>
      </c>
      <c r="H64" s="44" t="s">
        <v>461</v>
      </c>
      <c r="I64" s="42" t="s">
        <v>2619</v>
      </c>
      <c r="J64" s="42"/>
      <c r="K64" s="45" t="n">
        <v>0</v>
      </c>
    </row>
    <row r="65" customFormat="false" ht="15" hidden="false" customHeight="true" outlineLevel="0" collapsed="false">
      <c r="A65" s="31" t="n">
        <v>57</v>
      </c>
      <c r="B65" s="42" t="s">
        <v>505</v>
      </c>
      <c r="C65" s="42" t="s">
        <v>506</v>
      </c>
      <c r="D65" s="42" t="s">
        <v>964</v>
      </c>
      <c r="E65" s="34" t="s">
        <v>459</v>
      </c>
      <c r="F65" s="43" t="s">
        <v>459</v>
      </c>
      <c r="G65" s="31" t="s">
        <v>110</v>
      </c>
      <c r="H65" s="44" t="s">
        <v>461</v>
      </c>
      <c r="I65" s="42" t="s">
        <v>2619</v>
      </c>
      <c r="J65" s="42"/>
      <c r="K65" s="45" t="n">
        <v>0</v>
      </c>
    </row>
    <row r="66" customFormat="false" ht="15" hidden="false" customHeight="true" outlineLevel="0" collapsed="false">
      <c r="A66" s="31" t="n">
        <v>58</v>
      </c>
      <c r="B66" s="42" t="s">
        <v>511</v>
      </c>
      <c r="C66" s="42" t="s">
        <v>506</v>
      </c>
      <c r="D66" s="42" t="s">
        <v>512</v>
      </c>
      <c r="E66" s="34" t="s">
        <v>459</v>
      </c>
      <c r="F66" s="43" t="s">
        <v>459</v>
      </c>
      <c r="G66" s="31" t="s">
        <v>110</v>
      </c>
      <c r="H66" s="44" t="s">
        <v>461</v>
      </c>
      <c r="I66" s="42" t="s">
        <v>2619</v>
      </c>
      <c r="J66" s="42"/>
      <c r="K66" s="45" t="n">
        <v>0</v>
      </c>
    </row>
    <row r="67" customFormat="false" ht="15" hidden="false" customHeight="true" outlineLevel="0" collapsed="false">
      <c r="A67" s="31" t="n">
        <v>59</v>
      </c>
      <c r="B67" s="42" t="s">
        <v>511</v>
      </c>
      <c r="C67" s="42" t="s">
        <v>506</v>
      </c>
      <c r="D67" s="42" t="s">
        <v>965</v>
      </c>
      <c r="E67" s="34" t="s">
        <v>459</v>
      </c>
      <c r="F67" s="43" t="s">
        <v>459</v>
      </c>
      <c r="G67" s="31" t="s">
        <v>110</v>
      </c>
      <c r="H67" s="44" t="s">
        <v>461</v>
      </c>
      <c r="I67" s="42" t="s">
        <v>2619</v>
      </c>
      <c r="J67" s="42"/>
      <c r="K67" s="45" t="n">
        <v>0</v>
      </c>
    </row>
    <row r="68" customFormat="false" ht="15" hidden="false" customHeight="true" outlineLevel="0" collapsed="false">
      <c r="A68" s="31" t="n">
        <v>60</v>
      </c>
      <c r="B68" s="42" t="s">
        <v>511</v>
      </c>
      <c r="C68" s="42" t="s">
        <v>506</v>
      </c>
      <c r="D68" s="42" t="s">
        <v>966</v>
      </c>
      <c r="E68" s="34" t="s">
        <v>459</v>
      </c>
      <c r="F68" s="43" t="s">
        <v>459</v>
      </c>
      <c r="G68" s="31" t="s">
        <v>110</v>
      </c>
      <c r="H68" s="44" t="s">
        <v>461</v>
      </c>
      <c r="I68" s="42" t="s">
        <v>2619</v>
      </c>
      <c r="J68" s="42"/>
      <c r="K68" s="45" t="n">
        <v>0</v>
      </c>
    </row>
    <row r="69" customFormat="false" ht="15" hidden="false" customHeight="true" outlineLevel="0" collapsed="false">
      <c r="A69" s="31" t="n">
        <v>61</v>
      </c>
      <c r="B69" s="42" t="s">
        <v>511</v>
      </c>
      <c r="C69" s="42" t="s">
        <v>506</v>
      </c>
      <c r="D69" s="42" t="s">
        <v>1611</v>
      </c>
      <c r="E69" s="34" t="s">
        <v>459</v>
      </c>
      <c r="F69" s="43" t="s">
        <v>459</v>
      </c>
      <c r="G69" s="31" t="s">
        <v>110</v>
      </c>
      <c r="H69" s="44" t="s">
        <v>461</v>
      </c>
      <c r="I69" s="42" t="s">
        <v>2619</v>
      </c>
      <c r="J69" s="42"/>
      <c r="K69" s="45" t="n">
        <v>0</v>
      </c>
    </row>
    <row r="70" customFormat="false" ht="15" hidden="false" customHeight="true" outlineLevel="0" collapsed="false">
      <c r="A70" s="31" t="n">
        <v>62</v>
      </c>
      <c r="B70" s="42" t="s">
        <v>511</v>
      </c>
      <c r="C70" s="42" t="s">
        <v>506</v>
      </c>
      <c r="D70" s="42" t="s">
        <v>514</v>
      </c>
      <c r="E70" s="34" t="s">
        <v>459</v>
      </c>
      <c r="F70" s="43" t="s">
        <v>459</v>
      </c>
      <c r="G70" s="31" t="s">
        <v>110</v>
      </c>
      <c r="H70" s="44" t="s">
        <v>461</v>
      </c>
      <c r="I70" s="42" t="s">
        <v>2619</v>
      </c>
      <c r="J70" s="42"/>
      <c r="K70" s="45" t="n">
        <v>0</v>
      </c>
    </row>
    <row r="71" customFormat="false" ht="15" hidden="false" customHeight="true" outlineLevel="0" collapsed="false">
      <c r="A71" s="31" t="n">
        <v>63</v>
      </c>
      <c r="B71" s="42" t="s">
        <v>511</v>
      </c>
      <c r="C71" s="42" t="s">
        <v>506</v>
      </c>
      <c r="D71" s="42" t="s">
        <v>515</v>
      </c>
      <c r="E71" s="34" t="s">
        <v>459</v>
      </c>
      <c r="F71" s="43" t="s">
        <v>459</v>
      </c>
      <c r="G71" s="31" t="s">
        <v>110</v>
      </c>
      <c r="H71" s="44" t="s">
        <v>461</v>
      </c>
      <c r="I71" s="42" t="s">
        <v>2619</v>
      </c>
      <c r="J71" s="42"/>
      <c r="K71" s="45" t="n">
        <v>0</v>
      </c>
    </row>
    <row r="72" customFormat="false" ht="30" hidden="false" customHeight="true" outlineLevel="0" collapsed="false">
      <c r="A72" s="31" t="n">
        <v>64</v>
      </c>
      <c r="B72" s="42" t="s">
        <v>483</v>
      </c>
      <c r="C72" s="42" t="s">
        <v>66</v>
      </c>
      <c r="D72" s="42" t="s">
        <v>516</v>
      </c>
      <c r="E72" s="34" t="s">
        <v>459</v>
      </c>
      <c r="F72" s="43" t="s">
        <v>459</v>
      </c>
      <c r="G72" s="31" t="s">
        <v>110</v>
      </c>
      <c r="H72" s="44" t="s">
        <v>461</v>
      </c>
      <c r="I72" s="42" t="s">
        <v>2619</v>
      </c>
      <c r="J72" s="42"/>
      <c r="K72" s="45" t="n">
        <v>0</v>
      </c>
    </row>
    <row r="73" customFormat="false" ht="15" hidden="false" customHeight="true" outlineLevel="0" collapsed="false">
      <c r="A73" s="31" t="n">
        <v>65</v>
      </c>
      <c r="B73" s="42" t="s">
        <v>483</v>
      </c>
      <c r="C73" s="42" t="s">
        <v>66</v>
      </c>
      <c r="D73" s="42" t="s">
        <v>517</v>
      </c>
      <c r="E73" s="34" t="s">
        <v>459</v>
      </c>
      <c r="F73" s="43" t="s">
        <v>459</v>
      </c>
      <c r="G73" s="31" t="s">
        <v>110</v>
      </c>
      <c r="H73" s="44" t="s">
        <v>461</v>
      </c>
      <c r="I73" s="42" t="s">
        <v>2619</v>
      </c>
      <c r="J73" s="42"/>
      <c r="K73" s="45" t="n">
        <v>0</v>
      </c>
    </row>
    <row r="74" customFormat="false" ht="45" hidden="false" customHeight="true" outlineLevel="0" collapsed="false">
      <c r="A74" s="31" t="n">
        <v>66</v>
      </c>
      <c r="B74" s="42" t="s">
        <v>483</v>
      </c>
      <c r="C74" s="42" t="s">
        <v>66</v>
      </c>
      <c r="D74" s="42" t="s">
        <v>518</v>
      </c>
      <c r="E74" s="34" t="s">
        <v>459</v>
      </c>
      <c r="F74" s="43" t="s">
        <v>459</v>
      </c>
      <c r="G74" s="31" t="s">
        <v>110</v>
      </c>
      <c r="H74" s="44" t="s">
        <v>461</v>
      </c>
      <c r="I74" s="42" t="s">
        <v>2619</v>
      </c>
      <c r="J74" s="42"/>
      <c r="K74" s="45" t="n">
        <v>0</v>
      </c>
    </row>
    <row r="75" customFormat="false" ht="15" hidden="false" customHeight="true" outlineLevel="0" collapsed="false">
      <c r="A75" s="31" t="n">
        <v>67</v>
      </c>
      <c r="B75" s="42" t="s">
        <v>483</v>
      </c>
      <c r="C75" s="42" t="s">
        <v>66</v>
      </c>
      <c r="D75" s="42" t="s">
        <v>519</v>
      </c>
      <c r="E75" s="34" t="s">
        <v>459</v>
      </c>
      <c r="F75" s="43" t="s">
        <v>459</v>
      </c>
      <c r="G75" s="31" t="s">
        <v>110</v>
      </c>
      <c r="H75" s="44" t="s">
        <v>461</v>
      </c>
      <c r="I75" s="42" t="s">
        <v>2619</v>
      </c>
      <c r="J75" s="42"/>
      <c r="K75" s="45" t="n">
        <v>0</v>
      </c>
    </row>
    <row r="76" customFormat="false" ht="15" hidden="false" customHeight="true" outlineLevel="0" collapsed="false">
      <c r="A76" s="31" t="n">
        <v>68</v>
      </c>
      <c r="B76" s="42" t="s">
        <v>483</v>
      </c>
      <c r="C76" s="42" t="s">
        <v>66</v>
      </c>
      <c r="D76" s="42" t="s">
        <v>520</v>
      </c>
      <c r="E76" s="34" t="s">
        <v>459</v>
      </c>
      <c r="F76" s="43" t="s">
        <v>459</v>
      </c>
      <c r="G76" s="31" t="s">
        <v>110</v>
      </c>
      <c r="H76" s="44" t="s">
        <v>461</v>
      </c>
      <c r="I76" s="42" t="s">
        <v>2625</v>
      </c>
      <c r="J76" s="42"/>
      <c r="K76" s="45" t="n">
        <v>0</v>
      </c>
    </row>
    <row r="77" customFormat="false" ht="15" hidden="false" customHeight="true" outlineLevel="0" collapsed="false">
      <c r="A77" s="31" t="n">
        <v>69</v>
      </c>
      <c r="B77" s="42" t="s">
        <v>488</v>
      </c>
      <c r="C77" s="42" t="s">
        <v>476</v>
      </c>
      <c r="D77" s="42" t="s">
        <v>521</v>
      </c>
      <c r="E77" s="34" t="s">
        <v>459</v>
      </c>
      <c r="F77" s="43" t="s">
        <v>459</v>
      </c>
      <c r="G77" s="31" t="s">
        <v>110</v>
      </c>
      <c r="H77" s="44" t="s">
        <v>461</v>
      </c>
      <c r="I77" s="42" t="s">
        <v>2619</v>
      </c>
      <c r="J77" s="42"/>
      <c r="K77" s="45" t="n">
        <v>0</v>
      </c>
    </row>
    <row r="78" customFormat="false" ht="30" hidden="false" customHeight="true" outlineLevel="0" collapsed="false">
      <c r="A78" s="31" t="n">
        <v>70</v>
      </c>
      <c r="B78" s="42" t="s">
        <v>488</v>
      </c>
      <c r="C78" s="42" t="s">
        <v>476</v>
      </c>
      <c r="D78" s="42" t="s">
        <v>522</v>
      </c>
      <c r="E78" s="34" t="s">
        <v>459</v>
      </c>
      <c r="F78" s="43" t="s">
        <v>459</v>
      </c>
      <c r="G78" s="31" t="s">
        <v>110</v>
      </c>
      <c r="H78" s="44" t="s">
        <v>461</v>
      </c>
      <c r="I78" s="42" t="s">
        <v>2619</v>
      </c>
      <c r="J78" s="42"/>
      <c r="K78" s="45" t="n">
        <v>0</v>
      </c>
    </row>
    <row r="79" customFormat="false" ht="30" hidden="false" customHeight="true" outlineLevel="0" collapsed="false">
      <c r="A79" s="31" t="n">
        <v>71</v>
      </c>
      <c r="B79" s="42" t="s">
        <v>488</v>
      </c>
      <c r="C79" s="42" t="s">
        <v>476</v>
      </c>
      <c r="D79" s="42" t="s">
        <v>523</v>
      </c>
      <c r="E79" s="34" t="s">
        <v>459</v>
      </c>
      <c r="F79" s="43" t="s">
        <v>459</v>
      </c>
      <c r="G79" s="31" t="s">
        <v>110</v>
      </c>
      <c r="H79" s="44" t="s">
        <v>461</v>
      </c>
      <c r="I79" s="42" t="s">
        <v>2619</v>
      </c>
      <c r="J79" s="42"/>
      <c r="K79" s="45" t="n">
        <v>0</v>
      </c>
    </row>
    <row r="80" customFormat="false" ht="30" hidden="false" customHeight="true" outlineLevel="0" collapsed="false">
      <c r="A80" s="31" t="n">
        <v>72</v>
      </c>
      <c r="B80" s="42" t="s">
        <v>488</v>
      </c>
      <c r="C80" s="42" t="s">
        <v>66</v>
      </c>
      <c r="D80" s="42" t="s">
        <v>968</v>
      </c>
      <c r="E80" s="34" t="s">
        <v>459</v>
      </c>
      <c r="F80" s="43" t="s">
        <v>459</v>
      </c>
      <c r="G80" s="31" t="s">
        <v>110</v>
      </c>
      <c r="H80" s="44" t="s">
        <v>461</v>
      </c>
      <c r="I80" s="42" t="s">
        <v>2619</v>
      </c>
      <c r="J80" s="42"/>
      <c r="K80" s="45" t="n">
        <v>0</v>
      </c>
    </row>
    <row r="81" customFormat="false" ht="30" hidden="false" customHeight="true" outlineLevel="0" collapsed="false">
      <c r="A81" s="31" t="n">
        <v>73</v>
      </c>
      <c r="B81" s="42" t="s">
        <v>488</v>
      </c>
      <c r="C81" s="42" t="s">
        <v>66</v>
      </c>
      <c r="D81" s="42" t="s">
        <v>969</v>
      </c>
      <c r="E81" s="34" t="s">
        <v>459</v>
      </c>
      <c r="F81" s="43" t="s">
        <v>459</v>
      </c>
      <c r="G81" s="31" t="s">
        <v>110</v>
      </c>
      <c r="H81" s="44" t="s">
        <v>461</v>
      </c>
      <c r="I81" s="42" t="s">
        <v>2619</v>
      </c>
      <c r="J81" s="42"/>
      <c r="K81" s="45" t="n">
        <v>0</v>
      </c>
    </row>
    <row r="82" customFormat="false" ht="15" hidden="false" customHeight="true" outlineLevel="0" collapsed="false">
      <c r="A82" s="31" t="n">
        <v>74</v>
      </c>
      <c r="B82" s="42" t="s">
        <v>488</v>
      </c>
      <c r="C82" s="42" t="s">
        <v>66</v>
      </c>
      <c r="D82" s="42" t="s">
        <v>970</v>
      </c>
      <c r="E82" s="34" t="s">
        <v>459</v>
      </c>
      <c r="F82" s="43" t="s">
        <v>459</v>
      </c>
      <c r="G82" s="31" t="s">
        <v>110</v>
      </c>
      <c r="H82" s="44" t="s">
        <v>461</v>
      </c>
      <c r="I82" s="42" t="s">
        <v>2619</v>
      </c>
      <c r="J82" s="42"/>
      <c r="K82" s="45" t="n">
        <v>0</v>
      </c>
    </row>
    <row r="83" customFormat="false" ht="30" hidden="false" customHeight="true" outlineLevel="0" collapsed="false">
      <c r="A83" s="31" t="n">
        <v>75</v>
      </c>
      <c r="B83" s="42" t="s">
        <v>488</v>
      </c>
      <c r="C83" s="42" t="s">
        <v>66</v>
      </c>
      <c r="D83" s="42" t="s">
        <v>971</v>
      </c>
      <c r="E83" s="34" t="s">
        <v>459</v>
      </c>
      <c r="F83" s="43" t="s">
        <v>459</v>
      </c>
      <c r="G83" s="31" t="s">
        <v>110</v>
      </c>
      <c r="H83" s="44" t="s">
        <v>461</v>
      </c>
      <c r="I83" s="42" t="s">
        <v>2619</v>
      </c>
      <c r="J83" s="42"/>
      <c r="K83" s="45" t="n">
        <v>0</v>
      </c>
    </row>
    <row r="84" customFormat="false" ht="15" hidden="false" customHeight="true" outlineLevel="0" collapsed="false">
      <c r="A84" s="31" t="n">
        <v>76</v>
      </c>
      <c r="B84" s="42" t="s">
        <v>933</v>
      </c>
      <c r="C84" s="42" t="s">
        <v>66</v>
      </c>
      <c r="D84" s="42" t="s">
        <v>972</v>
      </c>
      <c r="E84" s="34" t="s">
        <v>459</v>
      </c>
      <c r="F84" s="43" t="s">
        <v>459</v>
      </c>
      <c r="G84" s="31" t="s">
        <v>110</v>
      </c>
      <c r="H84" s="44" t="s">
        <v>461</v>
      </c>
      <c r="I84" s="42" t="s">
        <v>2619</v>
      </c>
      <c r="J84" s="42"/>
      <c r="K84" s="45" t="n">
        <v>0</v>
      </c>
    </row>
    <row r="85" customFormat="false" ht="30" hidden="false" customHeight="true" outlineLevel="0" collapsed="false">
      <c r="A85" s="31" t="n">
        <v>77</v>
      </c>
      <c r="B85" s="42" t="s">
        <v>933</v>
      </c>
      <c r="C85" s="42" t="s">
        <v>66</v>
      </c>
      <c r="D85" s="42" t="s">
        <v>973</v>
      </c>
      <c r="E85" s="34" t="s">
        <v>459</v>
      </c>
      <c r="F85" s="43" t="s">
        <v>459</v>
      </c>
      <c r="G85" s="31" t="s">
        <v>110</v>
      </c>
      <c r="H85" s="44" t="s">
        <v>461</v>
      </c>
      <c r="I85" s="42" t="s">
        <v>2619</v>
      </c>
      <c r="J85" s="42"/>
      <c r="K85" s="45" t="n">
        <v>0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2626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88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2627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2627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67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2627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67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2627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67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2627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67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2627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67</v>
      </c>
      <c r="D15" s="42" t="s">
        <v>2628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2627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67</v>
      </c>
      <c r="D16" s="42" t="s">
        <v>2629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2627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67</v>
      </c>
      <c r="D17" s="42" t="s">
        <v>2630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2627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67</v>
      </c>
      <c r="D18" s="42" t="s">
        <v>2631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2627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475</v>
      </c>
      <c r="C19" s="42" t="s">
        <v>476</v>
      </c>
      <c r="D19" s="42" t="s">
        <v>477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2627</v>
      </c>
      <c r="J19" s="42"/>
      <c r="K19" s="45" t="n">
        <f aca="false">IF(AND(E20="yes",F20="yes",H20="covered"),1,IF(H20="partial",0.5,0))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478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2627</v>
      </c>
      <c r="J20" s="42"/>
      <c r="K20" s="45" t="n">
        <f aca="false">IF(AND(E21="yes",F21="yes",H21="covered"),1,IF(H21="partial",0.5,0))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479</v>
      </c>
      <c r="C21" s="42" t="s">
        <v>476</v>
      </c>
      <c r="D21" s="42" t="s">
        <v>480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2627</v>
      </c>
      <c r="J21" s="42"/>
      <c r="K21" s="45" t="n">
        <f aca="false">IF(AND(E22="yes",F22="yes",H22="covered"),1,IF(H22="partial",0.5,0))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481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2627</v>
      </c>
      <c r="J22" s="42"/>
      <c r="K22" s="45" t="n">
        <f aca="false">IF(AND(E23="yes",F23="yes",H23="covered"),1,IF(H23="partial",0.5,0))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457</v>
      </c>
      <c r="C23" s="42" t="s">
        <v>476</v>
      </c>
      <c r="D23" s="42" t="s">
        <v>482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2627</v>
      </c>
      <c r="J23" s="42"/>
      <c r="K23" s="45" t="n">
        <f aca="false">IF(AND(E24="yes",F24="yes",H24="covered"),1,IF(H24="partial",0.5,0))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774</v>
      </c>
      <c r="C24" s="42" t="s">
        <v>476</v>
      </c>
      <c r="D24" s="42" t="s">
        <v>775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2627</v>
      </c>
      <c r="J24" s="42"/>
      <c r="K24" s="45" t="n">
        <f aca="false">IF(AND(E25="yes",F25="yes",H25="covered"),1,IF(H25="partial",0.5,0))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483</v>
      </c>
      <c r="C25" s="42" t="s">
        <v>476</v>
      </c>
      <c r="D25" s="42" t="s">
        <v>484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2627</v>
      </c>
      <c r="J25" s="42"/>
      <c r="K25" s="45" t="n">
        <f aca="false">IF(AND(E26="yes",F26="yes",H26="covered"),1,IF(H26="partial",0.5,0))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483</v>
      </c>
      <c r="C26" s="42" t="s">
        <v>476</v>
      </c>
      <c r="D26" s="42" t="s">
        <v>485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2627</v>
      </c>
      <c r="J26" s="42"/>
      <c r="K26" s="45" t="n">
        <f aca="false">IF(AND(E27="yes",F27="yes",H27="covered"),1,IF(H27="partial",0.5,0))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486</v>
      </c>
      <c r="C27" s="42" t="s">
        <v>476</v>
      </c>
      <c r="D27" s="42" t="s">
        <v>495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2627</v>
      </c>
      <c r="J27" s="42"/>
      <c r="K27" s="45" t="n">
        <f aca="false">IF(AND(E28="yes",F28="yes",H28="covered"),1,IF(H28="partial",0.5,0))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475</v>
      </c>
      <c r="C28" s="42" t="s">
        <v>1298</v>
      </c>
      <c r="D28" s="42" t="s">
        <v>477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2627</v>
      </c>
      <c r="J28" s="42"/>
      <c r="K28" s="45" t="n">
        <f aca="false">IF(AND(E29="yes",F29="yes",H29="covered"),1,IF(H29="partial",0.5,0))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475</v>
      </c>
      <c r="C29" s="42" t="s">
        <v>1298</v>
      </c>
      <c r="D29" s="42" t="s">
        <v>478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2627</v>
      </c>
      <c r="J29" s="42"/>
      <c r="K29" s="45" t="n">
        <f aca="false">IF(AND(E30="yes",F30="yes",H30="covered"),1,IF(H30="partial",0.5,0))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479</v>
      </c>
      <c r="C30" s="42" t="s">
        <v>1298</v>
      </c>
      <c r="D30" s="42" t="s">
        <v>480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2627</v>
      </c>
      <c r="J30" s="42"/>
      <c r="K30" s="45" t="n">
        <f aca="false">IF(AND(E31="yes",F31="yes",H31="covered"),1,IF(H31="partial",0.5,0))</f>
        <v>1</v>
      </c>
    </row>
    <row r="31" customFormat="false" ht="30" hidden="false" customHeight="true" outlineLevel="0" collapsed="false">
      <c r="A31" s="31" t="n">
        <v>23</v>
      </c>
      <c r="B31" s="42" t="s">
        <v>479</v>
      </c>
      <c r="C31" s="42" t="s">
        <v>1298</v>
      </c>
      <c r="D31" s="42" t="s">
        <v>481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2627</v>
      </c>
      <c r="J31" s="42"/>
      <c r="K31" s="45" t="n">
        <f aca="false">IF(AND(E32="yes",F32="yes",H32="covered"),1,IF(H32="partial",0.5,0))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457</v>
      </c>
      <c r="C32" s="42" t="s">
        <v>1298</v>
      </c>
      <c r="D32" s="42" t="s">
        <v>482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2627</v>
      </c>
      <c r="J32" s="42"/>
      <c r="K32" s="45" t="n">
        <f aca="false">IF(AND(E33="yes",F33="yes",H33="covered"),1,IF(H33="partial",0.5,0))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774</v>
      </c>
      <c r="C33" s="42" t="s">
        <v>1298</v>
      </c>
      <c r="D33" s="42" t="s">
        <v>775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2627</v>
      </c>
      <c r="J33" s="42"/>
      <c r="K33" s="45" t="n">
        <f aca="false">IF(AND(E34="yes",F34="yes",H34="covered"),1,IF(H34="partial",0.5,0))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475</v>
      </c>
      <c r="C34" s="42" t="s">
        <v>1299</v>
      </c>
      <c r="D34" s="42" t="s">
        <v>477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2627</v>
      </c>
      <c r="J34" s="42"/>
      <c r="K34" s="45" t="n">
        <f aca="false">IF(AND(E35="yes",F35="yes",H35="covered"),1,IF(H35="partial",0.5,0))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475</v>
      </c>
      <c r="C35" s="42" t="s">
        <v>1299</v>
      </c>
      <c r="D35" s="42" t="s">
        <v>478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2627</v>
      </c>
      <c r="J35" s="42"/>
      <c r="K35" s="45" t="n">
        <f aca="false">IF(AND(E36="yes",F36="yes",H36="covered"),1,IF(H36="partial",0.5,0))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479</v>
      </c>
      <c r="C36" s="42" t="s">
        <v>1299</v>
      </c>
      <c r="D36" s="42" t="s">
        <v>480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2627</v>
      </c>
      <c r="J36" s="42"/>
      <c r="K36" s="45" t="n">
        <f aca="false">IF(AND(E37="yes",F37="yes",H37="covered"),1,IF(H37="partial",0.5,0))</f>
        <v>1</v>
      </c>
    </row>
    <row r="37" customFormat="false" ht="30" hidden="false" customHeight="true" outlineLevel="0" collapsed="false">
      <c r="A37" s="31" t="n">
        <v>29</v>
      </c>
      <c r="B37" s="42" t="s">
        <v>479</v>
      </c>
      <c r="C37" s="42" t="s">
        <v>1299</v>
      </c>
      <c r="D37" s="42" t="s">
        <v>481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2627</v>
      </c>
      <c r="J37" s="42"/>
      <c r="K37" s="45" t="n">
        <f aca="false">IF(AND(E38="yes",F38="yes",H38="covered"),1,IF(H38="partial",0.5,0))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457</v>
      </c>
      <c r="C38" s="42" t="s">
        <v>1299</v>
      </c>
      <c r="D38" s="42" t="s">
        <v>482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2627</v>
      </c>
      <c r="J38" s="42"/>
      <c r="K38" s="45" t="n">
        <f aca="false">IF(AND(E39="yes",F39="yes",H39="covered"),1,IF(H39="partial",0.5,0))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774</v>
      </c>
      <c r="C39" s="42" t="s">
        <v>1299</v>
      </c>
      <c r="D39" s="42" t="s">
        <v>775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2627</v>
      </c>
      <c r="J39" s="42"/>
      <c r="K39" s="45" t="n">
        <f aca="false">IF(AND(E40="yes",F40="yes",H40="covered"),1,IF(H40="partial",0.5,0))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475</v>
      </c>
      <c r="C40" s="42" t="s">
        <v>1300</v>
      </c>
      <c r="D40" s="42" t="s">
        <v>477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2627</v>
      </c>
      <c r="J40" s="42"/>
      <c r="K40" s="45" t="n">
        <f aca="false">IF(AND(E41="yes",F41="yes",H41="covered"),1,IF(H41="partial",0.5,0))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475</v>
      </c>
      <c r="C41" s="42" t="s">
        <v>1300</v>
      </c>
      <c r="D41" s="42" t="s">
        <v>478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2627</v>
      </c>
      <c r="J41" s="42"/>
      <c r="K41" s="45" t="n">
        <f aca="false">IF(AND(E42="yes",F42="yes",H42="covered"),1,IF(H42="partial",0.5,0))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479</v>
      </c>
      <c r="C42" s="42" t="s">
        <v>1300</v>
      </c>
      <c r="D42" s="42" t="s">
        <v>480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2627</v>
      </c>
      <c r="J42" s="42"/>
      <c r="K42" s="45" t="n">
        <f aca="false">IF(AND(E43="yes",F43="yes",H43="covered"),1,IF(H43="partial",0.5,0))</f>
        <v>1</v>
      </c>
    </row>
    <row r="43" customFormat="false" ht="30" hidden="false" customHeight="true" outlineLevel="0" collapsed="false">
      <c r="A43" s="31" t="n">
        <v>35</v>
      </c>
      <c r="B43" s="42" t="s">
        <v>479</v>
      </c>
      <c r="C43" s="42" t="s">
        <v>1300</v>
      </c>
      <c r="D43" s="42" t="s">
        <v>481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2627</v>
      </c>
      <c r="J43" s="42"/>
      <c r="K43" s="45" t="n">
        <f aca="false">IF(AND(E44="yes",F44="yes",H44="covered"),1,IF(H44="partial",0.5,0))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457</v>
      </c>
      <c r="C44" s="42" t="s">
        <v>1300</v>
      </c>
      <c r="D44" s="42" t="s">
        <v>482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2627</v>
      </c>
      <c r="J44" s="42"/>
      <c r="K44" s="45" t="n">
        <f aca="false">IF(AND(E45="yes",F45="yes",H45="covered"),1,IF(H45="partial",0.5,0))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774</v>
      </c>
      <c r="C45" s="42" t="s">
        <v>1300</v>
      </c>
      <c r="D45" s="42" t="s">
        <v>775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2627</v>
      </c>
      <c r="J45" s="42"/>
      <c r="K45" s="45" t="n">
        <f aca="false">IF(AND(E46="yes",F46="yes",H46="covered"),1,IF(H46="partial",0.5,0))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475</v>
      </c>
      <c r="C46" s="42" t="s">
        <v>1306</v>
      </c>
      <c r="D46" s="42" t="s">
        <v>477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2627</v>
      </c>
      <c r="J46" s="42"/>
      <c r="K46" s="45" t="n">
        <f aca="false">IF(AND(E47="yes",F47="yes",H47="covered"),1,IF(H47="partial",0.5,0))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475</v>
      </c>
      <c r="C47" s="42" t="s">
        <v>1306</v>
      </c>
      <c r="D47" s="42" t="s">
        <v>478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2627</v>
      </c>
      <c r="J47" s="42"/>
      <c r="K47" s="45" t="n">
        <f aca="false">IF(AND(E48="yes",F48="yes",H48="covered"),1,IF(H48="partial",0.5,0))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479</v>
      </c>
      <c r="C48" s="42" t="s">
        <v>1306</v>
      </c>
      <c r="D48" s="42" t="s">
        <v>480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2627</v>
      </c>
      <c r="J48" s="42"/>
      <c r="K48" s="45" t="n">
        <f aca="false">IF(AND(E49="yes",F49="yes",H49="covered"),1,IF(H49="partial",0.5,0))</f>
        <v>1</v>
      </c>
    </row>
    <row r="49" customFormat="false" ht="30" hidden="false" customHeight="true" outlineLevel="0" collapsed="false">
      <c r="A49" s="31" t="n">
        <v>41</v>
      </c>
      <c r="B49" s="42" t="s">
        <v>479</v>
      </c>
      <c r="C49" s="42" t="s">
        <v>1306</v>
      </c>
      <c r="D49" s="42" t="s">
        <v>481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2627</v>
      </c>
      <c r="J49" s="42"/>
      <c r="K49" s="45" t="n">
        <f aca="false">IF(AND(E50="yes",F50="yes",H50="covered"),1,IF(H50="partial",0.5,0))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457</v>
      </c>
      <c r="C50" s="42" t="s">
        <v>1306</v>
      </c>
      <c r="D50" s="42" t="s">
        <v>482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2627</v>
      </c>
      <c r="J50" s="42"/>
      <c r="K50" s="45" t="n">
        <f aca="false">IF(AND(E51="yes",F51="yes",H51="covered"),1,IF(H51="partial",0.5,0))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774</v>
      </c>
      <c r="C51" s="42" t="s">
        <v>1306</v>
      </c>
      <c r="D51" s="42" t="s">
        <v>775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2627</v>
      </c>
      <c r="J51" s="42"/>
      <c r="K51" s="45" t="n">
        <f aca="false">IF(AND(E52="yes",F52="yes",H52="covered"),1,IF(H52="partial",0.5,0))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475</v>
      </c>
      <c r="C52" s="42" t="s">
        <v>2632</v>
      </c>
      <c r="D52" s="42" t="s">
        <v>477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2627</v>
      </c>
      <c r="J52" s="42"/>
      <c r="K52" s="45" t="n">
        <f aca="false">IF(AND(E53="yes",F53="yes",H53="covered"),1,IF(H53="partial",0.5,0))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475</v>
      </c>
      <c r="C53" s="42" t="s">
        <v>2632</v>
      </c>
      <c r="D53" s="42" t="s">
        <v>478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2627</v>
      </c>
      <c r="J53" s="42"/>
      <c r="K53" s="45" t="n">
        <f aca="false">IF(AND(E54="yes",F54="yes",H54="covered"),1,IF(H54="partial",0.5,0))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479</v>
      </c>
      <c r="C54" s="42" t="s">
        <v>2632</v>
      </c>
      <c r="D54" s="42" t="s">
        <v>480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2627</v>
      </c>
      <c r="J54" s="42"/>
      <c r="K54" s="45" t="n">
        <f aca="false">IF(AND(E55="yes",F55="yes",H55="covered"),1,IF(H55="partial",0.5,0))</f>
        <v>1</v>
      </c>
    </row>
    <row r="55" customFormat="false" ht="30" hidden="false" customHeight="true" outlineLevel="0" collapsed="false">
      <c r="A55" s="31" t="n">
        <v>47</v>
      </c>
      <c r="B55" s="42" t="s">
        <v>479</v>
      </c>
      <c r="C55" s="42" t="s">
        <v>2632</v>
      </c>
      <c r="D55" s="42" t="s">
        <v>481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2627</v>
      </c>
      <c r="J55" s="42"/>
      <c r="K55" s="45" t="n">
        <f aca="false">IF(AND(E56="yes",F56="yes",H56="covered"),1,IF(H56="partial",0.5,0))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457</v>
      </c>
      <c r="C56" s="42" t="s">
        <v>2632</v>
      </c>
      <c r="D56" s="42" t="s">
        <v>482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2627</v>
      </c>
      <c r="J56" s="42"/>
      <c r="K56" s="45" t="n">
        <f aca="false">IF(AND(E57="yes",F57="yes",H57="covered"),1,IF(H57="partial",0.5,0))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774</v>
      </c>
      <c r="C57" s="42" t="s">
        <v>2632</v>
      </c>
      <c r="D57" s="42" t="s">
        <v>775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2627</v>
      </c>
      <c r="J57" s="42"/>
      <c r="K57" s="45" t="n">
        <f aca="false">IF(AND(E58="yes",F58="yes",H58="covered"),1,IF(H58="partial",0.5,0))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486</v>
      </c>
      <c r="C58" s="42" t="s">
        <v>2632</v>
      </c>
      <c r="D58" s="42" t="s">
        <v>2633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2627</v>
      </c>
      <c r="J58" s="42"/>
      <c r="K58" s="45" t="n">
        <f aca="false">IF(AND(E59="yes",F59="yes",H59="covered"),1,IF(H59="partial",0.5,0))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486</v>
      </c>
      <c r="C59" s="42" t="s">
        <v>2632</v>
      </c>
      <c r="D59" s="42" t="s">
        <v>1305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2627</v>
      </c>
      <c r="J59" s="42"/>
      <c r="K59" s="45" t="n">
        <f aca="false">IF(AND(E60="yes",F60="yes",H60="covered"),1,IF(H60="partial",0.5,0))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483</v>
      </c>
      <c r="C60" s="42" t="s">
        <v>2632</v>
      </c>
      <c r="D60" s="42" t="s">
        <v>484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2627</v>
      </c>
      <c r="J60" s="42"/>
      <c r="K60" s="45" t="n">
        <f aca="false">IF(AND(E61="yes",F61="yes",H61="covered"),1,IF(H61="partial",0.5,0))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483</v>
      </c>
      <c r="C61" s="42" t="s">
        <v>2632</v>
      </c>
      <c r="D61" s="42" t="s">
        <v>485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2627</v>
      </c>
      <c r="J61" s="42"/>
      <c r="K61" s="45" t="n">
        <f aca="false">IF(AND(E62="yes",F62="yes",H62="covered"),1,IF(H62="partial",0.5,0))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486</v>
      </c>
      <c r="C62" s="42" t="s">
        <v>2632</v>
      </c>
      <c r="D62" s="42" t="s">
        <v>495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2627</v>
      </c>
      <c r="J62" s="42"/>
      <c r="K62" s="45" t="n">
        <f aca="false">IF(AND(E63="yes",F63="yes",H63="covered"),1,IF(H63="partial",0.5,0))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486</v>
      </c>
      <c r="C63" s="42" t="s">
        <v>2632</v>
      </c>
      <c r="D63" s="42" t="s">
        <v>2634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2627</v>
      </c>
      <c r="J63" s="42"/>
      <c r="K63" s="45" t="n">
        <f aca="false">IF(AND(E64="yes",F64="yes",H64="covered"),1,IF(H64="partial",0.5,0))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475</v>
      </c>
      <c r="C64" s="42" t="s">
        <v>503</v>
      </c>
      <c r="D64" s="42" t="s">
        <v>477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2627</v>
      </c>
      <c r="J64" s="42"/>
      <c r="K64" s="45" t="n">
        <f aca="false">IF(AND(E65="yes",F65="yes",H65="covered"),1,IF(H65="partial",0.5,0))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475</v>
      </c>
      <c r="C65" s="42" t="s">
        <v>503</v>
      </c>
      <c r="D65" s="42" t="s">
        <v>478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2627</v>
      </c>
      <c r="J65" s="42"/>
      <c r="K65" s="45" t="n">
        <f aca="false">IF(AND(E66="yes",F66="yes",H66="covered"),1,IF(H66="partial",0.5,0))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479</v>
      </c>
      <c r="C66" s="42" t="s">
        <v>503</v>
      </c>
      <c r="D66" s="42" t="s">
        <v>480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2627</v>
      </c>
      <c r="J66" s="42"/>
      <c r="K66" s="45" t="n">
        <f aca="false">IF(AND(E67="yes",F67="yes",H67="covered"),1,IF(H67="partial",0.5,0))</f>
        <v>1</v>
      </c>
    </row>
    <row r="67" customFormat="false" ht="30" hidden="false" customHeight="true" outlineLevel="0" collapsed="false">
      <c r="A67" s="31" t="n">
        <v>59</v>
      </c>
      <c r="B67" s="42" t="s">
        <v>479</v>
      </c>
      <c r="C67" s="42" t="s">
        <v>503</v>
      </c>
      <c r="D67" s="42" t="s">
        <v>481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2627</v>
      </c>
      <c r="J67" s="42"/>
      <c r="K67" s="45" t="n">
        <f aca="false">IF(AND(E68="yes",F68="yes",H68="covered"),1,IF(H68="partial",0.5,0))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457</v>
      </c>
      <c r="C68" s="42" t="s">
        <v>503</v>
      </c>
      <c r="D68" s="42" t="s">
        <v>482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2627</v>
      </c>
      <c r="J68" s="42"/>
      <c r="K68" s="45" t="n">
        <f aca="false">IF(AND(E69="yes",F69="yes",H69="covered"),1,IF(H69="partial",0.5,0))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774</v>
      </c>
      <c r="C69" s="42" t="s">
        <v>503</v>
      </c>
      <c r="D69" s="42" t="s">
        <v>775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2627</v>
      </c>
      <c r="J69" s="42"/>
      <c r="K69" s="45" t="n">
        <f aca="false">IF(AND(E70="yes",F70="yes",H70="covered"),1,IF(H70="partial",0.5,0))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475</v>
      </c>
      <c r="C70" s="42" t="s">
        <v>1307</v>
      </c>
      <c r="D70" s="42" t="s">
        <v>477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2627</v>
      </c>
      <c r="J70" s="42"/>
      <c r="K70" s="45" t="n">
        <f aca="false">IF(AND(E71="yes",F71="yes",H71="covered"),1,IF(H71="partial",0.5,0))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475</v>
      </c>
      <c r="C71" s="42" t="s">
        <v>1307</v>
      </c>
      <c r="D71" s="42" t="s">
        <v>478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2627</v>
      </c>
      <c r="J71" s="42"/>
      <c r="K71" s="45" t="n">
        <f aca="false">IF(AND(E72="yes",F72="yes",H72="covered"),1,IF(H72="partial",0.5,0))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479</v>
      </c>
      <c r="C72" s="42" t="s">
        <v>1307</v>
      </c>
      <c r="D72" s="42" t="s">
        <v>480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2627</v>
      </c>
      <c r="J72" s="42"/>
      <c r="K72" s="45" t="n">
        <f aca="false">IF(AND(E73="yes",F73="yes",H73="covered"),1,IF(H73="partial",0.5,0))</f>
        <v>1</v>
      </c>
    </row>
    <row r="73" customFormat="false" ht="30" hidden="false" customHeight="true" outlineLevel="0" collapsed="false">
      <c r="A73" s="31" t="n">
        <v>65</v>
      </c>
      <c r="B73" s="42" t="s">
        <v>479</v>
      </c>
      <c r="C73" s="42" t="s">
        <v>1307</v>
      </c>
      <c r="D73" s="42" t="s">
        <v>481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2627</v>
      </c>
      <c r="J73" s="42"/>
      <c r="K73" s="45" t="n">
        <f aca="false">IF(AND(E74="yes",F74="yes",H74="covered"),1,IF(H74="partial",0.5,0))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457</v>
      </c>
      <c r="C74" s="42" t="s">
        <v>1307</v>
      </c>
      <c r="D74" s="42" t="s">
        <v>482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2627</v>
      </c>
      <c r="J74" s="42"/>
      <c r="K74" s="45" t="n">
        <f aca="false">IF(AND(E75="yes",F75="yes",H75="covered"),1,IF(H75="partial",0.5,0))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774</v>
      </c>
      <c r="C75" s="42" t="s">
        <v>1307</v>
      </c>
      <c r="D75" s="42" t="s">
        <v>775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2627</v>
      </c>
      <c r="J75" s="42"/>
      <c r="K75" s="45" t="n">
        <f aca="false">IF(AND(E76="yes",F76="yes",H76="covered"),1,IF(H76="partial",0.5,0))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505</v>
      </c>
      <c r="C76" s="42" t="s">
        <v>506</v>
      </c>
      <c r="D76" s="42" t="s">
        <v>783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2627</v>
      </c>
      <c r="J76" s="42"/>
      <c r="K76" s="45" t="n">
        <f aca="false">IF(AND(E77="yes",F77="yes",H77="covered"),1,IF(H77="partial",0.5,0))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505</v>
      </c>
      <c r="C77" s="42" t="s">
        <v>506</v>
      </c>
      <c r="D77" s="42" t="s">
        <v>510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2627</v>
      </c>
      <c r="J77" s="42"/>
      <c r="K77" s="45" t="n">
        <f aca="false">IF(AND(E78="yes",F78="yes",H78="covered"),1,IF(H78="partial",0.5,0))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505</v>
      </c>
      <c r="C78" s="42" t="s">
        <v>506</v>
      </c>
      <c r="D78" s="42" t="s">
        <v>1315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2627</v>
      </c>
      <c r="J78" s="42"/>
      <c r="K78" s="45" t="n">
        <f aca="false">IF(AND(E79="yes",F79="yes",H79="covered"),1,IF(H79="partial",0.5,0))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511</v>
      </c>
      <c r="C79" s="42" t="s">
        <v>506</v>
      </c>
      <c r="D79" s="42" t="s">
        <v>514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2627</v>
      </c>
      <c r="J79" s="42"/>
      <c r="K79" s="45" t="n">
        <f aca="false">IF(AND(E80="yes",F80="yes",H80="covered"),1,IF(H80="partial",0.5,0))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511</v>
      </c>
      <c r="C80" s="42" t="s">
        <v>506</v>
      </c>
      <c r="D80" s="42" t="s">
        <v>1325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2627</v>
      </c>
      <c r="J80" s="42"/>
      <c r="K80" s="45" t="n">
        <f aca="false">IF(AND(E81="yes",F81="yes",H81="covered"),1,IF(H81="partial",0.5,0))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483</v>
      </c>
      <c r="C81" s="42" t="s">
        <v>67</v>
      </c>
      <c r="D81" s="42" t="s">
        <v>516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2627</v>
      </c>
      <c r="J81" s="42"/>
      <c r="K81" s="45" t="n">
        <f aca="false">IF(AND(E82="yes",F82="yes",H82="covered"),1,IF(H82="partial",0.5,0))</f>
        <v>1</v>
      </c>
    </row>
    <row r="82" customFormat="false" ht="30" hidden="false" customHeight="true" outlineLevel="0" collapsed="false">
      <c r="A82" s="31" t="n">
        <v>74</v>
      </c>
      <c r="B82" s="42" t="s">
        <v>483</v>
      </c>
      <c r="C82" s="42" t="s">
        <v>67</v>
      </c>
      <c r="D82" s="42" t="s">
        <v>517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2627</v>
      </c>
      <c r="J82" s="42"/>
      <c r="K82" s="45" t="n">
        <f aca="false">IF(AND(E83="yes",F83="yes",H83="covered"),1,IF(H83="partial",0.5,0))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483</v>
      </c>
      <c r="C83" s="42" t="s">
        <v>67</v>
      </c>
      <c r="D83" s="42" t="s">
        <v>519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2627</v>
      </c>
      <c r="J83" s="42"/>
      <c r="K83" s="45" t="n">
        <f aca="false">IF(AND(E85="yes",F85="yes",H85="covered"),1,IF(H85="partial",0.5,0))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483</v>
      </c>
      <c r="C84" s="42" t="s">
        <v>67</v>
      </c>
      <c r="D84" s="42" t="s">
        <v>520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2627</v>
      </c>
      <c r="J84" s="42"/>
      <c r="K84" s="45" t="n">
        <f aca="false">IF(AND(E86="yes",F86="yes",H86="covered"),1,IF(H86="partial",0.5,0))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483</v>
      </c>
      <c r="C85" s="42" t="s">
        <v>1299</v>
      </c>
      <c r="D85" s="42" t="s">
        <v>484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2627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483</v>
      </c>
      <c r="C86" s="42" t="s">
        <v>1299</v>
      </c>
      <c r="D86" s="42" t="s">
        <v>485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2627</v>
      </c>
      <c r="J86" s="42"/>
      <c r="K86" s="45" t="n">
        <f aca="false">IF(AND(E86="yes",F86="yes",H86="covered"),1,IF(H86="partial",0.5,0))</f>
        <v>1</v>
      </c>
    </row>
    <row r="87" customFormat="false" ht="22.5" hidden="false" customHeight="true" outlineLevel="0" collapsed="false">
      <c r="A87" s="31" t="n">
        <v>79</v>
      </c>
      <c r="B87" s="42" t="s">
        <v>483</v>
      </c>
      <c r="C87" s="42" t="s">
        <v>503</v>
      </c>
      <c r="D87" s="42" t="s">
        <v>484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2627</v>
      </c>
      <c r="J87" s="42"/>
      <c r="K87" s="45" t="n">
        <f aca="false">IF(AND(E87="yes",F87="yes",H87="covered"),1,IF(H87="partial",0.5,0))</f>
        <v>1</v>
      </c>
    </row>
    <row r="88" customFormat="false" ht="22.5" hidden="false" customHeight="true" outlineLevel="0" collapsed="false">
      <c r="A88" s="31" t="n">
        <v>80</v>
      </c>
      <c r="B88" s="42" t="s">
        <v>483</v>
      </c>
      <c r="C88" s="42" t="s">
        <v>503</v>
      </c>
      <c r="D88" s="42" t="s">
        <v>485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2627</v>
      </c>
      <c r="J88" s="42"/>
      <c r="K88" s="45" t="n">
        <f aca="false">IF(AND(E88="yes",F88="yes",H88="covered"),1,IF(H88="partial",0.5,0))</f>
        <v>1</v>
      </c>
    </row>
    <row r="89" customFormat="false" ht="22.5" hidden="false" customHeight="true" outlineLevel="0" collapsed="false">
      <c r="A89" s="31" t="n">
        <v>81</v>
      </c>
      <c r="B89" s="42" t="s">
        <v>483</v>
      </c>
      <c r="C89" s="42" t="s">
        <v>1298</v>
      </c>
      <c r="D89" s="42" t="s">
        <v>484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2627</v>
      </c>
      <c r="J89" s="42"/>
      <c r="K89" s="45" t="n">
        <f aca="false">IF(AND(E89="yes",F89="yes",H89="covered"),1,IF(H89="partial",0.5,0))</f>
        <v>1</v>
      </c>
    </row>
    <row r="90" customFormat="false" ht="22.5" hidden="false" customHeight="true" outlineLevel="0" collapsed="false">
      <c r="A90" s="31" t="n">
        <v>82</v>
      </c>
      <c r="B90" s="42" t="s">
        <v>483</v>
      </c>
      <c r="C90" s="42" t="s">
        <v>1298</v>
      </c>
      <c r="D90" s="42" t="s">
        <v>485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2627</v>
      </c>
      <c r="J90" s="42"/>
      <c r="K90" s="45" t="n">
        <f aca="false">IF(AND(E90="yes",F90="yes",H90="covered"),1,IF(H90="partial",0.5,0))</f>
        <v>1</v>
      </c>
    </row>
    <row r="91" customFormat="false" ht="22.5" hidden="false" customHeight="true" outlineLevel="0" collapsed="false">
      <c r="A91" s="31" t="n">
        <v>83</v>
      </c>
      <c r="B91" s="42" t="s">
        <v>483</v>
      </c>
      <c r="C91" s="42" t="s">
        <v>1306</v>
      </c>
      <c r="D91" s="42" t="s">
        <v>484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2627</v>
      </c>
      <c r="J91" s="42"/>
      <c r="K91" s="45" t="n">
        <f aca="false">IF(AND(E91="yes",F91="yes",H91="covered"),1,IF(H91="partial",0.5,0))</f>
        <v>1</v>
      </c>
    </row>
    <row r="92" customFormat="false" ht="22.5" hidden="false" customHeight="true" outlineLevel="0" collapsed="false">
      <c r="A92" s="31" t="n">
        <v>84</v>
      </c>
      <c r="B92" s="42" t="s">
        <v>483</v>
      </c>
      <c r="C92" s="42" t="s">
        <v>1306</v>
      </c>
      <c r="D92" s="42" t="s">
        <v>485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2627</v>
      </c>
      <c r="J92" s="42"/>
      <c r="K92" s="45" t="n">
        <f aca="false">IF(AND(E92="yes",F92="yes",H92="covered"),1,IF(H92="partial",0.5,0))</f>
        <v>1</v>
      </c>
    </row>
    <row r="93" customFormat="false" ht="22.5" hidden="false" customHeight="true" outlineLevel="0" collapsed="false">
      <c r="A93" s="31" t="n">
        <v>85</v>
      </c>
      <c r="B93" s="42" t="s">
        <v>483</v>
      </c>
      <c r="C93" s="42" t="s">
        <v>1307</v>
      </c>
      <c r="D93" s="42" t="s">
        <v>484</v>
      </c>
      <c r="E93" s="34" t="s">
        <v>459</v>
      </c>
      <c r="F93" s="43" t="s">
        <v>459</v>
      </c>
      <c r="G93" s="31" t="s">
        <v>543</v>
      </c>
      <c r="H93" s="44" t="s">
        <v>461</v>
      </c>
      <c r="I93" s="42" t="s">
        <v>2627</v>
      </c>
      <c r="J93" s="42"/>
      <c r="K93" s="45" t="n">
        <f aca="false">IF(AND(E93="yes",F93="yes",H93="covered"),1,IF(H93="partial",0.5,0))</f>
        <v>1</v>
      </c>
    </row>
    <row r="94" customFormat="false" ht="22.5" hidden="false" customHeight="true" outlineLevel="0" collapsed="false">
      <c r="A94" s="31" t="n">
        <v>86</v>
      </c>
      <c r="B94" s="42" t="s">
        <v>483</v>
      </c>
      <c r="C94" s="42" t="s">
        <v>1307</v>
      </c>
      <c r="D94" s="42" t="s">
        <v>485</v>
      </c>
      <c r="E94" s="34" t="s">
        <v>459</v>
      </c>
      <c r="F94" s="43" t="s">
        <v>459</v>
      </c>
      <c r="G94" s="31" t="s">
        <v>543</v>
      </c>
      <c r="H94" s="44" t="s">
        <v>461</v>
      </c>
      <c r="I94" s="42" t="s">
        <v>2627</v>
      </c>
      <c r="J94" s="42"/>
      <c r="K94" s="45" t="n">
        <f aca="false">IF(AND(E94="yes",F94="yes",H94="covered"),1,IF(H94="partial",0.5,0))</f>
        <v>1</v>
      </c>
    </row>
    <row r="95" customFormat="false" ht="22.5" hidden="false" customHeight="true" outlineLevel="0" collapsed="false">
      <c r="A95" s="31" t="n">
        <v>87</v>
      </c>
      <c r="B95" s="42" t="s">
        <v>483</v>
      </c>
      <c r="C95" s="42" t="s">
        <v>1300</v>
      </c>
      <c r="D95" s="42" t="s">
        <v>484</v>
      </c>
      <c r="E95" s="34" t="s">
        <v>459</v>
      </c>
      <c r="F95" s="43" t="s">
        <v>459</v>
      </c>
      <c r="G95" s="31" t="s">
        <v>543</v>
      </c>
      <c r="H95" s="44" t="s">
        <v>461</v>
      </c>
      <c r="I95" s="42" t="s">
        <v>2627</v>
      </c>
      <c r="J95" s="42"/>
      <c r="K95" s="45" t="n">
        <f aca="false">IF(AND(E95="yes",F95="yes",H95="covered"),1,IF(H95="partial",0.5,0))</f>
        <v>1</v>
      </c>
    </row>
    <row r="96" customFormat="false" ht="22.5" hidden="false" customHeight="true" outlineLevel="0" collapsed="false">
      <c r="A96" s="31" t="n">
        <v>88</v>
      </c>
      <c r="B96" s="42" t="s">
        <v>483</v>
      </c>
      <c r="C96" s="42" t="s">
        <v>1300</v>
      </c>
      <c r="D96" s="42" t="s">
        <v>485</v>
      </c>
      <c r="E96" s="34" t="s">
        <v>459</v>
      </c>
      <c r="F96" s="43" t="s">
        <v>459</v>
      </c>
      <c r="G96" s="31" t="s">
        <v>543</v>
      </c>
      <c r="H96" s="44" t="s">
        <v>461</v>
      </c>
      <c r="I96" s="42" t="s">
        <v>2627</v>
      </c>
      <c r="J96" s="42"/>
      <c r="K96" s="45" t="n">
        <f aca="false">IF(AND(E96="yes",F96="yes",H96="covered"),1,IF(H96="partial",0.5,0))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2635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98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2636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2636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68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2636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68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2636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68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2636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68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2636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68</v>
      </c>
      <c r="D15" s="42" t="s">
        <v>2637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2636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68</v>
      </c>
      <c r="D16" s="42" t="s">
        <v>2638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2636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68</v>
      </c>
      <c r="D17" s="42" t="s">
        <v>2573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2636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68</v>
      </c>
      <c r="D18" s="42" t="s">
        <v>2639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2636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68</v>
      </c>
      <c r="D19" s="42" t="s">
        <v>2640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2636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475</v>
      </c>
      <c r="C20" s="42" t="s">
        <v>476</v>
      </c>
      <c r="D20" s="42" t="s">
        <v>477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2636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478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2636</v>
      </c>
      <c r="J21" s="42"/>
      <c r="K21" s="45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2" t="s">
        <v>479</v>
      </c>
      <c r="C22" s="42" t="s">
        <v>476</v>
      </c>
      <c r="D22" s="42" t="s">
        <v>480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2636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481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2636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457</v>
      </c>
      <c r="C24" s="42" t="s">
        <v>476</v>
      </c>
      <c r="D24" s="42" t="s">
        <v>482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2636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774</v>
      </c>
      <c r="C25" s="42" t="s">
        <v>476</v>
      </c>
      <c r="D25" s="42" t="s">
        <v>775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2636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488</v>
      </c>
      <c r="C26" s="42" t="s">
        <v>476</v>
      </c>
      <c r="D26" s="42" t="s">
        <v>489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2636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490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2636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491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2636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486</v>
      </c>
      <c r="C29" s="42" t="s">
        <v>476</v>
      </c>
      <c r="D29" s="42" t="s">
        <v>494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2636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488</v>
      </c>
      <c r="C30" s="42" t="s">
        <v>476</v>
      </c>
      <c r="D30" s="42" t="s">
        <v>2641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2636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1291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2636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495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2636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496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2636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475</v>
      </c>
      <c r="C34" s="42" t="s">
        <v>498</v>
      </c>
      <c r="D34" s="42" t="s">
        <v>477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2636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475</v>
      </c>
      <c r="C35" s="42" t="s">
        <v>498</v>
      </c>
      <c r="D35" s="42" t="s">
        <v>478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2636</v>
      </c>
      <c r="J35" s="42"/>
      <c r="K35" s="45" t="n">
        <f aca="false">IF(AND(E35="yes",F35="yes",H35="covered"),1,IF(H35="partial",0.5,0))</f>
        <v>1</v>
      </c>
    </row>
    <row r="36" customFormat="false" ht="30" hidden="false" customHeight="true" outlineLevel="0" collapsed="false">
      <c r="A36" s="31" t="n">
        <v>28</v>
      </c>
      <c r="B36" s="42" t="s">
        <v>479</v>
      </c>
      <c r="C36" s="42" t="s">
        <v>498</v>
      </c>
      <c r="D36" s="42" t="s">
        <v>480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2636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479</v>
      </c>
      <c r="C37" s="42" t="s">
        <v>498</v>
      </c>
      <c r="D37" s="42" t="s">
        <v>481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2636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457</v>
      </c>
      <c r="C38" s="42" t="s">
        <v>498</v>
      </c>
      <c r="D38" s="42" t="s">
        <v>482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2636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774</v>
      </c>
      <c r="C39" s="42" t="s">
        <v>498</v>
      </c>
      <c r="D39" s="42" t="s">
        <v>775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2636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488</v>
      </c>
      <c r="C40" s="42" t="s">
        <v>498</v>
      </c>
      <c r="D40" s="42" t="s">
        <v>489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2636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488</v>
      </c>
      <c r="C41" s="42" t="s">
        <v>498</v>
      </c>
      <c r="D41" s="42" t="s">
        <v>493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2636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483</v>
      </c>
      <c r="C42" s="42" t="s">
        <v>498</v>
      </c>
      <c r="D42" s="42" t="s">
        <v>484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2636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483</v>
      </c>
      <c r="C43" s="42" t="s">
        <v>498</v>
      </c>
      <c r="D43" s="42" t="s">
        <v>485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2636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486</v>
      </c>
      <c r="C44" s="42" t="s">
        <v>498</v>
      </c>
      <c r="D44" s="42" t="s">
        <v>495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2636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486</v>
      </c>
      <c r="C45" s="42" t="s">
        <v>498</v>
      </c>
      <c r="D45" s="42" t="s">
        <v>499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2636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488</v>
      </c>
      <c r="C46" s="42" t="s">
        <v>498</v>
      </c>
      <c r="D46" s="42" t="s">
        <v>497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2636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475</v>
      </c>
      <c r="C47" s="42" t="s">
        <v>500</v>
      </c>
      <c r="D47" s="42" t="s">
        <v>477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2636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475</v>
      </c>
      <c r="C48" s="42" t="s">
        <v>500</v>
      </c>
      <c r="D48" s="42" t="s">
        <v>478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2636</v>
      </c>
      <c r="J48" s="42"/>
      <c r="K48" s="45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31" t="n">
        <v>41</v>
      </c>
      <c r="B49" s="42" t="s">
        <v>479</v>
      </c>
      <c r="C49" s="42" t="s">
        <v>500</v>
      </c>
      <c r="D49" s="42" t="s">
        <v>480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2636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479</v>
      </c>
      <c r="C50" s="42" t="s">
        <v>500</v>
      </c>
      <c r="D50" s="42" t="s">
        <v>481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2636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457</v>
      </c>
      <c r="C51" s="42" t="s">
        <v>500</v>
      </c>
      <c r="D51" s="42" t="s">
        <v>482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2636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774</v>
      </c>
      <c r="C52" s="42" t="s">
        <v>500</v>
      </c>
      <c r="D52" s="42" t="s">
        <v>775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2636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488</v>
      </c>
      <c r="C53" s="42" t="s">
        <v>500</v>
      </c>
      <c r="D53" s="42" t="s">
        <v>489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2636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500</v>
      </c>
      <c r="D54" s="42" t="s">
        <v>501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2636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486</v>
      </c>
      <c r="C55" s="42" t="s">
        <v>500</v>
      </c>
      <c r="D55" s="42" t="s">
        <v>2431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2636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486</v>
      </c>
      <c r="C56" s="42" t="s">
        <v>500</v>
      </c>
      <c r="D56" s="42" t="s">
        <v>495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2636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486</v>
      </c>
      <c r="C57" s="42" t="s">
        <v>500</v>
      </c>
      <c r="D57" s="42" t="s">
        <v>499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2636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475</v>
      </c>
      <c r="C58" s="42" t="s">
        <v>43</v>
      </c>
      <c r="D58" s="42" t="s">
        <v>477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2636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475</v>
      </c>
      <c r="C59" s="42" t="s">
        <v>43</v>
      </c>
      <c r="D59" s="42" t="s">
        <v>478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2636</v>
      </c>
      <c r="J59" s="42"/>
      <c r="K59" s="45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31" t="n">
        <v>52</v>
      </c>
      <c r="B60" s="42" t="s">
        <v>479</v>
      </c>
      <c r="C60" s="42" t="s">
        <v>43</v>
      </c>
      <c r="D60" s="42" t="s">
        <v>480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2636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479</v>
      </c>
      <c r="C61" s="42" t="s">
        <v>43</v>
      </c>
      <c r="D61" s="42" t="s">
        <v>481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2636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457</v>
      </c>
      <c r="C62" s="42" t="s">
        <v>43</v>
      </c>
      <c r="D62" s="42" t="s">
        <v>482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2636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774</v>
      </c>
      <c r="C63" s="42" t="s">
        <v>43</v>
      </c>
      <c r="D63" s="42" t="s">
        <v>775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2636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486</v>
      </c>
      <c r="C64" s="42" t="s">
        <v>43</v>
      </c>
      <c r="D64" s="42" t="s">
        <v>495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2636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486</v>
      </c>
      <c r="C65" s="42" t="s">
        <v>43</v>
      </c>
      <c r="D65" s="42" t="s">
        <v>496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2636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475</v>
      </c>
      <c r="C66" s="42" t="s">
        <v>959</v>
      </c>
      <c r="D66" s="42" t="s">
        <v>477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2636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475</v>
      </c>
      <c r="C67" s="42" t="s">
        <v>959</v>
      </c>
      <c r="D67" s="42" t="s">
        <v>478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2636</v>
      </c>
      <c r="J67" s="42"/>
      <c r="K67" s="45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31" t="n">
        <v>60</v>
      </c>
      <c r="B68" s="42" t="s">
        <v>479</v>
      </c>
      <c r="C68" s="42" t="s">
        <v>959</v>
      </c>
      <c r="D68" s="42" t="s">
        <v>480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2636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479</v>
      </c>
      <c r="C69" s="42" t="s">
        <v>959</v>
      </c>
      <c r="D69" s="42" t="s">
        <v>481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2636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457</v>
      </c>
      <c r="C70" s="42" t="s">
        <v>959</v>
      </c>
      <c r="D70" s="42" t="s">
        <v>482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2636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486</v>
      </c>
      <c r="C71" s="42" t="s">
        <v>959</v>
      </c>
      <c r="D71" s="42" t="s">
        <v>495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2636</v>
      </c>
      <c r="J71" s="42"/>
      <c r="K71" s="45" t="n">
        <f aca="false">IF(AND(E73="yes",F73="yes",H73="covered"),1,IF(H73="partial",0.5,0))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505</v>
      </c>
      <c r="C72" s="42" t="s">
        <v>506</v>
      </c>
      <c r="D72" s="42" t="s">
        <v>507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2636</v>
      </c>
      <c r="J72" s="42"/>
      <c r="K72" s="45" t="n">
        <f aca="false">IF(AND(E75="yes",F75="yes",H75="covered"),1,IF(H75="partial",0.5,0))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505</v>
      </c>
      <c r="C73" s="42" t="s">
        <v>506</v>
      </c>
      <c r="D73" s="42" t="s">
        <v>508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2636</v>
      </c>
      <c r="J73" s="42"/>
      <c r="K73" s="45" t="n">
        <f aca="false">IF(AND(E76="yes",F76="yes",H76="covered"),1,IF(H76="partial",0.5,0))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505</v>
      </c>
      <c r="C74" s="42" t="s">
        <v>506</v>
      </c>
      <c r="D74" s="42" t="s">
        <v>783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2636</v>
      </c>
      <c r="J74" s="42"/>
      <c r="K74" s="45" t="n">
        <f aca="false">IF(AND(E77="yes",F77="yes",H77="covered"),1,IF(H77="partial",0.5,0))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505</v>
      </c>
      <c r="C75" s="42" t="s">
        <v>506</v>
      </c>
      <c r="D75" s="42" t="s">
        <v>510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2636</v>
      </c>
      <c r="J75" s="42"/>
      <c r="K75" s="45" t="n">
        <f aca="false">IF(AND(E78="yes",F78="yes",H78="covered"),1,IF(H78="partial",0.5,0))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505</v>
      </c>
      <c r="C76" s="42" t="s">
        <v>506</v>
      </c>
      <c r="D76" s="42" t="s">
        <v>1442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2636</v>
      </c>
      <c r="J76" s="42"/>
      <c r="K76" s="45" t="n">
        <f aca="false">IF(AND(E79="yes",F79="yes",H79="covered"),1,IF(H79="partial",0.5,0))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505</v>
      </c>
      <c r="C77" s="42" t="s">
        <v>506</v>
      </c>
      <c r="D77" s="42" t="s">
        <v>1070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2636</v>
      </c>
      <c r="J77" s="42"/>
      <c r="K77" s="45" t="n">
        <f aca="false">IF(AND(E80="yes",F80="yes",H80="covered"),1,IF(H80="partial",0.5,0))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511</v>
      </c>
      <c r="C78" s="42" t="s">
        <v>506</v>
      </c>
      <c r="D78" s="42" t="s">
        <v>512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2636</v>
      </c>
      <c r="J78" s="42"/>
      <c r="K78" s="45" t="n">
        <f aca="false">IF(AND(E81="yes",F81="yes",H81="covered"),1,IF(H81="partial",0.5,0))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511</v>
      </c>
      <c r="C79" s="42" t="s">
        <v>506</v>
      </c>
      <c r="D79" s="42" t="s">
        <v>513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2636</v>
      </c>
      <c r="J79" s="42"/>
      <c r="K79" s="45" t="n">
        <f aca="false">IF(AND(E82="yes",F82="yes",H82="covered"),1,IF(H82="partial",0.5,0))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511</v>
      </c>
      <c r="C80" s="42" t="s">
        <v>506</v>
      </c>
      <c r="D80" s="42" t="s">
        <v>514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2636</v>
      </c>
      <c r="J80" s="42"/>
      <c r="K80" s="45" t="n">
        <f aca="false">IF(AND(E83="yes",F83="yes",H83="covered"),1,IF(H83="partial",0.5,0))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511</v>
      </c>
      <c r="C81" s="42" t="s">
        <v>506</v>
      </c>
      <c r="D81" s="42" t="s">
        <v>515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2636</v>
      </c>
      <c r="J81" s="42"/>
      <c r="K81" s="45" t="n">
        <f aca="false">IF(AND(E84="yes",F84="yes",H84="covered"),1,IF(H84="partial",0.5,0))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511</v>
      </c>
      <c r="C82" s="42" t="s">
        <v>506</v>
      </c>
      <c r="D82" s="42" t="s">
        <v>893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2636</v>
      </c>
      <c r="J82" s="42"/>
      <c r="K82" s="45" t="n">
        <f aca="false">IF(AND(E85="yes",F85="yes",H85="covered"),1,IF(H85="partial",0.5,0))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483</v>
      </c>
      <c r="C83" s="42" t="s">
        <v>68</v>
      </c>
      <c r="D83" s="42" t="s">
        <v>516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2636</v>
      </c>
      <c r="J83" s="42"/>
      <c r="K83" s="45" t="n">
        <f aca="false">IF(AND(E86="yes",F86="yes",H86="covered"),1,IF(H86="partial",0.5,0))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483</v>
      </c>
      <c r="C84" s="42" t="s">
        <v>68</v>
      </c>
      <c r="D84" s="42" t="s">
        <v>517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2636</v>
      </c>
      <c r="J84" s="42"/>
      <c r="K84" s="45" t="n">
        <f aca="false">IF(AND(E87="yes",F87="yes",H87="covered"),1,IF(H87="partial",0.5,0))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483</v>
      </c>
      <c r="C85" s="42" t="s">
        <v>68</v>
      </c>
      <c r="D85" s="42" t="s">
        <v>518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2636</v>
      </c>
      <c r="J85" s="42"/>
      <c r="K85" s="45" t="n">
        <f aca="false">IF(AND(E88="yes",F88="yes",H88="covered"),1,IF(H88="partial",0.5,0))</f>
        <v>1</v>
      </c>
    </row>
    <row r="86" customFormat="false" ht="30" hidden="false" customHeight="true" outlineLevel="0" collapsed="false">
      <c r="A86" s="31" t="n">
        <v>78</v>
      </c>
      <c r="B86" s="42" t="s">
        <v>483</v>
      </c>
      <c r="C86" s="42" t="s">
        <v>68</v>
      </c>
      <c r="D86" s="42" t="s">
        <v>519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2636</v>
      </c>
      <c r="J86" s="42"/>
      <c r="K86" s="45" t="n">
        <f aca="false">IF(AND(E89="yes",F89="yes",H89="covered"),1,IF(H89="partial",0.5,0))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483</v>
      </c>
      <c r="C87" s="42" t="s">
        <v>68</v>
      </c>
      <c r="D87" s="42" t="s">
        <v>520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2636</v>
      </c>
      <c r="J87" s="42"/>
      <c r="K87" s="45" t="n">
        <f aca="false">IF(AND(E90="yes",F90="yes",H90="covered"),1,IF(H90="partial",0.5,0))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488</v>
      </c>
      <c r="C88" s="42" t="s">
        <v>476</v>
      </c>
      <c r="D88" s="42" t="s">
        <v>521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2636</v>
      </c>
      <c r="J88" s="42"/>
      <c r="K88" s="45" t="n">
        <f aca="false">IF(AND(E91="yes",F91="yes",H91="covered"),1,IF(H91="partial",0.5,0))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488</v>
      </c>
      <c r="C89" s="42" t="s">
        <v>476</v>
      </c>
      <c r="D89" s="42" t="s">
        <v>522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2636</v>
      </c>
      <c r="J89" s="42"/>
      <c r="K89" s="45" t="n">
        <f aca="false">IF(AND(E92="yes",F92="yes",H92="covered"),1,IF(H92="partial",0.5,0))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488</v>
      </c>
      <c r="C90" s="42" t="s">
        <v>476</v>
      </c>
      <c r="D90" s="42" t="s">
        <v>523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2636</v>
      </c>
      <c r="J90" s="42"/>
      <c r="K90" s="45" t="n">
        <f aca="false">IF(AND(E93="yes",F93="yes",H93="covered"),1,IF(H93="partial",0.5,0))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524</v>
      </c>
      <c r="C91" s="42" t="s">
        <v>498</v>
      </c>
      <c r="D91" s="42" t="s">
        <v>525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2636</v>
      </c>
      <c r="J91" s="42"/>
      <c r="K91" s="45" t="n">
        <f aca="false">IF(AND(E94="yes",F94="yes",H94="covered"),1,IF(H94="partial",0.5,0))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524</v>
      </c>
      <c r="C92" s="42" t="s">
        <v>498</v>
      </c>
      <c r="D92" s="42" t="s">
        <v>526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2636</v>
      </c>
      <c r="J92" s="42"/>
      <c r="K92" s="45" t="n">
        <f aca="false">IF(AND(E95="yes",F95="yes",H95="covered"),1,IF(H95="partial",0.5,0))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524</v>
      </c>
      <c r="C93" s="42" t="s">
        <v>498</v>
      </c>
      <c r="D93" s="42" t="s">
        <v>527</v>
      </c>
      <c r="E93" s="34" t="s">
        <v>459</v>
      </c>
      <c r="F93" s="43" t="s">
        <v>459</v>
      </c>
      <c r="G93" s="31" t="s">
        <v>543</v>
      </c>
      <c r="H93" s="44" t="s">
        <v>461</v>
      </c>
      <c r="I93" s="42" t="s">
        <v>2636</v>
      </c>
      <c r="J93" s="42"/>
      <c r="K93" s="45" t="n">
        <f aca="false">IF(AND(E96="yes",F96="yes",H96="covered"),1,IF(H96="partial",0.5,0))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524</v>
      </c>
      <c r="C94" s="42" t="s">
        <v>498</v>
      </c>
      <c r="D94" s="42" t="s">
        <v>528</v>
      </c>
      <c r="E94" s="34" t="s">
        <v>459</v>
      </c>
      <c r="F94" s="43" t="s">
        <v>459</v>
      </c>
      <c r="G94" s="31" t="s">
        <v>543</v>
      </c>
      <c r="H94" s="44" t="s">
        <v>461</v>
      </c>
      <c r="I94" s="42" t="s">
        <v>2636</v>
      </c>
      <c r="J94" s="42"/>
      <c r="K94" s="45" t="n">
        <f aca="false">IF(AND(E97="yes",F97="yes",H97="covered"),1,IF(H97="partial",0.5,0))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529</v>
      </c>
      <c r="C95" s="42" t="s">
        <v>498</v>
      </c>
      <c r="D95" s="42" t="s">
        <v>2642</v>
      </c>
      <c r="E95" s="34" t="s">
        <v>459</v>
      </c>
      <c r="F95" s="43" t="s">
        <v>459</v>
      </c>
      <c r="G95" s="31" t="s">
        <v>543</v>
      </c>
      <c r="H95" s="44" t="s">
        <v>461</v>
      </c>
      <c r="I95" s="42" t="s">
        <v>2636</v>
      </c>
      <c r="J95" s="42"/>
      <c r="K95" s="45" t="n">
        <f aca="false">IF(AND(E98="yes",F98="yes",H98="covered"),1,IF(H98="partial",0.5,0))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531</v>
      </c>
      <c r="C96" s="42" t="s">
        <v>68</v>
      </c>
      <c r="D96" s="42" t="s">
        <v>2643</v>
      </c>
      <c r="E96" s="34" t="s">
        <v>459</v>
      </c>
      <c r="F96" s="43" t="s">
        <v>459</v>
      </c>
      <c r="G96" s="31" t="s">
        <v>543</v>
      </c>
      <c r="H96" s="44" t="s">
        <v>461</v>
      </c>
      <c r="I96" s="42" t="s">
        <v>2636</v>
      </c>
      <c r="J96" s="42"/>
      <c r="K96" s="45" t="n">
        <f aca="false">IF(AND(E99="yes",F99="yes",H99="covered"),1,IF(H99="partial",0.5,0))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531</v>
      </c>
      <c r="C97" s="42" t="s">
        <v>68</v>
      </c>
      <c r="D97" s="42" t="s">
        <v>532</v>
      </c>
      <c r="E97" s="34" t="s">
        <v>459</v>
      </c>
      <c r="F97" s="43" t="s">
        <v>459</v>
      </c>
      <c r="G97" s="31" t="s">
        <v>543</v>
      </c>
      <c r="H97" s="44" t="s">
        <v>461</v>
      </c>
      <c r="I97" s="42" t="s">
        <v>2636</v>
      </c>
      <c r="J97" s="42"/>
      <c r="K97" s="45" t="n">
        <f aca="false">IF(AND(E100="yes",F100="yes",H100="covered"),1,IF(H100="partial",0.5,0))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531</v>
      </c>
      <c r="C98" s="42" t="s">
        <v>68</v>
      </c>
      <c r="D98" s="42" t="s">
        <v>975</v>
      </c>
      <c r="E98" s="34" t="s">
        <v>459</v>
      </c>
      <c r="F98" s="43" t="s">
        <v>459</v>
      </c>
      <c r="G98" s="31" t="s">
        <v>543</v>
      </c>
      <c r="H98" s="44" t="s">
        <v>461</v>
      </c>
      <c r="I98" s="42" t="s">
        <v>2636</v>
      </c>
      <c r="J98" s="42"/>
      <c r="K98" s="45" t="n">
        <f aca="false">IF(AND(E101="yes",F101="yes",H101="covered"),1,IF(H101="partial",0.5,0))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531</v>
      </c>
      <c r="C99" s="42" t="s">
        <v>68</v>
      </c>
      <c r="D99" s="42" t="s">
        <v>533</v>
      </c>
      <c r="E99" s="34" t="s">
        <v>459</v>
      </c>
      <c r="F99" s="43" t="s">
        <v>459</v>
      </c>
      <c r="G99" s="31" t="s">
        <v>543</v>
      </c>
      <c r="H99" s="44" t="s">
        <v>461</v>
      </c>
      <c r="I99" s="42" t="s">
        <v>2636</v>
      </c>
      <c r="J99" s="42"/>
      <c r="K99" s="45" t="n">
        <f aca="false">IF(AND(E102="yes",F102="yes",H102="covered"),1,IF(H102="partial",0.5,0))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531</v>
      </c>
      <c r="C100" s="42" t="s">
        <v>68</v>
      </c>
      <c r="D100" s="42" t="s">
        <v>534</v>
      </c>
      <c r="E100" s="34" t="s">
        <v>459</v>
      </c>
      <c r="F100" s="43" t="s">
        <v>459</v>
      </c>
      <c r="G100" s="31" t="s">
        <v>543</v>
      </c>
      <c r="H100" s="44" t="s">
        <v>461</v>
      </c>
      <c r="I100" s="42" t="s">
        <v>2636</v>
      </c>
      <c r="J100" s="42"/>
      <c r="K100" s="45" t="n">
        <f aca="false">IF(AND(E103="yes",F103="yes",H103="covered"),1,IF(H103="partial",0.5,0))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531</v>
      </c>
      <c r="C101" s="42" t="s">
        <v>68</v>
      </c>
      <c r="D101" s="42" t="s">
        <v>535</v>
      </c>
      <c r="E101" s="34" t="s">
        <v>459</v>
      </c>
      <c r="F101" s="43" t="s">
        <v>459</v>
      </c>
      <c r="G101" s="31" t="s">
        <v>543</v>
      </c>
      <c r="H101" s="44" t="s">
        <v>461</v>
      </c>
      <c r="I101" s="42" t="s">
        <v>2636</v>
      </c>
      <c r="J101" s="42"/>
      <c r="K101" s="45" t="n">
        <f aca="false">IF(AND(E104="yes",F104="yes",H104="covered"),1,IF(H104="partial",0.5,0))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531</v>
      </c>
      <c r="C102" s="42" t="s">
        <v>68</v>
      </c>
      <c r="D102" s="42" t="s">
        <v>536</v>
      </c>
      <c r="E102" s="34" t="s">
        <v>459</v>
      </c>
      <c r="F102" s="43" t="s">
        <v>459</v>
      </c>
      <c r="G102" s="31" t="s">
        <v>543</v>
      </c>
      <c r="H102" s="44" t="s">
        <v>461</v>
      </c>
      <c r="I102" s="42" t="s">
        <v>2636</v>
      </c>
      <c r="J102" s="42"/>
      <c r="K102" s="45" t="n">
        <f aca="false">IF(AND(E105="yes",F105="yes",H105="covered"),1,IF(H105="partial",0.5,0))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529</v>
      </c>
      <c r="C103" s="42" t="s">
        <v>68</v>
      </c>
      <c r="D103" s="42" t="s">
        <v>537</v>
      </c>
      <c r="E103" s="34" t="s">
        <v>459</v>
      </c>
      <c r="F103" s="43" t="s">
        <v>459</v>
      </c>
      <c r="G103" s="31" t="s">
        <v>543</v>
      </c>
      <c r="H103" s="44" t="s">
        <v>461</v>
      </c>
      <c r="I103" s="42" t="s">
        <v>2636</v>
      </c>
      <c r="J103" s="42"/>
      <c r="K103" s="45" t="n">
        <f aca="false">IF(AND(E107="yes",F107="yes",H107="covered"),1,IF(H107="partial",0.5,0))</f>
        <v>0</v>
      </c>
    </row>
    <row r="104" customFormat="false" ht="15" hidden="false" customHeight="true" outlineLevel="0" collapsed="false">
      <c r="A104" s="31" t="n">
        <v>96</v>
      </c>
      <c r="B104" s="42" t="s">
        <v>31</v>
      </c>
      <c r="C104" s="42" t="s">
        <v>43</v>
      </c>
      <c r="D104" s="42" t="s">
        <v>538</v>
      </c>
      <c r="E104" s="46" t="s">
        <v>459</v>
      </c>
      <c r="F104" s="43" t="s">
        <v>459</v>
      </c>
      <c r="G104" s="31" t="s">
        <v>543</v>
      </c>
      <c r="H104" s="46" t="s">
        <v>461</v>
      </c>
      <c r="I104" s="42" t="s">
        <v>2636</v>
      </c>
      <c r="J104" s="42"/>
      <c r="K104" s="45" t="n">
        <f aca="false">IF(AND(E108="yes",F108="yes",H108="covered"),1,IF(H108="partial",0.5,0))</f>
        <v>0</v>
      </c>
    </row>
    <row r="105" customFormat="false" ht="15" hidden="false" customHeight="true" outlineLevel="0" collapsed="false">
      <c r="A105" s="31" t="n">
        <v>97</v>
      </c>
      <c r="B105" s="42" t="s">
        <v>31</v>
      </c>
      <c r="C105" s="42" t="s">
        <v>43</v>
      </c>
      <c r="D105" s="42" t="s">
        <v>539</v>
      </c>
      <c r="E105" s="46" t="s">
        <v>459</v>
      </c>
      <c r="F105" s="43" t="s">
        <v>459</v>
      </c>
      <c r="G105" s="31" t="s">
        <v>543</v>
      </c>
      <c r="H105" s="46" t="s">
        <v>461</v>
      </c>
      <c r="I105" s="42" t="s">
        <v>2636</v>
      </c>
      <c r="J105" s="42"/>
      <c r="K105" s="45" t="n">
        <f aca="false">IF(AND(E109="yes",F109="yes",H109="covered"),1,IF(H109="partial",0.5,0))</f>
        <v>0</v>
      </c>
    </row>
    <row r="106" customFormat="false" ht="30" hidden="false" customHeight="true" outlineLevel="0" collapsed="false">
      <c r="A106" s="31" t="n">
        <v>98</v>
      </c>
      <c r="B106" s="42" t="s">
        <v>456</v>
      </c>
      <c r="C106" s="42" t="s">
        <v>540</v>
      </c>
      <c r="D106" s="42" t="s">
        <v>541</v>
      </c>
      <c r="E106" s="46" t="s">
        <v>459</v>
      </c>
      <c r="F106" s="43" t="s">
        <v>459</v>
      </c>
      <c r="G106" s="31" t="s">
        <v>543</v>
      </c>
      <c r="H106" s="46" t="s">
        <v>461</v>
      </c>
      <c r="I106" s="42" t="s">
        <v>2636</v>
      </c>
      <c r="J106" s="42"/>
      <c r="K106" s="45" t="n">
        <f aca="false">IF(AND(E110="yes",F110="yes",H110="covered"),1,IF(H110="partial",0.5,0))</f>
        <v>0</v>
      </c>
    </row>
    <row r="107" customFormat="false" ht="30" hidden="false" customHeight="true" outlineLevel="0" collapsed="false"/>
    <row r="108" customFormat="false" ht="30" hidden="false" customHeight="true" outlineLevel="0" collapsed="false"/>
    <row r="109" customFormat="false" ht="30" hidden="false" customHeight="true" outlineLevel="0" collapsed="false"/>
    <row r="110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2644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71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110</v>
      </c>
      <c r="H9" s="44" t="s">
        <v>461</v>
      </c>
      <c r="I9" s="42" t="s">
        <v>2645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110</v>
      </c>
      <c r="H10" s="44" t="s">
        <v>461</v>
      </c>
      <c r="I10" s="42" t="s">
        <v>2645</v>
      </c>
      <c r="J10" s="42"/>
      <c r="K10" s="45" t="n">
        <f aca="false">IF(AND(E10="yes",F10="yes",H10="covered"),1,IF(H10="partial",0.5,0))</f>
        <v>1</v>
      </c>
    </row>
    <row r="11" customFormat="false" ht="45" hidden="false" customHeight="true" outlineLevel="0" collapsed="false">
      <c r="A11" s="31" t="n">
        <v>3</v>
      </c>
      <c r="B11" s="42" t="s">
        <v>456</v>
      </c>
      <c r="C11" s="42" t="s">
        <v>69</v>
      </c>
      <c r="D11" s="42" t="s">
        <v>464</v>
      </c>
      <c r="E11" s="34" t="s">
        <v>459</v>
      </c>
      <c r="F11" s="43" t="s">
        <v>459</v>
      </c>
      <c r="G11" s="31" t="s">
        <v>110</v>
      </c>
      <c r="H11" s="44" t="s">
        <v>461</v>
      </c>
      <c r="I11" s="42" t="s">
        <v>2645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69</v>
      </c>
      <c r="D12" s="42" t="s">
        <v>465</v>
      </c>
      <c r="E12" s="34" t="s">
        <v>459</v>
      </c>
      <c r="F12" s="43" t="s">
        <v>459</v>
      </c>
      <c r="G12" s="31" t="s">
        <v>110</v>
      </c>
      <c r="H12" s="44" t="s">
        <v>461</v>
      </c>
      <c r="I12" s="42" t="s">
        <v>2645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69</v>
      </c>
      <c r="D13" s="42" t="s">
        <v>466</v>
      </c>
      <c r="E13" s="34" t="s">
        <v>459</v>
      </c>
      <c r="F13" s="43" t="s">
        <v>459</v>
      </c>
      <c r="G13" s="31" t="s">
        <v>110</v>
      </c>
      <c r="H13" s="44" t="s">
        <v>461</v>
      </c>
      <c r="I13" s="42" t="s">
        <v>2645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69</v>
      </c>
      <c r="D14" s="42" t="s">
        <v>467</v>
      </c>
      <c r="E14" s="34" t="s">
        <v>459</v>
      </c>
      <c r="F14" s="43" t="s">
        <v>459</v>
      </c>
      <c r="G14" s="31" t="s">
        <v>110</v>
      </c>
      <c r="H14" s="44" t="s">
        <v>461</v>
      </c>
      <c r="I14" s="42" t="s">
        <v>2645</v>
      </c>
      <c r="J14" s="42"/>
      <c r="K14" s="45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2" t="s">
        <v>468</v>
      </c>
      <c r="C15" s="42" t="s">
        <v>69</v>
      </c>
      <c r="D15" s="42" t="s">
        <v>2646</v>
      </c>
      <c r="E15" s="34" t="s">
        <v>459</v>
      </c>
      <c r="F15" s="43" t="s">
        <v>459</v>
      </c>
      <c r="G15" s="31" t="s">
        <v>110</v>
      </c>
      <c r="H15" s="44" t="s">
        <v>461</v>
      </c>
      <c r="I15" s="42" t="s">
        <v>2645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69</v>
      </c>
      <c r="D16" s="42" t="s">
        <v>1763</v>
      </c>
      <c r="E16" s="34" t="s">
        <v>459</v>
      </c>
      <c r="F16" s="43" t="s">
        <v>459</v>
      </c>
      <c r="G16" s="31" t="s">
        <v>110</v>
      </c>
      <c r="H16" s="44" t="s">
        <v>461</v>
      </c>
      <c r="I16" s="42" t="s">
        <v>2645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69</v>
      </c>
      <c r="D17" s="42" t="s">
        <v>1764</v>
      </c>
      <c r="E17" s="34" t="s">
        <v>459</v>
      </c>
      <c r="F17" s="43" t="s">
        <v>459</v>
      </c>
      <c r="G17" s="31" t="s">
        <v>110</v>
      </c>
      <c r="H17" s="44" t="s">
        <v>461</v>
      </c>
      <c r="I17" s="42" t="s">
        <v>2645</v>
      </c>
      <c r="J17" s="42"/>
      <c r="K17" s="45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69</v>
      </c>
      <c r="D18" s="42" t="s">
        <v>2647</v>
      </c>
      <c r="E18" s="34" t="s">
        <v>459</v>
      </c>
      <c r="F18" s="43" t="s">
        <v>459</v>
      </c>
      <c r="G18" s="31" t="s">
        <v>110</v>
      </c>
      <c r="H18" s="44" t="s">
        <v>461</v>
      </c>
      <c r="I18" s="42" t="s">
        <v>2645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69</v>
      </c>
      <c r="D19" s="42" t="s">
        <v>2648</v>
      </c>
      <c r="E19" s="34" t="s">
        <v>459</v>
      </c>
      <c r="F19" s="43" t="s">
        <v>459</v>
      </c>
      <c r="G19" s="31" t="s">
        <v>110</v>
      </c>
      <c r="H19" s="44" t="s">
        <v>461</v>
      </c>
      <c r="I19" s="42" t="s">
        <v>2645</v>
      </c>
      <c r="J19" s="42"/>
      <c r="K19" s="45" t="n">
        <f aca="false">IF(AND(E19="yes",F19="yes",H19="covered"),1,IF(H19="partial",0.5,0))</f>
        <v>1</v>
      </c>
    </row>
    <row r="20" customFormat="false" ht="45" hidden="false" customHeight="true" outlineLevel="0" collapsed="false">
      <c r="A20" s="31" t="n">
        <v>12</v>
      </c>
      <c r="B20" s="42" t="s">
        <v>468</v>
      </c>
      <c r="C20" s="42" t="s">
        <v>69</v>
      </c>
      <c r="D20" s="42" t="s">
        <v>2649</v>
      </c>
      <c r="E20" s="34" t="s">
        <v>459</v>
      </c>
      <c r="F20" s="43" t="s">
        <v>459</v>
      </c>
      <c r="G20" s="31" t="s">
        <v>110</v>
      </c>
      <c r="H20" s="44" t="s">
        <v>461</v>
      </c>
      <c r="I20" s="42" t="s">
        <v>2645</v>
      </c>
      <c r="J20" s="42"/>
      <c r="K20" s="45" t="n">
        <f aca="false">IF(AND(E20="yes",F20="yes",H20="covered"),1,IF(H20="partial",0.5,0))</f>
        <v>1</v>
      </c>
    </row>
    <row r="21" customFormat="false" ht="4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110</v>
      </c>
      <c r="H21" s="44" t="s">
        <v>461</v>
      </c>
      <c r="I21" s="42" t="s">
        <v>2645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110</v>
      </c>
      <c r="H22" s="44" t="s">
        <v>461</v>
      </c>
      <c r="I22" s="42" t="s">
        <v>2645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110</v>
      </c>
      <c r="H23" s="44" t="s">
        <v>461</v>
      </c>
      <c r="I23" s="42" t="s">
        <v>2645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110</v>
      </c>
      <c r="H24" s="44" t="s">
        <v>461</v>
      </c>
      <c r="I24" s="42" t="s">
        <v>2645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110</v>
      </c>
      <c r="H25" s="44" t="s">
        <v>461</v>
      </c>
      <c r="I25" s="42" t="s">
        <v>2645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110</v>
      </c>
      <c r="H26" s="44" t="s">
        <v>461</v>
      </c>
      <c r="I26" s="42" t="s">
        <v>2645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489</v>
      </c>
      <c r="E27" s="34" t="s">
        <v>459</v>
      </c>
      <c r="F27" s="43" t="s">
        <v>459</v>
      </c>
      <c r="G27" s="31" t="s">
        <v>110</v>
      </c>
      <c r="H27" s="44" t="s">
        <v>461</v>
      </c>
      <c r="I27" s="42" t="s">
        <v>2645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490</v>
      </c>
      <c r="E28" s="34" t="s">
        <v>459</v>
      </c>
      <c r="F28" s="43" t="s">
        <v>459</v>
      </c>
      <c r="G28" s="31" t="s">
        <v>110</v>
      </c>
      <c r="H28" s="44" t="s">
        <v>461</v>
      </c>
      <c r="I28" s="42" t="s">
        <v>2645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491</v>
      </c>
      <c r="E29" s="34" t="s">
        <v>459</v>
      </c>
      <c r="F29" s="43" t="s">
        <v>459</v>
      </c>
      <c r="G29" s="31" t="s">
        <v>110</v>
      </c>
      <c r="H29" s="44" t="s">
        <v>461</v>
      </c>
      <c r="I29" s="42" t="s">
        <v>2645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2650</v>
      </c>
      <c r="E30" s="34" t="s">
        <v>459</v>
      </c>
      <c r="F30" s="43" t="s">
        <v>459</v>
      </c>
      <c r="G30" s="31" t="s">
        <v>110</v>
      </c>
      <c r="H30" s="44" t="s">
        <v>461</v>
      </c>
      <c r="I30" s="42" t="s">
        <v>2645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2651</v>
      </c>
      <c r="E31" s="34" t="s">
        <v>459</v>
      </c>
      <c r="F31" s="43" t="s">
        <v>459</v>
      </c>
      <c r="G31" s="31" t="s">
        <v>110</v>
      </c>
      <c r="H31" s="44" t="s">
        <v>461</v>
      </c>
      <c r="I31" s="42" t="s">
        <v>2645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2652</v>
      </c>
      <c r="E32" s="34" t="s">
        <v>459</v>
      </c>
      <c r="F32" s="43" t="s">
        <v>459</v>
      </c>
      <c r="G32" s="31" t="s">
        <v>110</v>
      </c>
      <c r="H32" s="44" t="s">
        <v>461</v>
      </c>
      <c r="I32" s="42" t="s">
        <v>2645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488</v>
      </c>
      <c r="C33" s="42" t="s">
        <v>476</v>
      </c>
      <c r="D33" s="42" t="s">
        <v>493</v>
      </c>
      <c r="E33" s="34" t="s">
        <v>459</v>
      </c>
      <c r="F33" s="43" t="s">
        <v>459</v>
      </c>
      <c r="G33" s="31" t="s">
        <v>110</v>
      </c>
      <c r="H33" s="44" t="s">
        <v>461</v>
      </c>
      <c r="I33" s="42" t="s">
        <v>2645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488</v>
      </c>
      <c r="C34" s="42" t="s">
        <v>476</v>
      </c>
      <c r="D34" s="42" t="s">
        <v>953</v>
      </c>
      <c r="E34" s="34" t="s">
        <v>459</v>
      </c>
      <c r="F34" s="43" t="s">
        <v>459</v>
      </c>
      <c r="G34" s="31" t="s">
        <v>110</v>
      </c>
      <c r="H34" s="44" t="s">
        <v>461</v>
      </c>
      <c r="I34" s="42" t="s">
        <v>2645</v>
      </c>
      <c r="J34" s="42"/>
      <c r="K34" s="45" t="n">
        <f aca="false">IF(AND(E34="yes",F34="yes",H34="covered"),1,IF(H34="partial",0.5,0))</f>
        <v>1</v>
      </c>
    </row>
    <row r="35" customFormat="false" ht="45" hidden="false" customHeight="true" outlineLevel="0" collapsed="false">
      <c r="A35" s="31" t="n">
        <v>27</v>
      </c>
      <c r="B35" s="42" t="s">
        <v>488</v>
      </c>
      <c r="C35" s="42" t="s">
        <v>476</v>
      </c>
      <c r="D35" s="42" t="s">
        <v>951</v>
      </c>
      <c r="E35" s="34" t="s">
        <v>459</v>
      </c>
      <c r="F35" s="43" t="s">
        <v>459</v>
      </c>
      <c r="G35" s="31" t="s">
        <v>110</v>
      </c>
      <c r="H35" s="44" t="s">
        <v>461</v>
      </c>
      <c r="I35" s="42" t="s">
        <v>2645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488</v>
      </c>
      <c r="C36" s="42" t="s">
        <v>476</v>
      </c>
      <c r="D36" s="42" t="s">
        <v>952</v>
      </c>
      <c r="E36" s="34" t="s">
        <v>459</v>
      </c>
      <c r="F36" s="43" t="s">
        <v>459</v>
      </c>
      <c r="G36" s="31" t="s">
        <v>110</v>
      </c>
      <c r="H36" s="44" t="s">
        <v>461</v>
      </c>
      <c r="I36" s="42" t="s">
        <v>2645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486</v>
      </c>
      <c r="C37" s="42" t="s">
        <v>476</v>
      </c>
      <c r="D37" s="42" t="s">
        <v>1601</v>
      </c>
      <c r="E37" s="34" t="s">
        <v>459</v>
      </c>
      <c r="F37" s="43" t="s">
        <v>459</v>
      </c>
      <c r="G37" s="31" t="s">
        <v>110</v>
      </c>
      <c r="H37" s="44" t="s">
        <v>461</v>
      </c>
      <c r="I37" s="42" t="s">
        <v>2645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476</v>
      </c>
      <c r="D38" s="42" t="s">
        <v>495</v>
      </c>
      <c r="E38" s="34" t="s">
        <v>459</v>
      </c>
      <c r="F38" s="43" t="s">
        <v>459</v>
      </c>
      <c r="G38" s="31" t="s">
        <v>110</v>
      </c>
      <c r="H38" s="44" t="s">
        <v>461</v>
      </c>
      <c r="I38" s="42" t="s">
        <v>2645</v>
      </c>
      <c r="J38" s="42"/>
      <c r="K38" s="45" t="n">
        <f aca="false">IF(AND(E38="yes",F38="yes",H38="covered"),1,IF(H38="partial",0.5,0))</f>
        <v>1</v>
      </c>
    </row>
    <row r="39" customFormat="false" ht="45" hidden="false" customHeight="true" outlineLevel="0" collapsed="false">
      <c r="A39" s="31" t="n">
        <v>31</v>
      </c>
      <c r="B39" s="42" t="s">
        <v>486</v>
      </c>
      <c r="C39" s="42" t="s">
        <v>476</v>
      </c>
      <c r="D39" s="42" t="s">
        <v>1065</v>
      </c>
      <c r="E39" s="34" t="s">
        <v>459</v>
      </c>
      <c r="F39" s="43" t="s">
        <v>459</v>
      </c>
      <c r="G39" s="31" t="s">
        <v>110</v>
      </c>
      <c r="H39" s="44" t="s">
        <v>461</v>
      </c>
      <c r="I39" s="42" t="s">
        <v>2645</v>
      </c>
      <c r="J39" s="42"/>
      <c r="K39" s="45" t="n">
        <f aca="false">IF(AND(E39="yes",F39="yes",H39="covered"),1,IF(H39="partial",0.5,0))</f>
        <v>1</v>
      </c>
    </row>
    <row r="40" customFormat="false" ht="45" hidden="false" customHeight="true" outlineLevel="0" collapsed="false">
      <c r="A40" s="31" t="n">
        <v>32</v>
      </c>
      <c r="B40" s="42" t="s">
        <v>486</v>
      </c>
      <c r="C40" s="42" t="s">
        <v>476</v>
      </c>
      <c r="D40" s="42" t="s">
        <v>1296</v>
      </c>
      <c r="E40" s="34" t="s">
        <v>459</v>
      </c>
      <c r="F40" s="43" t="s">
        <v>459</v>
      </c>
      <c r="G40" s="31" t="s">
        <v>110</v>
      </c>
      <c r="H40" s="44" t="s">
        <v>461</v>
      </c>
      <c r="I40" s="42" t="s">
        <v>2645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488</v>
      </c>
      <c r="C41" s="42" t="s">
        <v>476</v>
      </c>
      <c r="D41" s="42" t="s">
        <v>497</v>
      </c>
      <c r="E41" s="34" t="s">
        <v>459</v>
      </c>
      <c r="F41" s="43" t="s">
        <v>459</v>
      </c>
      <c r="G41" s="31" t="s">
        <v>110</v>
      </c>
      <c r="H41" s="44" t="s">
        <v>461</v>
      </c>
      <c r="I41" s="42" t="s">
        <v>2645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488</v>
      </c>
      <c r="C42" s="42" t="s">
        <v>476</v>
      </c>
      <c r="D42" s="42" t="s">
        <v>957</v>
      </c>
      <c r="E42" s="34" t="s">
        <v>459</v>
      </c>
      <c r="F42" s="43" t="s">
        <v>459</v>
      </c>
      <c r="G42" s="31" t="s">
        <v>110</v>
      </c>
      <c r="H42" s="44" t="s">
        <v>461</v>
      </c>
      <c r="I42" s="42" t="s">
        <v>2645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488</v>
      </c>
      <c r="C43" s="42" t="s">
        <v>476</v>
      </c>
      <c r="D43" s="42" t="s">
        <v>958</v>
      </c>
      <c r="E43" s="34" t="s">
        <v>459</v>
      </c>
      <c r="F43" s="43" t="s">
        <v>459</v>
      </c>
      <c r="G43" s="31" t="s">
        <v>110</v>
      </c>
      <c r="H43" s="44" t="s">
        <v>461</v>
      </c>
      <c r="I43" s="42" t="s">
        <v>2645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486</v>
      </c>
      <c r="C44" s="42" t="s">
        <v>476</v>
      </c>
      <c r="D44" s="42" t="s">
        <v>2653</v>
      </c>
      <c r="E44" s="34" t="s">
        <v>459</v>
      </c>
      <c r="F44" s="43" t="s">
        <v>459</v>
      </c>
      <c r="G44" s="31" t="s">
        <v>110</v>
      </c>
      <c r="H44" s="44" t="s">
        <v>461</v>
      </c>
      <c r="I44" s="42" t="s">
        <v>2645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475</v>
      </c>
      <c r="C45" s="42" t="s">
        <v>2654</v>
      </c>
      <c r="D45" s="42" t="s">
        <v>477</v>
      </c>
      <c r="E45" s="34" t="s">
        <v>459</v>
      </c>
      <c r="F45" s="43" t="s">
        <v>459</v>
      </c>
      <c r="G45" s="31" t="s">
        <v>110</v>
      </c>
      <c r="H45" s="44" t="s">
        <v>461</v>
      </c>
      <c r="I45" s="42" t="s">
        <v>2645</v>
      </c>
      <c r="J45" s="42"/>
      <c r="K45" s="45" t="n">
        <f aca="false">IF(AND(E45="yes",F45="yes",H45="covered"),1,IF(H45="partial",0.5,0))</f>
        <v>1</v>
      </c>
    </row>
    <row r="46" customFormat="false" ht="45" hidden="false" customHeight="true" outlineLevel="0" collapsed="false">
      <c r="A46" s="31" t="n">
        <v>38</v>
      </c>
      <c r="B46" s="42" t="s">
        <v>475</v>
      </c>
      <c r="C46" s="42" t="s">
        <v>2654</v>
      </c>
      <c r="D46" s="42" t="s">
        <v>478</v>
      </c>
      <c r="E46" s="34" t="s">
        <v>459</v>
      </c>
      <c r="F46" s="43" t="s">
        <v>459</v>
      </c>
      <c r="G46" s="31" t="s">
        <v>110</v>
      </c>
      <c r="H46" s="44" t="s">
        <v>461</v>
      </c>
      <c r="I46" s="42" t="s">
        <v>2645</v>
      </c>
      <c r="J46" s="42"/>
      <c r="K46" s="45" t="n">
        <f aca="false">IF(AND(E46="yes",F46="yes",H46="covered"),1,IF(H46="partial",0.5,0))</f>
        <v>1</v>
      </c>
    </row>
    <row r="47" customFormat="false" ht="45" hidden="false" customHeight="true" outlineLevel="0" collapsed="false">
      <c r="A47" s="31" t="n">
        <v>39</v>
      </c>
      <c r="B47" s="42" t="s">
        <v>479</v>
      </c>
      <c r="C47" s="42" t="s">
        <v>2654</v>
      </c>
      <c r="D47" s="42" t="s">
        <v>480</v>
      </c>
      <c r="E47" s="34" t="s">
        <v>459</v>
      </c>
      <c r="F47" s="43" t="s">
        <v>459</v>
      </c>
      <c r="G47" s="31" t="s">
        <v>110</v>
      </c>
      <c r="H47" s="44" t="s">
        <v>461</v>
      </c>
      <c r="I47" s="42" t="s">
        <v>2645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479</v>
      </c>
      <c r="C48" s="42" t="s">
        <v>2654</v>
      </c>
      <c r="D48" s="42" t="s">
        <v>481</v>
      </c>
      <c r="E48" s="34" t="s">
        <v>459</v>
      </c>
      <c r="F48" s="43" t="s">
        <v>459</v>
      </c>
      <c r="G48" s="31" t="s">
        <v>110</v>
      </c>
      <c r="H48" s="44" t="s">
        <v>461</v>
      </c>
      <c r="I48" s="42" t="s">
        <v>2645</v>
      </c>
      <c r="J48" s="42"/>
      <c r="K48" s="45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31" t="n">
        <v>41</v>
      </c>
      <c r="B49" s="42" t="s">
        <v>457</v>
      </c>
      <c r="C49" s="42" t="s">
        <v>2654</v>
      </c>
      <c r="D49" s="42" t="s">
        <v>482</v>
      </c>
      <c r="E49" s="34" t="s">
        <v>459</v>
      </c>
      <c r="F49" s="43" t="s">
        <v>459</v>
      </c>
      <c r="G49" s="31" t="s">
        <v>110</v>
      </c>
      <c r="H49" s="44" t="s">
        <v>461</v>
      </c>
      <c r="I49" s="42" t="s">
        <v>2645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774</v>
      </c>
      <c r="C50" s="42" t="s">
        <v>2654</v>
      </c>
      <c r="D50" s="42" t="s">
        <v>775</v>
      </c>
      <c r="E50" s="34" t="s">
        <v>459</v>
      </c>
      <c r="F50" s="43" t="s">
        <v>459</v>
      </c>
      <c r="G50" s="31" t="s">
        <v>110</v>
      </c>
      <c r="H50" s="44" t="s">
        <v>461</v>
      </c>
      <c r="I50" s="42" t="s">
        <v>2645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483</v>
      </c>
      <c r="C51" s="42" t="s">
        <v>2654</v>
      </c>
      <c r="D51" s="42" t="s">
        <v>484</v>
      </c>
      <c r="E51" s="34" t="s">
        <v>459</v>
      </c>
      <c r="F51" s="43" t="s">
        <v>459</v>
      </c>
      <c r="G51" s="31" t="s">
        <v>110</v>
      </c>
      <c r="H51" s="44" t="s">
        <v>461</v>
      </c>
      <c r="I51" s="42" t="s">
        <v>2645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483</v>
      </c>
      <c r="C52" s="42" t="s">
        <v>2654</v>
      </c>
      <c r="D52" s="42" t="s">
        <v>485</v>
      </c>
      <c r="E52" s="34" t="s">
        <v>459</v>
      </c>
      <c r="F52" s="43" t="s">
        <v>459</v>
      </c>
      <c r="G52" s="31" t="s">
        <v>110</v>
      </c>
      <c r="H52" s="44" t="s">
        <v>461</v>
      </c>
      <c r="I52" s="42" t="s">
        <v>2645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486</v>
      </c>
      <c r="C53" s="42" t="s">
        <v>2654</v>
      </c>
      <c r="D53" s="42" t="s">
        <v>495</v>
      </c>
      <c r="E53" s="34" t="s">
        <v>459</v>
      </c>
      <c r="F53" s="43" t="s">
        <v>459</v>
      </c>
      <c r="G53" s="31" t="s">
        <v>110</v>
      </c>
      <c r="H53" s="44" t="s">
        <v>461</v>
      </c>
      <c r="I53" s="42" t="s">
        <v>2645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2654</v>
      </c>
      <c r="D54" s="42" t="s">
        <v>1686</v>
      </c>
      <c r="E54" s="34" t="s">
        <v>459</v>
      </c>
      <c r="F54" s="43" t="s">
        <v>459</v>
      </c>
      <c r="G54" s="31" t="s">
        <v>110</v>
      </c>
      <c r="H54" s="44" t="s">
        <v>461</v>
      </c>
      <c r="I54" s="42" t="s">
        <v>2645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486</v>
      </c>
      <c r="C55" s="42" t="s">
        <v>2654</v>
      </c>
      <c r="D55" s="42" t="s">
        <v>2395</v>
      </c>
      <c r="E55" s="34" t="s">
        <v>459</v>
      </c>
      <c r="F55" s="43" t="s">
        <v>459</v>
      </c>
      <c r="G55" s="31" t="s">
        <v>110</v>
      </c>
      <c r="H55" s="44" t="s">
        <v>461</v>
      </c>
      <c r="I55" s="42" t="s">
        <v>2645</v>
      </c>
      <c r="J55" s="42"/>
      <c r="K55" s="45" t="n">
        <f aca="false">IF(AND(E55="yes",F55="yes",H55="covered"),1,IF(H55="partial",0.5,0))</f>
        <v>1</v>
      </c>
    </row>
    <row r="56" customFormat="false" ht="45" hidden="false" customHeight="true" outlineLevel="0" collapsed="false">
      <c r="A56" s="31" t="n">
        <v>48</v>
      </c>
      <c r="B56" s="42" t="s">
        <v>486</v>
      </c>
      <c r="C56" s="42" t="s">
        <v>2654</v>
      </c>
      <c r="D56" s="42" t="s">
        <v>2655</v>
      </c>
      <c r="E56" s="34" t="s">
        <v>459</v>
      </c>
      <c r="F56" s="43" t="s">
        <v>459</v>
      </c>
      <c r="G56" s="31" t="s">
        <v>110</v>
      </c>
      <c r="H56" s="44" t="s">
        <v>461</v>
      </c>
      <c r="I56" s="42" t="s">
        <v>2645</v>
      </c>
      <c r="J56" s="42"/>
      <c r="K56" s="45" t="n">
        <f aca="false">IF(AND(E56="yes",F56="yes",H56="covered"),1,IF(H56="partial",0.5,0))</f>
        <v>1</v>
      </c>
    </row>
    <row r="57" customFormat="false" ht="30" hidden="false" customHeight="true" outlineLevel="0" collapsed="false">
      <c r="A57" s="31" t="n">
        <v>49</v>
      </c>
      <c r="B57" s="42" t="s">
        <v>505</v>
      </c>
      <c r="C57" s="42" t="s">
        <v>506</v>
      </c>
      <c r="D57" s="42" t="s">
        <v>1631</v>
      </c>
      <c r="E57" s="34" t="s">
        <v>459</v>
      </c>
      <c r="F57" s="43" t="s">
        <v>459</v>
      </c>
      <c r="G57" s="31" t="s">
        <v>110</v>
      </c>
      <c r="H57" s="44" t="s">
        <v>461</v>
      </c>
      <c r="I57" s="42" t="s">
        <v>2645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505</v>
      </c>
      <c r="C58" s="42" t="s">
        <v>506</v>
      </c>
      <c r="D58" s="42" t="s">
        <v>962</v>
      </c>
      <c r="E58" s="34" t="s">
        <v>459</v>
      </c>
      <c r="F58" s="43" t="s">
        <v>459</v>
      </c>
      <c r="G58" s="31" t="s">
        <v>110</v>
      </c>
      <c r="H58" s="44" t="s">
        <v>461</v>
      </c>
      <c r="I58" s="42" t="s">
        <v>2645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505</v>
      </c>
      <c r="C59" s="42" t="s">
        <v>506</v>
      </c>
      <c r="D59" s="42" t="s">
        <v>2656</v>
      </c>
      <c r="E59" s="34" t="s">
        <v>459</v>
      </c>
      <c r="F59" s="43" t="s">
        <v>459</v>
      </c>
      <c r="G59" s="31" t="s">
        <v>110</v>
      </c>
      <c r="H59" s="44" t="s">
        <v>461</v>
      </c>
      <c r="I59" s="42" t="s">
        <v>2645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505</v>
      </c>
      <c r="C60" s="42" t="s">
        <v>506</v>
      </c>
      <c r="D60" s="42" t="s">
        <v>963</v>
      </c>
      <c r="E60" s="34" t="s">
        <v>459</v>
      </c>
      <c r="F60" s="43" t="s">
        <v>459</v>
      </c>
      <c r="G60" s="31" t="s">
        <v>110</v>
      </c>
      <c r="H60" s="44" t="s">
        <v>461</v>
      </c>
      <c r="I60" s="42" t="s">
        <v>2645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505</v>
      </c>
      <c r="C61" s="42" t="s">
        <v>506</v>
      </c>
      <c r="D61" s="42" t="s">
        <v>964</v>
      </c>
      <c r="E61" s="34" t="s">
        <v>459</v>
      </c>
      <c r="F61" s="43" t="s">
        <v>459</v>
      </c>
      <c r="G61" s="31" t="s">
        <v>110</v>
      </c>
      <c r="H61" s="44" t="s">
        <v>461</v>
      </c>
      <c r="I61" s="42" t="s">
        <v>2645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511</v>
      </c>
      <c r="C62" s="42" t="s">
        <v>506</v>
      </c>
      <c r="D62" s="42" t="s">
        <v>2657</v>
      </c>
      <c r="E62" s="34" t="s">
        <v>459</v>
      </c>
      <c r="F62" s="43" t="s">
        <v>459</v>
      </c>
      <c r="G62" s="31" t="s">
        <v>110</v>
      </c>
      <c r="H62" s="44" t="s">
        <v>461</v>
      </c>
      <c r="I62" s="42" t="s">
        <v>2645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511</v>
      </c>
      <c r="C63" s="42" t="s">
        <v>506</v>
      </c>
      <c r="D63" s="42" t="s">
        <v>1689</v>
      </c>
      <c r="E63" s="34" t="s">
        <v>459</v>
      </c>
      <c r="F63" s="43" t="s">
        <v>459</v>
      </c>
      <c r="G63" s="31" t="s">
        <v>110</v>
      </c>
      <c r="H63" s="44" t="s">
        <v>461</v>
      </c>
      <c r="I63" s="42" t="s">
        <v>2645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511</v>
      </c>
      <c r="C64" s="42" t="s">
        <v>506</v>
      </c>
      <c r="D64" s="42" t="s">
        <v>512</v>
      </c>
      <c r="E64" s="34" t="s">
        <v>459</v>
      </c>
      <c r="F64" s="43" t="s">
        <v>459</v>
      </c>
      <c r="G64" s="31" t="s">
        <v>110</v>
      </c>
      <c r="H64" s="44" t="s">
        <v>461</v>
      </c>
      <c r="I64" s="42" t="s">
        <v>2645</v>
      </c>
      <c r="J64" s="42"/>
      <c r="K64" s="45" t="n">
        <f aca="false">IF(AND(E64="yes",F64="yes",H64="covered"),1,IF(H64="partial",0.5,0))</f>
        <v>1</v>
      </c>
    </row>
    <row r="65" customFormat="false" ht="30" hidden="false" customHeight="true" outlineLevel="0" collapsed="false">
      <c r="A65" s="31" t="n">
        <v>57</v>
      </c>
      <c r="B65" s="42" t="s">
        <v>511</v>
      </c>
      <c r="C65" s="42" t="s">
        <v>506</v>
      </c>
      <c r="D65" s="42" t="s">
        <v>1691</v>
      </c>
      <c r="E65" s="34" t="s">
        <v>459</v>
      </c>
      <c r="F65" s="43" t="s">
        <v>459</v>
      </c>
      <c r="G65" s="31" t="s">
        <v>110</v>
      </c>
      <c r="H65" s="44" t="s">
        <v>461</v>
      </c>
      <c r="I65" s="42" t="s">
        <v>2645</v>
      </c>
      <c r="J65" s="42"/>
      <c r="K65" s="45" t="n">
        <f aca="false">IF(AND(E65="yes",F65="yes",H65="covered"),1,IF(H65="partial",0.5,0))</f>
        <v>1</v>
      </c>
    </row>
    <row r="66" customFormat="false" ht="30" hidden="false" customHeight="true" outlineLevel="0" collapsed="false">
      <c r="A66" s="31" t="n">
        <v>58</v>
      </c>
      <c r="B66" s="42" t="s">
        <v>511</v>
      </c>
      <c r="C66" s="42" t="s">
        <v>506</v>
      </c>
      <c r="D66" s="42" t="s">
        <v>1318</v>
      </c>
      <c r="E66" s="34" t="s">
        <v>459</v>
      </c>
      <c r="F66" s="43" t="s">
        <v>459</v>
      </c>
      <c r="G66" s="31" t="s">
        <v>110</v>
      </c>
      <c r="H66" s="44" t="s">
        <v>461</v>
      </c>
      <c r="I66" s="42" t="s">
        <v>2645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511</v>
      </c>
      <c r="C67" s="42" t="s">
        <v>506</v>
      </c>
      <c r="D67" s="42" t="s">
        <v>965</v>
      </c>
      <c r="E67" s="34" t="s">
        <v>459</v>
      </c>
      <c r="F67" s="43" t="s">
        <v>459</v>
      </c>
      <c r="G67" s="31" t="s">
        <v>110</v>
      </c>
      <c r="H67" s="44" t="s">
        <v>461</v>
      </c>
      <c r="I67" s="42" t="s">
        <v>2645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511</v>
      </c>
      <c r="C68" s="42" t="s">
        <v>506</v>
      </c>
      <c r="D68" s="42" t="s">
        <v>2397</v>
      </c>
      <c r="E68" s="34" t="s">
        <v>459</v>
      </c>
      <c r="F68" s="43" t="s">
        <v>459</v>
      </c>
      <c r="G68" s="31" t="s">
        <v>110</v>
      </c>
      <c r="H68" s="44" t="s">
        <v>461</v>
      </c>
      <c r="I68" s="42" t="s">
        <v>2645</v>
      </c>
      <c r="J68" s="42"/>
      <c r="K68" s="45" t="n">
        <f aca="false">IF(AND(E68="yes",F68="yes",H68="covered"),1,IF(H68="partial",0.5,0))</f>
        <v>1</v>
      </c>
    </row>
    <row r="69" customFormat="false" ht="30" hidden="false" customHeight="true" outlineLevel="0" collapsed="false">
      <c r="A69" s="31" t="n">
        <v>61</v>
      </c>
      <c r="B69" s="42" t="s">
        <v>511</v>
      </c>
      <c r="C69" s="42" t="s">
        <v>506</v>
      </c>
      <c r="D69" s="42" t="s">
        <v>2658</v>
      </c>
      <c r="E69" s="34" t="s">
        <v>459</v>
      </c>
      <c r="F69" s="43" t="s">
        <v>459</v>
      </c>
      <c r="G69" s="31" t="s">
        <v>110</v>
      </c>
      <c r="H69" s="44" t="s">
        <v>461</v>
      </c>
      <c r="I69" s="42" t="s">
        <v>2645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511</v>
      </c>
      <c r="C70" s="42" t="s">
        <v>506</v>
      </c>
      <c r="D70" s="42" t="s">
        <v>966</v>
      </c>
      <c r="E70" s="34" t="s">
        <v>459</v>
      </c>
      <c r="F70" s="43" t="s">
        <v>459</v>
      </c>
      <c r="G70" s="31" t="s">
        <v>110</v>
      </c>
      <c r="H70" s="44" t="s">
        <v>461</v>
      </c>
      <c r="I70" s="42" t="s">
        <v>2645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511</v>
      </c>
      <c r="C71" s="42" t="s">
        <v>506</v>
      </c>
      <c r="D71" s="42" t="s">
        <v>514</v>
      </c>
      <c r="E71" s="34" t="s">
        <v>459</v>
      </c>
      <c r="F71" s="43" t="s">
        <v>459</v>
      </c>
      <c r="G71" s="31" t="s">
        <v>110</v>
      </c>
      <c r="H71" s="44" t="s">
        <v>461</v>
      </c>
      <c r="I71" s="42" t="s">
        <v>2645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488</v>
      </c>
      <c r="C72" s="42" t="s">
        <v>476</v>
      </c>
      <c r="D72" s="42" t="s">
        <v>521</v>
      </c>
      <c r="E72" s="34" t="s">
        <v>459</v>
      </c>
      <c r="F72" s="43" t="s">
        <v>459</v>
      </c>
      <c r="G72" s="31" t="s">
        <v>110</v>
      </c>
      <c r="H72" s="44" t="s">
        <v>461</v>
      </c>
      <c r="I72" s="42" t="s">
        <v>2645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488</v>
      </c>
      <c r="C73" s="42" t="s">
        <v>476</v>
      </c>
      <c r="D73" s="42" t="s">
        <v>522</v>
      </c>
      <c r="E73" s="34" t="s">
        <v>459</v>
      </c>
      <c r="F73" s="43" t="s">
        <v>459</v>
      </c>
      <c r="G73" s="31" t="s">
        <v>110</v>
      </c>
      <c r="H73" s="44" t="s">
        <v>461</v>
      </c>
      <c r="I73" s="42" t="s">
        <v>2645</v>
      </c>
      <c r="J73" s="42"/>
      <c r="K73" s="45" t="n">
        <f aca="false">IF(AND(E73="yes",F73="yes",H73="covered"),1,IF(H73="partial",0.5,0))</f>
        <v>1</v>
      </c>
    </row>
    <row r="74" customFormat="false" ht="30" hidden="false" customHeight="true" outlineLevel="0" collapsed="false">
      <c r="A74" s="31" t="n">
        <v>66</v>
      </c>
      <c r="B74" s="42" t="s">
        <v>488</v>
      </c>
      <c r="C74" s="42" t="s">
        <v>476</v>
      </c>
      <c r="D74" s="42" t="s">
        <v>523</v>
      </c>
      <c r="E74" s="34" t="s">
        <v>459</v>
      </c>
      <c r="F74" s="43" t="s">
        <v>459</v>
      </c>
      <c r="G74" s="31" t="s">
        <v>110</v>
      </c>
      <c r="H74" s="44" t="s">
        <v>461</v>
      </c>
      <c r="I74" s="42" t="s">
        <v>2645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488</v>
      </c>
      <c r="C75" s="42" t="s">
        <v>69</v>
      </c>
      <c r="D75" s="42" t="s">
        <v>968</v>
      </c>
      <c r="E75" s="34" t="s">
        <v>459</v>
      </c>
      <c r="F75" s="43" t="s">
        <v>459</v>
      </c>
      <c r="G75" s="31" t="s">
        <v>110</v>
      </c>
      <c r="H75" s="44" t="s">
        <v>461</v>
      </c>
      <c r="I75" s="42" t="s">
        <v>2645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488</v>
      </c>
      <c r="C76" s="42" t="s">
        <v>69</v>
      </c>
      <c r="D76" s="42" t="s">
        <v>969</v>
      </c>
      <c r="E76" s="34" t="s">
        <v>459</v>
      </c>
      <c r="F76" s="43" t="s">
        <v>459</v>
      </c>
      <c r="G76" s="31" t="s">
        <v>110</v>
      </c>
      <c r="H76" s="44" t="s">
        <v>461</v>
      </c>
      <c r="I76" s="42" t="s">
        <v>2645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488</v>
      </c>
      <c r="C77" s="42" t="s">
        <v>69</v>
      </c>
      <c r="D77" s="42" t="s">
        <v>970</v>
      </c>
      <c r="E77" s="34" t="s">
        <v>459</v>
      </c>
      <c r="F77" s="43" t="s">
        <v>459</v>
      </c>
      <c r="G77" s="31" t="s">
        <v>110</v>
      </c>
      <c r="H77" s="44" t="s">
        <v>461</v>
      </c>
      <c r="I77" s="42" t="s">
        <v>2645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488</v>
      </c>
      <c r="C78" s="42" t="s">
        <v>69</v>
      </c>
      <c r="D78" s="42" t="s">
        <v>971</v>
      </c>
      <c r="E78" s="34" t="s">
        <v>459</v>
      </c>
      <c r="F78" s="43" t="s">
        <v>459</v>
      </c>
      <c r="G78" s="31" t="s">
        <v>110</v>
      </c>
      <c r="H78" s="44" t="s">
        <v>461</v>
      </c>
      <c r="I78" s="42" t="s">
        <v>2645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933</v>
      </c>
      <c r="C79" s="42" t="s">
        <v>69</v>
      </c>
      <c r="D79" s="42" t="s">
        <v>972</v>
      </c>
      <c r="E79" s="34" t="s">
        <v>459</v>
      </c>
      <c r="F79" s="43" t="s">
        <v>459</v>
      </c>
      <c r="G79" s="31" t="s">
        <v>110</v>
      </c>
      <c r="H79" s="44" t="s">
        <v>461</v>
      </c>
      <c r="I79" s="42" t="s">
        <v>2645</v>
      </c>
      <c r="J79" s="42"/>
      <c r="K79" s="45" t="n">
        <f aca="false">IF(AND(E79="yes",F79="yes",H79="covered"),1,IF(H79="partial",0.5,0))</f>
        <v>1</v>
      </c>
    </row>
    <row r="80" customFormat="false" ht="30" hidden="false" customHeight="true" outlineLevel="0" collapsed="false"/>
    <row r="81" customFormat="false" ht="30" hidden="false" customHeight="true" outlineLevel="0" collapsed="false"/>
    <row r="82" customFormat="false" ht="30" hidden="false" customHeight="true" outlineLevel="0" collapsed="false"/>
    <row r="83" customFormat="false" ht="30" hidden="false" customHeight="true" outlineLevel="0" collapsed="false"/>
    <row r="84" customFormat="false" ht="15" hidden="false" customHeight="true" outlineLevel="0" collapsed="false"/>
    <row r="85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2659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121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460</v>
      </c>
      <c r="H9" s="44" t="s">
        <v>461</v>
      </c>
      <c r="I9" s="42" t="s">
        <v>2660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460</v>
      </c>
      <c r="H10" s="44" t="s">
        <v>461</v>
      </c>
      <c r="I10" s="42" t="s">
        <v>2660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70</v>
      </c>
      <c r="D11" s="42" t="s">
        <v>464</v>
      </c>
      <c r="E11" s="34" t="s">
        <v>459</v>
      </c>
      <c r="F11" s="43" t="s">
        <v>459</v>
      </c>
      <c r="G11" s="31" t="s">
        <v>460</v>
      </c>
      <c r="H11" s="44" t="s">
        <v>461</v>
      </c>
      <c r="I11" s="42" t="s">
        <v>2660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70</v>
      </c>
      <c r="D12" s="42" t="s">
        <v>465</v>
      </c>
      <c r="E12" s="34" t="s">
        <v>459</v>
      </c>
      <c r="F12" s="43" t="s">
        <v>459</v>
      </c>
      <c r="G12" s="31" t="s">
        <v>460</v>
      </c>
      <c r="H12" s="44" t="s">
        <v>461</v>
      </c>
      <c r="I12" s="42" t="s">
        <v>2660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70</v>
      </c>
      <c r="D13" s="42" t="s">
        <v>466</v>
      </c>
      <c r="E13" s="34" t="s">
        <v>459</v>
      </c>
      <c r="F13" s="43" t="s">
        <v>459</v>
      </c>
      <c r="G13" s="31" t="s">
        <v>460</v>
      </c>
      <c r="H13" s="44" t="s">
        <v>461</v>
      </c>
      <c r="I13" s="42" t="s">
        <v>2660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70</v>
      </c>
      <c r="D14" s="42" t="s">
        <v>467</v>
      </c>
      <c r="E14" s="34" t="s">
        <v>459</v>
      </c>
      <c r="F14" s="43" t="s">
        <v>459</v>
      </c>
      <c r="G14" s="31" t="s">
        <v>460</v>
      </c>
      <c r="H14" s="44" t="s">
        <v>461</v>
      </c>
      <c r="I14" s="42" t="s">
        <v>2660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70</v>
      </c>
      <c r="D15" s="42" t="s">
        <v>2661</v>
      </c>
      <c r="E15" s="34" t="s">
        <v>459</v>
      </c>
      <c r="F15" s="43" t="s">
        <v>459</v>
      </c>
      <c r="G15" s="31" t="s">
        <v>460</v>
      </c>
      <c r="H15" s="44" t="s">
        <v>461</v>
      </c>
      <c r="I15" s="42" t="s">
        <v>2660</v>
      </c>
      <c r="J15" s="42"/>
      <c r="K15" s="45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2" t="s">
        <v>468</v>
      </c>
      <c r="C16" s="42" t="s">
        <v>70</v>
      </c>
      <c r="D16" s="42" t="s">
        <v>2662</v>
      </c>
      <c r="E16" s="34" t="s">
        <v>459</v>
      </c>
      <c r="F16" s="43" t="s">
        <v>459</v>
      </c>
      <c r="G16" s="31" t="s">
        <v>460</v>
      </c>
      <c r="H16" s="44" t="s">
        <v>461</v>
      </c>
      <c r="I16" s="42" t="s">
        <v>2660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70</v>
      </c>
      <c r="D17" s="42" t="s">
        <v>2663</v>
      </c>
      <c r="E17" s="34" t="s">
        <v>459</v>
      </c>
      <c r="F17" s="43" t="s">
        <v>459</v>
      </c>
      <c r="G17" s="31" t="s">
        <v>460</v>
      </c>
      <c r="H17" s="44" t="s">
        <v>461</v>
      </c>
      <c r="I17" s="42" t="s">
        <v>2660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70</v>
      </c>
      <c r="D18" s="42" t="s">
        <v>2664</v>
      </c>
      <c r="E18" s="34" t="s">
        <v>459</v>
      </c>
      <c r="F18" s="43" t="s">
        <v>459</v>
      </c>
      <c r="G18" s="31" t="s">
        <v>460</v>
      </c>
      <c r="H18" s="44" t="s">
        <v>461</v>
      </c>
      <c r="I18" s="42" t="s">
        <v>2660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70</v>
      </c>
      <c r="D19" s="42" t="s">
        <v>2665</v>
      </c>
      <c r="E19" s="34" t="s">
        <v>459</v>
      </c>
      <c r="F19" s="43" t="s">
        <v>459</v>
      </c>
      <c r="G19" s="31" t="s">
        <v>460</v>
      </c>
      <c r="H19" s="44" t="s">
        <v>461</v>
      </c>
      <c r="I19" s="42" t="s">
        <v>2660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70</v>
      </c>
      <c r="D20" s="42" t="s">
        <v>2666</v>
      </c>
      <c r="E20" s="34" t="s">
        <v>459</v>
      </c>
      <c r="F20" s="43" t="s">
        <v>459</v>
      </c>
      <c r="G20" s="31" t="s">
        <v>460</v>
      </c>
      <c r="H20" s="44" t="s">
        <v>461</v>
      </c>
      <c r="I20" s="42" t="s">
        <v>2660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468</v>
      </c>
      <c r="C21" s="42" t="s">
        <v>70</v>
      </c>
      <c r="D21" s="42" t="s">
        <v>2667</v>
      </c>
      <c r="E21" s="34" t="s">
        <v>459</v>
      </c>
      <c r="F21" s="43" t="s">
        <v>459</v>
      </c>
      <c r="G21" s="31" t="s">
        <v>460</v>
      </c>
      <c r="H21" s="44" t="s">
        <v>461</v>
      </c>
      <c r="I21" s="42" t="s">
        <v>2660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477</v>
      </c>
      <c r="E22" s="34" t="s">
        <v>459</v>
      </c>
      <c r="F22" s="43" t="s">
        <v>459</v>
      </c>
      <c r="G22" s="31" t="s">
        <v>460</v>
      </c>
      <c r="H22" s="44" t="s">
        <v>461</v>
      </c>
      <c r="I22" s="42" t="s">
        <v>2660</v>
      </c>
      <c r="J22" s="42"/>
      <c r="K22" s="45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2" t="s">
        <v>475</v>
      </c>
      <c r="C23" s="42" t="s">
        <v>476</v>
      </c>
      <c r="D23" s="42" t="s">
        <v>478</v>
      </c>
      <c r="E23" s="34" t="s">
        <v>459</v>
      </c>
      <c r="F23" s="43" t="s">
        <v>459</v>
      </c>
      <c r="G23" s="31" t="s">
        <v>460</v>
      </c>
      <c r="H23" s="44" t="s">
        <v>461</v>
      </c>
      <c r="I23" s="42" t="s">
        <v>2660</v>
      </c>
      <c r="J23" s="42"/>
      <c r="K23" s="45" t="n">
        <f aca="false">IF(AND(E23="yes",F23="yes",H23="covered"),1,IF(H23="partial",0.5,0))</f>
        <v>1</v>
      </c>
    </row>
    <row r="24" customFormat="false" ht="30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480</v>
      </c>
      <c r="E24" s="34" t="s">
        <v>459</v>
      </c>
      <c r="F24" s="43" t="s">
        <v>459</v>
      </c>
      <c r="G24" s="31" t="s">
        <v>460</v>
      </c>
      <c r="H24" s="44" t="s">
        <v>461</v>
      </c>
      <c r="I24" s="42" t="s">
        <v>2660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479</v>
      </c>
      <c r="C25" s="42" t="s">
        <v>476</v>
      </c>
      <c r="D25" s="42" t="s">
        <v>481</v>
      </c>
      <c r="E25" s="34" t="s">
        <v>459</v>
      </c>
      <c r="F25" s="43" t="s">
        <v>459</v>
      </c>
      <c r="G25" s="31" t="s">
        <v>460</v>
      </c>
      <c r="H25" s="44" t="s">
        <v>461</v>
      </c>
      <c r="I25" s="42" t="s">
        <v>2660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457</v>
      </c>
      <c r="C26" s="42" t="s">
        <v>476</v>
      </c>
      <c r="D26" s="42" t="s">
        <v>482</v>
      </c>
      <c r="E26" s="34" t="s">
        <v>459</v>
      </c>
      <c r="F26" s="43" t="s">
        <v>459</v>
      </c>
      <c r="G26" s="31" t="s">
        <v>460</v>
      </c>
      <c r="H26" s="44" t="s">
        <v>461</v>
      </c>
      <c r="I26" s="42" t="s">
        <v>2660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774</v>
      </c>
      <c r="C27" s="42" t="s">
        <v>476</v>
      </c>
      <c r="D27" s="42" t="s">
        <v>775</v>
      </c>
      <c r="E27" s="34" t="s">
        <v>459</v>
      </c>
      <c r="F27" s="43" t="s">
        <v>459</v>
      </c>
      <c r="G27" s="31" t="s">
        <v>460</v>
      </c>
      <c r="H27" s="44" t="s">
        <v>461</v>
      </c>
      <c r="I27" s="42" t="s">
        <v>2660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483</v>
      </c>
      <c r="C28" s="42" t="s">
        <v>476</v>
      </c>
      <c r="D28" s="42" t="s">
        <v>484</v>
      </c>
      <c r="E28" s="34" t="s">
        <v>459</v>
      </c>
      <c r="F28" s="43" t="s">
        <v>459</v>
      </c>
      <c r="G28" s="31" t="s">
        <v>460</v>
      </c>
      <c r="H28" s="44" t="s">
        <v>461</v>
      </c>
      <c r="I28" s="42" t="s">
        <v>2660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483</v>
      </c>
      <c r="C29" s="42" t="s">
        <v>476</v>
      </c>
      <c r="D29" s="42" t="s">
        <v>485</v>
      </c>
      <c r="E29" s="34" t="s">
        <v>459</v>
      </c>
      <c r="F29" s="43" t="s">
        <v>459</v>
      </c>
      <c r="G29" s="31" t="s">
        <v>460</v>
      </c>
      <c r="H29" s="44" t="s">
        <v>461</v>
      </c>
      <c r="I29" s="42" t="s">
        <v>2660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2668</v>
      </c>
      <c r="E30" s="34" t="s">
        <v>459</v>
      </c>
      <c r="F30" s="43" t="s">
        <v>459</v>
      </c>
      <c r="G30" s="31" t="s">
        <v>460</v>
      </c>
      <c r="H30" s="44" t="s">
        <v>461</v>
      </c>
      <c r="I30" s="42" t="s">
        <v>2660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487</v>
      </c>
      <c r="E31" s="34" t="s">
        <v>459</v>
      </c>
      <c r="F31" s="43" t="s">
        <v>459</v>
      </c>
      <c r="G31" s="31" t="s">
        <v>460</v>
      </c>
      <c r="H31" s="44" t="s">
        <v>461</v>
      </c>
      <c r="I31" s="42" t="s">
        <v>2660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2669</v>
      </c>
      <c r="E32" s="34" t="s">
        <v>459</v>
      </c>
      <c r="F32" s="43" t="s">
        <v>459</v>
      </c>
      <c r="G32" s="31" t="s">
        <v>460</v>
      </c>
      <c r="H32" s="44" t="s">
        <v>461</v>
      </c>
      <c r="I32" s="42" t="s">
        <v>2660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2670</v>
      </c>
      <c r="E33" s="34" t="s">
        <v>459</v>
      </c>
      <c r="F33" s="43" t="s">
        <v>459</v>
      </c>
      <c r="G33" s="31" t="s">
        <v>460</v>
      </c>
      <c r="H33" s="44" t="s">
        <v>461</v>
      </c>
      <c r="I33" s="42" t="s">
        <v>2660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486</v>
      </c>
      <c r="C34" s="42" t="s">
        <v>476</v>
      </c>
      <c r="D34" s="42" t="s">
        <v>2671</v>
      </c>
      <c r="E34" s="34" t="s">
        <v>459</v>
      </c>
      <c r="F34" s="43" t="s">
        <v>459</v>
      </c>
      <c r="G34" s="31" t="s">
        <v>460</v>
      </c>
      <c r="H34" s="44" t="s">
        <v>461</v>
      </c>
      <c r="I34" s="42" t="s">
        <v>2660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486</v>
      </c>
      <c r="C35" s="42" t="s">
        <v>476</v>
      </c>
      <c r="D35" s="42" t="s">
        <v>2672</v>
      </c>
      <c r="E35" s="34" t="s">
        <v>459</v>
      </c>
      <c r="F35" s="43" t="s">
        <v>459</v>
      </c>
      <c r="G35" s="31" t="s">
        <v>460</v>
      </c>
      <c r="H35" s="44" t="s">
        <v>461</v>
      </c>
      <c r="I35" s="42" t="s">
        <v>2660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486</v>
      </c>
      <c r="C36" s="42" t="s">
        <v>476</v>
      </c>
      <c r="D36" s="42" t="s">
        <v>1302</v>
      </c>
      <c r="E36" s="34" t="s">
        <v>459</v>
      </c>
      <c r="F36" s="43" t="s">
        <v>459</v>
      </c>
      <c r="G36" s="31" t="s">
        <v>460</v>
      </c>
      <c r="H36" s="44" t="s">
        <v>461</v>
      </c>
      <c r="I36" s="42" t="s">
        <v>2660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486</v>
      </c>
      <c r="C37" s="42" t="s">
        <v>476</v>
      </c>
      <c r="D37" s="42" t="s">
        <v>2673</v>
      </c>
      <c r="E37" s="34" t="s">
        <v>459</v>
      </c>
      <c r="F37" s="43" t="s">
        <v>459</v>
      </c>
      <c r="G37" s="31" t="s">
        <v>460</v>
      </c>
      <c r="H37" s="44" t="s">
        <v>461</v>
      </c>
      <c r="I37" s="42" t="s">
        <v>2660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476</v>
      </c>
      <c r="D38" s="42" t="s">
        <v>2674</v>
      </c>
      <c r="E38" s="34" t="s">
        <v>459</v>
      </c>
      <c r="F38" s="43" t="s">
        <v>459</v>
      </c>
      <c r="G38" s="31" t="s">
        <v>460</v>
      </c>
      <c r="H38" s="44" t="s">
        <v>461</v>
      </c>
      <c r="I38" s="42" t="s">
        <v>2660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476</v>
      </c>
      <c r="D39" s="42" t="s">
        <v>960</v>
      </c>
      <c r="E39" s="34" t="s">
        <v>459</v>
      </c>
      <c r="F39" s="43" t="s">
        <v>459</v>
      </c>
      <c r="G39" s="31" t="s">
        <v>460</v>
      </c>
      <c r="H39" s="44" t="s">
        <v>461</v>
      </c>
      <c r="I39" s="42" t="s">
        <v>2660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488</v>
      </c>
      <c r="C40" s="42" t="s">
        <v>476</v>
      </c>
      <c r="D40" s="42" t="s">
        <v>2675</v>
      </c>
      <c r="E40" s="34" t="s">
        <v>459</v>
      </c>
      <c r="F40" s="43" t="s">
        <v>459</v>
      </c>
      <c r="G40" s="31" t="s">
        <v>460</v>
      </c>
      <c r="H40" s="44" t="s">
        <v>461</v>
      </c>
      <c r="I40" s="42" t="s">
        <v>2660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488</v>
      </c>
      <c r="C41" s="42" t="s">
        <v>476</v>
      </c>
      <c r="D41" s="42" t="s">
        <v>2676</v>
      </c>
      <c r="E41" s="34" t="s">
        <v>459</v>
      </c>
      <c r="F41" s="43" t="s">
        <v>459</v>
      </c>
      <c r="G41" s="31" t="s">
        <v>460</v>
      </c>
      <c r="H41" s="44" t="s">
        <v>461</v>
      </c>
      <c r="I41" s="42" t="s">
        <v>2660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486</v>
      </c>
      <c r="C42" s="42" t="s">
        <v>476</v>
      </c>
      <c r="D42" s="42" t="s">
        <v>495</v>
      </c>
      <c r="E42" s="34" t="s">
        <v>459</v>
      </c>
      <c r="F42" s="43" t="s">
        <v>459</v>
      </c>
      <c r="G42" s="31" t="s">
        <v>460</v>
      </c>
      <c r="H42" s="44" t="s">
        <v>461</v>
      </c>
      <c r="I42" s="42" t="s">
        <v>2660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486</v>
      </c>
      <c r="C43" s="42" t="s">
        <v>476</v>
      </c>
      <c r="D43" s="42" t="s">
        <v>499</v>
      </c>
      <c r="E43" s="34" t="s">
        <v>459</v>
      </c>
      <c r="F43" s="43" t="s">
        <v>459</v>
      </c>
      <c r="G43" s="31" t="s">
        <v>460</v>
      </c>
      <c r="H43" s="44" t="s">
        <v>461</v>
      </c>
      <c r="I43" s="42" t="s">
        <v>2660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486</v>
      </c>
      <c r="C44" s="42" t="s">
        <v>476</v>
      </c>
      <c r="D44" s="42" t="s">
        <v>2677</v>
      </c>
      <c r="E44" s="34" t="s">
        <v>459</v>
      </c>
      <c r="F44" s="43" t="s">
        <v>459</v>
      </c>
      <c r="G44" s="31" t="s">
        <v>460</v>
      </c>
      <c r="H44" s="44" t="s">
        <v>461</v>
      </c>
      <c r="I44" s="42" t="s">
        <v>2660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486</v>
      </c>
      <c r="C45" s="42" t="s">
        <v>476</v>
      </c>
      <c r="D45" s="42" t="s">
        <v>2238</v>
      </c>
      <c r="E45" s="34" t="s">
        <v>459</v>
      </c>
      <c r="F45" s="43" t="s">
        <v>459</v>
      </c>
      <c r="G45" s="31" t="s">
        <v>460</v>
      </c>
      <c r="H45" s="44" t="s">
        <v>461</v>
      </c>
      <c r="I45" s="42" t="s">
        <v>2660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486</v>
      </c>
      <c r="C46" s="42" t="s">
        <v>476</v>
      </c>
      <c r="D46" s="42" t="s">
        <v>2678</v>
      </c>
      <c r="E46" s="34" t="s">
        <v>459</v>
      </c>
      <c r="F46" s="43" t="s">
        <v>459</v>
      </c>
      <c r="G46" s="31" t="s">
        <v>460</v>
      </c>
      <c r="H46" s="44" t="s">
        <v>461</v>
      </c>
      <c r="I46" s="42" t="s">
        <v>2660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475</v>
      </c>
      <c r="C47" s="42" t="s">
        <v>1431</v>
      </c>
      <c r="D47" s="42" t="s">
        <v>477</v>
      </c>
      <c r="E47" s="34" t="s">
        <v>459</v>
      </c>
      <c r="F47" s="43" t="s">
        <v>459</v>
      </c>
      <c r="G47" s="31" t="s">
        <v>460</v>
      </c>
      <c r="H47" s="44" t="s">
        <v>461</v>
      </c>
      <c r="I47" s="42" t="s">
        <v>2660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475</v>
      </c>
      <c r="C48" s="42" t="s">
        <v>1431</v>
      </c>
      <c r="D48" s="42" t="s">
        <v>478</v>
      </c>
      <c r="E48" s="34" t="s">
        <v>459</v>
      </c>
      <c r="F48" s="43" t="s">
        <v>459</v>
      </c>
      <c r="G48" s="31" t="s">
        <v>460</v>
      </c>
      <c r="H48" s="44" t="s">
        <v>461</v>
      </c>
      <c r="I48" s="42" t="s">
        <v>2660</v>
      </c>
      <c r="J48" s="42"/>
      <c r="K48" s="45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31" t="n">
        <v>41</v>
      </c>
      <c r="B49" s="42" t="s">
        <v>486</v>
      </c>
      <c r="C49" s="42" t="s">
        <v>1431</v>
      </c>
      <c r="D49" s="42" t="s">
        <v>2679</v>
      </c>
      <c r="E49" s="34" t="s">
        <v>459</v>
      </c>
      <c r="F49" s="43" t="s">
        <v>459</v>
      </c>
      <c r="G49" s="31" t="s">
        <v>460</v>
      </c>
      <c r="H49" s="44" t="s">
        <v>461</v>
      </c>
      <c r="I49" s="42" t="s">
        <v>2660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486</v>
      </c>
      <c r="C50" s="42" t="s">
        <v>1431</v>
      </c>
      <c r="D50" s="42" t="s">
        <v>2680</v>
      </c>
      <c r="E50" s="34" t="s">
        <v>459</v>
      </c>
      <c r="F50" s="43" t="s">
        <v>459</v>
      </c>
      <c r="G50" s="31" t="s">
        <v>460</v>
      </c>
      <c r="H50" s="44" t="s">
        <v>461</v>
      </c>
      <c r="I50" s="42" t="s">
        <v>2660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486</v>
      </c>
      <c r="C51" s="42" t="s">
        <v>1431</v>
      </c>
      <c r="D51" s="42" t="s">
        <v>2672</v>
      </c>
      <c r="E51" s="34" t="s">
        <v>459</v>
      </c>
      <c r="F51" s="43" t="s">
        <v>459</v>
      </c>
      <c r="G51" s="31" t="s">
        <v>460</v>
      </c>
      <c r="H51" s="44" t="s">
        <v>461</v>
      </c>
      <c r="I51" s="42" t="s">
        <v>2660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486</v>
      </c>
      <c r="C52" s="42" t="s">
        <v>1431</v>
      </c>
      <c r="D52" s="42" t="s">
        <v>2681</v>
      </c>
      <c r="E52" s="34" t="s">
        <v>459</v>
      </c>
      <c r="F52" s="43" t="s">
        <v>459</v>
      </c>
      <c r="G52" s="31" t="s">
        <v>460</v>
      </c>
      <c r="H52" s="44" t="s">
        <v>461</v>
      </c>
      <c r="I52" s="42" t="s">
        <v>2660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486</v>
      </c>
      <c r="C53" s="42" t="s">
        <v>1431</v>
      </c>
      <c r="D53" s="42" t="s">
        <v>2682</v>
      </c>
      <c r="E53" s="34" t="s">
        <v>459</v>
      </c>
      <c r="F53" s="43" t="s">
        <v>459</v>
      </c>
      <c r="G53" s="31" t="s">
        <v>460</v>
      </c>
      <c r="H53" s="44" t="s">
        <v>461</v>
      </c>
      <c r="I53" s="42" t="s">
        <v>2660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475</v>
      </c>
      <c r="C54" s="42" t="s">
        <v>2156</v>
      </c>
      <c r="D54" s="42" t="s">
        <v>477</v>
      </c>
      <c r="E54" s="34" t="s">
        <v>459</v>
      </c>
      <c r="F54" s="43" t="s">
        <v>459</v>
      </c>
      <c r="G54" s="31" t="s">
        <v>460</v>
      </c>
      <c r="H54" s="44" t="s">
        <v>461</v>
      </c>
      <c r="I54" s="42" t="s">
        <v>2660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475</v>
      </c>
      <c r="C55" s="42" t="s">
        <v>2156</v>
      </c>
      <c r="D55" s="42" t="s">
        <v>478</v>
      </c>
      <c r="E55" s="34" t="s">
        <v>459</v>
      </c>
      <c r="F55" s="43" t="s">
        <v>459</v>
      </c>
      <c r="G55" s="31" t="s">
        <v>460</v>
      </c>
      <c r="H55" s="44" t="s">
        <v>461</v>
      </c>
      <c r="I55" s="42" t="s">
        <v>2660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479</v>
      </c>
      <c r="C56" s="42" t="s">
        <v>2156</v>
      </c>
      <c r="D56" s="42" t="s">
        <v>480</v>
      </c>
      <c r="E56" s="34" t="s">
        <v>459</v>
      </c>
      <c r="F56" s="43" t="s">
        <v>459</v>
      </c>
      <c r="G56" s="31" t="s">
        <v>460</v>
      </c>
      <c r="H56" s="44" t="s">
        <v>461</v>
      </c>
      <c r="I56" s="42" t="s">
        <v>2660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479</v>
      </c>
      <c r="C57" s="42" t="s">
        <v>2156</v>
      </c>
      <c r="D57" s="42" t="s">
        <v>481</v>
      </c>
      <c r="E57" s="34" t="s">
        <v>459</v>
      </c>
      <c r="F57" s="43" t="s">
        <v>459</v>
      </c>
      <c r="G57" s="31" t="s">
        <v>460</v>
      </c>
      <c r="H57" s="44" t="s">
        <v>461</v>
      </c>
      <c r="I57" s="42" t="s">
        <v>2660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457</v>
      </c>
      <c r="C58" s="42" t="s">
        <v>2156</v>
      </c>
      <c r="D58" s="42" t="s">
        <v>482</v>
      </c>
      <c r="E58" s="34" t="s">
        <v>459</v>
      </c>
      <c r="F58" s="43" t="s">
        <v>459</v>
      </c>
      <c r="G58" s="31" t="s">
        <v>460</v>
      </c>
      <c r="H58" s="44" t="s">
        <v>461</v>
      </c>
      <c r="I58" s="42" t="s">
        <v>2660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774</v>
      </c>
      <c r="C59" s="42" t="s">
        <v>2156</v>
      </c>
      <c r="D59" s="42" t="s">
        <v>775</v>
      </c>
      <c r="E59" s="34" t="s">
        <v>459</v>
      </c>
      <c r="F59" s="43" t="s">
        <v>459</v>
      </c>
      <c r="G59" s="31" t="s">
        <v>460</v>
      </c>
      <c r="H59" s="44" t="s">
        <v>461</v>
      </c>
      <c r="I59" s="42" t="s">
        <v>2660</v>
      </c>
      <c r="J59" s="42"/>
      <c r="K59" s="45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31" t="n">
        <v>52</v>
      </c>
      <c r="B60" s="42" t="s">
        <v>483</v>
      </c>
      <c r="C60" s="42" t="s">
        <v>2156</v>
      </c>
      <c r="D60" s="42" t="s">
        <v>484</v>
      </c>
      <c r="E60" s="34" t="s">
        <v>459</v>
      </c>
      <c r="F60" s="43" t="s">
        <v>459</v>
      </c>
      <c r="G60" s="31" t="s">
        <v>460</v>
      </c>
      <c r="H60" s="44" t="s">
        <v>461</v>
      </c>
      <c r="I60" s="42" t="s">
        <v>2660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483</v>
      </c>
      <c r="C61" s="42" t="s">
        <v>2156</v>
      </c>
      <c r="D61" s="42" t="s">
        <v>485</v>
      </c>
      <c r="E61" s="34" t="s">
        <v>459</v>
      </c>
      <c r="F61" s="43" t="s">
        <v>459</v>
      </c>
      <c r="G61" s="31" t="s">
        <v>460</v>
      </c>
      <c r="H61" s="44" t="s">
        <v>461</v>
      </c>
      <c r="I61" s="42" t="s">
        <v>2660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486</v>
      </c>
      <c r="C62" s="42" t="s">
        <v>2156</v>
      </c>
      <c r="D62" s="42" t="s">
        <v>776</v>
      </c>
      <c r="E62" s="34" t="s">
        <v>459</v>
      </c>
      <c r="F62" s="43" t="s">
        <v>459</v>
      </c>
      <c r="G62" s="31" t="s">
        <v>460</v>
      </c>
      <c r="H62" s="44" t="s">
        <v>461</v>
      </c>
      <c r="I62" s="42" t="s">
        <v>2660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1056</v>
      </c>
      <c r="C63" s="42" t="s">
        <v>2156</v>
      </c>
      <c r="D63" s="42" t="s">
        <v>1057</v>
      </c>
      <c r="E63" s="34" t="s">
        <v>459</v>
      </c>
      <c r="F63" s="43" t="s">
        <v>459</v>
      </c>
      <c r="G63" s="31" t="s">
        <v>460</v>
      </c>
      <c r="H63" s="44" t="s">
        <v>461</v>
      </c>
      <c r="I63" s="42" t="s">
        <v>2660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1056</v>
      </c>
      <c r="C64" s="42" t="s">
        <v>2156</v>
      </c>
      <c r="D64" s="42" t="s">
        <v>2683</v>
      </c>
      <c r="E64" s="34" t="s">
        <v>459</v>
      </c>
      <c r="F64" s="43" t="s">
        <v>459</v>
      </c>
      <c r="G64" s="31" t="s">
        <v>460</v>
      </c>
      <c r="H64" s="44" t="s">
        <v>461</v>
      </c>
      <c r="I64" s="42" t="s">
        <v>2660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486</v>
      </c>
      <c r="C65" s="42" t="s">
        <v>2156</v>
      </c>
      <c r="D65" s="42" t="s">
        <v>2684</v>
      </c>
      <c r="E65" s="34" t="s">
        <v>459</v>
      </c>
      <c r="F65" s="43" t="s">
        <v>459</v>
      </c>
      <c r="G65" s="31" t="s">
        <v>460</v>
      </c>
      <c r="H65" s="44" t="s">
        <v>461</v>
      </c>
      <c r="I65" s="42" t="s">
        <v>2660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486</v>
      </c>
      <c r="C66" s="42" t="s">
        <v>2156</v>
      </c>
      <c r="D66" s="42" t="s">
        <v>495</v>
      </c>
      <c r="E66" s="34" t="s">
        <v>459</v>
      </c>
      <c r="F66" s="43" t="s">
        <v>459</v>
      </c>
      <c r="G66" s="31" t="s">
        <v>460</v>
      </c>
      <c r="H66" s="44" t="s">
        <v>461</v>
      </c>
      <c r="I66" s="42" t="s">
        <v>2660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486</v>
      </c>
      <c r="C67" s="42" t="s">
        <v>2156</v>
      </c>
      <c r="D67" s="42" t="s">
        <v>777</v>
      </c>
      <c r="E67" s="34" t="s">
        <v>459</v>
      </c>
      <c r="F67" s="43" t="s">
        <v>459</v>
      </c>
      <c r="G67" s="31" t="s">
        <v>460</v>
      </c>
      <c r="H67" s="44" t="s">
        <v>461</v>
      </c>
      <c r="I67" s="42" t="s">
        <v>2660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486</v>
      </c>
      <c r="C68" s="42" t="s">
        <v>2156</v>
      </c>
      <c r="D68" s="42" t="s">
        <v>2678</v>
      </c>
      <c r="E68" s="34" t="s">
        <v>459</v>
      </c>
      <c r="F68" s="43" t="s">
        <v>459</v>
      </c>
      <c r="G68" s="31" t="s">
        <v>460</v>
      </c>
      <c r="H68" s="44" t="s">
        <v>461</v>
      </c>
      <c r="I68" s="42" t="s">
        <v>2660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486</v>
      </c>
      <c r="C69" s="42" t="s">
        <v>2156</v>
      </c>
      <c r="D69" s="42" t="s">
        <v>2685</v>
      </c>
      <c r="E69" s="34" t="s">
        <v>459</v>
      </c>
      <c r="F69" s="43" t="s">
        <v>459</v>
      </c>
      <c r="G69" s="31" t="s">
        <v>460</v>
      </c>
      <c r="H69" s="44" t="s">
        <v>461</v>
      </c>
      <c r="I69" s="42" t="s">
        <v>2660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486</v>
      </c>
      <c r="C70" s="42" t="s">
        <v>2156</v>
      </c>
      <c r="D70" s="42" t="s">
        <v>2686</v>
      </c>
      <c r="E70" s="34" t="s">
        <v>459</v>
      </c>
      <c r="F70" s="43" t="s">
        <v>459</v>
      </c>
      <c r="G70" s="31" t="s">
        <v>460</v>
      </c>
      <c r="H70" s="44" t="s">
        <v>461</v>
      </c>
      <c r="I70" s="42" t="s">
        <v>2660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475</v>
      </c>
      <c r="C71" s="42" t="s">
        <v>668</v>
      </c>
      <c r="D71" s="42" t="s">
        <v>477</v>
      </c>
      <c r="E71" s="34" t="s">
        <v>459</v>
      </c>
      <c r="F71" s="43" t="s">
        <v>459</v>
      </c>
      <c r="G71" s="31" t="s">
        <v>460</v>
      </c>
      <c r="H71" s="44" t="s">
        <v>461</v>
      </c>
      <c r="I71" s="42" t="s">
        <v>2660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475</v>
      </c>
      <c r="C72" s="42" t="s">
        <v>668</v>
      </c>
      <c r="D72" s="42" t="s">
        <v>478</v>
      </c>
      <c r="E72" s="34" t="s">
        <v>459</v>
      </c>
      <c r="F72" s="43" t="s">
        <v>459</v>
      </c>
      <c r="G72" s="31" t="s">
        <v>460</v>
      </c>
      <c r="H72" s="44" t="s">
        <v>461</v>
      </c>
      <c r="I72" s="42" t="s">
        <v>2660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479</v>
      </c>
      <c r="C73" s="42" t="s">
        <v>668</v>
      </c>
      <c r="D73" s="42" t="s">
        <v>480</v>
      </c>
      <c r="E73" s="34" t="s">
        <v>459</v>
      </c>
      <c r="F73" s="43" t="s">
        <v>459</v>
      </c>
      <c r="G73" s="31" t="s">
        <v>460</v>
      </c>
      <c r="H73" s="44" t="s">
        <v>461</v>
      </c>
      <c r="I73" s="42" t="s">
        <v>2660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479</v>
      </c>
      <c r="C74" s="42" t="s">
        <v>668</v>
      </c>
      <c r="D74" s="42" t="s">
        <v>481</v>
      </c>
      <c r="E74" s="34" t="s">
        <v>459</v>
      </c>
      <c r="F74" s="43" t="s">
        <v>459</v>
      </c>
      <c r="G74" s="31" t="s">
        <v>460</v>
      </c>
      <c r="H74" s="44" t="s">
        <v>461</v>
      </c>
      <c r="I74" s="42" t="s">
        <v>2660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457</v>
      </c>
      <c r="C75" s="42" t="s">
        <v>668</v>
      </c>
      <c r="D75" s="42" t="s">
        <v>482</v>
      </c>
      <c r="E75" s="34" t="s">
        <v>459</v>
      </c>
      <c r="F75" s="43" t="s">
        <v>459</v>
      </c>
      <c r="G75" s="31" t="s">
        <v>460</v>
      </c>
      <c r="H75" s="44" t="s">
        <v>461</v>
      </c>
      <c r="I75" s="42" t="s">
        <v>2660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774</v>
      </c>
      <c r="C76" s="42" t="s">
        <v>668</v>
      </c>
      <c r="D76" s="42" t="s">
        <v>775</v>
      </c>
      <c r="E76" s="34" t="s">
        <v>459</v>
      </c>
      <c r="F76" s="43" t="s">
        <v>459</v>
      </c>
      <c r="G76" s="31" t="s">
        <v>460</v>
      </c>
      <c r="H76" s="44" t="s">
        <v>461</v>
      </c>
      <c r="I76" s="42" t="s">
        <v>2660</v>
      </c>
      <c r="J76" s="42"/>
      <c r="K76" s="45" t="n">
        <f aca="false">IF(AND(E76="yes",F76="yes",H76="covered"),1,IF(H76="partial",0.5,0))</f>
        <v>1</v>
      </c>
    </row>
    <row r="77" customFormat="false" ht="30" hidden="false" customHeight="true" outlineLevel="0" collapsed="false">
      <c r="A77" s="31" t="n">
        <v>69</v>
      </c>
      <c r="B77" s="42" t="s">
        <v>483</v>
      </c>
      <c r="C77" s="42" t="s">
        <v>668</v>
      </c>
      <c r="D77" s="42" t="s">
        <v>484</v>
      </c>
      <c r="E77" s="34" t="s">
        <v>459</v>
      </c>
      <c r="F77" s="43" t="s">
        <v>459</v>
      </c>
      <c r="G77" s="31" t="s">
        <v>460</v>
      </c>
      <c r="H77" s="44" t="s">
        <v>461</v>
      </c>
      <c r="I77" s="42" t="s">
        <v>2660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483</v>
      </c>
      <c r="C78" s="42" t="s">
        <v>668</v>
      </c>
      <c r="D78" s="42" t="s">
        <v>485</v>
      </c>
      <c r="E78" s="34" t="s">
        <v>459</v>
      </c>
      <c r="F78" s="43" t="s">
        <v>459</v>
      </c>
      <c r="G78" s="31" t="s">
        <v>460</v>
      </c>
      <c r="H78" s="44" t="s">
        <v>461</v>
      </c>
      <c r="I78" s="42" t="s">
        <v>2660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486</v>
      </c>
      <c r="C79" s="42" t="s">
        <v>668</v>
      </c>
      <c r="D79" s="42" t="s">
        <v>495</v>
      </c>
      <c r="E79" s="34" t="s">
        <v>459</v>
      </c>
      <c r="F79" s="43" t="s">
        <v>459</v>
      </c>
      <c r="G79" s="31" t="s">
        <v>460</v>
      </c>
      <c r="H79" s="44" t="s">
        <v>461</v>
      </c>
      <c r="I79" s="42" t="s">
        <v>2660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475</v>
      </c>
      <c r="C80" s="42" t="s">
        <v>686</v>
      </c>
      <c r="D80" s="42" t="s">
        <v>477</v>
      </c>
      <c r="E80" s="34" t="s">
        <v>459</v>
      </c>
      <c r="F80" s="43" t="s">
        <v>459</v>
      </c>
      <c r="G80" s="31" t="s">
        <v>460</v>
      </c>
      <c r="H80" s="44" t="s">
        <v>461</v>
      </c>
      <c r="I80" s="42" t="s">
        <v>2660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475</v>
      </c>
      <c r="C81" s="42" t="s">
        <v>686</v>
      </c>
      <c r="D81" s="42" t="s">
        <v>478</v>
      </c>
      <c r="E81" s="34" t="s">
        <v>459</v>
      </c>
      <c r="F81" s="43" t="s">
        <v>459</v>
      </c>
      <c r="G81" s="31" t="s">
        <v>460</v>
      </c>
      <c r="H81" s="44" t="s">
        <v>461</v>
      </c>
      <c r="I81" s="42" t="s">
        <v>2660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479</v>
      </c>
      <c r="C82" s="42" t="s">
        <v>686</v>
      </c>
      <c r="D82" s="42" t="s">
        <v>480</v>
      </c>
      <c r="E82" s="34" t="s">
        <v>459</v>
      </c>
      <c r="F82" s="43" t="s">
        <v>459</v>
      </c>
      <c r="G82" s="31" t="s">
        <v>460</v>
      </c>
      <c r="H82" s="44" t="s">
        <v>461</v>
      </c>
      <c r="I82" s="42" t="s">
        <v>2660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479</v>
      </c>
      <c r="C83" s="42" t="s">
        <v>686</v>
      </c>
      <c r="D83" s="42" t="s">
        <v>481</v>
      </c>
      <c r="E83" s="34" t="s">
        <v>459</v>
      </c>
      <c r="F83" s="43" t="s">
        <v>459</v>
      </c>
      <c r="G83" s="31" t="s">
        <v>460</v>
      </c>
      <c r="H83" s="44" t="s">
        <v>461</v>
      </c>
      <c r="I83" s="42" t="s">
        <v>2660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457</v>
      </c>
      <c r="C84" s="42" t="s">
        <v>686</v>
      </c>
      <c r="D84" s="42" t="s">
        <v>482</v>
      </c>
      <c r="E84" s="34" t="s">
        <v>459</v>
      </c>
      <c r="F84" s="43" t="s">
        <v>459</v>
      </c>
      <c r="G84" s="31" t="s">
        <v>460</v>
      </c>
      <c r="H84" s="44" t="s">
        <v>461</v>
      </c>
      <c r="I84" s="42" t="s">
        <v>2660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774</v>
      </c>
      <c r="C85" s="42" t="s">
        <v>686</v>
      </c>
      <c r="D85" s="42" t="s">
        <v>775</v>
      </c>
      <c r="E85" s="34" t="s">
        <v>459</v>
      </c>
      <c r="F85" s="43" t="s">
        <v>459</v>
      </c>
      <c r="G85" s="31" t="s">
        <v>460</v>
      </c>
      <c r="H85" s="44" t="s">
        <v>461</v>
      </c>
      <c r="I85" s="42" t="s">
        <v>2660</v>
      </c>
      <c r="J85" s="42"/>
      <c r="K85" s="45" t="n">
        <f aca="false">IF(AND(E85="yes",F85="yes",H85="covered"),1,IF(H85="partial",0.5,0))</f>
        <v>1</v>
      </c>
    </row>
    <row r="86" customFormat="false" ht="30" hidden="false" customHeight="true" outlineLevel="0" collapsed="false">
      <c r="A86" s="31" t="n">
        <v>78</v>
      </c>
      <c r="B86" s="42" t="s">
        <v>483</v>
      </c>
      <c r="C86" s="42" t="s">
        <v>686</v>
      </c>
      <c r="D86" s="42" t="s">
        <v>484</v>
      </c>
      <c r="E86" s="34" t="s">
        <v>459</v>
      </c>
      <c r="F86" s="43" t="s">
        <v>459</v>
      </c>
      <c r="G86" s="31" t="s">
        <v>460</v>
      </c>
      <c r="H86" s="44" t="s">
        <v>461</v>
      </c>
      <c r="I86" s="42" t="s">
        <v>2660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483</v>
      </c>
      <c r="C87" s="42" t="s">
        <v>686</v>
      </c>
      <c r="D87" s="42" t="s">
        <v>485</v>
      </c>
      <c r="E87" s="34" t="s">
        <v>459</v>
      </c>
      <c r="F87" s="43" t="s">
        <v>459</v>
      </c>
      <c r="G87" s="31" t="s">
        <v>460</v>
      </c>
      <c r="H87" s="44" t="s">
        <v>461</v>
      </c>
      <c r="I87" s="42" t="s">
        <v>2660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486</v>
      </c>
      <c r="C88" s="42" t="s">
        <v>686</v>
      </c>
      <c r="D88" s="42" t="s">
        <v>495</v>
      </c>
      <c r="E88" s="34" t="s">
        <v>459</v>
      </c>
      <c r="F88" s="43" t="s">
        <v>459</v>
      </c>
      <c r="G88" s="31" t="s">
        <v>460</v>
      </c>
      <c r="H88" s="44" t="s">
        <v>461</v>
      </c>
      <c r="I88" s="42" t="s">
        <v>2660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475</v>
      </c>
      <c r="C89" s="42" t="s">
        <v>1400</v>
      </c>
      <c r="D89" s="42" t="s">
        <v>477</v>
      </c>
      <c r="E89" s="34" t="s">
        <v>459</v>
      </c>
      <c r="F89" s="43" t="s">
        <v>459</v>
      </c>
      <c r="G89" s="31" t="s">
        <v>460</v>
      </c>
      <c r="H89" s="44" t="s">
        <v>461</v>
      </c>
      <c r="I89" s="42" t="s">
        <v>2660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475</v>
      </c>
      <c r="C90" s="42" t="s">
        <v>1400</v>
      </c>
      <c r="D90" s="42" t="s">
        <v>478</v>
      </c>
      <c r="E90" s="34" t="s">
        <v>459</v>
      </c>
      <c r="F90" s="43" t="s">
        <v>459</v>
      </c>
      <c r="G90" s="31" t="s">
        <v>460</v>
      </c>
      <c r="H90" s="44" t="s">
        <v>461</v>
      </c>
      <c r="I90" s="42" t="s">
        <v>2660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479</v>
      </c>
      <c r="C91" s="42" t="s">
        <v>1400</v>
      </c>
      <c r="D91" s="42" t="s">
        <v>480</v>
      </c>
      <c r="E91" s="34" t="s">
        <v>459</v>
      </c>
      <c r="F91" s="43" t="s">
        <v>459</v>
      </c>
      <c r="G91" s="31" t="s">
        <v>460</v>
      </c>
      <c r="H91" s="44" t="s">
        <v>461</v>
      </c>
      <c r="I91" s="42" t="s">
        <v>2660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479</v>
      </c>
      <c r="C92" s="42" t="s">
        <v>1400</v>
      </c>
      <c r="D92" s="42" t="s">
        <v>481</v>
      </c>
      <c r="E92" s="34" t="s">
        <v>459</v>
      </c>
      <c r="F92" s="43" t="s">
        <v>459</v>
      </c>
      <c r="G92" s="31" t="s">
        <v>460</v>
      </c>
      <c r="H92" s="44" t="s">
        <v>461</v>
      </c>
      <c r="I92" s="42" t="s">
        <v>2660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457</v>
      </c>
      <c r="C93" s="42" t="s">
        <v>1400</v>
      </c>
      <c r="D93" s="42" t="s">
        <v>482</v>
      </c>
      <c r="E93" s="34" t="s">
        <v>459</v>
      </c>
      <c r="F93" s="43" t="s">
        <v>459</v>
      </c>
      <c r="G93" s="31" t="s">
        <v>460</v>
      </c>
      <c r="H93" s="44" t="s">
        <v>461</v>
      </c>
      <c r="I93" s="42" t="s">
        <v>2660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774</v>
      </c>
      <c r="C94" s="42" t="s">
        <v>1400</v>
      </c>
      <c r="D94" s="42" t="s">
        <v>775</v>
      </c>
      <c r="E94" s="34" t="s">
        <v>459</v>
      </c>
      <c r="F94" s="43" t="s">
        <v>459</v>
      </c>
      <c r="G94" s="31" t="s">
        <v>460</v>
      </c>
      <c r="H94" s="44" t="s">
        <v>461</v>
      </c>
      <c r="I94" s="42" t="s">
        <v>2660</v>
      </c>
      <c r="J94" s="42"/>
      <c r="K94" s="45" t="n">
        <f aca="false">IF(AND(E94="yes",F94="yes",H94="covered"),1,IF(H94="partial",0.5,0))</f>
        <v>1</v>
      </c>
    </row>
    <row r="95" customFormat="false" ht="30" hidden="false" customHeight="true" outlineLevel="0" collapsed="false">
      <c r="A95" s="31" t="n">
        <v>87</v>
      </c>
      <c r="B95" s="42" t="s">
        <v>483</v>
      </c>
      <c r="C95" s="42" t="s">
        <v>1400</v>
      </c>
      <c r="D95" s="42" t="s">
        <v>484</v>
      </c>
      <c r="E95" s="34" t="s">
        <v>459</v>
      </c>
      <c r="F95" s="43" t="s">
        <v>459</v>
      </c>
      <c r="G95" s="31" t="s">
        <v>460</v>
      </c>
      <c r="H95" s="44" t="s">
        <v>461</v>
      </c>
      <c r="I95" s="42" t="s">
        <v>2660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483</v>
      </c>
      <c r="C96" s="42" t="s">
        <v>1400</v>
      </c>
      <c r="D96" s="42" t="s">
        <v>485</v>
      </c>
      <c r="E96" s="34" t="s">
        <v>459</v>
      </c>
      <c r="F96" s="43" t="s">
        <v>459</v>
      </c>
      <c r="G96" s="31" t="s">
        <v>460</v>
      </c>
      <c r="H96" s="44" t="s">
        <v>461</v>
      </c>
      <c r="I96" s="42" t="s">
        <v>2660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882</v>
      </c>
      <c r="C97" s="42" t="s">
        <v>1400</v>
      </c>
      <c r="D97" s="42" t="s">
        <v>883</v>
      </c>
      <c r="E97" s="34" t="s">
        <v>459</v>
      </c>
      <c r="F97" s="43" t="s">
        <v>459</v>
      </c>
      <c r="G97" s="31" t="s">
        <v>460</v>
      </c>
      <c r="H97" s="44" t="s">
        <v>461</v>
      </c>
      <c r="I97" s="42" t="s">
        <v>2660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486</v>
      </c>
      <c r="C98" s="42" t="s">
        <v>1400</v>
      </c>
      <c r="D98" s="42" t="s">
        <v>495</v>
      </c>
      <c r="E98" s="34" t="s">
        <v>459</v>
      </c>
      <c r="F98" s="43" t="s">
        <v>459</v>
      </c>
      <c r="G98" s="31" t="s">
        <v>460</v>
      </c>
      <c r="H98" s="44" t="s">
        <v>461</v>
      </c>
      <c r="I98" s="42" t="s">
        <v>2660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475</v>
      </c>
      <c r="C99" s="42" t="s">
        <v>721</v>
      </c>
      <c r="D99" s="42" t="s">
        <v>477</v>
      </c>
      <c r="E99" s="34" t="s">
        <v>459</v>
      </c>
      <c r="F99" s="43" t="s">
        <v>459</v>
      </c>
      <c r="G99" s="31" t="s">
        <v>460</v>
      </c>
      <c r="H99" s="44" t="s">
        <v>461</v>
      </c>
      <c r="I99" s="42" t="s">
        <v>2660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475</v>
      </c>
      <c r="C100" s="42" t="s">
        <v>721</v>
      </c>
      <c r="D100" s="42" t="s">
        <v>478</v>
      </c>
      <c r="E100" s="34" t="s">
        <v>459</v>
      </c>
      <c r="F100" s="43" t="s">
        <v>459</v>
      </c>
      <c r="G100" s="31" t="s">
        <v>460</v>
      </c>
      <c r="H100" s="44" t="s">
        <v>461</v>
      </c>
      <c r="I100" s="42" t="s">
        <v>2660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479</v>
      </c>
      <c r="C101" s="42" t="s">
        <v>721</v>
      </c>
      <c r="D101" s="42" t="s">
        <v>480</v>
      </c>
      <c r="E101" s="34" t="s">
        <v>459</v>
      </c>
      <c r="F101" s="43" t="s">
        <v>459</v>
      </c>
      <c r="G101" s="31" t="s">
        <v>460</v>
      </c>
      <c r="H101" s="44" t="s">
        <v>461</v>
      </c>
      <c r="I101" s="42" t="s">
        <v>2660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479</v>
      </c>
      <c r="C102" s="42" t="s">
        <v>721</v>
      </c>
      <c r="D102" s="42" t="s">
        <v>481</v>
      </c>
      <c r="E102" s="34" t="s">
        <v>459</v>
      </c>
      <c r="F102" s="43" t="s">
        <v>459</v>
      </c>
      <c r="G102" s="31" t="s">
        <v>460</v>
      </c>
      <c r="H102" s="44" t="s">
        <v>461</v>
      </c>
      <c r="I102" s="42" t="s">
        <v>2660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457</v>
      </c>
      <c r="C103" s="42" t="s">
        <v>721</v>
      </c>
      <c r="D103" s="42" t="s">
        <v>482</v>
      </c>
      <c r="E103" s="34" t="s">
        <v>459</v>
      </c>
      <c r="F103" s="43" t="s">
        <v>459</v>
      </c>
      <c r="G103" s="31" t="s">
        <v>460</v>
      </c>
      <c r="H103" s="44" t="s">
        <v>461</v>
      </c>
      <c r="I103" s="42" t="s">
        <v>2660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774</v>
      </c>
      <c r="C104" s="42" t="s">
        <v>721</v>
      </c>
      <c r="D104" s="42" t="s">
        <v>775</v>
      </c>
      <c r="E104" s="34" t="s">
        <v>459</v>
      </c>
      <c r="F104" s="43" t="s">
        <v>459</v>
      </c>
      <c r="G104" s="31" t="s">
        <v>460</v>
      </c>
      <c r="H104" s="44" t="s">
        <v>461</v>
      </c>
      <c r="I104" s="42" t="s">
        <v>2660</v>
      </c>
      <c r="J104" s="42"/>
      <c r="K104" s="45" t="n">
        <f aca="false">IF(AND(E104="yes",F104="yes",H104="covered"),1,IF(H104="partial",0.5,0))</f>
        <v>1</v>
      </c>
    </row>
    <row r="105" customFormat="false" ht="30" hidden="false" customHeight="true" outlineLevel="0" collapsed="false">
      <c r="A105" s="31" t="n">
        <v>97</v>
      </c>
      <c r="B105" s="42" t="s">
        <v>483</v>
      </c>
      <c r="C105" s="42" t="s">
        <v>721</v>
      </c>
      <c r="D105" s="42" t="s">
        <v>484</v>
      </c>
      <c r="E105" s="34" t="s">
        <v>459</v>
      </c>
      <c r="F105" s="43" t="s">
        <v>459</v>
      </c>
      <c r="G105" s="31" t="s">
        <v>460</v>
      </c>
      <c r="H105" s="44" t="s">
        <v>461</v>
      </c>
      <c r="I105" s="42" t="s">
        <v>2660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483</v>
      </c>
      <c r="C106" s="42" t="s">
        <v>721</v>
      </c>
      <c r="D106" s="42" t="s">
        <v>485</v>
      </c>
      <c r="E106" s="34" t="s">
        <v>459</v>
      </c>
      <c r="F106" s="43" t="s">
        <v>459</v>
      </c>
      <c r="G106" s="31" t="s">
        <v>460</v>
      </c>
      <c r="H106" s="44" t="s">
        <v>461</v>
      </c>
      <c r="I106" s="42" t="s">
        <v>2660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486</v>
      </c>
      <c r="C107" s="42" t="s">
        <v>721</v>
      </c>
      <c r="D107" s="42" t="s">
        <v>2687</v>
      </c>
      <c r="E107" s="34" t="s">
        <v>459</v>
      </c>
      <c r="F107" s="43" t="s">
        <v>459</v>
      </c>
      <c r="G107" s="31" t="s">
        <v>460</v>
      </c>
      <c r="H107" s="44" t="s">
        <v>461</v>
      </c>
      <c r="I107" s="42" t="s">
        <v>2660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486</v>
      </c>
      <c r="C108" s="42" t="s">
        <v>721</v>
      </c>
      <c r="D108" s="42" t="s">
        <v>495</v>
      </c>
      <c r="E108" s="34" t="s">
        <v>459</v>
      </c>
      <c r="F108" s="43" t="s">
        <v>459</v>
      </c>
      <c r="G108" s="31" t="s">
        <v>460</v>
      </c>
      <c r="H108" s="44" t="s">
        <v>461</v>
      </c>
      <c r="I108" s="42" t="s">
        <v>2660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475</v>
      </c>
      <c r="C109" s="42" t="s">
        <v>700</v>
      </c>
      <c r="D109" s="42" t="s">
        <v>477</v>
      </c>
      <c r="E109" s="34" t="s">
        <v>459</v>
      </c>
      <c r="F109" s="43" t="s">
        <v>459</v>
      </c>
      <c r="G109" s="31" t="s">
        <v>460</v>
      </c>
      <c r="H109" s="44" t="s">
        <v>461</v>
      </c>
      <c r="I109" s="42" t="s">
        <v>2660</v>
      </c>
      <c r="J109" s="42"/>
      <c r="K109" s="45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2" t="s">
        <v>475</v>
      </c>
      <c r="C110" s="42" t="s">
        <v>700</v>
      </c>
      <c r="D110" s="42" t="s">
        <v>478</v>
      </c>
      <c r="E110" s="34" t="s">
        <v>459</v>
      </c>
      <c r="F110" s="43" t="s">
        <v>459</v>
      </c>
      <c r="G110" s="31" t="s">
        <v>460</v>
      </c>
      <c r="H110" s="44" t="s">
        <v>461</v>
      </c>
      <c r="I110" s="42" t="s">
        <v>2660</v>
      </c>
      <c r="J110" s="42"/>
      <c r="K110" s="45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2" t="s">
        <v>479</v>
      </c>
      <c r="C111" s="42" t="s">
        <v>700</v>
      </c>
      <c r="D111" s="42" t="s">
        <v>480</v>
      </c>
      <c r="E111" s="34" t="s">
        <v>459</v>
      </c>
      <c r="F111" s="43" t="s">
        <v>459</v>
      </c>
      <c r="G111" s="31" t="s">
        <v>460</v>
      </c>
      <c r="H111" s="44" t="s">
        <v>461</v>
      </c>
      <c r="I111" s="42" t="s">
        <v>2660</v>
      </c>
      <c r="J111" s="42"/>
      <c r="K111" s="45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2" t="s">
        <v>479</v>
      </c>
      <c r="C112" s="42" t="s">
        <v>700</v>
      </c>
      <c r="D112" s="42" t="s">
        <v>481</v>
      </c>
      <c r="E112" s="34" t="s">
        <v>459</v>
      </c>
      <c r="F112" s="43" t="s">
        <v>459</v>
      </c>
      <c r="G112" s="31" t="s">
        <v>460</v>
      </c>
      <c r="H112" s="44" t="s">
        <v>461</v>
      </c>
      <c r="I112" s="42" t="s">
        <v>2660</v>
      </c>
      <c r="J112" s="42"/>
      <c r="K112" s="45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2" t="s">
        <v>457</v>
      </c>
      <c r="C113" s="42" t="s">
        <v>700</v>
      </c>
      <c r="D113" s="42" t="s">
        <v>482</v>
      </c>
      <c r="E113" s="34" t="s">
        <v>459</v>
      </c>
      <c r="F113" s="43" t="s">
        <v>459</v>
      </c>
      <c r="G113" s="31" t="s">
        <v>460</v>
      </c>
      <c r="H113" s="44" t="s">
        <v>461</v>
      </c>
      <c r="I113" s="42" t="s">
        <v>2660</v>
      </c>
      <c r="J113" s="42"/>
      <c r="K113" s="45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31" t="n">
        <v>106</v>
      </c>
      <c r="B114" s="42" t="s">
        <v>774</v>
      </c>
      <c r="C114" s="42" t="s">
        <v>700</v>
      </c>
      <c r="D114" s="42" t="s">
        <v>775</v>
      </c>
      <c r="E114" s="34" t="s">
        <v>459</v>
      </c>
      <c r="F114" s="43" t="s">
        <v>459</v>
      </c>
      <c r="G114" s="31" t="s">
        <v>460</v>
      </c>
      <c r="H114" s="44" t="s">
        <v>461</v>
      </c>
      <c r="I114" s="42" t="s">
        <v>2660</v>
      </c>
      <c r="J114" s="42"/>
      <c r="K114" s="45" t="n">
        <f aca="false">IF(AND(E114="yes",F114="yes",H114="covered"),1,IF(H114="partial",0.5,0))</f>
        <v>1</v>
      </c>
    </row>
    <row r="115" customFormat="false" ht="30" hidden="false" customHeight="true" outlineLevel="0" collapsed="false">
      <c r="A115" s="31" t="n">
        <v>107</v>
      </c>
      <c r="B115" s="42" t="s">
        <v>483</v>
      </c>
      <c r="C115" s="42" t="s">
        <v>700</v>
      </c>
      <c r="D115" s="42" t="s">
        <v>484</v>
      </c>
      <c r="E115" s="34" t="s">
        <v>459</v>
      </c>
      <c r="F115" s="43" t="s">
        <v>459</v>
      </c>
      <c r="G115" s="31" t="s">
        <v>460</v>
      </c>
      <c r="H115" s="44" t="s">
        <v>461</v>
      </c>
      <c r="I115" s="42" t="s">
        <v>2660</v>
      </c>
      <c r="J115" s="42"/>
      <c r="K115" s="45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2" t="s">
        <v>483</v>
      </c>
      <c r="C116" s="42" t="s">
        <v>700</v>
      </c>
      <c r="D116" s="42" t="s">
        <v>485</v>
      </c>
      <c r="E116" s="34" t="s">
        <v>459</v>
      </c>
      <c r="F116" s="43" t="s">
        <v>459</v>
      </c>
      <c r="G116" s="31" t="s">
        <v>460</v>
      </c>
      <c r="H116" s="44" t="s">
        <v>461</v>
      </c>
      <c r="I116" s="42" t="s">
        <v>2660</v>
      </c>
      <c r="J116" s="42"/>
      <c r="K116" s="45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2" t="s">
        <v>486</v>
      </c>
      <c r="C117" s="42" t="s">
        <v>700</v>
      </c>
      <c r="D117" s="42" t="s">
        <v>2687</v>
      </c>
      <c r="E117" s="34" t="s">
        <v>459</v>
      </c>
      <c r="F117" s="43" t="s">
        <v>459</v>
      </c>
      <c r="G117" s="31" t="s">
        <v>460</v>
      </c>
      <c r="H117" s="44" t="s">
        <v>461</v>
      </c>
      <c r="I117" s="42" t="s">
        <v>2660</v>
      </c>
      <c r="J117" s="42"/>
      <c r="K117" s="45" t="n">
        <f aca="false">IF(AND(E117="yes",F117="yes",H117="covered"),1,IF(H117="partial",0.5,0))</f>
        <v>1</v>
      </c>
    </row>
    <row r="118" customFormat="false" ht="15" hidden="false" customHeight="true" outlineLevel="0" collapsed="false">
      <c r="A118" s="31" t="n">
        <v>110</v>
      </c>
      <c r="B118" s="42" t="s">
        <v>486</v>
      </c>
      <c r="C118" s="42" t="s">
        <v>700</v>
      </c>
      <c r="D118" s="42" t="s">
        <v>495</v>
      </c>
      <c r="E118" s="34" t="s">
        <v>459</v>
      </c>
      <c r="F118" s="43" t="s">
        <v>459</v>
      </c>
      <c r="G118" s="31" t="s">
        <v>460</v>
      </c>
      <c r="H118" s="44" t="s">
        <v>461</v>
      </c>
      <c r="I118" s="42" t="s">
        <v>2660</v>
      </c>
      <c r="J118" s="42"/>
      <c r="K118" s="45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31" t="n">
        <v>111</v>
      </c>
      <c r="B119" s="42" t="s">
        <v>505</v>
      </c>
      <c r="C119" s="42" t="s">
        <v>506</v>
      </c>
      <c r="D119" s="42" t="s">
        <v>2688</v>
      </c>
      <c r="E119" s="34" t="s">
        <v>459</v>
      </c>
      <c r="F119" s="43" t="s">
        <v>459</v>
      </c>
      <c r="G119" s="31" t="s">
        <v>460</v>
      </c>
      <c r="H119" s="44" t="s">
        <v>461</v>
      </c>
      <c r="I119" s="42" t="s">
        <v>2660</v>
      </c>
      <c r="J119" s="42"/>
      <c r="K119" s="45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31" t="n">
        <v>112</v>
      </c>
      <c r="B120" s="42" t="s">
        <v>505</v>
      </c>
      <c r="C120" s="42" t="s">
        <v>506</v>
      </c>
      <c r="D120" s="42" t="s">
        <v>783</v>
      </c>
      <c r="E120" s="34" t="s">
        <v>459</v>
      </c>
      <c r="F120" s="43" t="s">
        <v>459</v>
      </c>
      <c r="G120" s="31" t="s">
        <v>460</v>
      </c>
      <c r="H120" s="44" t="s">
        <v>461</v>
      </c>
      <c r="I120" s="42" t="s">
        <v>2660</v>
      </c>
      <c r="J120" s="42"/>
      <c r="K120" s="45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31" t="n">
        <v>113</v>
      </c>
      <c r="B121" s="42" t="s">
        <v>505</v>
      </c>
      <c r="C121" s="42" t="s">
        <v>506</v>
      </c>
      <c r="D121" s="42" t="s">
        <v>2656</v>
      </c>
      <c r="E121" s="34" t="s">
        <v>459</v>
      </c>
      <c r="F121" s="43" t="s">
        <v>459</v>
      </c>
      <c r="G121" s="31" t="s">
        <v>460</v>
      </c>
      <c r="H121" s="44" t="s">
        <v>461</v>
      </c>
      <c r="I121" s="42" t="s">
        <v>2660</v>
      </c>
      <c r="J121" s="42"/>
      <c r="K121" s="45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31" t="n">
        <v>114</v>
      </c>
      <c r="B122" s="42" t="s">
        <v>511</v>
      </c>
      <c r="C122" s="42" t="s">
        <v>506</v>
      </c>
      <c r="D122" s="42" t="s">
        <v>2689</v>
      </c>
      <c r="E122" s="34" t="s">
        <v>459</v>
      </c>
      <c r="F122" s="43" t="s">
        <v>459</v>
      </c>
      <c r="G122" s="31" t="s">
        <v>460</v>
      </c>
      <c r="H122" s="44" t="s">
        <v>461</v>
      </c>
      <c r="I122" s="42" t="s">
        <v>2660</v>
      </c>
      <c r="J122" s="42"/>
      <c r="K122" s="45" t="n">
        <f aca="false">IF(AND(E122="yes",F122="yes",H122="covered"),1,IF(H122="partial",0.5,0))</f>
        <v>1</v>
      </c>
    </row>
    <row r="123" customFormat="false" ht="15" hidden="false" customHeight="true" outlineLevel="0" collapsed="false">
      <c r="A123" s="31" t="n">
        <v>115</v>
      </c>
      <c r="B123" s="42" t="s">
        <v>511</v>
      </c>
      <c r="C123" s="42" t="s">
        <v>506</v>
      </c>
      <c r="D123" s="42" t="s">
        <v>2239</v>
      </c>
      <c r="E123" s="34" t="s">
        <v>459</v>
      </c>
      <c r="F123" s="43" t="s">
        <v>459</v>
      </c>
      <c r="G123" s="31" t="s">
        <v>460</v>
      </c>
      <c r="H123" s="44" t="s">
        <v>461</v>
      </c>
      <c r="I123" s="42" t="s">
        <v>2660</v>
      </c>
      <c r="J123" s="42"/>
      <c r="K123" s="45" t="n">
        <f aca="false">IF(AND(E123="yes",F123="yes",H123="covered"),1,IF(H123="partial",0.5,0))</f>
        <v>1</v>
      </c>
    </row>
    <row r="124" customFormat="false" ht="15" hidden="false" customHeight="true" outlineLevel="0" collapsed="false">
      <c r="A124" s="31" t="n">
        <v>116</v>
      </c>
      <c r="B124" s="42" t="s">
        <v>511</v>
      </c>
      <c r="C124" s="42" t="s">
        <v>506</v>
      </c>
      <c r="D124" s="42" t="s">
        <v>785</v>
      </c>
      <c r="E124" s="34" t="s">
        <v>459</v>
      </c>
      <c r="F124" s="43" t="s">
        <v>459</v>
      </c>
      <c r="G124" s="31" t="s">
        <v>460</v>
      </c>
      <c r="H124" s="44" t="s">
        <v>461</v>
      </c>
      <c r="I124" s="42" t="s">
        <v>2660</v>
      </c>
      <c r="J124" s="42"/>
      <c r="K124" s="45" t="n">
        <f aca="false">IF(AND(E124="yes",F124="yes",H124="covered"),1,IF(H124="partial",0.5,0))</f>
        <v>1</v>
      </c>
    </row>
    <row r="125" customFormat="false" ht="15" hidden="false" customHeight="true" outlineLevel="0" collapsed="false">
      <c r="A125" s="31" t="n">
        <v>117</v>
      </c>
      <c r="B125" s="42" t="s">
        <v>511</v>
      </c>
      <c r="C125" s="42" t="s">
        <v>506</v>
      </c>
      <c r="D125" s="42" t="s">
        <v>514</v>
      </c>
      <c r="E125" s="34" t="s">
        <v>459</v>
      </c>
      <c r="F125" s="43" t="s">
        <v>459</v>
      </c>
      <c r="G125" s="31" t="s">
        <v>460</v>
      </c>
      <c r="H125" s="44" t="s">
        <v>461</v>
      </c>
      <c r="I125" s="42" t="s">
        <v>2660</v>
      </c>
      <c r="J125" s="42"/>
      <c r="K125" s="45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31" t="n">
        <v>118</v>
      </c>
      <c r="B126" s="42" t="s">
        <v>511</v>
      </c>
      <c r="C126" s="42" t="s">
        <v>506</v>
      </c>
      <c r="D126" s="42" t="s">
        <v>515</v>
      </c>
      <c r="E126" s="34" t="s">
        <v>459</v>
      </c>
      <c r="F126" s="43" t="s">
        <v>459</v>
      </c>
      <c r="G126" s="31" t="s">
        <v>460</v>
      </c>
      <c r="H126" s="44" t="s">
        <v>461</v>
      </c>
      <c r="I126" s="42" t="s">
        <v>2660</v>
      </c>
      <c r="J126" s="42"/>
      <c r="K126" s="45" t="n">
        <f aca="false">IF(AND(E126="yes",F126="yes",H126="covered"),1,IF(H126="partial",0.5,0))</f>
        <v>1</v>
      </c>
    </row>
    <row r="127" customFormat="false" ht="15" hidden="false" customHeight="true" outlineLevel="0" collapsed="false">
      <c r="A127" s="31" t="n">
        <v>119</v>
      </c>
      <c r="B127" s="42" t="s">
        <v>511</v>
      </c>
      <c r="C127" s="42" t="s">
        <v>506</v>
      </c>
      <c r="D127" s="42" t="s">
        <v>2690</v>
      </c>
      <c r="E127" s="34" t="s">
        <v>459</v>
      </c>
      <c r="F127" s="43" t="s">
        <v>459</v>
      </c>
      <c r="G127" s="31" t="s">
        <v>460</v>
      </c>
      <c r="H127" s="44" t="s">
        <v>461</v>
      </c>
      <c r="I127" s="42" t="s">
        <v>2660</v>
      </c>
      <c r="J127" s="42"/>
      <c r="K127" s="45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31" t="n">
        <v>120</v>
      </c>
      <c r="B128" s="42" t="s">
        <v>55</v>
      </c>
      <c r="C128" s="42" t="s">
        <v>70</v>
      </c>
      <c r="D128" s="42" t="s">
        <v>1074</v>
      </c>
      <c r="E128" s="34" t="s">
        <v>459</v>
      </c>
      <c r="F128" s="43" t="s">
        <v>459</v>
      </c>
      <c r="G128" s="31" t="s">
        <v>460</v>
      </c>
      <c r="H128" s="44" t="s">
        <v>461</v>
      </c>
      <c r="I128" s="42" t="s">
        <v>2660</v>
      </c>
      <c r="J128" s="42"/>
      <c r="K128" s="45" t="n">
        <f aca="false">IF(AND(E128="yes",F128="yes",H128="covered"),1,IF(H128="partial",0.5,0))</f>
        <v>1</v>
      </c>
    </row>
    <row r="129" customFormat="false" ht="15" hidden="false" customHeight="true" outlineLevel="0" collapsed="false">
      <c r="A129" s="31" t="n">
        <v>121</v>
      </c>
      <c r="B129" s="42" t="s">
        <v>55</v>
      </c>
      <c r="C129" s="42" t="s">
        <v>70</v>
      </c>
      <c r="D129" s="42" t="s">
        <v>1075</v>
      </c>
      <c r="E129" s="34" t="s">
        <v>459</v>
      </c>
      <c r="F129" s="43" t="s">
        <v>459</v>
      </c>
      <c r="G129" s="31" t="s">
        <v>460</v>
      </c>
      <c r="H129" s="44" t="s">
        <v>461</v>
      </c>
      <c r="I129" s="42" t="s">
        <v>2660</v>
      </c>
      <c r="J129" s="42"/>
      <c r="K129" s="45" t="n">
        <f aca="false">IF(AND(E129="yes",F129="yes",H129="covered"),1,IF(H129="partial",0.5,0))</f>
        <v>1</v>
      </c>
    </row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30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2691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37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51" t="n">
        <v>1</v>
      </c>
      <c r="B9" s="52" t="s">
        <v>456</v>
      </c>
      <c r="C9" s="52" t="s">
        <v>457</v>
      </c>
      <c r="D9" s="52" t="s">
        <v>458</v>
      </c>
      <c r="E9" s="51" t="s">
        <v>459</v>
      </c>
      <c r="F9" s="51" t="s">
        <v>459</v>
      </c>
      <c r="G9" s="51" t="s">
        <v>907</v>
      </c>
      <c r="H9" s="51" t="s">
        <v>461</v>
      </c>
      <c r="I9" s="52" t="s">
        <v>2692</v>
      </c>
      <c r="J9" s="52"/>
      <c r="K9" s="53" t="n">
        <f aca="false">IF(AND(E9="yes",F9="yes",H9="covered"),1,IF(H9="partial",0.5,0))</f>
        <v>1</v>
      </c>
    </row>
    <row r="10" customFormat="false" ht="45" hidden="false" customHeight="true" outlineLevel="0" collapsed="false">
      <c r="A10" s="51" t="n">
        <v>2</v>
      </c>
      <c r="B10" s="52" t="s">
        <v>456</v>
      </c>
      <c r="C10" s="52" t="s">
        <v>457</v>
      </c>
      <c r="D10" s="52" t="s">
        <v>463</v>
      </c>
      <c r="E10" s="51" t="s">
        <v>459</v>
      </c>
      <c r="F10" s="51" t="s">
        <v>459</v>
      </c>
      <c r="G10" s="51" t="s">
        <v>907</v>
      </c>
      <c r="H10" s="51" t="s">
        <v>461</v>
      </c>
      <c r="I10" s="52" t="s">
        <v>2692</v>
      </c>
      <c r="J10" s="52"/>
      <c r="K10" s="53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51" t="n">
        <v>3</v>
      </c>
      <c r="B11" s="52" t="s">
        <v>456</v>
      </c>
      <c r="C11" s="52" t="s">
        <v>71</v>
      </c>
      <c r="D11" s="52" t="s">
        <v>464</v>
      </c>
      <c r="E11" s="51" t="s">
        <v>459</v>
      </c>
      <c r="F11" s="51" t="s">
        <v>459</v>
      </c>
      <c r="G11" s="51" t="s">
        <v>907</v>
      </c>
      <c r="H11" s="51" t="s">
        <v>461</v>
      </c>
      <c r="I11" s="52" t="s">
        <v>2692</v>
      </c>
      <c r="J11" s="52"/>
      <c r="K11" s="53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51" t="n">
        <v>4</v>
      </c>
      <c r="B12" s="52" t="s">
        <v>456</v>
      </c>
      <c r="C12" s="52" t="s">
        <v>71</v>
      </c>
      <c r="D12" s="52" t="s">
        <v>2693</v>
      </c>
      <c r="E12" s="51" t="s">
        <v>459</v>
      </c>
      <c r="F12" s="51" t="s">
        <v>459</v>
      </c>
      <c r="G12" s="51" t="s">
        <v>907</v>
      </c>
      <c r="H12" s="51" t="s">
        <v>461</v>
      </c>
      <c r="I12" s="52" t="s">
        <v>2692</v>
      </c>
      <c r="J12" s="52"/>
      <c r="K12" s="53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51" t="n">
        <v>5</v>
      </c>
      <c r="B13" s="52" t="s">
        <v>456</v>
      </c>
      <c r="C13" s="52" t="s">
        <v>71</v>
      </c>
      <c r="D13" s="52" t="s">
        <v>2694</v>
      </c>
      <c r="E13" s="51" t="s">
        <v>459</v>
      </c>
      <c r="F13" s="51" t="s">
        <v>459</v>
      </c>
      <c r="G13" s="51" t="s">
        <v>907</v>
      </c>
      <c r="H13" s="51" t="s">
        <v>461</v>
      </c>
      <c r="I13" s="52" t="s">
        <v>2692</v>
      </c>
      <c r="J13" s="52"/>
      <c r="K13" s="53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51" t="n">
        <v>6</v>
      </c>
      <c r="B14" s="52" t="s">
        <v>456</v>
      </c>
      <c r="C14" s="52" t="s">
        <v>71</v>
      </c>
      <c r="D14" s="52" t="s">
        <v>2695</v>
      </c>
      <c r="E14" s="51" t="s">
        <v>459</v>
      </c>
      <c r="F14" s="51" t="s">
        <v>459</v>
      </c>
      <c r="G14" s="51" t="s">
        <v>907</v>
      </c>
      <c r="H14" s="51" t="s">
        <v>461</v>
      </c>
      <c r="I14" s="52" t="s">
        <v>2692</v>
      </c>
      <c r="J14" s="52"/>
      <c r="K14" s="53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51" t="n">
        <v>7</v>
      </c>
      <c r="B15" s="52" t="s">
        <v>475</v>
      </c>
      <c r="C15" s="52" t="s">
        <v>476</v>
      </c>
      <c r="D15" s="52" t="s">
        <v>2696</v>
      </c>
      <c r="E15" s="51" t="s">
        <v>459</v>
      </c>
      <c r="F15" s="51" t="s">
        <v>459</v>
      </c>
      <c r="G15" s="51" t="s">
        <v>907</v>
      </c>
      <c r="H15" s="51" t="s">
        <v>461</v>
      </c>
      <c r="I15" s="52" t="s">
        <v>2692</v>
      </c>
      <c r="J15" s="52"/>
      <c r="K15" s="53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51" t="n">
        <v>8</v>
      </c>
      <c r="B16" s="52" t="s">
        <v>475</v>
      </c>
      <c r="C16" s="52" t="s">
        <v>476</v>
      </c>
      <c r="D16" s="52" t="s">
        <v>2697</v>
      </c>
      <c r="E16" s="51" t="s">
        <v>459</v>
      </c>
      <c r="F16" s="51" t="s">
        <v>459</v>
      </c>
      <c r="G16" s="51" t="s">
        <v>907</v>
      </c>
      <c r="H16" s="51" t="s">
        <v>461</v>
      </c>
      <c r="I16" s="52" t="s">
        <v>2692</v>
      </c>
      <c r="J16" s="52"/>
      <c r="K16" s="53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51" t="n">
        <v>9</v>
      </c>
      <c r="B17" s="52" t="s">
        <v>479</v>
      </c>
      <c r="C17" s="52" t="s">
        <v>476</v>
      </c>
      <c r="D17" s="52" t="s">
        <v>2698</v>
      </c>
      <c r="E17" s="51" t="s">
        <v>459</v>
      </c>
      <c r="F17" s="51" t="s">
        <v>459</v>
      </c>
      <c r="G17" s="51" t="s">
        <v>907</v>
      </c>
      <c r="H17" s="51" t="s">
        <v>461</v>
      </c>
      <c r="I17" s="52" t="s">
        <v>2692</v>
      </c>
      <c r="J17" s="52"/>
      <c r="K17" s="53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51" t="n">
        <v>10</v>
      </c>
      <c r="B18" s="52" t="s">
        <v>479</v>
      </c>
      <c r="C18" s="52" t="s">
        <v>476</v>
      </c>
      <c r="D18" s="52" t="s">
        <v>2699</v>
      </c>
      <c r="E18" s="51" t="s">
        <v>459</v>
      </c>
      <c r="F18" s="51" t="s">
        <v>459</v>
      </c>
      <c r="G18" s="51" t="s">
        <v>907</v>
      </c>
      <c r="H18" s="51" t="s">
        <v>461</v>
      </c>
      <c r="I18" s="52" t="s">
        <v>2692</v>
      </c>
      <c r="J18" s="52"/>
      <c r="K18" s="53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51" t="n">
        <v>11</v>
      </c>
      <c r="B19" s="52" t="s">
        <v>479</v>
      </c>
      <c r="C19" s="52" t="s">
        <v>476</v>
      </c>
      <c r="D19" s="52" t="s">
        <v>2700</v>
      </c>
      <c r="E19" s="51" t="s">
        <v>459</v>
      </c>
      <c r="F19" s="51" t="s">
        <v>459</v>
      </c>
      <c r="G19" s="51" t="s">
        <v>907</v>
      </c>
      <c r="H19" s="51" t="s">
        <v>461</v>
      </c>
      <c r="I19" s="52" t="s">
        <v>2692</v>
      </c>
      <c r="J19" s="52"/>
      <c r="K19" s="53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51" t="n">
        <v>12</v>
      </c>
      <c r="B20" s="52" t="s">
        <v>457</v>
      </c>
      <c r="C20" s="52" t="s">
        <v>476</v>
      </c>
      <c r="D20" s="52" t="s">
        <v>2701</v>
      </c>
      <c r="E20" s="51" t="s">
        <v>459</v>
      </c>
      <c r="F20" s="51" t="s">
        <v>459</v>
      </c>
      <c r="G20" s="51" t="s">
        <v>907</v>
      </c>
      <c r="H20" s="51" t="s">
        <v>461</v>
      </c>
      <c r="I20" s="52" t="s">
        <v>2692</v>
      </c>
      <c r="J20" s="52"/>
      <c r="K20" s="53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51" t="n">
        <v>13</v>
      </c>
      <c r="B21" s="52" t="s">
        <v>457</v>
      </c>
      <c r="C21" s="52" t="s">
        <v>476</v>
      </c>
      <c r="D21" s="52" t="s">
        <v>2702</v>
      </c>
      <c r="E21" s="51" t="s">
        <v>459</v>
      </c>
      <c r="F21" s="51" t="s">
        <v>459</v>
      </c>
      <c r="G21" s="51" t="s">
        <v>907</v>
      </c>
      <c r="H21" s="51" t="s">
        <v>461</v>
      </c>
      <c r="I21" s="52" t="s">
        <v>2692</v>
      </c>
      <c r="J21" s="52"/>
      <c r="K21" s="53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51" t="n">
        <v>14</v>
      </c>
      <c r="B22" s="52" t="s">
        <v>882</v>
      </c>
      <c r="C22" s="52" t="s">
        <v>476</v>
      </c>
      <c r="D22" s="52" t="s">
        <v>2703</v>
      </c>
      <c r="E22" s="51" t="s">
        <v>459</v>
      </c>
      <c r="F22" s="51" t="s">
        <v>459</v>
      </c>
      <c r="G22" s="51" t="s">
        <v>907</v>
      </c>
      <c r="H22" s="51" t="s">
        <v>461</v>
      </c>
      <c r="I22" s="52" t="s">
        <v>2692</v>
      </c>
      <c r="J22" s="52"/>
      <c r="K22" s="53" t="n">
        <f aca="false">IF(AND(E22="yes",F22="yes",H22="covered"),1,IF(H22="partial",0.5,0))</f>
        <v>1</v>
      </c>
    </row>
    <row r="23" customFormat="false" ht="45" hidden="false" customHeight="true" outlineLevel="0" collapsed="false">
      <c r="A23" s="51" t="n">
        <v>15</v>
      </c>
      <c r="B23" s="52" t="s">
        <v>882</v>
      </c>
      <c r="C23" s="52" t="s">
        <v>476</v>
      </c>
      <c r="D23" s="52" t="s">
        <v>2704</v>
      </c>
      <c r="E23" s="51" t="s">
        <v>459</v>
      </c>
      <c r="F23" s="51" t="s">
        <v>459</v>
      </c>
      <c r="G23" s="51" t="s">
        <v>907</v>
      </c>
      <c r="H23" s="51" t="s">
        <v>461</v>
      </c>
      <c r="I23" s="52" t="s">
        <v>2692</v>
      </c>
      <c r="J23" s="52"/>
      <c r="K23" s="53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51" t="n">
        <v>16</v>
      </c>
      <c r="B24" s="52" t="s">
        <v>488</v>
      </c>
      <c r="C24" s="52" t="s">
        <v>476</v>
      </c>
      <c r="D24" s="52" t="s">
        <v>2705</v>
      </c>
      <c r="E24" s="51" t="s">
        <v>459</v>
      </c>
      <c r="F24" s="51" t="s">
        <v>459</v>
      </c>
      <c r="G24" s="51" t="s">
        <v>907</v>
      </c>
      <c r="H24" s="51" t="s">
        <v>461</v>
      </c>
      <c r="I24" s="52" t="s">
        <v>2692</v>
      </c>
      <c r="J24" s="52"/>
      <c r="K24" s="53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51" t="n">
        <v>17</v>
      </c>
      <c r="B25" s="52" t="s">
        <v>488</v>
      </c>
      <c r="C25" s="52" t="s">
        <v>476</v>
      </c>
      <c r="D25" s="52" t="s">
        <v>2706</v>
      </c>
      <c r="E25" s="51" t="s">
        <v>459</v>
      </c>
      <c r="F25" s="51" t="s">
        <v>459</v>
      </c>
      <c r="G25" s="51" t="s">
        <v>907</v>
      </c>
      <c r="H25" s="51" t="s">
        <v>461</v>
      </c>
      <c r="I25" s="52" t="s">
        <v>2692</v>
      </c>
      <c r="J25" s="52"/>
      <c r="K25" s="53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51" t="n">
        <v>18</v>
      </c>
      <c r="B26" s="52" t="s">
        <v>488</v>
      </c>
      <c r="C26" s="52" t="s">
        <v>476</v>
      </c>
      <c r="D26" s="52" t="s">
        <v>2707</v>
      </c>
      <c r="E26" s="51" t="s">
        <v>459</v>
      </c>
      <c r="F26" s="51" t="s">
        <v>459</v>
      </c>
      <c r="G26" s="51" t="s">
        <v>907</v>
      </c>
      <c r="H26" s="51" t="s">
        <v>461</v>
      </c>
      <c r="I26" s="52" t="s">
        <v>2692</v>
      </c>
      <c r="J26" s="52"/>
      <c r="K26" s="53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51" t="n">
        <v>19</v>
      </c>
      <c r="B27" s="52" t="s">
        <v>488</v>
      </c>
      <c r="C27" s="52" t="s">
        <v>476</v>
      </c>
      <c r="D27" s="52" t="s">
        <v>2708</v>
      </c>
      <c r="E27" s="51" t="s">
        <v>459</v>
      </c>
      <c r="F27" s="51" t="s">
        <v>459</v>
      </c>
      <c r="G27" s="51" t="s">
        <v>907</v>
      </c>
      <c r="H27" s="51" t="s">
        <v>461</v>
      </c>
      <c r="I27" s="52" t="s">
        <v>2692</v>
      </c>
      <c r="J27" s="52"/>
      <c r="K27" s="53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51" t="n">
        <v>20</v>
      </c>
      <c r="B28" s="52" t="s">
        <v>488</v>
      </c>
      <c r="C28" s="52" t="s">
        <v>476</v>
      </c>
      <c r="D28" s="52" t="s">
        <v>2709</v>
      </c>
      <c r="E28" s="51" t="s">
        <v>459</v>
      </c>
      <c r="F28" s="51" t="s">
        <v>459</v>
      </c>
      <c r="G28" s="51" t="s">
        <v>907</v>
      </c>
      <c r="H28" s="51" t="s">
        <v>461</v>
      </c>
      <c r="I28" s="52" t="s">
        <v>2692</v>
      </c>
      <c r="J28" s="52"/>
      <c r="K28" s="53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51" t="n">
        <v>21</v>
      </c>
      <c r="B29" s="52" t="s">
        <v>488</v>
      </c>
      <c r="C29" s="52" t="s">
        <v>476</v>
      </c>
      <c r="D29" s="52" t="s">
        <v>2710</v>
      </c>
      <c r="E29" s="51" t="s">
        <v>459</v>
      </c>
      <c r="F29" s="51" t="s">
        <v>459</v>
      </c>
      <c r="G29" s="51" t="s">
        <v>907</v>
      </c>
      <c r="H29" s="51" t="s">
        <v>461</v>
      </c>
      <c r="I29" s="52" t="s">
        <v>2692</v>
      </c>
      <c r="J29" s="52"/>
      <c r="K29" s="53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51" t="n">
        <v>22</v>
      </c>
      <c r="B30" s="52" t="s">
        <v>488</v>
      </c>
      <c r="C30" s="52" t="s">
        <v>476</v>
      </c>
      <c r="D30" s="52" t="s">
        <v>2711</v>
      </c>
      <c r="E30" s="51" t="s">
        <v>459</v>
      </c>
      <c r="F30" s="51" t="s">
        <v>459</v>
      </c>
      <c r="G30" s="51" t="s">
        <v>907</v>
      </c>
      <c r="H30" s="51" t="s">
        <v>461</v>
      </c>
      <c r="I30" s="52" t="s">
        <v>2692</v>
      </c>
      <c r="J30" s="52"/>
      <c r="K30" s="53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51" t="n">
        <v>23</v>
      </c>
      <c r="B31" s="52" t="s">
        <v>2712</v>
      </c>
      <c r="C31" s="52" t="s">
        <v>476</v>
      </c>
      <c r="D31" s="52" t="s">
        <v>2713</v>
      </c>
      <c r="E31" s="51" t="s">
        <v>459</v>
      </c>
      <c r="F31" s="51" t="s">
        <v>459</v>
      </c>
      <c r="G31" s="51" t="s">
        <v>907</v>
      </c>
      <c r="H31" s="51" t="s">
        <v>461</v>
      </c>
      <c r="I31" s="52" t="s">
        <v>2692</v>
      </c>
      <c r="J31" s="52"/>
      <c r="K31" s="53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51" t="n">
        <v>24</v>
      </c>
      <c r="B32" s="52" t="s">
        <v>2712</v>
      </c>
      <c r="C32" s="52" t="s">
        <v>476</v>
      </c>
      <c r="D32" s="52" t="s">
        <v>2714</v>
      </c>
      <c r="E32" s="51" t="s">
        <v>459</v>
      </c>
      <c r="F32" s="51" t="s">
        <v>459</v>
      </c>
      <c r="G32" s="51" t="s">
        <v>907</v>
      </c>
      <c r="H32" s="51" t="s">
        <v>461</v>
      </c>
      <c r="I32" s="52" t="s">
        <v>2692</v>
      </c>
      <c r="J32" s="52"/>
      <c r="K32" s="53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51" t="n">
        <v>25</v>
      </c>
      <c r="B33" s="52" t="s">
        <v>511</v>
      </c>
      <c r="C33" s="52" t="s">
        <v>476</v>
      </c>
      <c r="D33" s="52" t="s">
        <v>2715</v>
      </c>
      <c r="E33" s="51" t="s">
        <v>459</v>
      </c>
      <c r="F33" s="51" t="s">
        <v>459</v>
      </c>
      <c r="G33" s="51" t="s">
        <v>907</v>
      </c>
      <c r="H33" s="51" t="s">
        <v>461</v>
      </c>
      <c r="I33" s="52" t="s">
        <v>2692</v>
      </c>
      <c r="J33" s="52"/>
      <c r="K33" s="53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51" t="n">
        <v>26</v>
      </c>
      <c r="B34" s="52" t="s">
        <v>511</v>
      </c>
      <c r="C34" s="52" t="s">
        <v>476</v>
      </c>
      <c r="D34" s="52" t="s">
        <v>2716</v>
      </c>
      <c r="E34" s="51" t="s">
        <v>459</v>
      </c>
      <c r="F34" s="51" t="s">
        <v>459</v>
      </c>
      <c r="G34" s="51" t="s">
        <v>907</v>
      </c>
      <c r="H34" s="51" t="s">
        <v>461</v>
      </c>
      <c r="I34" s="52" t="s">
        <v>2692</v>
      </c>
      <c r="J34" s="52"/>
      <c r="K34" s="53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51" t="n">
        <v>27</v>
      </c>
      <c r="B35" s="52" t="s">
        <v>511</v>
      </c>
      <c r="C35" s="52" t="s">
        <v>476</v>
      </c>
      <c r="D35" s="52" t="s">
        <v>2717</v>
      </c>
      <c r="E35" s="51" t="s">
        <v>459</v>
      </c>
      <c r="F35" s="51" t="s">
        <v>459</v>
      </c>
      <c r="G35" s="51" t="s">
        <v>907</v>
      </c>
      <c r="H35" s="51" t="s">
        <v>461</v>
      </c>
      <c r="I35" s="52" t="s">
        <v>2692</v>
      </c>
      <c r="J35" s="52"/>
      <c r="K35" s="53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51" t="n">
        <v>28</v>
      </c>
      <c r="B36" s="52" t="s">
        <v>511</v>
      </c>
      <c r="C36" s="52" t="s">
        <v>476</v>
      </c>
      <c r="D36" s="52" t="s">
        <v>2718</v>
      </c>
      <c r="E36" s="51" t="s">
        <v>459</v>
      </c>
      <c r="F36" s="51" t="s">
        <v>459</v>
      </c>
      <c r="G36" s="51" t="s">
        <v>907</v>
      </c>
      <c r="H36" s="51" t="s">
        <v>461</v>
      </c>
      <c r="I36" s="52" t="s">
        <v>2692</v>
      </c>
      <c r="J36" s="52"/>
      <c r="K36" s="53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51" t="n">
        <v>29</v>
      </c>
      <c r="B37" s="52" t="s">
        <v>483</v>
      </c>
      <c r="C37" s="52" t="s">
        <v>476</v>
      </c>
      <c r="D37" s="52" t="s">
        <v>2719</v>
      </c>
      <c r="E37" s="51" t="s">
        <v>459</v>
      </c>
      <c r="F37" s="51" t="s">
        <v>459</v>
      </c>
      <c r="G37" s="51" t="s">
        <v>907</v>
      </c>
      <c r="H37" s="51" t="s">
        <v>461</v>
      </c>
      <c r="I37" s="52" t="s">
        <v>2692</v>
      </c>
      <c r="J37" s="52"/>
      <c r="K37" s="53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51" t="n">
        <v>30</v>
      </c>
      <c r="B38" s="52" t="s">
        <v>483</v>
      </c>
      <c r="C38" s="52" t="s">
        <v>476</v>
      </c>
      <c r="D38" s="52" t="s">
        <v>2720</v>
      </c>
      <c r="E38" s="51" t="s">
        <v>459</v>
      </c>
      <c r="F38" s="51" t="s">
        <v>459</v>
      </c>
      <c r="G38" s="51" t="s">
        <v>907</v>
      </c>
      <c r="H38" s="51" t="s">
        <v>461</v>
      </c>
      <c r="I38" s="52" t="s">
        <v>2692</v>
      </c>
      <c r="J38" s="52"/>
      <c r="K38" s="53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51" t="n">
        <v>31</v>
      </c>
      <c r="B39" s="52" t="s">
        <v>483</v>
      </c>
      <c r="C39" s="52" t="s">
        <v>476</v>
      </c>
      <c r="D39" s="52" t="s">
        <v>2721</v>
      </c>
      <c r="E39" s="51" t="s">
        <v>459</v>
      </c>
      <c r="F39" s="51" t="s">
        <v>459</v>
      </c>
      <c r="G39" s="51" t="s">
        <v>907</v>
      </c>
      <c r="H39" s="51" t="s">
        <v>461</v>
      </c>
      <c r="I39" s="52" t="s">
        <v>2692</v>
      </c>
      <c r="J39" s="52"/>
      <c r="K39" s="53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51" t="n">
        <v>32</v>
      </c>
      <c r="B40" s="52" t="s">
        <v>483</v>
      </c>
      <c r="C40" s="52" t="s">
        <v>476</v>
      </c>
      <c r="D40" s="52" t="s">
        <v>2722</v>
      </c>
      <c r="E40" s="51" t="s">
        <v>459</v>
      </c>
      <c r="F40" s="51" t="s">
        <v>459</v>
      </c>
      <c r="G40" s="51" t="s">
        <v>907</v>
      </c>
      <c r="H40" s="51" t="s">
        <v>461</v>
      </c>
      <c r="I40" s="52" t="s">
        <v>2692</v>
      </c>
      <c r="J40" s="52"/>
      <c r="K40" s="53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51" t="n">
        <v>33</v>
      </c>
      <c r="B41" s="52" t="s">
        <v>2105</v>
      </c>
      <c r="C41" s="52" t="s">
        <v>476</v>
      </c>
      <c r="D41" s="52" t="s">
        <v>2723</v>
      </c>
      <c r="E41" s="51" t="s">
        <v>459</v>
      </c>
      <c r="F41" s="51" t="s">
        <v>459</v>
      </c>
      <c r="G41" s="51" t="s">
        <v>907</v>
      </c>
      <c r="H41" s="51" t="s">
        <v>461</v>
      </c>
      <c r="I41" s="52" t="s">
        <v>2692</v>
      </c>
      <c r="J41" s="52"/>
      <c r="K41" s="53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51" t="n">
        <v>34</v>
      </c>
      <c r="B42" s="52" t="s">
        <v>2105</v>
      </c>
      <c r="C42" s="52" t="s">
        <v>476</v>
      </c>
      <c r="D42" s="52" t="s">
        <v>2724</v>
      </c>
      <c r="E42" s="51" t="s">
        <v>459</v>
      </c>
      <c r="F42" s="51" t="s">
        <v>459</v>
      </c>
      <c r="G42" s="51" t="s">
        <v>907</v>
      </c>
      <c r="H42" s="51" t="s">
        <v>461</v>
      </c>
      <c r="I42" s="52" t="s">
        <v>2692</v>
      </c>
      <c r="J42" s="52"/>
      <c r="K42" s="53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51" t="n">
        <v>35</v>
      </c>
      <c r="B43" s="52" t="s">
        <v>2105</v>
      </c>
      <c r="C43" s="52" t="s">
        <v>476</v>
      </c>
      <c r="D43" s="52" t="s">
        <v>2725</v>
      </c>
      <c r="E43" s="51" t="s">
        <v>459</v>
      </c>
      <c r="F43" s="51" t="s">
        <v>459</v>
      </c>
      <c r="G43" s="51" t="s">
        <v>907</v>
      </c>
      <c r="H43" s="51" t="s">
        <v>461</v>
      </c>
      <c r="I43" s="52" t="s">
        <v>2692</v>
      </c>
      <c r="J43" s="52"/>
      <c r="K43" s="53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51" t="n">
        <v>36</v>
      </c>
      <c r="B44" s="52" t="s">
        <v>2105</v>
      </c>
      <c r="C44" s="52" t="s">
        <v>476</v>
      </c>
      <c r="D44" s="52" t="s">
        <v>2726</v>
      </c>
      <c r="E44" s="51" t="s">
        <v>459</v>
      </c>
      <c r="F44" s="51" t="s">
        <v>459</v>
      </c>
      <c r="G44" s="51" t="s">
        <v>907</v>
      </c>
      <c r="H44" s="51" t="s">
        <v>461</v>
      </c>
      <c r="I44" s="52" t="s">
        <v>2692</v>
      </c>
      <c r="J44" s="52"/>
      <c r="K44" s="53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51" t="n">
        <v>37</v>
      </c>
      <c r="B45" s="52" t="s">
        <v>738</v>
      </c>
      <c r="C45" s="52" t="s">
        <v>476</v>
      </c>
      <c r="D45" s="52" t="s">
        <v>2727</v>
      </c>
      <c r="E45" s="51" t="s">
        <v>459</v>
      </c>
      <c r="F45" s="51" t="s">
        <v>459</v>
      </c>
      <c r="G45" s="51" t="s">
        <v>907</v>
      </c>
      <c r="H45" s="51" t="s">
        <v>461</v>
      </c>
      <c r="I45" s="52" t="s">
        <v>2692</v>
      </c>
      <c r="J45" s="52"/>
      <c r="K45" s="53" t="n">
        <f aca="false">IF(AND(E45="yes",F45="yes",H45="covered"),1,IF(H45="partial",0.5,0))</f>
        <v>1</v>
      </c>
    </row>
    <row r="46" customFormat="false" ht="15" hidden="false" customHeight="true" outlineLevel="0" collapsed="false"/>
    <row r="47" customFormat="false" ht="4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30" hidden="false" customHeight="true" outlineLevel="0" collapsed="false"/>
    <row r="52" customFormat="false" ht="30" hidden="false" customHeight="true" outlineLevel="0" collapsed="false"/>
    <row r="53" customFormat="false" ht="30" hidden="false" customHeight="true" outlineLevel="0" collapsed="false"/>
    <row r="54" customFormat="false" ht="30" hidden="false" customHeight="true" outlineLevel="0" collapsed="false"/>
    <row r="55" customFormat="false" ht="15" hidden="false" customHeight="true" outlineLevel="0" collapsed="false"/>
    <row r="56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2728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15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54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45" hidden="false" customHeight="true" outlineLevel="0" collapsed="false">
      <c r="A9" s="51" t="n">
        <v>1</v>
      </c>
      <c r="B9" s="52" t="s">
        <v>456</v>
      </c>
      <c r="C9" s="52" t="s">
        <v>457</v>
      </c>
      <c r="D9" s="52" t="s">
        <v>458</v>
      </c>
      <c r="E9" s="51" t="s">
        <v>459</v>
      </c>
      <c r="F9" s="51" t="s">
        <v>459</v>
      </c>
      <c r="G9" s="51" t="s">
        <v>907</v>
      </c>
      <c r="H9" s="51" t="s">
        <v>461</v>
      </c>
      <c r="I9" s="52" t="s">
        <v>2729</v>
      </c>
      <c r="J9" s="52"/>
      <c r="K9" s="53" t="n">
        <f aca="false">IF(AND(E9="yes",F9="yes",H9="covered"),1,IF(H9="partial",0.5,0))</f>
        <v>1</v>
      </c>
    </row>
    <row r="10" customFormat="false" ht="45" hidden="false" customHeight="true" outlineLevel="0" collapsed="false">
      <c r="A10" s="51" t="n">
        <v>2</v>
      </c>
      <c r="B10" s="52" t="s">
        <v>456</v>
      </c>
      <c r="C10" s="52" t="s">
        <v>457</v>
      </c>
      <c r="D10" s="52" t="s">
        <v>463</v>
      </c>
      <c r="E10" s="51" t="s">
        <v>459</v>
      </c>
      <c r="F10" s="51" t="s">
        <v>459</v>
      </c>
      <c r="G10" s="51" t="s">
        <v>907</v>
      </c>
      <c r="H10" s="51" t="s">
        <v>461</v>
      </c>
      <c r="I10" s="52" t="s">
        <v>2729</v>
      </c>
      <c r="J10" s="52"/>
      <c r="K10" s="53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51" t="n">
        <v>3</v>
      </c>
      <c r="B11" s="52" t="s">
        <v>456</v>
      </c>
      <c r="C11" s="52" t="s">
        <v>72</v>
      </c>
      <c r="D11" s="52" t="s">
        <v>464</v>
      </c>
      <c r="E11" s="51" t="s">
        <v>459</v>
      </c>
      <c r="F11" s="51" t="s">
        <v>459</v>
      </c>
      <c r="G11" s="51" t="s">
        <v>907</v>
      </c>
      <c r="H11" s="51" t="s">
        <v>461</v>
      </c>
      <c r="I11" s="52" t="s">
        <v>2729</v>
      </c>
      <c r="J11" s="52"/>
      <c r="K11" s="53" t="n">
        <f aca="false">IF(AND(E11="yes",F11="yes",H11="covered"),1,IF(H11="partial",0.5,0))</f>
        <v>1</v>
      </c>
    </row>
    <row r="12" customFormat="false" ht="30" hidden="false" customHeight="true" outlineLevel="0" collapsed="false">
      <c r="A12" s="51" t="n">
        <v>4</v>
      </c>
      <c r="B12" s="52" t="s">
        <v>456</v>
      </c>
      <c r="C12" s="52" t="s">
        <v>72</v>
      </c>
      <c r="D12" s="52" t="s">
        <v>2730</v>
      </c>
      <c r="E12" s="51" t="s">
        <v>459</v>
      </c>
      <c r="F12" s="51" t="s">
        <v>459</v>
      </c>
      <c r="G12" s="51" t="s">
        <v>907</v>
      </c>
      <c r="H12" s="51" t="s">
        <v>461</v>
      </c>
      <c r="I12" s="52" t="s">
        <v>2729</v>
      </c>
      <c r="J12" s="52"/>
      <c r="K12" s="53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51" t="n">
        <v>5</v>
      </c>
      <c r="B13" s="52" t="s">
        <v>456</v>
      </c>
      <c r="C13" s="52" t="s">
        <v>72</v>
      </c>
      <c r="D13" s="52" t="s">
        <v>2731</v>
      </c>
      <c r="E13" s="51" t="s">
        <v>459</v>
      </c>
      <c r="F13" s="51" t="s">
        <v>459</v>
      </c>
      <c r="G13" s="51" t="s">
        <v>907</v>
      </c>
      <c r="H13" s="51" t="s">
        <v>461</v>
      </c>
      <c r="I13" s="52" t="s">
        <v>2729</v>
      </c>
      <c r="J13" s="52"/>
      <c r="K13" s="53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51" t="n">
        <v>6</v>
      </c>
      <c r="B14" s="52" t="s">
        <v>456</v>
      </c>
      <c r="C14" s="52" t="s">
        <v>72</v>
      </c>
      <c r="D14" s="52" t="s">
        <v>2732</v>
      </c>
      <c r="E14" s="51" t="s">
        <v>459</v>
      </c>
      <c r="F14" s="51" t="s">
        <v>459</v>
      </c>
      <c r="G14" s="51" t="s">
        <v>907</v>
      </c>
      <c r="H14" s="51" t="s">
        <v>461</v>
      </c>
      <c r="I14" s="52" t="s">
        <v>2729</v>
      </c>
      <c r="J14" s="52"/>
      <c r="K14" s="53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51" t="n">
        <v>7</v>
      </c>
      <c r="B15" s="52" t="s">
        <v>475</v>
      </c>
      <c r="C15" s="52" t="s">
        <v>476</v>
      </c>
      <c r="D15" s="52" t="s">
        <v>2733</v>
      </c>
      <c r="E15" s="51" t="s">
        <v>459</v>
      </c>
      <c r="F15" s="51" t="s">
        <v>459</v>
      </c>
      <c r="G15" s="51" t="s">
        <v>907</v>
      </c>
      <c r="H15" s="51" t="s">
        <v>461</v>
      </c>
      <c r="I15" s="52" t="s">
        <v>2729</v>
      </c>
      <c r="J15" s="52"/>
      <c r="K15" s="53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51" t="n">
        <v>8</v>
      </c>
      <c r="B16" s="52" t="s">
        <v>475</v>
      </c>
      <c r="C16" s="52" t="s">
        <v>502</v>
      </c>
      <c r="D16" s="52" t="s">
        <v>2734</v>
      </c>
      <c r="E16" s="51" t="s">
        <v>459</v>
      </c>
      <c r="F16" s="51" t="s">
        <v>459</v>
      </c>
      <c r="G16" s="51" t="s">
        <v>907</v>
      </c>
      <c r="H16" s="51" t="s">
        <v>461</v>
      </c>
      <c r="I16" s="52" t="s">
        <v>2729</v>
      </c>
      <c r="J16" s="52"/>
      <c r="K16" s="53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51" t="n">
        <v>9</v>
      </c>
      <c r="B17" s="52" t="s">
        <v>479</v>
      </c>
      <c r="C17" s="52" t="s">
        <v>476</v>
      </c>
      <c r="D17" s="52" t="s">
        <v>2735</v>
      </c>
      <c r="E17" s="51" t="s">
        <v>459</v>
      </c>
      <c r="F17" s="51" t="s">
        <v>459</v>
      </c>
      <c r="G17" s="51" t="s">
        <v>907</v>
      </c>
      <c r="H17" s="51" t="s">
        <v>461</v>
      </c>
      <c r="I17" s="52" t="s">
        <v>2729</v>
      </c>
      <c r="J17" s="52"/>
      <c r="K17" s="53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51" t="n">
        <v>10</v>
      </c>
      <c r="B18" s="52" t="s">
        <v>479</v>
      </c>
      <c r="C18" s="52" t="s">
        <v>476</v>
      </c>
      <c r="D18" s="52" t="s">
        <v>2736</v>
      </c>
      <c r="E18" s="51" t="s">
        <v>459</v>
      </c>
      <c r="F18" s="51" t="s">
        <v>459</v>
      </c>
      <c r="G18" s="51" t="s">
        <v>907</v>
      </c>
      <c r="H18" s="51" t="s">
        <v>461</v>
      </c>
      <c r="I18" s="52" t="s">
        <v>2729</v>
      </c>
      <c r="J18" s="52"/>
      <c r="K18" s="53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51" t="n">
        <v>11</v>
      </c>
      <c r="B19" s="52" t="s">
        <v>479</v>
      </c>
      <c r="C19" s="52" t="s">
        <v>476</v>
      </c>
      <c r="D19" s="52" t="s">
        <v>2737</v>
      </c>
      <c r="E19" s="51" t="s">
        <v>459</v>
      </c>
      <c r="F19" s="51" t="s">
        <v>459</v>
      </c>
      <c r="G19" s="51" t="s">
        <v>907</v>
      </c>
      <c r="H19" s="51" t="s">
        <v>461</v>
      </c>
      <c r="I19" s="52" t="s">
        <v>2729</v>
      </c>
      <c r="J19" s="52"/>
      <c r="K19" s="53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51" t="n">
        <v>12</v>
      </c>
      <c r="B20" s="52" t="s">
        <v>457</v>
      </c>
      <c r="C20" s="52" t="s">
        <v>476</v>
      </c>
      <c r="D20" s="52" t="s">
        <v>1792</v>
      </c>
      <c r="E20" s="51" t="s">
        <v>459</v>
      </c>
      <c r="F20" s="51" t="s">
        <v>459</v>
      </c>
      <c r="G20" s="51" t="s">
        <v>907</v>
      </c>
      <c r="H20" s="51" t="s">
        <v>461</v>
      </c>
      <c r="I20" s="52" t="s">
        <v>2729</v>
      </c>
      <c r="J20" s="52"/>
      <c r="K20" s="53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51" t="n">
        <v>13</v>
      </c>
      <c r="B21" s="52" t="s">
        <v>488</v>
      </c>
      <c r="C21" s="52" t="s">
        <v>476</v>
      </c>
      <c r="D21" s="52" t="s">
        <v>2738</v>
      </c>
      <c r="E21" s="51" t="s">
        <v>459</v>
      </c>
      <c r="F21" s="51" t="s">
        <v>459</v>
      </c>
      <c r="G21" s="51" t="s">
        <v>907</v>
      </c>
      <c r="H21" s="51" t="s">
        <v>461</v>
      </c>
      <c r="I21" s="52" t="s">
        <v>2729</v>
      </c>
      <c r="J21" s="52"/>
      <c r="K21" s="53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51" t="n">
        <v>14</v>
      </c>
      <c r="B22" s="52" t="s">
        <v>488</v>
      </c>
      <c r="C22" s="52" t="s">
        <v>476</v>
      </c>
      <c r="D22" s="52" t="s">
        <v>2739</v>
      </c>
      <c r="E22" s="51" t="s">
        <v>459</v>
      </c>
      <c r="F22" s="51" t="s">
        <v>459</v>
      </c>
      <c r="G22" s="51" t="s">
        <v>907</v>
      </c>
      <c r="H22" s="51" t="s">
        <v>461</v>
      </c>
      <c r="I22" s="52" t="s">
        <v>2729</v>
      </c>
      <c r="J22" s="52"/>
      <c r="K22" s="53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51" t="n">
        <v>15</v>
      </c>
      <c r="B23" s="52" t="s">
        <v>488</v>
      </c>
      <c r="C23" s="52" t="s">
        <v>476</v>
      </c>
      <c r="D23" s="52" t="s">
        <v>2740</v>
      </c>
      <c r="E23" s="51" t="s">
        <v>459</v>
      </c>
      <c r="F23" s="51" t="s">
        <v>459</v>
      </c>
      <c r="G23" s="51" t="s">
        <v>907</v>
      </c>
      <c r="H23" s="51" t="s">
        <v>461</v>
      </c>
      <c r="I23" s="52" t="s">
        <v>2729</v>
      </c>
      <c r="J23" s="52"/>
      <c r="K23" s="53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51" t="n">
        <v>16</v>
      </c>
      <c r="B24" s="52" t="s">
        <v>488</v>
      </c>
      <c r="C24" s="52" t="s">
        <v>476</v>
      </c>
      <c r="D24" s="52" t="s">
        <v>2741</v>
      </c>
      <c r="E24" s="51" t="s">
        <v>459</v>
      </c>
      <c r="F24" s="51" t="s">
        <v>459</v>
      </c>
      <c r="G24" s="51" t="s">
        <v>907</v>
      </c>
      <c r="H24" s="51" t="s">
        <v>461</v>
      </c>
      <c r="I24" s="52" t="s">
        <v>2729</v>
      </c>
      <c r="J24" s="52"/>
      <c r="K24" s="53" t="n">
        <f aca="false">IF(AND(E24="yes",F24="yes",H24="covered"),1,IF(H24="partial",0.5,0))</f>
        <v>1</v>
      </c>
    </row>
    <row r="25" customFormat="false" ht="30" hidden="false" customHeight="true" outlineLevel="0" collapsed="false">
      <c r="A25" s="51" t="n">
        <v>17</v>
      </c>
      <c r="B25" s="52" t="s">
        <v>488</v>
      </c>
      <c r="C25" s="52" t="s">
        <v>476</v>
      </c>
      <c r="D25" s="52" t="s">
        <v>2742</v>
      </c>
      <c r="E25" s="51" t="s">
        <v>459</v>
      </c>
      <c r="F25" s="51" t="s">
        <v>459</v>
      </c>
      <c r="G25" s="51" t="s">
        <v>907</v>
      </c>
      <c r="H25" s="51" t="s">
        <v>461</v>
      </c>
      <c r="I25" s="52" t="s">
        <v>2729</v>
      </c>
      <c r="J25" s="52"/>
      <c r="K25" s="53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51" t="n">
        <v>18</v>
      </c>
      <c r="B26" s="52" t="s">
        <v>488</v>
      </c>
      <c r="C26" s="52" t="s">
        <v>476</v>
      </c>
      <c r="D26" s="52" t="s">
        <v>2743</v>
      </c>
      <c r="E26" s="51" t="s">
        <v>459</v>
      </c>
      <c r="F26" s="51" t="s">
        <v>459</v>
      </c>
      <c r="G26" s="51" t="s">
        <v>907</v>
      </c>
      <c r="H26" s="51" t="s">
        <v>461</v>
      </c>
      <c r="I26" s="52" t="s">
        <v>2729</v>
      </c>
      <c r="J26" s="52"/>
      <c r="K26" s="53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51" t="n">
        <v>19</v>
      </c>
      <c r="B27" s="52" t="s">
        <v>1799</v>
      </c>
      <c r="C27" s="52" t="s">
        <v>476</v>
      </c>
      <c r="D27" s="52" t="s">
        <v>2744</v>
      </c>
      <c r="E27" s="51" t="s">
        <v>459</v>
      </c>
      <c r="F27" s="51" t="s">
        <v>459</v>
      </c>
      <c r="G27" s="51" t="s">
        <v>907</v>
      </c>
      <c r="H27" s="51" t="s">
        <v>461</v>
      </c>
      <c r="I27" s="52" t="s">
        <v>2729</v>
      </c>
      <c r="J27" s="52"/>
      <c r="K27" s="53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51" t="n">
        <v>20</v>
      </c>
      <c r="B28" s="52" t="s">
        <v>1799</v>
      </c>
      <c r="C28" s="52" t="s">
        <v>476</v>
      </c>
      <c r="D28" s="52" t="s">
        <v>2745</v>
      </c>
      <c r="E28" s="51" t="s">
        <v>459</v>
      </c>
      <c r="F28" s="51" t="s">
        <v>459</v>
      </c>
      <c r="G28" s="51" t="s">
        <v>907</v>
      </c>
      <c r="H28" s="51" t="s">
        <v>461</v>
      </c>
      <c r="I28" s="52" t="s">
        <v>2729</v>
      </c>
      <c r="J28" s="52"/>
      <c r="K28" s="53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51" t="n">
        <v>21</v>
      </c>
      <c r="B29" s="52" t="s">
        <v>1799</v>
      </c>
      <c r="C29" s="52" t="s">
        <v>476</v>
      </c>
      <c r="D29" s="52" t="s">
        <v>2746</v>
      </c>
      <c r="E29" s="51" t="s">
        <v>459</v>
      </c>
      <c r="F29" s="51" t="s">
        <v>459</v>
      </c>
      <c r="G29" s="51" t="s">
        <v>907</v>
      </c>
      <c r="H29" s="51" t="s">
        <v>461</v>
      </c>
      <c r="I29" s="52" t="s">
        <v>2729</v>
      </c>
      <c r="J29" s="52"/>
      <c r="K29" s="53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51" t="n">
        <v>22</v>
      </c>
      <c r="B30" s="52" t="s">
        <v>1799</v>
      </c>
      <c r="C30" s="52" t="s">
        <v>476</v>
      </c>
      <c r="D30" s="52" t="s">
        <v>2747</v>
      </c>
      <c r="E30" s="51" t="s">
        <v>459</v>
      </c>
      <c r="F30" s="51" t="s">
        <v>459</v>
      </c>
      <c r="G30" s="51" t="s">
        <v>907</v>
      </c>
      <c r="H30" s="51" t="s">
        <v>461</v>
      </c>
      <c r="I30" s="52" t="s">
        <v>2729</v>
      </c>
      <c r="J30" s="52"/>
      <c r="K30" s="53" t="n">
        <f aca="false">IF(AND(E30="yes",F30="yes",H30="covered"),1,IF(H30="partial",0.5,0))</f>
        <v>1</v>
      </c>
    </row>
    <row r="31" customFormat="false" ht="30" hidden="false" customHeight="true" outlineLevel="0" collapsed="false">
      <c r="A31" s="51" t="n">
        <v>23</v>
      </c>
      <c r="B31" s="52" t="s">
        <v>31</v>
      </c>
      <c r="C31" s="52" t="s">
        <v>476</v>
      </c>
      <c r="D31" s="52" t="s">
        <v>2748</v>
      </c>
      <c r="E31" s="51" t="s">
        <v>459</v>
      </c>
      <c r="F31" s="51" t="s">
        <v>459</v>
      </c>
      <c r="G31" s="51" t="s">
        <v>907</v>
      </c>
      <c r="H31" s="51" t="s">
        <v>461</v>
      </c>
      <c r="I31" s="52" t="s">
        <v>2729</v>
      </c>
      <c r="J31" s="52"/>
      <c r="K31" s="53" t="n">
        <f aca="false">IF(AND(E31="yes",F31="yes",H31="covered"),1,IF(H31="partial",0.5,0))</f>
        <v>1</v>
      </c>
    </row>
    <row r="32" customFormat="false" ht="30" hidden="false" customHeight="true" outlineLevel="0" collapsed="false">
      <c r="A32" s="51" t="n">
        <v>24</v>
      </c>
      <c r="B32" s="52" t="s">
        <v>31</v>
      </c>
      <c r="C32" s="52" t="s">
        <v>476</v>
      </c>
      <c r="D32" s="52" t="s">
        <v>2749</v>
      </c>
      <c r="E32" s="51" t="s">
        <v>459</v>
      </c>
      <c r="F32" s="51" t="s">
        <v>459</v>
      </c>
      <c r="G32" s="51" t="s">
        <v>907</v>
      </c>
      <c r="H32" s="51" t="s">
        <v>461</v>
      </c>
      <c r="I32" s="52" t="s">
        <v>2729</v>
      </c>
      <c r="J32" s="52"/>
      <c r="K32" s="53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51" t="n">
        <v>25</v>
      </c>
      <c r="B33" s="52" t="s">
        <v>531</v>
      </c>
      <c r="C33" s="52" t="s">
        <v>476</v>
      </c>
      <c r="D33" s="52" t="s">
        <v>2750</v>
      </c>
      <c r="E33" s="51" t="s">
        <v>459</v>
      </c>
      <c r="F33" s="51" t="s">
        <v>459</v>
      </c>
      <c r="G33" s="51" t="s">
        <v>907</v>
      </c>
      <c r="H33" s="51" t="s">
        <v>461</v>
      </c>
      <c r="I33" s="52" t="s">
        <v>2729</v>
      </c>
      <c r="J33" s="52"/>
      <c r="K33" s="53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51" t="n">
        <v>26</v>
      </c>
      <c r="B34" s="52" t="s">
        <v>531</v>
      </c>
      <c r="C34" s="52" t="s">
        <v>476</v>
      </c>
      <c r="D34" s="52" t="s">
        <v>2751</v>
      </c>
      <c r="E34" s="51" t="s">
        <v>459</v>
      </c>
      <c r="F34" s="51" t="s">
        <v>459</v>
      </c>
      <c r="G34" s="51" t="s">
        <v>907</v>
      </c>
      <c r="H34" s="51" t="s">
        <v>461</v>
      </c>
      <c r="I34" s="52" t="s">
        <v>2729</v>
      </c>
      <c r="J34" s="52"/>
      <c r="K34" s="53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51" t="n">
        <v>27</v>
      </c>
      <c r="B35" s="52" t="s">
        <v>531</v>
      </c>
      <c r="C35" s="52" t="s">
        <v>476</v>
      </c>
      <c r="D35" s="52" t="s">
        <v>2752</v>
      </c>
      <c r="E35" s="51" t="s">
        <v>459</v>
      </c>
      <c r="F35" s="51" t="s">
        <v>459</v>
      </c>
      <c r="G35" s="51" t="s">
        <v>907</v>
      </c>
      <c r="H35" s="51" t="s">
        <v>461</v>
      </c>
      <c r="I35" s="52" t="s">
        <v>2729</v>
      </c>
      <c r="J35" s="52"/>
      <c r="K35" s="53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51" t="n">
        <v>28</v>
      </c>
      <c r="B36" s="52" t="s">
        <v>529</v>
      </c>
      <c r="C36" s="52" t="s">
        <v>476</v>
      </c>
      <c r="D36" s="52" t="s">
        <v>2753</v>
      </c>
      <c r="E36" s="51" t="s">
        <v>459</v>
      </c>
      <c r="F36" s="51" t="s">
        <v>459</v>
      </c>
      <c r="G36" s="51" t="s">
        <v>907</v>
      </c>
      <c r="H36" s="51" t="s">
        <v>461</v>
      </c>
      <c r="I36" s="52" t="s">
        <v>2729</v>
      </c>
      <c r="J36" s="52"/>
      <c r="K36" s="53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51" t="n">
        <v>29</v>
      </c>
      <c r="B37" s="52" t="s">
        <v>511</v>
      </c>
      <c r="C37" s="52" t="s">
        <v>476</v>
      </c>
      <c r="D37" s="52" t="s">
        <v>2754</v>
      </c>
      <c r="E37" s="51" t="s">
        <v>459</v>
      </c>
      <c r="F37" s="51" t="s">
        <v>459</v>
      </c>
      <c r="G37" s="51" t="s">
        <v>907</v>
      </c>
      <c r="H37" s="51" t="s">
        <v>461</v>
      </c>
      <c r="I37" s="52" t="s">
        <v>2729</v>
      </c>
      <c r="J37" s="52"/>
      <c r="K37" s="53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51" t="n">
        <v>30</v>
      </c>
      <c r="B38" s="52" t="s">
        <v>511</v>
      </c>
      <c r="C38" s="52" t="s">
        <v>476</v>
      </c>
      <c r="D38" s="52" t="s">
        <v>2755</v>
      </c>
      <c r="E38" s="51" t="s">
        <v>459</v>
      </c>
      <c r="F38" s="51" t="s">
        <v>459</v>
      </c>
      <c r="G38" s="51" t="s">
        <v>907</v>
      </c>
      <c r="H38" s="51" t="s">
        <v>461</v>
      </c>
      <c r="I38" s="52" t="s">
        <v>2729</v>
      </c>
      <c r="J38" s="52"/>
      <c r="K38" s="53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51" t="n">
        <v>31</v>
      </c>
      <c r="B39" s="52" t="s">
        <v>483</v>
      </c>
      <c r="C39" s="52" t="s">
        <v>476</v>
      </c>
      <c r="D39" s="52" t="s">
        <v>2756</v>
      </c>
      <c r="E39" s="51" t="s">
        <v>459</v>
      </c>
      <c r="F39" s="51" t="s">
        <v>459</v>
      </c>
      <c r="G39" s="51" t="s">
        <v>907</v>
      </c>
      <c r="H39" s="51" t="s">
        <v>461</v>
      </c>
      <c r="I39" s="52" t="s">
        <v>2729</v>
      </c>
      <c r="J39" s="52"/>
      <c r="K39" s="53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51" t="n">
        <v>32</v>
      </c>
      <c r="B40" s="52" t="s">
        <v>483</v>
      </c>
      <c r="C40" s="52" t="s">
        <v>476</v>
      </c>
      <c r="D40" s="52" t="s">
        <v>2757</v>
      </c>
      <c r="E40" s="51" t="s">
        <v>459</v>
      </c>
      <c r="F40" s="51" t="s">
        <v>459</v>
      </c>
      <c r="G40" s="51" t="s">
        <v>907</v>
      </c>
      <c r="H40" s="51" t="s">
        <v>461</v>
      </c>
      <c r="I40" s="52" t="s">
        <v>2729</v>
      </c>
      <c r="J40" s="52"/>
      <c r="K40" s="53" t="n">
        <f aca="false">IF(AND(E40="yes",F40="yes",H40="covered"),1,IF(H40="partial",0.5,0))</f>
        <v>1</v>
      </c>
    </row>
    <row r="41" customFormat="false" ht="30" hidden="false" customHeight="true" outlineLevel="0" collapsed="false">
      <c r="A41" s="51" t="n">
        <v>33</v>
      </c>
      <c r="B41" s="52" t="s">
        <v>479</v>
      </c>
      <c r="C41" s="52" t="s">
        <v>502</v>
      </c>
      <c r="D41" s="52" t="s">
        <v>2758</v>
      </c>
      <c r="E41" s="51" t="s">
        <v>459</v>
      </c>
      <c r="F41" s="51" t="s">
        <v>459</v>
      </c>
      <c r="G41" s="51" t="s">
        <v>907</v>
      </c>
      <c r="H41" s="51" t="s">
        <v>461</v>
      </c>
      <c r="I41" s="52" t="s">
        <v>2729</v>
      </c>
      <c r="J41" s="52"/>
      <c r="K41" s="53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51" t="n">
        <v>34</v>
      </c>
      <c r="B42" s="52" t="s">
        <v>479</v>
      </c>
      <c r="C42" s="52" t="s">
        <v>502</v>
      </c>
      <c r="D42" s="52" t="s">
        <v>2759</v>
      </c>
      <c r="E42" s="51" t="s">
        <v>459</v>
      </c>
      <c r="F42" s="51" t="s">
        <v>459</v>
      </c>
      <c r="G42" s="51" t="s">
        <v>907</v>
      </c>
      <c r="H42" s="51" t="s">
        <v>461</v>
      </c>
      <c r="I42" s="52" t="s">
        <v>2729</v>
      </c>
      <c r="J42" s="52"/>
      <c r="K42" s="53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51" t="n">
        <v>35</v>
      </c>
      <c r="B43" s="52" t="s">
        <v>882</v>
      </c>
      <c r="C43" s="52" t="s">
        <v>502</v>
      </c>
      <c r="D43" s="52" t="s">
        <v>2760</v>
      </c>
      <c r="E43" s="51" t="s">
        <v>459</v>
      </c>
      <c r="F43" s="51" t="s">
        <v>459</v>
      </c>
      <c r="G43" s="51" t="s">
        <v>907</v>
      </c>
      <c r="H43" s="51" t="s">
        <v>461</v>
      </c>
      <c r="I43" s="52" t="s">
        <v>2729</v>
      </c>
      <c r="J43" s="52"/>
      <c r="K43" s="53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51" t="n">
        <v>36</v>
      </c>
      <c r="B44" s="52" t="s">
        <v>882</v>
      </c>
      <c r="C44" s="52" t="s">
        <v>502</v>
      </c>
      <c r="D44" s="52" t="s">
        <v>2761</v>
      </c>
      <c r="E44" s="51" t="s">
        <v>459</v>
      </c>
      <c r="F44" s="51" t="s">
        <v>459</v>
      </c>
      <c r="G44" s="51" t="s">
        <v>907</v>
      </c>
      <c r="H44" s="51" t="s">
        <v>461</v>
      </c>
      <c r="I44" s="52" t="s">
        <v>2729</v>
      </c>
      <c r="J44" s="52"/>
      <c r="K44" s="53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51" t="n">
        <v>37</v>
      </c>
      <c r="B45" s="52" t="s">
        <v>882</v>
      </c>
      <c r="C45" s="52" t="s">
        <v>502</v>
      </c>
      <c r="D45" s="52" t="s">
        <v>2762</v>
      </c>
      <c r="E45" s="51" t="s">
        <v>459</v>
      </c>
      <c r="F45" s="51" t="s">
        <v>459</v>
      </c>
      <c r="G45" s="51" t="s">
        <v>907</v>
      </c>
      <c r="H45" s="51" t="s">
        <v>461</v>
      </c>
      <c r="I45" s="52" t="s">
        <v>2729</v>
      </c>
      <c r="J45" s="52"/>
      <c r="K45" s="53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51" t="n">
        <v>38</v>
      </c>
      <c r="B46" s="52" t="s">
        <v>882</v>
      </c>
      <c r="C46" s="52" t="s">
        <v>502</v>
      </c>
      <c r="D46" s="52" t="s">
        <v>2763</v>
      </c>
      <c r="E46" s="51" t="s">
        <v>459</v>
      </c>
      <c r="F46" s="51" t="s">
        <v>459</v>
      </c>
      <c r="G46" s="51" t="s">
        <v>907</v>
      </c>
      <c r="H46" s="51" t="s">
        <v>461</v>
      </c>
      <c r="I46" s="52" t="s">
        <v>2729</v>
      </c>
      <c r="J46" s="52"/>
      <c r="K46" s="53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51" t="n">
        <v>39</v>
      </c>
      <c r="B47" s="52" t="s">
        <v>488</v>
      </c>
      <c r="C47" s="52" t="s">
        <v>502</v>
      </c>
      <c r="D47" s="52" t="s">
        <v>2764</v>
      </c>
      <c r="E47" s="51" t="s">
        <v>459</v>
      </c>
      <c r="F47" s="51" t="s">
        <v>459</v>
      </c>
      <c r="G47" s="51" t="s">
        <v>907</v>
      </c>
      <c r="H47" s="51" t="s">
        <v>461</v>
      </c>
      <c r="I47" s="52" t="s">
        <v>2729</v>
      </c>
      <c r="J47" s="52"/>
      <c r="K47" s="53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51" t="n">
        <v>40</v>
      </c>
      <c r="B48" s="52" t="s">
        <v>488</v>
      </c>
      <c r="C48" s="52" t="s">
        <v>502</v>
      </c>
      <c r="D48" s="52" t="s">
        <v>2765</v>
      </c>
      <c r="E48" s="51" t="s">
        <v>459</v>
      </c>
      <c r="F48" s="51" t="s">
        <v>459</v>
      </c>
      <c r="G48" s="51" t="s">
        <v>907</v>
      </c>
      <c r="H48" s="51" t="s">
        <v>461</v>
      </c>
      <c r="I48" s="52" t="s">
        <v>2729</v>
      </c>
      <c r="J48" s="52"/>
      <c r="K48" s="53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51" t="n">
        <v>41</v>
      </c>
      <c r="B49" s="52" t="s">
        <v>488</v>
      </c>
      <c r="C49" s="52" t="s">
        <v>502</v>
      </c>
      <c r="D49" s="52" t="s">
        <v>2766</v>
      </c>
      <c r="E49" s="51" t="s">
        <v>459</v>
      </c>
      <c r="F49" s="51" t="s">
        <v>459</v>
      </c>
      <c r="G49" s="51" t="s">
        <v>907</v>
      </c>
      <c r="H49" s="51" t="s">
        <v>461</v>
      </c>
      <c r="I49" s="52" t="s">
        <v>2729</v>
      </c>
      <c r="J49" s="52"/>
      <c r="K49" s="53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51" t="n">
        <v>42</v>
      </c>
      <c r="B50" s="52" t="s">
        <v>511</v>
      </c>
      <c r="C50" s="52" t="s">
        <v>502</v>
      </c>
      <c r="D50" s="52" t="s">
        <v>2767</v>
      </c>
      <c r="E50" s="51" t="s">
        <v>459</v>
      </c>
      <c r="F50" s="51" t="s">
        <v>459</v>
      </c>
      <c r="G50" s="51" t="s">
        <v>907</v>
      </c>
      <c r="H50" s="51" t="s">
        <v>461</v>
      </c>
      <c r="I50" s="52" t="s">
        <v>2729</v>
      </c>
      <c r="J50" s="52"/>
      <c r="K50" s="53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51" t="n">
        <v>43</v>
      </c>
      <c r="B51" s="52" t="s">
        <v>511</v>
      </c>
      <c r="C51" s="52" t="s">
        <v>502</v>
      </c>
      <c r="D51" s="52" t="s">
        <v>2716</v>
      </c>
      <c r="E51" s="51" t="s">
        <v>459</v>
      </c>
      <c r="F51" s="51" t="s">
        <v>459</v>
      </c>
      <c r="G51" s="51" t="s">
        <v>907</v>
      </c>
      <c r="H51" s="51" t="s">
        <v>461</v>
      </c>
      <c r="I51" s="52" t="s">
        <v>2729</v>
      </c>
      <c r="J51" s="52"/>
      <c r="K51" s="53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51" t="n">
        <v>44</v>
      </c>
      <c r="B52" s="52" t="s">
        <v>511</v>
      </c>
      <c r="C52" s="52" t="s">
        <v>502</v>
      </c>
      <c r="D52" s="52" t="s">
        <v>2768</v>
      </c>
      <c r="E52" s="51" t="s">
        <v>459</v>
      </c>
      <c r="F52" s="51" t="s">
        <v>459</v>
      </c>
      <c r="G52" s="51" t="s">
        <v>907</v>
      </c>
      <c r="H52" s="51" t="s">
        <v>461</v>
      </c>
      <c r="I52" s="52" t="s">
        <v>2729</v>
      </c>
      <c r="J52" s="52"/>
      <c r="K52" s="53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51" t="n">
        <v>45</v>
      </c>
      <c r="B53" s="52" t="s">
        <v>511</v>
      </c>
      <c r="C53" s="52" t="s">
        <v>502</v>
      </c>
      <c r="D53" s="52" t="s">
        <v>2769</v>
      </c>
      <c r="E53" s="51" t="s">
        <v>459</v>
      </c>
      <c r="F53" s="51" t="s">
        <v>459</v>
      </c>
      <c r="G53" s="51" t="s">
        <v>907</v>
      </c>
      <c r="H53" s="51" t="s">
        <v>461</v>
      </c>
      <c r="I53" s="52" t="s">
        <v>2729</v>
      </c>
      <c r="J53" s="52"/>
      <c r="K53" s="53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51" t="n">
        <v>46</v>
      </c>
      <c r="B54" s="52" t="s">
        <v>483</v>
      </c>
      <c r="C54" s="52" t="s">
        <v>502</v>
      </c>
      <c r="D54" s="52" t="s">
        <v>2770</v>
      </c>
      <c r="E54" s="51" t="s">
        <v>459</v>
      </c>
      <c r="F54" s="51" t="s">
        <v>459</v>
      </c>
      <c r="G54" s="51" t="s">
        <v>907</v>
      </c>
      <c r="H54" s="51" t="s">
        <v>461</v>
      </c>
      <c r="I54" s="52" t="s">
        <v>2729</v>
      </c>
      <c r="J54" s="52"/>
      <c r="K54" s="53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51" t="n">
        <v>47</v>
      </c>
      <c r="B55" s="52" t="s">
        <v>483</v>
      </c>
      <c r="C55" s="52" t="s">
        <v>502</v>
      </c>
      <c r="D55" s="52" t="s">
        <v>2771</v>
      </c>
      <c r="E55" s="51" t="s">
        <v>459</v>
      </c>
      <c r="F55" s="51" t="s">
        <v>459</v>
      </c>
      <c r="G55" s="51" t="s">
        <v>907</v>
      </c>
      <c r="H55" s="51" t="s">
        <v>461</v>
      </c>
      <c r="I55" s="52" t="s">
        <v>2729</v>
      </c>
      <c r="J55" s="52"/>
      <c r="K55" s="53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51" t="n">
        <v>48</v>
      </c>
      <c r="B56" s="52" t="s">
        <v>2105</v>
      </c>
      <c r="C56" s="52" t="s">
        <v>502</v>
      </c>
      <c r="D56" s="52" t="s">
        <v>2772</v>
      </c>
      <c r="E56" s="51" t="s">
        <v>459</v>
      </c>
      <c r="F56" s="51" t="s">
        <v>459</v>
      </c>
      <c r="G56" s="51" t="s">
        <v>907</v>
      </c>
      <c r="H56" s="51" t="s">
        <v>461</v>
      </c>
      <c r="I56" s="52" t="s">
        <v>2729</v>
      </c>
      <c r="J56" s="52"/>
      <c r="K56" s="53" t="n">
        <f aca="false">IF(AND(E56="yes",F56="yes",H56="covered"),1,IF(H56="partial",0.5,0))</f>
        <v>1</v>
      </c>
    </row>
    <row r="57" customFormat="false" ht="30" hidden="false" customHeight="true" outlineLevel="0" collapsed="false">
      <c r="A57" s="51" t="n">
        <v>49</v>
      </c>
      <c r="B57" s="52" t="s">
        <v>2105</v>
      </c>
      <c r="C57" s="52" t="s">
        <v>502</v>
      </c>
      <c r="D57" s="52" t="s">
        <v>2773</v>
      </c>
      <c r="E57" s="51" t="s">
        <v>459</v>
      </c>
      <c r="F57" s="51" t="s">
        <v>459</v>
      </c>
      <c r="G57" s="51" t="s">
        <v>907</v>
      </c>
      <c r="H57" s="51" t="s">
        <v>461</v>
      </c>
      <c r="I57" s="52" t="s">
        <v>2729</v>
      </c>
      <c r="J57" s="52"/>
      <c r="K57" s="53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51" t="n">
        <v>50</v>
      </c>
      <c r="B58" s="52" t="s">
        <v>531</v>
      </c>
      <c r="C58" s="52" t="s">
        <v>502</v>
      </c>
      <c r="D58" s="52" t="s">
        <v>2774</v>
      </c>
      <c r="E58" s="51" t="s">
        <v>459</v>
      </c>
      <c r="F58" s="51" t="s">
        <v>459</v>
      </c>
      <c r="G58" s="51" t="s">
        <v>907</v>
      </c>
      <c r="H58" s="51" t="s">
        <v>461</v>
      </c>
      <c r="I58" s="52" t="s">
        <v>2729</v>
      </c>
      <c r="J58" s="52"/>
      <c r="K58" s="53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51" t="n">
        <v>51</v>
      </c>
      <c r="B59" s="52" t="s">
        <v>531</v>
      </c>
      <c r="C59" s="52" t="s">
        <v>502</v>
      </c>
      <c r="D59" s="52" t="s">
        <v>2775</v>
      </c>
      <c r="E59" s="51" t="s">
        <v>459</v>
      </c>
      <c r="F59" s="51" t="s">
        <v>459</v>
      </c>
      <c r="G59" s="51" t="s">
        <v>907</v>
      </c>
      <c r="H59" s="51" t="s">
        <v>461</v>
      </c>
      <c r="I59" s="52" t="s">
        <v>2729</v>
      </c>
      <c r="J59" s="52"/>
      <c r="K59" s="53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51" t="n">
        <v>52</v>
      </c>
      <c r="B60" s="52" t="s">
        <v>738</v>
      </c>
      <c r="C60" s="52" t="s">
        <v>72</v>
      </c>
      <c r="D60" s="52" t="s">
        <v>2776</v>
      </c>
      <c r="E60" s="51" t="s">
        <v>459</v>
      </c>
      <c r="F60" s="51" t="s">
        <v>459</v>
      </c>
      <c r="G60" s="51" t="s">
        <v>907</v>
      </c>
      <c r="H60" s="51" t="s">
        <v>461</v>
      </c>
      <c r="I60" s="52" t="s">
        <v>2729</v>
      </c>
      <c r="J60" s="52"/>
      <c r="K60" s="53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51" t="n">
        <v>53</v>
      </c>
      <c r="B61" s="52" t="s">
        <v>738</v>
      </c>
      <c r="C61" s="52" t="s">
        <v>72</v>
      </c>
      <c r="D61" s="52" t="s">
        <v>2777</v>
      </c>
      <c r="E61" s="51" t="s">
        <v>459</v>
      </c>
      <c r="F61" s="51" t="s">
        <v>459</v>
      </c>
      <c r="G61" s="51" t="s">
        <v>907</v>
      </c>
      <c r="H61" s="51" t="s">
        <v>461</v>
      </c>
      <c r="I61" s="52" t="s">
        <v>2729</v>
      </c>
      <c r="J61" s="52"/>
      <c r="K61" s="53" t="n">
        <f aca="false">IF(AND(E61="yes",F61="yes",H61="covered"),1,IF(H61="partial",0.5,0))</f>
        <v>1</v>
      </c>
    </row>
    <row r="62" customFormat="false" ht="30" hidden="false" customHeight="true" outlineLevel="0" collapsed="false">
      <c r="A62" s="51" t="n">
        <v>54</v>
      </c>
      <c r="B62" s="52" t="s">
        <v>760</v>
      </c>
      <c r="C62" s="52" t="s">
        <v>72</v>
      </c>
      <c r="D62" s="52" t="s">
        <v>2778</v>
      </c>
      <c r="E62" s="51" t="s">
        <v>459</v>
      </c>
      <c r="F62" s="51" t="s">
        <v>459</v>
      </c>
      <c r="G62" s="51" t="s">
        <v>907</v>
      </c>
      <c r="H62" s="51" t="s">
        <v>461</v>
      </c>
      <c r="I62" s="52" t="s">
        <v>2729</v>
      </c>
      <c r="J62" s="52"/>
      <c r="K62" s="53" t="n">
        <f aca="false">IF(AND(E62="yes",F62="yes",H62="covered"),1,IF(H62="partial",0.5,0))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2779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110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2780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2780</v>
      </c>
      <c r="J10" s="42"/>
      <c r="K10" s="45" t="n">
        <f aca="false">IF(AND(E10="yes",F10="yes",H10="covered"),1,IF(H10="partial",0.5,0))</f>
        <v>1</v>
      </c>
    </row>
    <row r="11" customFormat="false" ht="45" hidden="false" customHeight="true" outlineLevel="0" collapsed="false">
      <c r="A11" s="31" t="n">
        <v>3</v>
      </c>
      <c r="B11" s="42" t="s">
        <v>456</v>
      </c>
      <c r="C11" s="42" t="s">
        <v>73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2780</v>
      </c>
      <c r="J11" s="42"/>
      <c r="K11" s="45" t="n">
        <f aca="false">IF(AND(E11="yes",F11="yes",H11="covered"),1,IF(H11="partial",0.5,0))</f>
        <v>1</v>
      </c>
    </row>
    <row r="12" customFormat="false" ht="45" hidden="false" customHeight="true" outlineLevel="0" collapsed="false">
      <c r="A12" s="31" t="n">
        <v>4</v>
      </c>
      <c r="B12" s="42" t="s">
        <v>456</v>
      </c>
      <c r="C12" s="42" t="s">
        <v>73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2780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73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2780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73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2780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73</v>
      </c>
      <c r="D15" s="42" t="s">
        <v>2781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2780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73</v>
      </c>
      <c r="D16" s="42" t="s">
        <v>471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2780</v>
      </c>
      <c r="J16" s="42"/>
      <c r="K16" s="45" t="n">
        <f aca="false">IF(AND(E16="yes",F16="yes",H16="covered"),1,IF(H16="partial",0.5,0))</f>
        <v>1</v>
      </c>
    </row>
    <row r="17" customFormat="false" ht="45" hidden="false" customHeight="true" outlineLevel="0" collapsed="false">
      <c r="A17" s="31" t="n">
        <v>9</v>
      </c>
      <c r="B17" s="42" t="s">
        <v>468</v>
      </c>
      <c r="C17" s="42" t="s">
        <v>73</v>
      </c>
      <c r="D17" s="42" t="s">
        <v>2596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2780</v>
      </c>
      <c r="J17" s="42"/>
      <c r="K17" s="45" t="n">
        <f aca="false">IF(AND(E17="yes",F17="yes",H17="covered"),1,IF(H17="partial",0.5,0))</f>
        <v>1</v>
      </c>
    </row>
    <row r="18" customFormat="false" ht="45" hidden="false" customHeight="true" outlineLevel="0" collapsed="false">
      <c r="A18" s="31" t="n">
        <v>10</v>
      </c>
      <c r="B18" s="42" t="s">
        <v>468</v>
      </c>
      <c r="C18" s="42" t="s">
        <v>73</v>
      </c>
      <c r="D18" s="42" t="s">
        <v>2782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2780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73</v>
      </c>
      <c r="D19" s="42" t="s">
        <v>2783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2780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73</v>
      </c>
      <c r="D20" s="42" t="s">
        <v>2784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2780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2780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2780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2780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2780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2780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2780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486</v>
      </c>
      <c r="C27" s="42" t="s">
        <v>476</v>
      </c>
      <c r="D27" s="42" t="s">
        <v>494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2780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486</v>
      </c>
      <c r="C28" s="42" t="s">
        <v>476</v>
      </c>
      <c r="D28" s="42" t="s">
        <v>1432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2780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486</v>
      </c>
      <c r="C29" s="42" t="s">
        <v>476</v>
      </c>
      <c r="D29" s="42" t="s">
        <v>1291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2780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882</v>
      </c>
      <c r="C30" s="42" t="s">
        <v>476</v>
      </c>
      <c r="D30" s="42" t="s">
        <v>956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2780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476</v>
      </c>
      <c r="D31" s="42" t="s">
        <v>495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2780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486</v>
      </c>
      <c r="C32" s="42" t="s">
        <v>476</v>
      </c>
      <c r="D32" s="42" t="s">
        <v>496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2780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475</v>
      </c>
      <c r="C33" s="42" t="s">
        <v>22</v>
      </c>
      <c r="D33" s="42" t="s">
        <v>477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2780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475</v>
      </c>
      <c r="C34" s="42" t="s">
        <v>22</v>
      </c>
      <c r="D34" s="42" t="s">
        <v>478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2780</v>
      </c>
      <c r="J34" s="42"/>
      <c r="K34" s="45" t="n">
        <f aca="false">IF(AND(E34="yes",F34="yes",H34="covered"),1,IF(H34="partial",0.5,0))</f>
        <v>1</v>
      </c>
    </row>
    <row r="35" customFormat="false" ht="30" hidden="false" customHeight="true" outlineLevel="0" collapsed="false">
      <c r="A35" s="31" t="n">
        <v>27</v>
      </c>
      <c r="B35" s="42" t="s">
        <v>479</v>
      </c>
      <c r="C35" s="42" t="s">
        <v>22</v>
      </c>
      <c r="D35" s="42" t="s">
        <v>480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2780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479</v>
      </c>
      <c r="C36" s="42" t="s">
        <v>22</v>
      </c>
      <c r="D36" s="42" t="s">
        <v>481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2780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457</v>
      </c>
      <c r="C37" s="42" t="s">
        <v>22</v>
      </c>
      <c r="D37" s="42" t="s">
        <v>482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2780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774</v>
      </c>
      <c r="C38" s="42" t="s">
        <v>22</v>
      </c>
      <c r="D38" s="42" t="s">
        <v>775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2780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488</v>
      </c>
      <c r="C39" s="42" t="s">
        <v>22</v>
      </c>
      <c r="D39" s="42" t="s">
        <v>493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2780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882</v>
      </c>
      <c r="C40" s="42" t="s">
        <v>22</v>
      </c>
      <c r="D40" s="42" t="s">
        <v>956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2780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486</v>
      </c>
      <c r="C41" s="42" t="s">
        <v>22</v>
      </c>
      <c r="D41" s="42" t="s">
        <v>495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2780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488</v>
      </c>
      <c r="C42" s="42" t="s">
        <v>22</v>
      </c>
      <c r="D42" s="42" t="s">
        <v>497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2780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475</v>
      </c>
      <c r="C43" s="42" t="s">
        <v>902</v>
      </c>
      <c r="D43" s="42" t="s">
        <v>477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2780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475</v>
      </c>
      <c r="C44" s="42" t="s">
        <v>902</v>
      </c>
      <c r="D44" s="42" t="s">
        <v>478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2780</v>
      </c>
      <c r="J44" s="42"/>
      <c r="K44" s="45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31" t="n">
        <v>37</v>
      </c>
      <c r="B45" s="42" t="s">
        <v>479</v>
      </c>
      <c r="C45" s="42" t="s">
        <v>902</v>
      </c>
      <c r="D45" s="42" t="s">
        <v>480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2780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479</v>
      </c>
      <c r="C46" s="42" t="s">
        <v>902</v>
      </c>
      <c r="D46" s="42" t="s">
        <v>481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2780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457</v>
      </c>
      <c r="C47" s="42" t="s">
        <v>902</v>
      </c>
      <c r="D47" s="42" t="s">
        <v>482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2780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774</v>
      </c>
      <c r="C48" s="42" t="s">
        <v>902</v>
      </c>
      <c r="D48" s="42" t="s">
        <v>775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2780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486</v>
      </c>
      <c r="C49" s="42" t="s">
        <v>902</v>
      </c>
      <c r="D49" s="42" t="s">
        <v>884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2780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486</v>
      </c>
      <c r="C50" s="42" t="s">
        <v>902</v>
      </c>
      <c r="D50" s="42" t="s">
        <v>885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2780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486</v>
      </c>
      <c r="C51" s="42" t="s">
        <v>902</v>
      </c>
      <c r="D51" s="42" t="s">
        <v>886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2780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488</v>
      </c>
      <c r="C52" s="42" t="s">
        <v>902</v>
      </c>
      <c r="D52" s="42" t="s">
        <v>493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2780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882</v>
      </c>
      <c r="C53" s="42" t="s">
        <v>902</v>
      </c>
      <c r="D53" s="42" t="s">
        <v>956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2780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902</v>
      </c>
      <c r="D54" s="42" t="s">
        <v>495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2780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488</v>
      </c>
      <c r="C55" s="42" t="s">
        <v>902</v>
      </c>
      <c r="D55" s="42" t="s">
        <v>497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2780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475</v>
      </c>
      <c r="C56" s="42" t="s">
        <v>904</v>
      </c>
      <c r="D56" s="42" t="s">
        <v>477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2780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475</v>
      </c>
      <c r="C57" s="42" t="s">
        <v>904</v>
      </c>
      <c r="D57" s="42" t="s">
        <v>478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2780</v>
      </c>
      <c r="J57" s="42"/>
      <c r="K57" s="45" t="n">
        <f aca="false">IF(AND(E57="yes",F57="yes",H57="covered"),1,IF(H57="partial",0.5,0))</f>
        <v>1</v>
      </c>
    </row>
    <row r="58" customFormat="false" ht="30" hidden="false" customHeight="true" outlineLevel="0" collapsed="false">
      <c r="A58" s="31" t="n">
        <v>50</v>
      </c>
      <c r="B58" s="42" t="s">
        <v>479</v>
      </c>
      <c r="C58" s="42" t="s">
        <v>904</v>
      </c>
      <c r="D58" s="42" t="s">
        <v>480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2780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479</v>
      </c>
      <c r="C59" s="42" t="s">
        <v>904</v>
      </c>
      <c r="D59" s="42" t="s">
        <v>481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2780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457</v>
      </c>
      <c r="C60" s="42" t="s">
        <v>904</v>
      </c>
      <c r="D60" s="42" t="s">
        <v>482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2780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486</v>
      </c>
      <c r="C61" s="42" t="s">
        <v>904</v>
      </c>
      <c r="D61" s="42" t="s">
        <v>494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2780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486</v>
      </c>
      <c r="C62" s="42" t="s">
        <v>904</v>
      </c>
      <c r="D62" s="42" t="s">
        <v>495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2780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486</v>
      </c>
      <c r="C63" s="42" t="s">
        <v>904</v>
      </c>
      <c r="D63" s="42" t="s">
        <v>496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2780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475</v>
      </c>
      <c r="C64" s="42" t="s">
        <v>72</v>
      </c>
      <c r="D64" s="42" t="s">
        <v>477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2780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475</v>
      </c>
      <c r="C65" s="42" t="s">
        <v>72</v>
      </c>
      <c r="D65" s="42" t="s">
        <v>478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2780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479</v>
      </c>
      <c r="C66" s="42" t="s">
        <v>72</v>
      </c>
      <c r="D66" s="42" t="s">
        <v>480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2780</v>
      </c>
      <c r="J66" s="42"/>
      <c r="K66" s="45" t="n">
        <f aca="false">IF(AND(E66="yes",F66="yes",H66="covered"),1,IF(H66="partial",0.5,0))</f>
        <v>1</v>
      </c>
    </row>
    <row r="67" customFormat="false" ht="30" hidden="false" customHeight="true" outlineLevel="0" collapsed="false">
      <c r="A67" s="31" t="n">
        <v>59</v>
      </c>
      <c r="B67" s="42" t="s">
        <v>479</v>
      </c>
      <c r="C67" s="42" t="s">
        <v>72</v>
      </c>
      <c r="D67" s="42" t="s">
        <v>481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2780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457</v>
      </c>
      <c r="C68" s="42" t="s">
        <v>72</v>
      </c>
      <c r="D68" s="42" t="s">
        <v>482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2780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486</v>
      </c>
      <c r="C69" s="42" t="s">
        <v>72</v>
      </c>
      <c r="D69" s="42" t="s">
        <v>487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2780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488</v>
      </c>
      <c r="C70" s="42" t="s">
        <v>72</v>
      </c>
      <c r="D70" s="42" t="s">
        <v>489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2780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488</v>
      </c>
      <c r="C71" s="42" t="s">
        <v>72</v>
      </c>
      <c r="D71" s="42" t="s">
        <v>490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2780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488</v>
      </c>
      <c r="C72" s="42" t="s">
        <v>72</v>
      </c>
      <c r="D72" s="42" t="s">
        <v>491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2780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488</v>
      </c>
      <c r="C73" s="42" t="s">
        <v>72</v>
      </c>
      <c r="D73" s="42" t="s">
        <v>493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2780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882</v>
      </c>
      <c r="C74" s="42" t="s">
        <v>72</v>
      </c>
      <c r="D74" s="42" t="s">
        <v>956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2780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486</v>
      </c>
      <c r="C75" s="42" t="s">
        <v>72</v>
      </c>
      <c r="D75" s="42" t="s">
        <v>495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2780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488</v>
      </c>
      <c r="C76" s="42" t="s">
        <v>72</v>
      </c>
      <c r="D76" s="42" t="s">
        <v>497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2780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475</v>
      </c>
      <c r="C77" s="42" t="s">
        <v>2785</v>
      </c>
      <c r="D77" s="42" t="s">
        <v>477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2780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475</v>
      </c>
      <c r="C78" s="42" t="s">
        <v>2785</v>
      </c>
      <c r="D78" s="42" t="s">
        <v>478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2780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479</v>
      </c>
      <c r="C79" s="42" t="s">
        <v>2785</v>
      </c>
      <c r="D79" s="42" t="s">
        <v>480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2780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479</v>
      </c>
      <c r="C80" s="42" t="s">
        <v>2785</v>
      </c>
      <c r="D80" s="42" t="s">
        <v>481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2780</v>
      </c>
      <c r="J80" s="42"/>
      <c r="K80" s="45" t="n">
        <f aca="false">IF(AND(E80="yes",F80="yes",H80="covered"),1,IF(H80="partial",0.5,0))</f>
        <v>1</v>
      </c>
    </row>
    <row r="81" customFormat="false" ht="30" hidden="false" customHeight="true" outlineLevel="0" collapsed="false">
      <c r="A81" s="31" t="n">
        <v>73</v>
      </c>
      <c r="B81" s="42" t="s">
        <v>457</v>
      </c>
      <c r="C81" s="42" t="s">
        <v>2785</v>
      </c>
      <c r="D81" s="42" t="s">
        <v>482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2780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774</v>
      </c>
      <c r="C82" s="42" t="s">
        <v>2785</v>
      </c>
      <c r="D82" s="42" t="s">
        <v>775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2780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488</v>
      </c>
      <c r="C83" s="42" t="s">
        <v>2785</v>
      </c>
      <c r="D83" s="42" t="s">
        <v>489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2780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488</v>
      </c>
      <c r="C84" s="42" t="s">
        <v>2785</v>
      </c>
      <c r="D84" s="42" t="s">
        <v>493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2780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882</v>
      </c>
      <c r="C85" s="42" t="s">
        <v>2785</v>
      </c>
      <c r="D85" s="42" t="s">
        <v>956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2780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486</v>
      </c>
      <c r="C86" s="42" t="s">
        <v>2785</v>
      </c>
      <c r="D86" s="42" t="s">
        <v>495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2780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486</v>
      </c>
      <c r="C87" s="42" t="s">
        <v>2785</v>
      </c>
      <c r="D87" s="42" t="s">
        <v>499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2780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488</v>
      </c>
      <c r="C88" s="42" t="s">
        <v>2785</v>
      </c>
      <c r="D88" s="42" t="s">
        <v>887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2780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488</v>
      </c>
      <c r="C89" s="42" t="s">
        <v>2785</v>
      </c>
      <c r="D89" s="42" t="s">
        <v>497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2780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505</v>
      </c>
      <c r="C90" s="42" t="s">
        <v>506</v>
      </c>
      <c r="D90" s="42" t="s">
        <v>508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2780</v>
      </c>
      <c r="J90" s="42"/>
      <c r="K90" s="45" t="n">
        <f aca="false">IF(AND(E90="yes",F90="yes",H90="covered"),1,IF(H90="partial",0.5,0))</f>
        <v>1</v>
      </c>
    </row>
    <row r="91" customFormat="false" ht="30" hidden="false" customHeight="true" outlineLevel="0" collapsed="false">
      <c r="A91" s="31" t="n">
        <v>83</v>
      </c>
      <c r="B91" s="42" t="s">
        <v>505</v>
      </c>
      <c r="C91" s="42" t="s">
        <v>506</v>
      </c>
      <c r="D91" s="42" t="s">
        <v>783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2780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505</v>
      </c>
      <c r="C92" s="42" t="s">
        <v>506</v>
      </c>
      <c r="D92" s="42" t="s">
        <v>1442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2780</v>
      </c>
      <c r="J92" s="42"/>
      <c r="K92" s="45" t="n">
        <f aca="false">IF(AND(E92="yes",F92="yes",H92="covered"),1,IF(H92="partial",0.5,0))</f>
        <v>1</v>
      </c>
    </row>
    <row r="93" customFormat="false" ht="30" hidden="false" customHeight="true" outlineLevel="0" collapsed="false">
      <c r="A93" s="31" t="n">
        <v>85</v>
      </c>
      <c r="B93" s="42" t="s">
        <v>505</v>
      </c>
      <c r="C93" s="42" t="s">
        <v>506</v>
      </c>
      <c r="D93" s="42" t="s">
        <v>2786</v>
      </c>
      <c r="E93" s="34" t="s">
        <v>459</v>
      </c>
      <c r="F93" s="43" t="s">
        <v>459</v>
      </c>
      <c r="G93" s="31" t="s">
        <v>543</v>
      </c>
      <c r="H93" s="44" t="s">
        <v>461</v>
      </c>
      <c r="I93" s="42" t="s">
        <v>2780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511</v>
      </c>
      <c r="C94" s="42" t="s">
        <v>506</v>
      </c>
      <c r="D94" s="42" t="s">
        <v>512</v>
      </c>
      <c r="E94" s="34" t="s">
        <v>459</v>
      </c>
      <c r="F94" s="43" t="s">
        <v>459</v>
      </c>
      <c r="G94" s="31" t="s">
        <v>543</v>
      </c>
      <c r="H94" s="44" t="s">
        <v>461</v>
      </c>
      <c r="I94" s="42" t="s">
        <v>2780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511</v>
      </c>
      <c r="C95" s="42" t="s">
        <v>506</v>
      </c>
      <c r="D95" s="42" t="s">
        <v>513</v>
      </c>
      <c r="E95" s="34" t="s">
        <v>459</v>
      </c>
      <c r="F95" s="43" t="s">
        <v>459</v>
      </c>
      <c r="G95" s="31" t="s">
        <v>543</v>
      </c>
      <c r="H95" s="44" t="s">
        <v>461</v>
      </c>
      <c r="I95" s="42" t="s">
        <v>2780</v>
      </c>
      <c r="J95" s="42"/>
      <c r="K95" s="45" t="n">
        <f aca="false">IF(AND(E95="yes",F95="yes",H95="covered"),1,IF(H95="partial",0.5,0))</f>
        <v>1</v>
      </c>
    </row>
    <row r="96" customFormat="false" ht="30" hidden="false" customHeight="true" outlineLevel="0" collapsed="false">
      <c r="A96" s="31" t="n">
        <v>88</v>
      </c>
      <c r="B96" s="42" t="s">
        <v>511</v>
      </c>
      <c r="C96" s="42" t="s">
        <v>506</v>
      </c>
      <c r="D96" s="42" t="s">
        <v>514</v>
      </c>
      <c r="E96" s="34" t="s">
        <v>459</v>
      </c>
      <c r="F96" s="43" t="s">
        <v>459</v>
      </c>
      <c r="G96" s="31" t="s">
        <v>543</v>
      </c>
      <c r="H96" s="44" t="s">
        <v>461</v>
      </c>
      <c r="I96" s="42" t="s">
        <v>2780</v>
      </c>
      <c r="J96" s="42"/>
      <c r="K96" s="45" t="n">
        <f aca="false">IF(AND(E96="yes",F96="yes",H96="covered"),1,IF(H96="partial",0.5,0))</f>
        <v>1</v>
      </c>
    </row>
    <row r="97" customFormat="false" ht="30" hidden="false" customHeight="true" outlineLevel="0" collapsed="false">
      <c r="A97" s="31" t="n">
        <v>89</v>
      </c>
      <c r="B97" s="42" t="s">
        <v>511</v>
      </c>
      <c r="C97" s="42" t="s">
        <v>506</v>
      </c>
      <c r="D97" s="42" t="s">
        <v>515</v>
      </c>
      <c r="E97" s="34" t="s">
        <v>459</v>
      </c>
      <c r="F97" s="43" t="s">
        <v>459</v>
      </c>
      <c r="G97" s="31" t="s">
        <v>543</v>
      </c>
      <c r="H97" s="44" t="s">
        <v>461</v>
      </c>
      <c r="I97" s="42" t="s">
        <v>2780</v>
      </c>
      <c r="J97" s="42"/>
      <c r="K97" s="45" t="n">
        <f aca="false">IF(AND(E97="yes",F97="yes",H97="covered"),1,IF(H97="partial",0.5,0))</f>
        <v>1</v>
      </c>
    </row>
    <row r="98" customFormat="false" ht="30" hidden="false" customHeight="true" outlineLevel="0" collapsed="false">
      <c r="A98" s="31" t="n">
        <v>90</v>
      </c>
      <c r="B98" s="42" t="s">
        <v>511</v>
      </c>
      <c r="C98" s="42" t="s">
        <v>506</v>
      </c>
      <c r="D98" s="42" t="s">
        <v>893</v>
      </c>
      <c r="E98" s="34" t="s">
        <v>459</v>
      </c>
      <c r="F98" s="43" t="s">
        <v>459</v>
      </c>
      <c r="G98" s="31" t="s">
        <v>543</v>
      </c>
      <c r="H98" s="44" t="s">
        <v>461</v>
      </c>
      <c r="I98" s="42" t="s">
        <v>2780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531</v>
      </c>
      <c r="C99" s="42" t="s">
        <v>73</v>
      </c>
      <c r="D99" s="42" t="s">
        <v>2787</v>
      </c>
      <c r="E99" s="34" t="s">
        <v>459</v>
      </c>
      <c r="F99" s="43" t="s">
        <v>459</v>
      </c>
      <c r="G99" s="31" t="s">
        <v>543</v>
      </c>
      <c r="H99" s="44" t="s">
        <v>461</v>
      </c>
      <c r="I99" s="42" t="s">
        <v>2780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531</v>
      </c>
      <c r="C100" s="42" t="s">
        <v>73</v>
      </c>
      <c r="D100" s="42" t="s">
        <v>2643</v>
      </c>
      <c r="E100" s="34" t="s">
        <v>459</v>
      </c>
      <c r="F100" s="43" t="s">
        <v>459</v>
      </c>
      <c r="G100" s="31" t="s">
        <v>543</v>
      </c>
      <c r="H100" s="44" t="s">
        <v>461</v>
      </c>
      <c r="I100" s="42" t="s">
        <v>2780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531</v>
      </c>
      <c r="C101" s="42" t="s">
        <v>73</v>
      </c>
      <c r="D101" s="42" t="s">
        <v>2788</v>
      </c>
      <c r="E101" s="34" t="s">
        <v>459</v>
      </c>
      <c r="F101" s="43" t="s">
        <v>459</v>
      </c>
      <c r="G101" s="31" t="s">
        <v>543</v>
      </c>
      <c r="H101" s="44" t="s">
        <v>461</v>
      </c>
      <c r="I101" s="42" t="s">
        <v>2780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531</v>
      </c>
      <c r="C102" s="42" t="s">
        <v>73</v>
      </c>
      <c r="D102" s="42" t="s">
        <v>2789</v>
      </c>
      <c r="E102" s="34" t="s">
        <v>459</v>
      </c>
      <c r="F102" s="43" t="s">
        <v>459</v>
      </c>
      <c r="G102" s="31" t="s">
        <v>543</v>
      </c>
      <c r="H102" s="44" t="s">
        <v>461</v>
      </c>
      <c r="I102" s="42" t="s">
        <v>2780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531</v>
      </c>
      <c r="C103" s="42" t="s">
        <v>73</v>
      </c>
      <c r="D103" s="42" t="s">
        <v>532</v>
      </c>
      <c r="E103" s="34" t="s">
        <v>459</v>
      </c>
      <c r="F103" s="43" t="s">
        <v>459</v>
      </c>
      <c r="G103" s="31" t="s">
        <v>543</v>
      </c>
      <c r="H103" s="44" t="s">
        <v>461</v>
      </c>
      <c r="I103" s="42" t="s">
        <v>2780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531</v>
      </c>
      <c r="C104" s="42" t="s">
        <v>73</v>
      </c>
      <c r="D104" s="42" t="s">
        <v>533</v>
      </c>
      <c r="E104" s="34" t="s">
        <v>459</v>
      </c>
      <c r="F104" s="43" t="s">
        <v>459</v>
      </c>
      <c r="G104" s="31" t="s">
        <v>543</v>
      </c>
      <c r="H104" s="44" t="s">
        <v>461</v>
      </c>
      <c r="I104" s="42" t="s">
        <v>2780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531</v>
      </c>
      <c r="C105" s="42" t="s">
        <v>73</v>
      </c>
      <c r="D105" s="42" t="s">
        <v>534</v>
      </c>
      <c r="E105" s="34" t="s">
        <v>459</v>
      </c>
      <c r="F105" s="43" t="s">
        <v>459</v>
      </c>
      <c r="G105" s="31" t="s">
        <v>543</v>
      </c>
      <c r="H105" s="44" t="s">
        <v>461</v>
      </c>
      <c r="I105" s="42" t="s">
        <v>2780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531</v>
      </c>
      <c r="C106" s="42" t="s">
        <v>73</v>
      </c>
      <c r="D106" s="42" t="s">
        <v>535</v>
      </c>
      <c r="E106" s="34" t="s">
        <v>459</v>
      </c>
      <c r="F106" s="43" t="s">
        <v>459</v>
      </c>
      <c r="G106" s="31" t="s">
        <v>543</v>
      </c>
      <c r="H106" s="44" t="s">
        <v>461</v>
      </c>
      <c r="I106" s="42" t="s">
        <v>2780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531</v>
      </c>
      <c r="C107" s="42" t="s">
        <v>73</v>
      </c>
      <c r="D107" s="42" t="s">
        <v>536</v>
      </c>
      <c r="E107" s="34" t="s">
        <v>459</v>
      </c>
      <c r="F107" s="43" t="s">
        <v>459</v>
      </c>
      <c r="G107" s="31" t="s">
        <v>543</v>
      </c>
      <c r="H107" s="44" t="s">
        <v>461</v>
      </c>
      <c r="I107" s="42" t="s">
        <v>2780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529</v>
      </c>
      <c r="C108" s="42" t="s">
        <v>73</v>
      </c>
      <c r="D108" s="42" t="s">
        <v>537</v>
      </c>
      <c r="E108" s="34" t="s">
        <v>459</v>
      </c>
      <c r="F108" s="43" t="s">
        <v>459</v>
      </c>
      <c r="G108" s="31" t="s">
        <v>543</v>
      </c>
      <c r="H108" s="44" t="s">
        <v>461</v>
      </c>
      <c r="I108" s="42" t="s">
        <v>2780</v>
      </c>
      <c r="J108" s="42"/>
      <c r="K108" s="45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2" t="s">
        <v>31</v>
      </c>
      <c r="C109" s="42" t="s">
        <v>476</v>
      </c>
      <c r="D109" s="42" t="s">
        <v>2611</v>
      </c>
      <c r="E109" s="46" t="s">
        <v>459</v>
      </c>
      <c r="F109" s="43" t="s">
        <v>459</v>
      </c>
      <c r="G109" s="31" t="s">
        <v>543</v>
      </c>
      <c r="H109" s="46" t="s">
        <v>461</v>
      </c>
      <c r="I109" s="42" t="s">
        <v>2780</v>
      </c>
      <c r="J109" s="42"/>
      <c r="K109" s="45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2" t="s">
        <v>31</v>
      </c>
      <c r="C110" s="42" t="s">
        <v>476</v>
      </c>
      <c r="D110" s="42" t="s">
        <v>2613</v>
      </c>
      <c r="E110" s="34" t="s">
        <v>459</v>
      </c>
      <c r="F110" s="43" t="s">
        <v>459</v>
      </c>
      <c r="G110" s="31" t="s">
        <v>543</v>
      </c>
      <c r="H110" s="44" t="s">
        <v>461</v>
      </c>
      <c r="I110" s="42" t="s">
        <v>2780</v>
      </c>
      <c r="J110" s="42"/>
      <c r="K110" s="45" t="n">
        <f aca="false">IF(AND(E110="yes",F110="yes",H110="covered"),1,IF(H110="partial",0.5,0))</f>
        <v>1</v>
      </c>
    </row>
    <row r="111" customFormat="false" ht="45" hidden="false" customHeight="true" outlineLevel="0" collapsed="false">
      <c r="A111" s="31" t="n">
        <v>103</v>
      </c>
      <c r="B111" s="42" t="s">
        <v>31</v>
      </c>
      <c r="C111" s="42" t="s">
        <v>476</v>
      </c>
      <c r="D111" s="42" t="s">
        <v>539</v>
      </c>
      <c r="E111" s="34" t="s">
        <v>459</v>
      </c>
      <c r="F111" s="43" t="s">
        <v>459</v>
      </c>
      <c r="G111" s="31" t="s">
        <v>543</v>
      </c>
      <c r="H111" s="44" t="s">
        <v>461</v>
      </c>
      <c r="I111" s="42" t="s">
        <v>2780</v>
      </c>
      <c r="J111" s="42"/>
      <c r="K111" s="45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2" t="s">
        <v>456</v>
      </c>
      <c r="C112" s="42" t="s">
        <v>540</v>
      </c>
      <c r="D112" s="42" t="s">
        <v>2790</v>
      </c>
      <c r="E112" s="46" t="s">
        <v>459</v>
      </c>
      <c r="F112" s="43" t="s">
        <v>459</v>
      </c>
      <c r="G112" s="31" t="s">
        <v>543</v>
      </c>
      <c r="H112" s="46" t="s">
        <v>461</v>
      </c>
      <c r="I112" s="42" t="s">
        <v>2780</v>
      </c>
      <c r="J112" s="42"/>
      <c r="K112" s="45" t="n">
        <f aca="false">IF(AND(E112="yes",F112="yes",H112="covered"),1,IF(H112="partial",0.5,0))</f>
        <v>1</v>
      </c>
    </row>
    <row r="113" customFormat="false" ht="30" hidden="false" customHeight="true" outlineLevel="0" collapsed="false">
      <c r="A113" s="31" t="n">
        <v>105</v>
      </c>
      <c r="B113" s="42" t="s">
        <v>483</v>
      </c>
      <c r="C113" s="42" t="s">
        <v>476</v>
      </c>
      <c r="D113" s="42" t="s">
        <v>2791</v>
      </c>
      <c r="E113" s="46" t="s">
        <v>459</v>
      </c>
      <c r="F113" s="43" t="s">
        <v>459</v>
      </c>
      <c r="G113" s="31" t="s">
        <v>543</v>
      </c>
      <c r="H113" s="46" t="s">
        <v>461</v>
      </c>
      <c r="I113" s="42" t="s">
        <v>2780</v>
      </c>
      <c r="J113" s="42"/>
      <c r="K113" s="45" t="n">
        <f aca="false">IF(AND(E113="yes",F113="yes",H113="covered"),1,IF(H113="partial",0.5,0))</f>
        <v>1</v>
      </c>
    </row>
    <row r="114" customFormat="false" ht="30" hidden="false" customHeight="true" outlineLevel="0" collapsed="false">
      <c r="A114" s="31" t="n">
        <v>106</v>
      </c>
      <c r="B114" s="42" t="s">
        <v>483</v>
      </c>
      <c r="C114" s="42" t="s">
        <v>22</v>
      </c>
      <c r="D114" s="42" t="s">
        <v>2792</v>
      </c>
      <c r="E114" s="46" t="s">
        <v>459</v>
      </c>
      <c r="F114" s="43" t="s">
        <v>459</v>
      </c>
      <c r="G114" s="31" t="s">
        <v>543</v>
      </c>
      <c r="H114" s="46" t="s">
        <v>461</v>
      </c>
      <c r="I114" s="42" t="s">
        <v>2780</v>
      </c>
      <c r="J114" s="42"/>
      <c r="K114" s="45" t="n">
        <f aca="false">IF(AND(E114="yes",F114="yes",H114="covered"),1,IF(H114="partial",0.5,0))</f>
        <v>1</v>
      </c>
    </row>
    <row r="115" customFormat="false" ht="30" hidden="false" customHeight="true" outlineLevel="0" collapsed="false">
      <c r="A115" s="31" t="n">
        <v>107</v>
      </c>
      <c r="B115" s="42" t="s">
        <v>483</v>
      </c>
      <c r="C115" s="42" t="s">
        <v>902</v>
      </c>
      <c r="D115" s="42" t="s">
        <v>2793</v>
      </c>
      <c r="E115" s="46" t="s">
        <v>459</v>
      </c>
      <c r="F115" s="43" t="s">
        <v>459</v>
      </c>
      <c r="G115" s="31" t="s">
        <v>543</v>
      </c>
      <c r="H115" s="46" t="s">
        <v>461</v>
      </c>
      <c r="I115" s="42" t="s">
        <v>2780</v>
      </c>
      <c r="J115" s="42"/>
      <c r="K115" s="45" t="n">
        <f aca="false">IF(AND(E115="yes",F115="yes",H115="covered"),1,IF(H115="partial",0.5,0))</f>
        <v>1</v>
      </c>
    </row>
    <row r="116" customFormat="false" ht="30" hidden="false" customHeight="true" outlineLevel="0" collapsed="false">
      <c r="A116" s="31" t="n">
        <v>108</v>
      </c>
      <c r="B116" s="42" t="s">
        <v>483</v>
      </c>
      <c r="C116" s="42" t="s">
        <v>904</v>
      </c>
      <c r="D116" s="42" t="s">
        <v>2794</v>
      </c>
      <c r="E116" s="46" t="s">
        <v>459</v>
      </c>
      <c r="F116" s="43" t="s">
        <v>459</v>
      </c>
      <c r="G116" s="31" t="s">
        <v>543</v>
      </c>
      <c r="H116" s="46" t="s">
        <v>461</v>
      </c>
      <c r="I116" s="42" t="s">
        <v>2780</v>
      </c>
      <c r="J116" s="42"/>
      <c r="K116" s="45" t="n">
        <f aca="false">IF(AND(E116="yes",F116="yes",H116="covered"),1,IF(H116="partial",0.5,0))</f>
        <v>1</v>
      </c>
    </row>
    <row r="117" customFormat="false" ht="30" hidden="false" customHeight="true" outlineLevel="0" collapsed="false">
      <c r="A117" s="31" t="n">
        <v>109</v>
      </c>
      <c r="B117" s="42" t="s">
        <v>483</v>
      </c>
      <c r="C117" s="42" t="s">
        <v>72</v>
      </c>
      <c r="D117" s="42" t="s">
        <v>2795</v>
      </c>
      <c r="E117" s="46" t="s">
        <v>459</v>
      </c>
      <c r="F117" s="43" t="s">
        <v>459</v>
      </c>
      <c r="G117" s="31" t="s">
        <v>543</v>
      </c>
      <c r="H117" s="46" t="s">
        <v>461</v>
      </c>
      <c r="I117" s="42" t="s">
        <v>2780</v>
      </c>
      <c r="J117" s="42"/>
      <c r="K117" s="45" t="n">
        <f aca="false">IF(AND(E117="yes",F117="yes",H117="covered"),1,IF(H117="partial",0.5,0))</f>
        <v>1</v>
      </c>
    </row>
    <row r="118" customFormat="false" ht="30" hidden="false" customHeight="true" outlineLevel="0" collapsed="false">
      <c r="A118" s="31" t="n">
        <v>110</v>
      </c>
      <c r="B118" s="42" t="s">
        <v>483</v>
      </c>
      <c r="C118" s="42" t="s">
        <v>2785</v>
      </c>
      <c r="D118" s="42" t="s">
        <v>2796</v>
      </c>
      <c r="E118" s="46" t="s">
        <v>459</v>
      </c>
      <c r="F118" s="43" t="s">
        <v>459</v>
      </c>
      <c r="G118" s="31" t="s">
        <v>543</v>
      </c>
      <c r="H118" s="46" t="s">
        <v>461</v>
      </c>
      <c r="I118" s="42" t="s">
        <v>2780</v>
      </c>
      <c r="J118" s="42"/>
      <c r="K118" s="45" t="n">
        <f aca="false">IF(AND(E118="yes",F118="yes",H118="covered"),1,IF(H118="partial",0.5,0))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2797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90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2798</v>
      </c>
      <c r="J9" s="42"/>
      <c r="K9" s="45" t="n">
        <f aca="false">IF(AND(E9="yes",F9="yes",H9="covered"),1,IF(H9="partial",0.5,0))</f>
        <v>1</v>
      </c>
    </row>
    <row r="10" customFormat="false" ht="4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2798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74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2798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74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2798</v>
      </c>
      <c r="J12" s="42"/>
      <c r="K12" s="4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2" t="s">
        <v>456</v>
      </c>
      <c r="C13" s="42" t="s">
        <v>74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2798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74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2798</v>
      </c>
      <c r="J14" s="42"/>
      <c r="K14" s="45" t="n">
        <f aca="false">IF(AND(E14="yes",F14="yes",H14="covered"),1,IF(H14="partial",0.5,0))</f>
        <v>1</v>
      </c>
    </row>
    <row r="15" customFormat="false" ht="45" hidden="false" customHeight="true" outlineLevel="0" collapsed="false">
      <c r="A15" s="31" t="n">
        <v>7</v>
      </c>
      <c r="B15" s="42" t="s">
        <v>468</v>
      </c>
      <c r="C15" s="42" t="s">
        <v>74</v>
      </c>
      <c r="D15" s="42" t="s">
        <v>2799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2798</v>
      </c>
      <c r="J15" s="42"/>
      <c r="K15" s="45" t="n">
        <f aca="false">IF(AND(E15="yes",F15="yes",H15="covered"),1,IF(H15="partial",0.5,0))</f>
        <v>1</v>
      </c>
    </row>
    <row r="16" customFormat="false" ht="45" hidden="false" customHeight="true" outlineLevel="0" collapsed="false">
      <c r="A16" s="31" t="n">
        <v>8</v>
      </c>
      <c r="B16" s="42" t="s">
        <v>468</v>
      </c>
      <c r="C16" s="42" t="s">
        <v>74</v>
      </c>
      <c r="D16" s="42" t="s">
        <v>1044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2798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74</v>
      </c>
      <c r="D17" s="42" t="s">
        <v>247</v>
      </c>
      <c r="E17" s="34" t="s">
        <v>459</v>
      </c>
      <c r="F17" s="43" t="s">
        <v>459</v>
      </c>
      <c r="G17" s="31" t="s">
        <v>1078</v>
      </c>
      <c r="H17" s="44" t="s">
        <v>461</v>
      </c>
      <c r="I17" s="42" t="s">
        <v>1079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74</v>
      </c>
      <c r="D18" s="42" t="s">
        <v>1732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2798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74</v>
      </c>
      <c r="D19" s="42" t="s">
        <v>2800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2798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74</v>
      </c>
      <c r="D20" s="42" t="s">
        <v>1733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2798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2798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2798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488</v>
      </c>
      <c r="C23" s="42" t="s">
        <v>476</v>
      </c>
      <c r="D23" s="42" t="s">
        <v>999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2798</v>
      </c>
      <c r="J23" s="42"/>
      <c r="K23" s="45" t="n">
        <f aca="false">IF(AND(E23="yes",F23="yes",H23="covered"),1,IF(H23="partial",0.5,0))</f>
        <v>1</v>
      </c>
    </row>
    <row r="24" customFormat="false" ht="45" hidden="false" customHeight="true" outlineLevel="0" collapsed="false">
      <c r="A24" s="31" t="n">
        <v>16</v>
      </c>
      <c r="B24" s="42" t="s">
        <v>488</v>
      </c>
      <c r="C24" s="42" t="s">
        <v>476</v>
      </c>
      <c r="D24" s="42" t="s">
        <v>1000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2798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488</v>
      </c>
      <c r="C25" s="42" t="s">
        <v>476</v>
      </c>
      <c r="D25" s="42" t="s">
        <v>1001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2798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488</v>
      </c>
      <c r="C26" s="42" t="s">
        <v>476</v>
      </c>
      <c r="D26" s="42" t="s">
        <v>493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2798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475</v>
      </c>
      <c r="C27" s="42" t="s">
        <v>1431</v>
      </c>
      <c r="D27" s="42" t="s">
        <v>477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2798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475</v>
      </c>
      <c r="C28" s="42" t="s">
        <v>1431</v>
      </c>
      <c r="D28" s="42" t="s">
        <v>478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2798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1431</v>
      </c>
      <c r="D29" s="42" t="s">
        <v>1736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2798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1431</v>
      </c>
      <c r="D30" s="42" t="s">
        <v>1737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2798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486</v>
      </c>
      <c r="C31" s="42" t="s">
        <v>1431</v>
      </c>
      <c r="D31" s="42" t="s">
        <v>2801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2798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475</v>
      </c>
      <c r="C32" s="42" t="s">
        <v>55</v>
      </c>
      <c r="D32" s="42" t="s">
        <v>477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2798</v>
      </c>
      <c r="J32" s="42"/>
      <c r="K32" s="45" t="n">
        <f aca="false">IF(AND(E32="yes",F32="yes",H32="covered"),1,IF(H32="partial",0.5,0))</f>
        <v>1</v>
      </c>
    </row>
    <row r="33" customFormat="false" ht="30" hidden="false" customHeight="true" outlineLevel="0" collapsed="false">
      <c r="A33" s="31" t="n">
        <v>25</v>
      </c>
      <c r="B33" s="42" t="s">
        <v>475</v>
      </c>
      <c r="C33" s="42" t="s">
        <v>55</v>
      </c>
      <c r="D33" s="42" t="s">
        <v>478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2798</v>
      </c>
      <c r="J33" s="42"/>
      <c r="K33" s="45" t="n">
        <f aca="false">IF(AND(E33="yes",F33="yes",H33="covered"),1,IF(H33="partial",0.5,0))</f>
        <v>1</v>
      </c>
    </row>
    <row r="34" customFormat="false" ht="45" hidden="false" customHeight="true" outlineLevel="0" collapsed="false">
      <c r="A34" s="31" t="n">
        <v>26</v>
      </c>
      <c r="B34" s="42" t="s">
        <v>1056</v>
      </c>
      <c r="C34" s="42" t="s">
        <v>55</v>
      </c>
      <c r="D34" s="42" t="s">
        <v>1057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2798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488</v>
      </c>
      <c r="C35" s="42" t="s">
        <v>55</v>
      </c>
      <c r="D35" s="42" t="s">
        <v>493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2798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475</v>
      </c>
      <c r="C36" s="42" t="s">
        <v>498</v>
      </c>
      <c r="D36" s="42" t="s">
        <v>477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2798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475</v>
      </c>
      <c r="C37" s="42" t="s">
        <v>498</v>
      </c>
      <c r="D37" s="42" t="s">
        <v>478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2798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479</v>
      </c>
      <c r="C38" s="42" t="s">
        <v>498</v>
      </c>
      <c r="D38" s="42" t="s">
        <v>480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2798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479</v>
      </c>
      <c r="C39" s="42" t="s">
        <v>498</v>
      </c>
      <c r="D39" s="42" t="s">
        <v>481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2798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457</v>
      </c>
      <c r="C40" s="42" t="s">
        <v>498</v>
      </c>
      <c r="D40" s="42" t="s">
        <v>482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2798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483</v>
      </c>
      <c r="C41" s="42" t="s">
        <v>498</v>
      </c>
      <c r="D41" s="42" t="s">
        <v>484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2798</v>
      </c>
      <c r="J41" s="42"/>
      <c r="K41" s="45" t="n">
        <f aca="false">IF(AND(E41="yes",F41="yes",H41="covered"),1,IF(H41="partial",0.5,0))</f>
        <v>1</v>
      </c>
    </row>
    <row r="42" customFormat="false" ht="30" hidden="false" customHeight="true" outlineLevel="0" collapsed="false">
      <c r="A42" s="31" t="n">
        <v>34</v>
      </c>
      <c r="B42" s="42" t="s">
        <v>483</v>
      </c>
      <c r="C42" s="42" t="s">
        <v>498</v>
      </c>
      <c r="D42" s="42" t="s">
        <v>485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2798</v>
      </c>
      <c r="J42" s="42"/>
      <c r="K42" s="45" t="n">
        <f aca="false">IF(AND(E42="yes",F42="yes",H42="covered"),1,IF(H42="partial",0.5,0))</f>
        <v>1</v>
      </c>
    </row>
    <row r="43" customFormat="false" ht="45" hidden="false" customHeight="true" outlineLevel="0" collapsed="false">
      <c r="A43" s="31" t="n">
        <v>35</v>
      </c>
      <c r="B43" s="42" t="s">
        <v>486</v>
      </c>
      <c r="C43" s="42" t="s">
        <v>498</v>
      </c>
      <c r="D43" s="42" t="s">
        <v>1062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2798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486</v>
      </c>
      <c r="C44" s="42" t="s">
        <v>498</v>
      </c>
      <c r="D44" s="42" t="s">
        <v>495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2798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475</v>
      </c>
      <c r="C45" s="42" t="s">
        <v>500</v>
      </c>
      <c r="D45" s="42" t="s">
        <v>477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2798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475</v>
      </c>
      <c r="C46" s="42" t="s">
        <v>500</v>
      </c>
      <c r="D46" s="42" t="s">
        <v>478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2798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479</v>
      </c>
      <c r="C47" s="42" t="s">
        <v>500</v>
      </c>
      <c r="D47" s="42" t="s">
        <v>480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2798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479</v>
      </c>
      <c r="C48" s="42" t="s">
        <v>500</v>
      </c>
      <c r="D48" s="42" t="s">
        <v>481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2798</v>
      </c>
      <c r="J48" s="42"/>
      <c r="K48" s="45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2" t="s">
        <v>457</v>
      </c>
      <c r="C49" s="42" t="s">
        <v>500</v>
      </c>
      <c r="D49" s="42" t="s">
        <v>482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2798</v>
      </c>
      <c r="J49" s="42"/>
      <c r="K49" s="45" t="n">
        <f aca="false">IF(AND(E49="yes",F49="yes",H49="covered"),1,IF(H49="partial",0.5,0))</f>
        <v>1</v>
      </c>
    </row>
    <row r="50" customFormat="false" ht="30" hidden="false" customHeight="true" outlineLevel="0" collapsed="false">
      <c r="A50" s="31" t="n">
        <v>42</v>
      </c>
      <c r="B50" s="42" t="s">
        <v>1056</v>
      </c>
      <c r="C50" s="42" t="s">
        <v>500</v>
      </c>
      <c r="D50" s="42" t="s">
        <v>1748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2798</v>
      </c>
      <c r="J50" s="42"/>
      <c r="K50" s="45" t="n">
        <f aca="false">IF(AND(E50="yes",F50="yes",H50="covered"),1,IF(H50="partial",0.5,0))</f>
        <v>1</v>
      </c>
    </row>
    <row r="51" customFormat="false" ht="45" hidden="false" customHeight="true" outlineLevel="0" collapsed="false">
      <c r="A51" s="31" t="n">
        <v>43</v>
      </c>
      <c r="B51" s="42" t="s">
        <v>1056</v>
      </c>
      <c r="C51" s="42" t="s">
        <v>500</v>
      </c>
      <c r="D51" s="42" t="s">
        <v>1749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2798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1056</v>
      </c>
      <c r="C52" s="42" t="s">
        <v>500</v>
      </c>
      <c r="D52" s="42" t="s">
        <v>1750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2798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882</v>
      </c>
      <c r="C53" s="42" t="s">
        <v>500</v>
      </c>
      <c r="D53" s="42" t="s">
        <v>956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2798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500</v>
      </c>
      <c r="D54" s="42" t="s">
        <v>1062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2798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486</v>
      </c>
      <c r="C55" s="42" t="s">
        <v>500</v>
      </c>
      <c r="D55" s="42" t="s">
        <v>495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2798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486</v>
      </c>
      <c r="C56" s="42" t="s">
        <v>500</v>
      </c>
      <c r="D56" s="42" t="s">
        <v>499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2798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1056</v>
      </c>
      <c r="C57" s="42" t="s">
        <v>500</v>
      </c>
      <c r="D57" s="42" t="s">
        <v>2314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2798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486</v>
      </c>
      <c r="C58" s="42" t="s">
        <v>500</v>
      </c>
      <c r="D58" s="42" t="s">
        <v>1453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2798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475</v>
      </c>
      <c r="C59" s="42" t="s">
        <v>1751</v>
      </c>
      <c r="D59" s="42" t="s">
        <v>477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2798</v>
      </c>
      <c r="J59" s="42"/>
      <c r="K59" s="45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31" t="n">
        <v>52</v>
      </c>
      <c r="B60" s="42" t="s">
        <v>475</v>
      </c>
      <c r="C60" s="42" t="s">
        <v>1751</v>
      </c>
      <c r="D60" s="42" t="s">
        <v>478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2798</v>
      </c>
      <c r="J60" s="42"/>
      <c r="K60" s="45" t="n">
        <f aca="false">IF(AND(E60="yes",F60="yes",H60="covered"),1,IF(H60="partial",0.5,0))</f>
        <v>1</v>
      </c>
    </row>
    <row r="61" customFormat="false" ht="45" hidden="false" customHeight="true" outlineLevel="0" collapsed="false">
      <c r="A61" s="31" t="n">
        <v>53</v>
      </c>
      <c r="B61" s="42" t="s">
        <v>479</v>
      </c>
      <c r="C61" s="42" t="s">
        <v>1751</v>
      </c>
      <c r="D61" s="42" t="s">
        <v>480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2798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479</v>
      </c>
      <c r="C62" s="42" t="s">
        <v>1751</v>
      </c>
      <c r="D62" s="42" t="s">
        <v>481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2798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457</v>
      </c>
      <c r="C63" s="42" t="s">
        <v>1751</v>
      </c>
      <c r="D63" s="42" t="s">
        <v>482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2798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486</v>
      </c>
      <c r="C64" s="42" t="s">
        <v>1751</v>
      </c>
      <c r="D64" s="42" t="s">
        <v>2315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2798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486</v>
      </c>
      <c r="C65" s="42" t="s">
        <v>1751</v>
      </c>
      <c r="D65" s="42" t="s">
        <v>2318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2798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486</v>
      </c>
      <c r="C66" s="42" t="s">
        <v>1751</v>
      </c>
      <c r="D66" s="42" t="s">
        <v>1062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2798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486</v>
      </c>
      <c r="C67" s="42" t="s">
        <v>1751</v>
      </c>
      <c r="D67" s="42" t="s">
        <v>495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2798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1056</v>
      </c>
      <c r="C68" s="42" t="s">
        <v>1751</v>
      </c>
      <c r="D68" s="42" t="s">
        <v>2314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2798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505</v>
      </c>
      <c r="C69" s="42" t="s">
        <v>506</v>
      </c>
      <c r="D69" s="42" t="s">
        <v>1631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2798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505</v>
      </c>
      <c r="C70" s="42" t="s">
        <v>506</v>
      </c>
      <c r="D70" s="42" t="s">
        <v>783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2798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511</v>
      </c>
      <c r="C71" s="42" t="s">
        <v>506</v>
      </c>
      <c r="D71" s="42" t="s">
        <v>1073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2798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511</v>
      </c>
      <c r="C72" s="42" t="s">
        <v>506</v>
      </c>
      <c r="D72" s="42" t="s">
        <v>2321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2798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511</v>
      </c>
      <c r="C73" s="42" t="s">
        <v>506</v>
      </c>
      <c r="D73" s="42" t="s">
        <v>514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2798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511</v>
      </c>
      <c r="C74" s="42" t="s">
        <v>506</v>
      </c>
      <c r="D74" s="42" t="s">
        <v>515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2798</v>
      </c>
      <c r="J74" s="42"/>
      <c r="K74" s="45" t="n">
        <f aca="false">IF(AND(E74="yes",F74="yes",H74="covered"),1,IF(H74="partial",0.5,0))</f>
        <v>1</v>
      </c>
    </row>
    <row r="75" customFormat="false" ht="30" hidden="false" customHeight="true" outlineLevel="0" collapsed="false">
      <c r="A75" s="31" t="n">
        <v>67</v>
      </c>
      <c r="B75" s="42" t="s">
        <v>511</v>
      </c>
      <c r="C75" s="42" t="s">
        <v>506</v>
      </c>
      <c r="D75" s="42" t="s">
        <v>2802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2798</v>
      </c>
      <c r="J75" s="42"/>
      <c r="K75" s="45" t="n">
        <f aca="false">IF(AND(E75="yes",F75="yes",H75="covered"),1,IF(H75="partial",0.5,0))</f>
        <v>1</v>
      </c>
    </row>
    <row r="76" customFormat="false" ht="45" hidden="false" customHeight="true" outlineLevel="0" collapsed="false">
      <c r="A76" s="31" t="n">
        <v>68</v>
      </c>
      <c r="B76" s="42" t="s">
        <v>483</v>
      </c>
      <c r="C76" s="42" t="s">
        <v>74</v>
      </c>
      <c r="D76" s="42" t="s">
        <v>516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2798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483</v>
      </c>
      <c r="C77" s="42" t="s">
        <v>74</v>
      </c>
      <c r="D77" s="42" t="s">
        <v>517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2798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483</v>
      </c>
      <c r="C78" s="42" t="s">
        <v>74</v>
      </c>
      <c r="D78" s="42" t="s">
        <v>519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2798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483</v>
      </c>
      <c r="C79" s="42" t="s">
        <v>74</v>
      </c>
      <c r="D79" s="42" t="s">
        <v>2803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2798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488</v>
      </c>
      <c r="C80" s="42" t="s">
        <v>476</v>
      </c>
      <c r="D80" s="42" t="s">
        <v>521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2798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488</v>
      </c>
      <c r="C81" s="42" t="s">
        <v>476</v>
      </c>
      <c r="D81" s="42" t="s">
        <v>522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2798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488</v>
      </c>
      <c r="C82" s="42" t="s">
        <v>476</v>
      </c>
      <c r="D82" s="42" t="s">
        <v>523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2798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524</v>
      </c>
      <c r="C83" s="42" t="s">
        <v>498</v>
      </c>
      <c r="D83" s="42" t="s">
        <v>528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2798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529</v>
      </c>
      <c r="C84" s="42" t="s">
        <v>498</v>
      </c>
      <c r="D84" s="42" t="s">
        <v>530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2798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751</v>
      </c>
      <c r="C85" s="42" t="s">
        <v>74</v>
      </c>
      <c r="D85" s="42" t="s">
        <v>1457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2798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1973</v>
      </c>
      <c r="C86" s="42" t="s">
        <v>74</v>
      </c>
      <c r="D86" s="42" t="s">
        <v>260</v>
      </c>
      <c r="E86" s="34" t="s">
        <v>459</v>
      </c>
      <c r="F86" s="43" t="s">
        <v>459</v>
      </c>
      <c r="G86" s="31" t="s">
        <v>1078</v>
      </c>
      <c r="H86" s="44" t="s">
        <v>461</v>
      </c>
      <c r="I86" s="42" t="s">
        <v>1079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55</v>
      </c>
      <c r="C87" s="42" t="s">
        <v>74</v>
      </c>
      <c r="D87" s="42" t="s">
        <v>1074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2798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55</v>
      </c>
      <c r="C88" s="42" t="s">
        <v>74</v>
      </c>
      <c r="D88" s="42" t="s">
        <v>1075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2798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1056</v>
      </c>
      <c r="C89" s="42" t="s">
        <v>74</v>
      </c>
      <c r="D89" s="42" t="s">
        <v>1076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2798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1056</v>
      </c>
      <c r="C90" s="42" t="s">
        <v>74</v>
      </c>
      <c r="D90" s="42" t="s">
        <v>1077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2798</v>
      </c>
      <c r="J90" s="42"/>
      <c r="K90" s="45" t="n">
        <f aca="false">IF(AND(E90="yes",F90="yes",H90="covered"),1,IF(H90="partial",0.5,0))</f>
        <v>1</v>
      </c>
    </row>
    <row r="91" customFormat="false" ht="30" hidden="false" customHeight="true" outlineLevel="0" collapsed="false">
      <c r="A91" s="31" t="n">
        <v>83</v>
      </c>
      <c r="B91" s="42" t="s">
        <v>1056</v>
      </c>
      <c r="C91" s="42" t="s">
        <v>74</v>
      </c>
      <c r="D91" s="42" t="s">
        <v>266</v>
      </c>
      <c r="E91" s="34" t="s">
        <v>459</v>
      </c>
      <c r="F91" s="43" t="s">
        <v>459</v>
      </c>
      <c r="G91" s="31" t="s">
        <v>1078</v>
      </c>
      <c r="H91" s="44" t="s">
        <v>461</v>
      </c>
      <c r="I91" s="42" t="s">
        <v>1079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1056</v>
      </c>
      <c r="C92" s="42" t="s">
        <v>74</v>
      </c>
      <c r="D92" s="42" t="s">
        <v>1080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2798</v>
      </c>
      <c r="J92" s="42"/>
      <c r="K92" s="45" t="n">
        <f aca="false">IF(AND(E92="yes",F92="yes",H92="covered"),1,IF(H92="partial",0.5,0))</f>
        <v>1</v>
      </c>
    </row>
    <row r="93" customFormat="false" ht="45" hidden="false" customHeight="true" outlineLevel="0" collapsed="false">
      <c r="A93" s="31" t="n">
        <v>85</v>
      </c>
      <c r="B93" s="42" t="s">
        <v>524</v>
      </c>
      <c r="C93" s="42" t="s">
        <v>498</v>
      </c>
      <c r="D93" s="42" t="s">
        <v>2804</v>
      </c>
      <c r="E93" s="34" t="s">
        <v>459</v>
      </c>
      <c r="F93" s="43" t="s">
        <v>459</v>
      </c>
      <c r="G93" s="31" t="s">
        <v>2805</v>
      </c>
      <c r="H93" s="44" t="s">
        <v>461</v>
      </c>
      <c r="I93" s="42" t="s">
        <v>2806</v>
      </c>
      <c r="J93" s="42"/>
      <c r="K93" s="45" t="n">
        <f aca="false">IF(AND(E93="yes",F93="yes",H93="covered"),1,IF(H93="partial",0.5,0))</f>
        <v>1</v>
      </c>
    </row>
    <row r="94" customFormat="false" ht="45" hidden="false" customHeight="true" outlineLevel="0" collapsed="false">
      <c r="A94" s="31" t="n">
        <v>86</v>
      </c>
      <c r="B94" s="42" t="s">
        <v>2807</v>
      </c>
      <c r="C94" s="42" t="s">
        <v>498</v>
      </c>
      <c r="D94" s="42" t="s">
        <v>2808</v>
      </c>
      <c r="E94" s="34" t="s">
        <v>459</v>
      </c>
      <c r="F94" s="43" t="s">
        <v>459</v>
      </c>
      <c r="G94" s="31" t="s">
        <v>2805</v>
      </c>
      <c r="H94" s="44" t="s">
        <v>461</v>
      </c>
      <c r="I94" s="42" t="s">
        <v>2806</v>
      </c>
      <c r="J94" s="42"/>
      <c r="K94" s="45" t="n">
        <f aca="false">IF(AND(E94="yes",F94="yes",H94="covered"),1,IF(H94="partial",0.5,0))</f>
        <v>1</v>
      </c>
    </row>
    <row r="95" customFormat="false" ht="45" hidden="false" customHeight="true" outlineLevel="0" collapsed="false">
      <c r="A95" s="31" t="n">
        <v>87</v>
      </c>
      <c r="B95" s="42" t="s">
        <v>2809</v>
      </c>
      <c r="C95" s="42" t="s">
        <v>476</v>
      </c>
      <c r="D95" s="42" t="s">
        <v>2810</v>
      </c>
      <c r="E95" s="34" t="s">
        <v>459</v>
      </c>
      <c r="F95" s="43" t="s">
        <v>459</v>
      </c>
      <c r="G95" s="31" t="s">
        <v>2805</v>
      </c>
      <c r="H95" s="44" t="s">
        <v>461</v>
      </c>
      <c r="I95" s="42" t="s">
        <v>2806</v>
      </c>
      <c r="J95" s="42"/>
      <c r="K95" s="45" t="n">
        <f aca="false">IF(AND(E95="yes",F95="yes",H95="covered"),1,IF(H95="partial",0.5,0))</f>
        <v>1</v>
      </c>
    </row>
    <row r="96" customFormat="false" ht="75" hidden="false" customHeight="true" outlineLevel="0" collapsed="false">
      <c r="A96" s="31" t="n">
        <v>88</v>
      </c>
      <c r="B96" s="42" t="s">
        <v>2811</v>
      </c>
      <c r="C96" s="42" t="s">
        <v>498</v>
      </c>
      <c r="D96" s="42" t="s">
        <v>2812</v>
      </c>
      <c r="E96" s="34" t="s">
        <v>459</v>
      </c>
      <c r="F96" s="43" t="s">
        <v>459</v>
      </c>
      <c r="G96" s="31" t="s">
        <v>2805</v>
      </c>
      <c r="H96" s="44" t="s">
        <v>461</v>
      </c>
      <c r="I96" s="42" t="s">
        <v>2806</v>
      </c>
      <c r="J96" s="42"/>
      <c r="K96" s="45" t="n">
        <f aca="false">IF(AND(E96="yes",F96="yes",H96="covered"),1,IF(H96="partial",0.5,0))</f>
        <v>1</v>
      </c>
    </row>
    <row r="97" customFormat="false" ht="60" hidden="false" customHeight="true" outlineLevel="0" collapsed="false">
      <c r="A97" s="31" t="n">
        <v>89</v>
      </c>
      <c r="B97" s="42" t="s">
        <v>2811</v>
      </c>
      <c r="C97" s="42" t="s">
        <v>498</v>
      </c>
      <c r="D97" s="42" t="s">
        <v>2813</v>
      </c>
      <c r="E97" s="34" t="s">
        <v>459</v>
      </c>
      <c r="F97" s="43" t="s">
        <v>459</v>
      </c>
      <c r="G97" s="31" t="s">
        <v>2805</v>
      </c>
      <c r="H97" s="44" t="s">
        <v>461</v>
      </c>
      <c r="I97" s="42" t="s">
        <v>2806</v>
      </c>
      <c r="J97" s="42"/>
      <c r="K97" s="45" t="n">
        <f aca="false">IF(AND(E97="yes",F97="yes",H97="covered"),1,IF(H97="partial",0.5,0))</f>
        <v>1</v>
      </c>
    </row>
    <row r="98" customFormat="false" ht="60" hidden="false" customHeight="true" outlineLevel="0" collapsed="false">
      <c r="A98" s="31" t="n">
        <v>90</v>
      </c>
      <c r="B98" s="42" t="s">
        <v>2814</v>
      </c>
      <c r="C98" s="42" t="s">
        <v>498</v>
      </c>
      <c r="D98" s="42" t="s">
        <v>2815</v>
      </c>
      <c r="E98" s="34" t="s">
        <v>459</v>
      </c>
      <c r="F98" s="43" t="s">
        <v>459</v>
      </c>
      <c r="G98" s="31" t="s">
        <v>2805</v>
      </c>
      <c r="H98" s="44" t="s">
        <v>461</v>
      </c>
      <c r="I98" s="42" t="s">
        <v>2806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4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45" hidden="false" customHeight="true" outlineLevel="0" collapsed="false"/>
    <row r="113" customFormat="false" ht="30" hidden="false" customHeight="true" outlineLevel="0" collapsed="false"/>
    <row r="114" customFormat="false" ht="45" hidden="false" customHeight="true" outlineLevel="0" collapsed="false"/>
    <row r="115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2816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102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2817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2817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75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2817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75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2817</v>
      </c>
      <c r="J12" s="42"/>
      <c r="K12" s="45" t="n">
        <f aca="false">IF(AND(E12="yes",F12="yes",H12="covered"),1,IF(H12="partial",0.5,0))</f>
        <v>1</v>
      </c>
    </row>
    <row r="13" customFormat="false" ht="30" hidden="false" customHeight="true" outlineLevel="0" collapsed="false">
      <c r="A13" s="31" t="n">
        <v>5</v>
      </c>
      <c r="B13" s="42" t="s">
        <v>456</v>
      </c>
      <c r="C13" s="42" t="s">
        <v>75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2817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75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2817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75</v>
      </c>
      <c r="D15" s="42" t="s">
        <v>2818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2817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75</v>
      </c>
      <c r="D16" s="42" t="s">
        <v>2819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2817</v>
      </c>
      <c r="J16" s="42"/>
      <c r="K16" s="45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2" t="s">
        <v>468</v>
      </c>
      <c r="C17" s="42" t="s">
        <v>75</v>
      </c>
      <c r="D17" s="42" t="s">
        <v>2820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2817</v>
      </c>
      <c r="J17" s="42"/>
      <c r="K17" s="4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2" t="s">
        <v>468</v>
      </c>
      <c r="C18" s="42" t="s">
        <v>75</v>
      </c>
      <c r="D18" s="42" t="s">
        <v>1848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2817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75</v>
      </c>
      <c r="D19" s="42" t="s">
        <v>2821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2817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75</v>
      </c>
      <c r="D20" s="42" t="s">
        <v>2822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2817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2817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2817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2817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2817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2817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2817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489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2817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490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2817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491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2817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2823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2817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2824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2817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2825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2817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1657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2817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488</v>
      </c>
      <c r="C34" s="42" t="s">
        <v>476</v>
      </c>
      <c r="D34" s="42" t="s">
        <v>493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2817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488</v>
      </c>
      <c r="C35" s="42" t="s">
        <v>476</v>
      </c>
      <c r="D35" s="42" t="s">
        <v>951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2817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488</v>
      </c>
      <c r="C36" s="42" t="s">
        <v>476</v>
      </c>
      <c r="D36" s="42" t="s">
        <v>953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2817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488</v>
      </c>
      <c r="C37" s="42" t="s">
        <v>476</v>
      </c>
      <c r="D37" s="42" t="s">
        <v>952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2817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476</v>
      </c>
      <c r="D38" s="42" t="s">
        <v>494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2817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476</v>
      </c>
      <c r="D39" s="42" t="s">
        <v>1291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2817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475</v>
      </c>
      <c r="C40" s="42" t="s">
        <v>825</v>
      </c>
      <c r="D40" s="42" t="s">
        <v>477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2817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475</v>
      </c>
      <c r="C41" s="42" t="s">
        <v>825</v>
      </c>
      <c r="D41" s="42" t="s">
        <v>478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2817</v>
      </c>
      <c r="J41" s="42"/>
      <c r="K41" s="45" t="n">
        <f aca="false">IF(AND(E41="yes",F41="yes",H41="covered"),1,IF(H41="partial",0.5,0))</f>
        <v>1</v>
      </c>
    </row>
    <row r="42" customFormat="false" ht="30" hidden="false" customHeight="true" outlineLevel="0" collapsed="false">
      <c r="A42" s="31" t="n">
        <v>34</v>
      </c>
      <c r="B42" s="42" t="s">
        <v>479</v>
      </c>
      <c r="C42" s="42" t="s">
        <v>825</v>
      </c>
      <c r="D42" s="42" t="s">
        <v>480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2817</v>
      </c>
      <c r="J42" s="42"/>
      <c r="K42" s="4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2" t="s">
        <v>479</v>
      </c>
      <c r="C43" s="42" t="s">
        <v>825</v>
      </c>
      <c r="D43" s="42" t="s">
        <v>481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2817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457</v>
      </c>
      <c r="C44" s="42" t="s">
        <v>825</v>
      </c>
      <c r="D44" s="42" t="s">
        <v>482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2817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774</v>
      </c>
      <c r="C45" s="42" t="s">
        <v>825</v>
      </c>
      <c r="D45" s="42" t="s">
        <v>775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2817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486</v>
      </c>
      <c r="C46" s="42" t="s">
        <v>825</v>
      </c>
      <c r="D46" s="42" t="s">
        <v>960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2817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475</v>
      </c>
      <c r="C47" s="42" t="s">
        <v>502</v>
      </c>
      <c r="D47" s="42" t="s">
        <v>477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2817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475</v>
      </c>
      <c r="C48" s="42" t="s">
        <v>502</v>
      </c>
      <c r="D48" s="42" t="s">
        <v>478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2817</v>
      </c>
      <c r="J48" s="42"/>
      <c r="K48" s="45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31" t="n">
        <v>41</v>
      </c>
      <c r="B49" s="42" t="s">
        <v>479</v>
      </c>
      <c r="C49" s="42" t="s">
        <v>502</v>
      </c>
      <c r="D49" s="42" t="s">
        <v>480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2817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479</v>
      </c>
      <c r="C50" s="42" t="s">
        <v>502</v>
      </c>
      <c r="D50" s="42" t="s">
        <v>481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2817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457</v>
      </c>
      <c r="C51" s="42" t="s">
        <v>502</v>
      </c>
      <c r="D51" s="42" t="s">
        <v>482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2817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774</v>
      </c>
      <c r="C52" s="42" t="s">
        <v>502</v>
      </c>
      <c r="D52" s="42" t="s">
        <v>775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2817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488</v>
      </c>
      <c r="C53" s="42" t="s">
        <v>502</v>
      </c>
      <c r="D53" s="42" t="s">
        <v>489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2817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486</v>
      </c>
      <c r="C54" s="42" t="s">
        <v>502</v>
      </c>
      <c r="D54" s="42" t="s">
        <v>1059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2817</v>
      </c>
      <c r="J54" s="42"/>
      <c r="K54" s="4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2" t="s">
        <v>488</v>
      </c>
      <c r="C55" s="42" t="s">
        <v>502</v>
      </c>
      <c r="D55" s="42" t="s">
        <v>493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2817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486</v>
      </c>
      <c r="C56" s="42" t="s">
        <v>502</v>
      </c>
      <c r="D56" s="42" t="s">
        <v>2826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2817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483</v>
      </c>
      <c r="C57" s="42" t="s">
        <v>502</v>
      </c>
      <c r="D57" s="42" t="s">
        <v>484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2817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483</v>
      </c>
      <c r="C58" s="42" t="s">
        <v>502</v>
      </c>
      <c r="D58" s="42" t="s">
        <v>485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2817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486</v>
      </c>
      <c r="C59" s="42" t="s">
        <v>502</v>
      </c>
      <c r="D59" s="42" t="s">
        <v>495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2817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486</v>
      </c>
      <c r="C60" s="42" t="s">
        <v>502</v>
      </c>
      <c r="D60" s="42" t="s">
        <v>499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2817</v>
      </c>
      <c r="J60" s="42"/>
      <c r="K60" s="4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2" t="s">
        <v>488</v>
      </c>
      <c r="C61" s="42" t="s">
        <v>502</v>
      </c>
      <c r="D61" s="42" t="s">
        <v>1303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2817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486</v>
      </c>
      <c r="C62" s="42" t="s">
        <v>502</v>
      </c>
      <c r="D62" s="42" t="s">
        <v>888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2817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488</v>
      </c>
      <c r="C63" s="42" t="s">
        <v>502</v>
      </c>
      <c r="D63" s="42" t="s">
        <v>497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2817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475</v>
      </c>
      <c r="C64" s="42" t="s">
        <v>2522</v>
      </c>
      <c r="D64" s="42" t="s">
        <v>477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2817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475</v>
      </c>
      <c r="C65" s="42" t="s">
        <v>2522</v>
      </c>
      <c r="D65" s="42" t="s">
        <v>478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2817</v>
      </c>
      <c r="J65" s="42"/>
      <c r="K65" s="45" t="n">
        <f aca="false">IF(AND(E65="yes",F65="yes",H65="covered"),1,IF(H65="partial",0.5,0))</f>
        <v>1</v>
      </c>
    </row>
    <row r="66" customFormat="false" ht="30" hidden="false" customHeight="true" outlineLevel="0" collapsed="false">
      <c r="A66" s="31" t="n">
        <v>58</v>
      </c>
      <c r="B66" s="42" t="s">
        <v>479</v>
      </c>
      <c r="C66" s="42" t="s">
        <v>2522</v>
      </c>
      <c r="D66" s="42" t="s">
        <v>480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2817</v>
      </c>
      <c r="J66" s="42"/>
      <c r="K66" s="4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2" t="s">
        <v>479</v>
      </c>
      <c r="C67" s="42" t="s">
        <v>2522</v>
      </c>
      <c r="D67" s="42" t="s">
        <v>481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2817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457</v>
      </c>
      <c r="C68" s="42" t="s">
        <v>2522</v>
      </c>
      <c r="D68" s="42" t="s">
        <v>482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2817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774</v>
      </c>
      <c r="C69" s="42" t="s">
        <v>2522</v>
      </c>
      <c r="D69" s="42" t="s">
        <v>775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2817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505</v>
      </c>
      <c r="C70" s="42" t="s">
        <v>506</v>
      </c>
      <c r="D70" s="42" t="s">
        <v>1067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2817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505</v>
      </c>
      <c r="C71" s="42" t="s">
        <v>506</v>
      </c>
      <c r="D71" s="42" t="s">
        <v>1631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2817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505</v>
      </c>
      <c r="C72" s="42" t="s">
        <v>506</v>
      </c>
      <c r="D72" s="42" t="s">
        <v>508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2817</v>
      </c>
      <c r="J72" s="42"/>
      <c r="K72" s="4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2" t="s">
        <v>505</v>
      </c>
      <c r="C73" s="42" t="s">
        <v>506</v>
      </c>
      <c r="D73" s="42" t="s">
        <v>509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2817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505</v>
      </c>
      <c r="C74" s="42" t="s">
        <v>506</v>
      </c>
      <c r="D74" s="42" t="s">
        <v>905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2817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505</v>
      </c>
      <c r="C75" s="42" t="s">
        <v>506</v>
      </c>
      <c r="D75" s="42" t="s">
        <v>962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2817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505</v>
      </c>
      <c r="C76" s="42" t="s">
        <v>506</v>
      </c>
      <c r="D76" s="42" t="s">
        <v>510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2817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505</v>
      </c>
      <c r="C77" s="42" t="s">
        <v>506</v>
      </c>
      <c r="D77" s="42" t="s">
        <v>2827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2817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505</v>
      </c>
      <c r="C78" s="42" t="s">
        <v>506</v>
      </c>
      <c r="D78" s="42" t="s">
        <v>1312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2817</v>
      </c>
      <c r="J78" s="42"/>
      <c r="K78" s="4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2" t="s">
        <v>505</v>
      </c>
      <c r="C79" s="42" t="s">
        <v>506</v>
      </c>
      <c r="D79" s="42" t="s">
        <v>1442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2817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505</v>
      </c>
      <c r="C80" s="42" t="s">
        <v>506</v>
      </c>
      <c r="D80" s="42" t="s">
        <v>963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2817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505</v>
      </c>
      <c r="C81" s="42" t="s">
        <v>506</v>
      </c>
      <c r="D81" s="42" t="s">
        <v>964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2817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505</v>
      </c>
      <c r="C82" s="42" t="s">
        <v>506</v>
      </c>
      <c r="D82" s="42" t="s">
        <v>1070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2817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511</v>
      </c>
      <c r="C83" s="42" t="s">
        <v>506</v>
      </c>
      <c r="D83" s="42" t="s">
        <v>891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2817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511</v>
      </c>
      <c r="C84" s="42" t="s">
        <v>506</v>
      </c>
      <c r="D84" s="42" t="s">
        <v>512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2817</v>
      </c>
      <c r="J84" s="42"/>
      <c r="K84" s="4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2" t="s">
        <v>511</v>
      </c>
      <c r="C85" s="42" t="s">
        <v>506</v>
      </c>
      <c r="D85" s="42" t="s">
        <v>2828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2817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511</v>
      </c>
      <c r="C86" s="42" t="s">
        <v>506</v>
      </c>
      <c r="D86" s="42" t="s">
        <v>2689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2817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511</v>
      </c>
      <c r="C87" s="42" t="s">
        <v>506</v>
      </c>
      <c r="D87" s="42" t="s">
        <v>1691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2817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511</v>
      </c>
      <c r="C88" s="42" t="s">
        <v>506</v>
      </c>
      <c r="D88" s="42" t="s">
        <v>965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2817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511</v>
      </c>
      <c r="C89" s="42" t="s">
        <v>506</v>
      </c>
      <c r="D89" s="42" t="s">
        <v>2829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2817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511</v>
      </c>
      <c r="C90" s="42" t="s">
        <v>506</v>
      </c>
      <c r="D90" s="42" t="s">
        <v>1858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2817</v>
      </c>
      <c r="J90" s="42"/>
      <c r="K90" s="4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2" t="s">
        <v>511</v>
      </c>
      <c r="C91" s="42" t="s">
        <v>506</v>
      </c>
      <c r="D91" s="42" t="s">
        <v>966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2817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511</v>
      </c>
      <c r="C92" s="42" t="s">
        <v>506</v>
      </c>
      <c r="D92" s="42" t="s">
        <v>1321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2817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511</v>
      </c>
      <c r="C93" s="42" t="s">
        <v>506</v>
      </c>
      <c r="D93" s="42" t="s">
        <v>514</v>
      </c>
      <c r="E93" s="34" t="s">
        <v>459</v>
      </c>
      <c r="F93" s="43" t="s">
        <v>459</v>
      </c>
      <c r="G93" s="31" t="s">
        <v>543</v>
      </c>
      <c r="H93" s="44" t="s">
        <v>461</v>
      </c>
      <c r="I93" s="42" t="s">
        <v>2817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511</v>
      </c>
      <c r="C94" s="42" t="s">
        <v>506</v>
      </c>
      <c r="D94" s="42" t="s">
        <v>515</v>
      </c>
      <c r="E94" s="34" t="s">
        <v>459</v>
      </c>
      <c r="F94" s="43" t="s">
        <v>459</v>
      </c>
      <c r="G94" s="31" t="s">
        <v>543</v>
      </c>
      <c r="H94" s="44" t="s">
        <v>461</v>
      </c>
      <c r="I94" s="42" t="s">
        <v>2817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511</v>
      </c>
      <c r="C95" s="42" t="s">
        <v>506</v>
      </c>
      <c r="D95" s="42" t="s">
        <v>893</v>
      </c>
      <c r="E95" s="34" t="s">
        <v>459</v>
      </c>
      <c r="F95" s="43" t="s">
        <v>459</v>
      </c>
      <c r="G95" s="31" t="s">
        <v>543</v>
      </c>
      <c r="H95" s="44" t="s">
        <v>461</v>
      </c>
      <c r="I95" s="42" t="s">
        <v>2817</v>
      </c>
      <c r="J95" s="42"/>
      <c r="K95" s="45" t="n">
        <f aca="false">IF(AND(E95="yes",F95="yes",H95="covered"),1,IF(H95="partial",0.5,0))</f>
        <v>1</v>
      </c>
    </row>
    <row r="96" customFormat="false" ht="30" hidden="false" customHeight="true" outlineLevel="0" collapsed="false">
      <c r="A96" s="31" t="n">
        <v>88</v>
      </c>
      <c r="B96" s="42" t="s">
        <v>483</v>
      </c>
      <c r="C96" s="42" t="s">
        <v>75</v>
      </c>
      <c r="D96" s="42" t="s">
        <v>516</v>
      </c>
      <c r="E96" s="34" t="s">
        <v>459</v>
      </c>
      <c r="F96" s="43" t="s">
        <v>459</v>
      </c>
      <c r="G96" s="31" t="s">
        <v>543</v>
      </c>
      <c r="H96" s="44" t="s">
        <v>461</v>
      </c>
      <c r="I96" s="42" t="s">
        <v>2817</v>
      </c>
      <c r="J96" s="42"/>
      <c r="K96" s="4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2" t="s">
        <v>483</v>
      </c>
      <c r="C97" s="42" t="s">
        <v>75</v>
      </c>
      <c r="D97" s="42" t="s">
        <v>517</v>
      </c>
      <c r="E97" s="34" t="s">
        <v>459</v>
      </c>
      <c r="F97" s="43" t="s">
        <v>459</v>
      </c>
      <c r="G97" s="31" t="s">
        <v>543</v>
      </c>
      <c r="H97" s="44" t="s">
        <v>461</v>
      </c>
      <c r="I97" s="42" t="s">
        <v>2817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483</v>
      </c>
      <c r="C98" s="42" t="s">
        <v>75</v>
      </c>
      <c r="D98" s="42" t="s">
        <v>519</v>
      </c>
      <c r="E98" s="34" t="s">
        <v>459</v>
      </c>
      <c r="F98" s="43" t="s">
        <v>459</v>
      </c>
      <c r="G98" s="31" t="s">
        <v>543</v>
      </c>
      <c r="H98" s="44" t="s">
        <v>461</v>
      </c>
      <c r="I98" s="42" t="s">
        <v>2817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483</v>
      </c>
      <c r="C99" s="42" t="s">
        <v>75</v>
      </c>
      <c r="D99" s="42" t="s">
        <v>520</v>
      </c>
      <c r="E99" s="34" t="s">
        <v>459</v>
      </c>
      <c r="F99" s="43" t="s">
        <v>459</v>
      </c>
      <c r="G99" s="31" t="s">
        <v>543</v>
      </c>
      <c r="H99" s="44" t="s">
        <v>461</v>
      </c>
      <c r="I99" s="42" t="s">
        <v>2817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488</v>
      </c>
      <c r="C100" s="42" t="s">
        <v>476</v>
      </c>
      <c r="D100" s="42" t="s">
        <v>521</v>
      </c>
      <c r="E100" s="34" t="s">
        <v>459</v>
      </c>
      <c r="F100" s="43" t="s">
        <v>459</v>
      </c>
      <c r="G100" s="31" t="s">
        <v>543</v>
      </c>
      <c r="H100" s="44" t="s">
        <v>461</v>
      </c>
      <c r="I100" s="42" t="s">
        <v>2817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488</v>
      </c>
      <c r="C101" s="42" t="s">
        <v>476</v>
      </c>
      <c r="D101" s="42" t="s">
        <v>522</v>
      </c>
      <c r="E101" s="34" t="s">
        <v>459</v>
      </c>
      <c r="F101" s="43" t="s">
        <v>459</v>
      </c>
      <c r="G101" s="31" t="s">
        <v>543</v>
      </c>
      <c r="H101" s="44" t="s">
        <v>461</v>
      </c>
      <c r="I101" s="42" t="s">
        <v>2817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488</v>
      </c>
      <c r="C102" s="42" t="s">
        <v>476</v>
      </c>
      <c r="D102" s="42" t="s">
        <v>523</v>
      </c>
      <c r="E102" s="34" t="s">
        <v>459</v>
      </c>
      <c r="F102" s="43" t="s">
        <v>459</v>
      </c>
      <c r="G102" s="31" t="s">
        <v>543</v>
      </c>
      <c r="H102" s="44" t="s">
        <v>461</v>
      </c>
      <c r="I102" s="42" t="s">
        <v>2817</v>
      </c>
      <c r="J102" s="42"/>
      <c r="K102" s="45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2" t="s">
        <v>531</v>
      </c>
      <c r="C103" s="42" t="s">
        <v>75</v>
      </c>
      <c r="D103" s="42" t="s">
        <v>534</v>
      </c>
      <c r="E103" s="34" t="s">
        <v>459</v>
      </c>
      <c r="F103" s="43" t="s">
        <v>459</v>
      </c>
      <c r="G103" s="31" t="s">
        <v>543</v>
      </c>
      <c r="H103" s="44" t="s">
        <v>461</v>
      </c>
      <c r="I103" s="42" t="s">
        <v>2817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531</v>
      </c>
      <c r="C104" s="42" t="s">
        <v>75</v>
      </c>
      <c r="D104" s="42" t="s">
        <v>535</v>
      </c>
      <c r="E104" s="34" t="s">
        <v>459</v>
      </c>
      <c r="F104" s="43" t="s">
        <v>459</v>
      </c>
      <c r="G104" s="31" t="s">
        <v>543</v>
      </c>
      <c r="H104" s="44" t="s">
        <v>461</v>
      </c>
      <c r="I104" s="42" t="s">
        <v>2817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531</v>
      </c>
      <c r="C105" s="42" t="s">
        <v>75</v>
      </c>
      <c r="D105" s="42" t="s">
        <v>536</v>
      </c>
      <c r="E105" s="34" t="s">
        <v>459</v>
      </c>
      <c r="F105" s="43" t="s">
        <v>459</v>
      </c>
      <c r="G105" s="31" t="s">
        <v>543</v>
      </c>
      <c r="H105" s="44" t="s">
        <v>461</v>
      </c>
      <c r="I105" s="42" t="s">
        <v>2817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531</v>
      </c>
      <c r="C106" s="42" t="s">
        <v>75</v>
      </c>
      <c r="D106" s="42" t="s">
        <v>983</v>
      </c>
      <c r="E106" s="34" t="s">
        <v>459</v>
      </c>
      <c r="F106" s="43" t="s">
        <v>459</v>
      </c>
      <c r="G106" s="31" t="s">
        <v>543</v>
      </c>
      <c r="H106" s="44" t="s">
        <v>461</v>
      </c>
      <c r="I106" s="42" t="s">
        <v>2817</v>
      </c>
      <c r="J106" s="42"/>
      <c r="K106" s="45" t="n">
        <f aca="false">IF(AND(E106="yes",F106="yes",H106="covered"),1,IF(H106="partial",0.5,0))</f>
        <v>1</v>
      </c>
    </row>
    <row r="107" customFormat="false" ht="30" hidden="false" customHeight="true" outlineLevel="0" collapsed="false">
      <c r="A107" s="31" t="n">
        <v>99</v>
      </c>
      <c r="B107" s="42" t="s">
        <v>529</v>
      </c>
      <c r="C107" s="42" t="s">
        <v>75</v>
      </c>
      <c r="D107" s="42" t="s">
        <v>537</v>
      </c>
      <c r="E107" s="34" t="s">
        <v>459</v>
      </c>
      <c r="F107" s="43" t="s">
        <v>459</v>
      </c>
      <c r="G107" s="31" t="s">
        <v>543</v>
      </c>
      <c r="H107" s="44" t="s">
        <v>461</v>
      </c>
      <c r="I107" s="42" t="s">
        <v>2817</v>
      </c>
      <c r="J107" s="42"/>
      <c r="K107" s="45" t="n">
        <f aca="false">IF(AND(E107="yes",F107="yes",H107="covered"),1,IF(H107="partial",0.5,0))</f>
        <v>1</v>
      </c>
    </row>
    <row r="108" customFormat="false" ht="30" hidden="false" customHeight="true" outlineLevel="0" collapsed="false">
      <c r="A108" s="31" t="n">
        <v>100</v>
      </c>
      <c r="B108" s="42" t="s">
        <v>31</v>
      </c>
      <c r="C108" s="42" t="s">
        <v>476</v>
      </c>
      <c r="D108" s="42" t="s">
        <v>2830</v>
      </c>
      <c r="E108" s="46" t="s">
        <v>459</v>
      </c>
      <c r="F108" s="43" t="s">
        <v>459</v>
      </c>
      <c r="G108" s="31" t="s">
        <v>543</v>
      </c>
      <c r="H108" s="46" t="s">
        <v>461</v>
      </c>
      <c r="I108" s="42" t="s">
        <v>2817</v>
      </c>
      <c r="J108" s="42"/>
      <c r="K108" s="45" t="n">
        <f aca="false">IF(AND(E108="yes",F108="yes",H108="covered"),1,IF(H108="partial",0.5,0))</f>
        <v>1</v>
      </c>
    </row>
    <row r="109" customFormat="false" ht="30" hidden="false" customHeight="true" outlineLevel="0" collapsed="false">
      <c r="A109" s="31" t="n">
        <v>101</v>
      </c>
      <c r="B109" s="42" t="s">
        <v>31</v>
      </c>
      <c r="C109" s="42" t="s">
        <v>502</v>
      </c>
      <c r="D109" s="42" t="s">
        <v>2831</v>
      </c>
      <c r="E109" s="46" t="s">
        <v>459</v>
      </c>
      <c r="F109" s="43" t="s">
        <v>459</v>
      </c>
      <c r="G109" s="31" t="s">
        <v>543</v>
      </c>
      <c r="H109" s="46" t="s">
        <v>461</v>
      </c>
      <c r="I109" s="42" t="s">
        <v>2817</v>
      </c>
      <c r="J109" s="42"/>
      <c r="K109" s="45" t="n">
        <f aca="false">IF(AND(E109="yes",F109="yes",H109="covered"),1,IF(H109="partial",0.5,0))</f>
        <v>1</v>
      </c>
    </row>
    <row r="110" customFormat="false" ht="30" hidden="false" customHeight="true" outlineLevel="0" collapsed="false">
      <c r="A110" s="31" t="n">
        <v>102</v>
      </c>
      <c r="B110" s="42" t="s">
        <v>456</v>
      </c>
      <c r="C110" s="42" t="s">
        <v>540</v>
      </c>
      <c r="D110" s="42" t="s">
        <v>541</v>
      </c>
      <c r="E110" s="46" t="s">
        <v>459</v>
      </c>
      <c r="F110" s="43" t="s">
        <v>459</v>
      </c>
      <c r="G110" s="31" t="s">
        <v>543</v>
      </c>
      <c r="H110" s="46" t="s">
        <v>461</v>
      </c>
      <c r="I110" s="42" t="s">
        <v>2817</v>
      </c>
      <c r="J110" s="42"/>
      <c r="K110" s="45" t="n">
        <f aca="false">IF(AND(E110="yes",F110="yes",H110="covered"),1,IF(H110="partial",0.5,0))</f>
        <v>1</v>
      </c>
    </row>
    <row r="111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2832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IFERROR(D4/COUNTA(A9:A1000),0)</f>
        <v>1</v>
      </c>
      <c r="C4" s="28" t="s">
        <v>8</v>
      </c>
      <c r="D4" s="40" t="n">
        <f aca="false">COUNTIFS(A9:A1000,"&lt;&gt;",E9:E1000,"yes",F9:F1000,"yes",H9:H1000,"covered")</f>
        <v>186</v>
      </c>
      <c r="E4" s="28" t="s">
        <v>9</v>
      </c>
      <c r="F4" s="40" t="n">
        <f aca="false">COUNTIFS(A9:A1000,"&lt;&gt;",H9:H1000,"partial")</f>
        <v>0</v>
      </c>
      <c r="G4" s="28" t="s">
        <v>10</v>
      </c>
      <c r="H4" s="40" t="n">
        <f aca="false">COUNTIFS(A9:A1000,"&lt;&gt;",E9:E1000,"&lt;&gt;yes")+COUNTIFS(A9:A1000,"&lt;&gt;",E9:E1000,"yes",H9:H1000,"missing")</f>
        <v>0</v>
      </c>
      <c r="I4" s="28" t="s">
        <v>11</v>
      </c>
      <c r="J4" s="40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31" t="n">
        <v>1</v>
      </c>
      <c r="B9" s="42" t="s">
        <v>456</v>
      </c>
      <c r="C9" s="42" t="s">
        <v>457</v>
      </c>
      <c r="D9" s="42" t="s">
        <v>458</v>
      </c>
      <c r="E9" s="34" t="s">
        <v>459</v>
      </c>
      <c r="F9" s="43" t="s">
        <v>459</v>
      </c>
      <c r="G9" s="31" t="s">
        <v>543</v>
      </c>
      <c r="H9" s="44" t="s">
        <v>461</v>
      </c>
      <c r="I9" s="42" t="s">
        <v>2833</v>
      </c>
      <c r="J9" s="42"/>
      <c r="K9" s="45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2" t="s">
        <v>456</v>
      </c>
      <c r="C10" s="42" t="s">
        <v>457</v>
      </c>
      <c r="D10" s="42" t="s">
        <v>463</v>
      </c>
      <c r="E10" s="34" t="s">
        <v>459</v>
      </c>
      <c r="F10" s="43" t="s">
        <v>459</v>
      </c>
      <c r="G10" s="31" t="s">
        <v>543</v>
      </c>
      <c r="H10" s="44" t="s">
        <v>461</v>
      </c>
      <c r="I10" s="42" t="s">
        <v>2833</v>
      </c>
      <c r="J10" s="42"/>
      <c r="K10" s="4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2" t="s">
        <v>456</v>
      </c>
      <c r="C11" s="42" t="s">
        <v>76</v>
      </c>
      <c r="D11" s="42" t="s">
        <v>464</v>
      </c>
      <c r="E11" s="34" t="s">
        <v>459</v>
      </c>
      <c r="F11" s="43" t="s">
        <v>459</v>
      </c>
      <c r="G11" s="31" t="s">
        <v>543</v>
      </c>
      <c r="H11" s="44" t="s">
        <v>461</v>
      </c>
      <c r="I11" s="42" t="s">
        <v>2833</v>
      </c>
      <c r="J11" s="42"/>
      <c r="K11" s="4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2" t="s">
        <v>456</v>
      </c>
      <c r="C12" s="42" t="s">
        <v>76</v>
      </c>
      <c r="D12" s="42" t="s">
        <v>465</v>
      </c>
      <c r="E12" s="34" t="s">
        <v>459</v>
      </c>
      <c r="F12" s="43" t="s">
        <v>459</v>
      </c>
      <c r="G12" s="31" t="s">
        <v>543</v>
      </c>
      <c r="H12" s="44" t="s">
        <v>461</v>
      </c>
      <c r="I12" s="42" t="s">
        <v>2833</v>
      </c>
      <c r="J12" s="42"/>
      <c r="K12" s="45" t="n">
        <f aca="false">IF(AND(E12="yes",F12="yes",H12="covered"),1,IF(H12="partial",0.5,0))</f>
        <v>1</v>
      </c>
    </row>
    <row r="13" customFormat="false" ht="30" hidden="false" customHeight="true" outlineLevel="0" collapsed="false">
      <c r="A13" s="31" t="n">
        <v>5</v>
      </c>
      <c r="B13" s="42" t="s">
        <v>456</v>
      </c>
      <c r="C13" s="42" t="s">
        <v>76</v>
      </c>
      <c r="D13" s="42" t="s">
        <v>466</v>
      </c>
      <c r="E13" s="34" t="s">
        <v>459</v>
      </c>
      <c r="F13" s="43" t="s">
        <v>459</v>
      </c>
      <c r="G13" s="31" t="s">
        <v>543</v>
      </c>
      <c r="H13" s="44" t="s">
        <v>461</v>
      </c>
      <c r="I13" s="42" t="s">
        <v>2833</v>
      </c>
      <c r="J13" s="42"/>
      <c r="K13" s="4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2" t="s">
        <v>456</v>
      </c>
      <c r="C14" s="42" t="s">
        <v>76</v>
      </c>
      <c r="D14" s="42" t="s">
        <v>467</v>
      </c>
      <c r="E14" s="34" t="s">
        <v>459</v>
      </c>
      <c r="F14" s="43" t="s">
        <v>459</v>
      </c>
      <c r="G14" s="31" t="s">
        <v>543</v>
      </c>
      <c r="H14" s="44" t="s">
        <v>461</v>
      </c>
      <c r="I14" s="42" t="s">
        <v>2833</v>
      </c>
      <c r="J14" s="42"/>
      <c r="K14" s="4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2" t="s">
        <v>468</v>
      </c>
      <c r="C15" s="42" t="s">
        <v>76</v>
      </c>
      <c r="D15" s="42" t="s">
        <v>2834</v>
      </c>
      <c r="E15" s="34" t="s">
        <v>459</v>
      </c>
      <c r="F15" s="43" t="s">
        <v>459</v>
      </c>
      <c r="G15" s="31" t="s">
        <v>543</v>
      </c>
      <c r="H15" s="44" t="s">
        <v>461</v>
      </c>
      <c r="I15" s="42" t="s">
        <v>2833</v>
      </c>
      <c r="J15" s="42"/>
      <c r="K15" s="4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2" t="s">
        <v>468</v>
      </c>
      <c r="C16" s="42" t="s">
        <v>76</v>
      </c>
      <c r="D16" s="42" t="s">
        <v>2820</v>
      </c>
      <c r="E16" s="34" t="s">
        <v>459</v>
      </c>
      <c r="F16" s="43" t="s">
        <v>459</v>
      </c>
      <c r="G16" s="31" t="s">
        <v>543</v>
      </c>
      <c r="H16" s="44" t="s">
        <v>461</v>
      </c>
      <c r="I16" s="42" t="s">
        <v>2833</v>
      </c>
      <c r="J16" s="42"/>
      <c r="K16" s="4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2" t="s">
        <v>468</v>
      </c>
      <c r="C17" s="42" t="s">
        <v>76</v>
      </c>
      <c r="D17" s="42" t="s">
        <v>1283</v>
      </c>
      <c r="E17" s="34" t="s">
        <v>459</v>
      </c>
      <c r="F17" s="43" t="s">
        <v>459</v>
      </c>
      <c r="G17" s="31" t="s">
        <v>543</v>
      </c>
      <c r="H17" s="44" t="s">
        <v>461</v>
      </c>
      <c r="I17" s="42" t="s">
        <v>2833</v>
      </c>
      <c r="J17" s="42"/>
      <c r="K17" s="45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2" t="s">
        <v>468</v>
      </c>
      <c r="C18" s="42" t="s">
        <v>76</v>
      </c>
      <c r="D18" s="42" t="s">
        <v>2835</v>
      </c>
      <c r="E18" s="34" t="s">
        <v>459</v>
      </c>
      <c r="F18" s="43" t="s">
        <v>459</v>
      </c>
      <c r="G18" s="31" t="s">
        <v>543</v>
      </c>
      <c r="H18" s="44" t="s">
        <v>461</v>
      </c>
      <c r="I18" s="42" t="s">
        <v>2833</v>
      </c>
      <c r="J18" s="42"/>
      <c r="K18" s="4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2" t="s">
        <v>468</v>
      </c>
      <c r="C19" s="42" t="s">
        <v>76</v>
      </c>
      <c r="D19" s="42" t="s">
        <v>2836</v>
      </c>
      <c r="E19" s="34" t="s">
        <v>459</v>
      </c>
      <c r="F19" s="43" t="s">
        <v>459</v>
      </c>
      <c r="G19" s="31" t="s">
        <v>543</v>
      </c>
      <c r="H19" s="44" t="s">
        <v>461</v>
      </c>
      <c r="I19" s="42" t="s">
        <v>2833</v>
      </c>
      <c r="J19" s="42"/>
      <c r="K19" s="4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2" t="s">
        <v>468</v>
      </c>
      <c r="C20" s="42" t="s">
        <v>76</v>
      </c>
      <c r="D20" s="42" t="s">
        <v>2837</v>
      </c>
      <c r="E20" s="34" t="s">
        <v>459</v>
      </c>
      <c r="F20" s="43" t="s">
        <v>459</v>
      </c>
      <c r="G20" s="31" t="s">
        <v>543</v>
      </c>
      <c r="H20" s="44" t="s">
        <v>461</v>
      </c>
      <c r="I20" s="42" t="s">
        <v>2833</v>
      </c>
      <c r="J20" s="42"/>
      <c r="K20" s="4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2" t="s">
        <v>475</v>
      </c>
      <c r="C21" s="42" t="s">
        <v>476</v>
      </c>
      <c r="D21" s="42" t="s">
        <v>477</v>
      </c>
      <c r="E21" s="34" t="s">
        <v>459</v>
      </c>
      <c r="F21" s="43" t="s">
        <v>459</v>
      </c>
      <c r="G21" s="31" t="s">
        <v>543</v>
      </c>
      <c r="H21" s="44" t="s">
        <v>461</v>
      </c>
      <c r="I21" s="42" t="s">
        <v>2833</v>
      </c>
      <c r="J21" s="42"/>
      <c r="K21" s="4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2" t="s">
        <v>475</v>
      </c>
      <c r="C22" s="42" t="s">
        <v>476</v>
      </c>
      <c r="D22" s="42" t="s">
        <v>478</v>
      </c>
      <c r="E22" s="34" t="s">
        <v>459</v>
      </c>
      <c r="F22" s="43" t="s">
        <v>459</v>
      </c>
      <c r="G22" s="31" t="s">
        <v>543</v>
      </c>
      <c r="H22" s="44" t="s">
        <v>461</v>
      </c>
      <c r="I22" s="42" t="s">
        <v>2833</v>
      </c>
      <c r="J22" s="42"/>
      <c r="K22" s="4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2" t="s">
        <v>479</v>
      </c>
      <c r="C23" s="42" t="s">
        <v>476</v>
      </c>
      <c r="D23" s="42" t="s">
        <v>480</v>
      </c>
      <c r="E23" s="34" t="s">
        <v>459</v>
      </c>
      <c r="F23" s="43" t="s">
        <v>459</v>
      </c>
      <c r="G23" s="31" t="s">
        <v>543</v>
      </c>
      <c r="H23" s="44" t="s">
        <v>461</v>
      </c>
      <c r="I23" s="42" t="s">
        <v>2833</v>
      </c>
      <c r="J23" s="42"/>
      <c r="K23" s="4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2" t="s">
        <v>479</v>
      </c>
      <c r="C24" s="42" t="s">
        <v>476</v>
      </c>
      <c r="D24" s="42" t="s">
        <v>481</v>
      </c>
      <c r="E24" s="34" t="s">
        <v>459</v>
      </c>
      <c r="F24" s="43" t="s">
        <v>459</v>
      </c>
      <c r="G24" s="31" t="s">
        <v>543</v>
      </c>
      <c r="H24" s="44" t="s">
        <v>461</v>
      </c>
      <c r="I24" s="42" t="s">
        <v>2833</v>
      </c>
      <c r="J24" s="42"/>
      <c r="K24" s="4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2" t="s">
        <v>457</v>
      </c>
      <c r="C25" s="42" t="s">
        <v>476</v>
      </c>
      <c r="D25" s="42" t="s">
        <v>482</v>
      </c>
      <c r="E25" s="34" t="s">
        <v>459</v>
      </c>
      <c r="F25" s="43" t="s">
        <v>459</v>
      </c>
      <c r="G25" s="31" t="s">
        <v>543</v>
      </c>
      <c r="H25" s="44" t="s">
        <v>461</v>
      </c>
      <c r="I25" s="42" t="s">
        <v>2833</v>
      </c>
      <c r="J25" s="42"/>
      <c r="K25" s="4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2" t="s">
        <v>774</v>
      </c>
      <c r="C26" s="42" t="s">
        <v>476</v>
      </c>
      <c r="D26" s="42" t="s">
        <v>775</v>
      </c>
      <c r="E26" s="34" t="s">
        <v>459</v>
      </c>
      <c r="F26" s="43" t="s">
        <v>459</v>
      </c>
      <c r="G26" s="31" t="s">
        <v>543</v>
      </c>
      <c r="H26" s="44" t="s">
        <v>461</v>
      </c>
      <c r="I26" s="42" t="s">
        <v>2833</v>
      </c>
      <c r="J26" s="42"/>
      <c r="K26" s="4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2" t="s">
        <v>488</v>
      </c>
      <c r="C27" s="42" t="s">
        <v>476</v>
      </c>
      <c r="D27" s="42" t="s">
        <v>489</v>
      </c>
      <c r="E27" s="34" t="s">
        <v>459</v>
      </c>
      <c r="F27" s="43" t="s">
        <v>459</v>
      </c>
      <c r="G27" s="31" t="s">
        <v>543</v>
      </c>
      <c r="H27" s="44" t="s">
        <v>461</v>
      </c>
      <c r="I27" s="42" t="s">
        <v>2833</v>
      </c>
      <c r="J27" s="42"/>
      <c r="K27" s="4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2" t="s">
        <v>488</v>
      </c>
      <c r="C28" s="42" t="s">
        <v>476</v>
      </c>
      <c r="D28" s="42" t="s">
        <v>490</v>
      </c>
      <c r="E28" s="34" t="s">
        <v>459</v>
      </c>
      <c r="F28" s="43" t="s">
        <v>459</v>
      </c>
      <c r="G28" s="31" t="s">
        <v>543</v>
      </c>
      <c r="H28" s="44" t="s">
        <v>461</v>
      </c>
      <c r="I28" s="42" t="s">
        <v>2833</v>
      </c>
      <c r="J28" s="42"/>
      <c r="K28" s="4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2" t="s">
        <v>488</v>
      </c>
      <c r="C29" s="42" t="s">
        <v>476</v>
      </c>
      <c r="D29" s="42" t="s">
        <v>491</v>
      </c>
      <c r="E29" s="34" t="s">
        <v>459</v>
      </c>
      <c r="F29" s="43" t="s">
        <v>459</v>
      </c>
      <c r="G29" s="31" t="s">
        <v>543</v>
      </c>
      <c r="H29" s="44" t="s">
        <v>461</v>
      </c>
      <c r="I29" s="42" t="s">
        <v>2833</v>
      </c>
      <c r="J29" s="42"/>
      <c r="K29" s="4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2" t="s">
        <v>486</v>
      </c>
      <c r="C30" s="42" t="s">
        <v>476</v>
      </c>
      <c r="D30" s="42" t="s">
        <v>2823</v>
      </c>
      <c r="E30" s="34" t="s">
        <v>459</v>
      </c>
      <c r="F30" s="43" t="s">
        <v>459</v>
      </c>
      <c r="G30" s="31" t="s">
        <v>543</v>
      </c>
      <c r="H30" s="44" t="s">
        <v>461</v>
      </c>
      <c r="I30" s="42" t="s">
        <v>2833</v>
      </c>
      <c r="J30" s="42"/>
      <c r="K30" s="4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2" t="s">
        <v>488</v>
      </c>
      <c r="C31" s="42" t="s">
        <v>476</v>
      </c>
      <c r="D31" s="42" t="s">
        <v>2824</v>
      </c>
      <c r="E31" s="34" t="s">
        <v>459</v>
      </c>
      <c r="F31" s="43" t="s">
        <v>459</v>
      </c>
      <c r="G31" s="31" t="s">
        <v>543</v>
      </c>
      <c r="H31" s="44" t="s">
        <v>461</v>
      </c>
      <c r="I31" s="42" t="s">
        <v>2833</v>
      </c>
      <c r="J31" s="42"/>
      <c r="K31" s="4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2" t="s">
        <v>488</v>
      </c>
      <c r="C32" s="42" t="s">
        <v>476</v>
      </c>
      <c r="D32" s="42" t="s">
        <v>2825</v>
      </c>
      <c r="E32" s="34" t="s">
        <v>459</v>
      </c>
      <c r="F32" s="43" t="s">
        <v>459</v>
      </c>
      <c r="G32" s="31" t="s">
        <v>543</v>
      </c>
      <c r="H32" s="44" t="s">
        <v>461</v>
      </c>
      <c r="I32" s="42" t="s">
        <v>2833</v>
      </c>
      <c r="J32" s="42"/>
      <c r="K32" s="4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2" t="s">
        <v>486</v>
      </c>
      <c r="C33" s="42" t="s">
        <v>476</v>
      </c>
      <c r="D33" s="42" t="s">
        <v>1287</v>
      </c>
      <c r="E33" s="34" t="s">
        <v>459</v>
      </c>
      <c r="F33" s="43" t="s">
        <v>459</v>
      </c>
      <c r="G33" s="31" t="s">
        <v>543</v>
      </c>
      <c r="H33" s="44" t="s">
        <v>461</v>
      </c>
      <c r="I33" s="42" t="s">
        <v>2833</v>
      </c>
      <c r="J33" s="42"/>
      <c r="K33" s="4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2" t="s">
        <v>488</v>
      </c>
      <c r="C34" s="42" t="s">
        <v>476</v>
      </c>
      <c r="D34" s="42" t="s">
        <v>1288</v>
      </c>
      <c r="E34" s="34" t="s">
        <v>459</v>
      </c>
      <c r="F34" s="43" t="s">
        <v>459</v>
      </c>
      <c r="G34" s="31" t="s">
        <v>543</v>
      </c>
      <c r="H34" s="44" t="s">
        <v>461</v>
      </c>
      <c r="I34" s="42" t="s">
        <v>2833</v>
      </c>
      <c r="J34" s="42"/>
      <c r="K34" s="4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2" t="s">
        <v>488</v>
      </c>
      <c r="C35" s="42" t="s">
        <v>476</v>
      </c>
      <c r="D35" s="42" t="s">
        <v>1290</v>
      </c>
      <c r="E35" s="34" t="s">
        <v>459</v>
      </c>
      <c r="F35" s="43" t="s">
        <v>459</v>
      </c>
      <c r="G35" s="31" t="s">
        <v>543</v>
      </c>
      <c r="H35" s="44" t="s">
        <v>461</v>
      </c>
      <c r="I35" s="42" t="s">
        <v>2833</v>
      </c>
      <c r="J35" s="42"/>
      <c r="K35" s="4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2" t="s">
        <v>488</v>
      </c>
      <c r="C36" s="42" t="s">
        <v>476</v>
      </c>
      <c r="D36" s="42" t="s">
        <v>493</v>
      </c>
      <c r="E36" s="34" t="s">
        <v>459</v>
      </c>
      <c r="F36" s="43" t="s">
        <v>459</v>
      </c>
      <c r="G36" s="31" t="s">
        <v>543</v>
      </c>
      <c r="H36" s="44" t="s">
        <v>461</v>
      </c>
      <c r="I36" s="42" t="s">
        <v>2833</v>
      </c>
      <c r="J36" s="42"/>
      <c r="K36" s="4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2" t="s">
        <v>488</v>
      </c>
      <c r="C37" s="42" t="s">
        <v>476</v>
      </c>
      <c r="D37" s="42" t="s">
        <v>951</v>
      </c>
      <c r="E37" s="34" t="s">
        <v>459</v>
      </c>
      <c r="F37" s="43" t="s">
        <v>459</v>
      </c>
      <c r="G37" s="31" t="s">
        <v>543</v>
      </c>
      <c r="H37" s="44" t="s">
        <v>461</v>
      </c>
      <c r="I37" s="42" t="s">
        <v>2833</v>
      </c>
      <c r="J37" s="42"/>
      <c r="K37" s="4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2" t="s">
        <v>486</v>
      </c>
      <c r="C38" s="42" t="s">
        <v>476</v>
      </c>
      <c r="D38" s="42" t="s">
        <v>1291</v>
      </c>
      <c r="E38" s="34" t="s">
        <v>459</v>
      </c>
      <c r="F38" s="43" t="s">
        <v>459</v>
      </c>
      <c r="G38" s="31" t="s">
        <v>543</v>
      </c>
      <c r="H38" s="44" t="s">
        <v>461</v>
      </c>
      <c r="I38" s="42" t="s">
        <v>2833</v>
      </c>
      <c r="J38" s="42"/>
      <c r="K38" s="4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2" t="s">
        <v>486</v>
      </c>
      <c r="C39" s="42" t="s">
        <v>476</v>
      </c>
      <c r="D39" s="42" t="s">
        <v>1293</v>
      </c>
      <c r="E39" s="34" t="s">
        <v>459</v>
      </c>
      <c r="F39" s="43" t="s">
        <v>459</v>
      </c>
      <c r="G39" s="31" t="s">
        <v>543</v>
      </c>
      <c r="H39" s="44" t="s">
        <v>461</v>
      </c>
      <c r="I39" s="42" t="s">
        <v>2833</v>
      </c>
      <c r="J39" s="42"/>
      <c r="K39" s="4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2" t="s">
        <v>486</v>
      </c>
      <c r="C40" s="42" t="s">
        <v>476</v>
      </c>
      <c r="D40" s="42" t="s">
        <v>1294</v>
      </c>
      <c r="E40" s="34" t="s">
        <v>459</v>
      </c>
      <c r="F40" s="43" t="s">
        <v>459</v>
      </c>
      <c r="G40" s="31" t="s">
        <v>543</v>
      </c>
      <c r="H40" s="44" t="s">
        <v>461</v>
      </c>
      <c r="I40" s="42" t="s">
        <v>2833</v>
      </c>
      <c r="J40" s="42"/>
      <c r="K40" s="4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2" t="s">
        <v>475</v>
      </c>
      <c r="C41" s="42" t="s">
        <v>1298</v>
      </c>
      <c r="D41" s="42" t="s">
        <v>477</v>
      </c>
      <c r="E41" s="34" t="s">
        <v>459</v>
      </c>
      <c r="F41" s="43" t="s">
        <v>459</v>
      </c>
      <c r="G41" s="31" t="s">
        <v>543</v>
      </c>
      <c r="H41" s="44" t="s">
        <v>461</v>
      </c>
      <c r="I41" s="42" t="s">
        <v>2833</v>
      </c>
      <c r="J41" s="42"/>
      <c r="K41" s="4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2" t="s">
        <v>475</v>
      </c>
      <c r="C42" s="42" t="s">
        <v>1298</v>
      </c>
      <c r="D42" s="42" t="s">
        <v>478</v>
      </c>
      <c r="E42" s="34" t="s">
        <v>459</v>
      </c>
      <c r="F42" s="43" t="s">
        <v>459</v>
      </c>
      <c r="G42" s="31" t="s">
        <v>543</v>
      </c>
      <c r="H42" s="44" t="s">
        <v>461</v>
      </c>
      <c r="I42" s="42" t="s">
        <v>2833</v>
      </c>
      <c r="J42" s="42"/>
      <c r="K42" s="45" t="n">
        <f aca="false">IF(AND(E42="yes",F42="yes",H42="covered"),1,IF(H42="partial",0.5,0))</f>
        <v>1</v>
      </c>
    </row>
    <row r="43" customFormat="false" ht="30" hidden="false" customHeight="true" outlineLevel="0" collapsed="false">
      <c r="A43" s="31" t="n">
        <v>35</v>
      </c>
      <c r="B43" s="42" t="s">
        <v>479</v>
      </c>
      <c r="C43" s="42" t="s">
        <v>1298</v>
      </c>
      <c r="D43" s="42" t="s">
        <v>480</v>
      </c>
      <c r="E43" s="34" t="s">
        <v>459</v>
      </c>
      <c r="F43" s="43" t="s">
        <v>459</v>
      </c>
      <c r="G43" s="31" t="s">
        <v>543</v>
      </c>
      <c r="H43" s="44" t="s">
        <v>461</v>
      </c>
      <c r="I43" s="42" t="s">
        <v>2833</v>
      </c>
      <c r="J43" s="42"/>
      <c r="K43" s="4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2" t="s">
        <v>479</v>
      </c>
      <c r="C44" s="42" t="s">
        <v>1298</v>
      </c>
      <c r="D44" s="42" t="s">
        <v>481</v>
      </c>
      <c r="E44" s="34" t="s">
        <v>459</v>
      </c>
      <c r="F44" s="43" t="s">
        <v>459</v>
      </c>
      <c r="G44" s="31" t="s">
        <v>543</v>
      </c>
      <c r="H44" s="44" t="s">
        <v>461</v>
      </c>
      <c r="I44" s="42" t="s">
        <v>2833</v>
      </c>
      <c r="J44" s="42"/>
      <c r="K44" s="4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2" t="s">
        <v>457</v>
      </c>
      <c r="C45" s="42" t="s">
        <v>1298</v>
      </c>
      <c r="D45" s="42" t="s">
        <v>482</v>
      </c>
      <c r="E45" s="34" t="s">
        <v>459</v>
      </c>
      <c r="F45" s="43" t="s">
        <v>459</v>
      </c>
      <c r="G45" s="31" t="s">
        <v>543</v>
      </c>
      <c r="H45" s="44" t="s">
        <v>461</v>
      </c>
      <c r="I45" s="42" t="s">
        <v>2833</v>
      </c>
      <c r="J45" s="42"/>
      <c r="K45" s="4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2" t="s">
        <v>774</v>
      </c>
      <c r="C46" s="42" t="s">
        <v>1298</v>
      </c>
      <c r="D46" s="42" t="s">
        <v>775</v>
      </c>
      <c r="E46" s="34" t="s">
        <v>459</v>
      </c>
      <c r="F46" s="43" t="s">
        <v>459</v>
      </c>
      <c r="G46" s="31" t="s">
        <v>543</v>
      </c>
      <c r="H46" s="44" t="s">
        <v>461</v>
      </c>
      <c r="I46" s="42" t="s">
        <v>2833</v>
      </c>
      <c r="J46" s="42"/>
      <c r="K46" s="4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2" t="s">
        <v>475</v>
      </c>
      <c r="C47" s="42" t="s">
        <v>1299</v>
      </c>
      <c r="D47" s="42" t="s">
        <v>477</v>
      </c>
      <c r="E47" s="34" t="s">
        <v>459</v>
      </c>
      <c r="F47" s="43" t="s">
        <v>459</v>
      </c>
      <c r="G47" s="31" t="s">
        <v>543</v>
      </c>
      <c r="H47" s="44" t="s">
        <v>461</v>
      </c>
      <c r="I47" s="42" t="s">
        <v>2833</v>
      </c>
      <c r="J47" s="42"/>
      <c r="K47" s="4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2" t="s">
        <v>475</v>
      </c>
      <c r="C48" s="42" t="s">
        <v>1299</v>
      </c>
      <c r="D48" s="42" t="s">
        <v>478</v>
      </c>
      <c r="E48" s="34" t="s">
        <v>459</v>
      </c>
      <c r="F48" s="43" t="s">
        <v>459</v>
      </c>
      <c r="G48" s="31" t="s">
        <v>543</v>
      </c>
      <c r="H48" s="44" t="s">
        <v>461</v>
      </c>
      <c r="I48" s="42" t="s">
        <v>2833</v>
      </c>
      <c r="J48" s="42"/>
      <c r="K48" s="45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31" t="n">
        <v>41</v>
      </c>
      <c r="B49" s="42" t="s">
        <v>479</v>
      </c>
      <c r="C49" s="42" t="s">
        <v>1299</v>
      </c>
      <c r="D49" s="42" t="s">
        <v>480</v>
      </c>
      <c r="E49" s="34" t="s">
        <v>459</v>
      </c>
      <c r="F49" s="43" t="s">
        <v>459</v>
      </c>
      <c r="G49" s="31" t="s">
        <v>543</v>
      </c>
      <c r="H49" s="44" t="s">
        <v>461</v>
      </c>
      <c r="I49" s="42" t="s">
        <v>2833</v>
      </c>
      <c r="J49" s="42"/>
      <c r="K49" s="4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2" t="s">
        <v>479</v>
      </c>
      <c r="C50" s="42" t="s">
        <v>1299</v>
      </c>
      <c r="D50" s="42" t="s">
        <v>481</v>
      </c>
      <c r="E50" s="34" t="s">
        <v>459</v>
      </c>
      <c r="F50" s="43" t="s">
        <v>459</v>
      </c>
      <c r="G50" s="31" t="s">
        <v>543</v>
      </c>
      <c r="H50" s="44" t="s">
        <v>461</v>
      </c>
      <c r="I50" s="42" t="s">
        <v>2833</v>
      </c>
      <c r="J50" s="42"/>
      <c r="K50" s="4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2" t="s">
        <v>457</v>
      </c>
      <c r="C51" s="42" t="s">
        <v>1299</v>
      </c>
      <c r="D51" s="42" t="s">
        <v>482</v>
      </c>
      <c r="E51" s="34" t="s">
        <v>459</v>
      </c>
      <c r="F51" s="43" t="s">
        <v>459</v>
      </c>
      <c r="G51" s="31" t="s">
        <v>543</v>
      </c>
      <c r="H51" s="44" t="s">
        <v>461</v>
      </c>
      <c r="I51" s="42" t="s">
        <v>2833</v>
      </c>
      <c r="J51" s="42"/>
      <c r="K51" s="4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2" t="s">
        <v>774</v>
      </c>
      <c r="C52" s="42" t="s">
        <v>1299</v>
      </c>
      <c r="D52" s="42" t="s">
        <v>775</v>
      </c>
      <c r="E52" s="34" t="s">
        <v>459</v>
      </c>
      <c r="F52" s="43" t="s">
        <v>459</v>
      </c>
      <c r="G52" s="31" t="s">
        <v>543</v>
      </c>
      <c r="H52" s="44" t="s">
        <v>461</v>
      </c>
      <c r="I52" s="42" t="s">
        <v>2833</v>
      </c>
      <c r="J52" s="42"/>
      <c r="K52" s="4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2" t="s">
        <v>475</v>
      </c>
      <c r="C53" s="42" t="s">
        <v>1300</v>
      </c>
      <c r="D53" s="42" t="s">
        <v>477</v>
      </c>
      <c r="E53" s="34" t="s">
        <v>459</v>
      </c>
      <c r="F53" s="43" t="s">
        <v>459</v>
      </c>
      <c r="G53" s="31" t="s">
        <v>543</v>
      </c>
      <c r="H53" s="44" t="s">
        <v>461</v>
      </c>
      <c r="I53" s="42" t="s">
        <v>2833</v>
      </c>
      <c r="J53" s="42"/>
      <c r="K53" s="4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2" t="s">
        <v>475</v>
      </c>
      <c r="C54" s="42" t="s">
        <v>1300</v>
      </c>
      <c r="D54" s="42" t="s">
        <v>478</v>
      </c>
      <c r="E54" s="34" t="s">
        <v>459</v>
      </c>
      <c r="F54" s="43" t="s">
        <v>459</v>
      </c>
      <c r="G54" s="31" t="s">
        <v>543</v>
      </c>
      <c r="H54" s="44" t="s">
        <v>461</v>
      </c>
      <c r="I54" s="42" t="s">
        <v>2833</v>
      </c>
      <c r="J54" s="42"/>
      <c r="K54" s="45" t="n">
        <f aca="false">IF(AND(E54="yes",F54="yes",H54="covered"),1,IF(H54="partial",0.5,0))</f>
        <v>1</v>
      </c>
    </row>
    <row r="55" customFormat="false" ht="30" hidden="false" customHeight="true" outlineLevel="0" collapsed="false">
      <c r="A55" s="31" t="n">
        <v>47</v>
      </c>
      <c r="B55" s="42" t="s">
        <v>479</v>
      </c>
      <c r="C55" s="42" t="s">
        <v>1300</v>
      </c>
      <c r="D55" s="42" t="s">
        <v>480</v>
      </c>
      <c r="E55" s="34" t="s">
        <v>459</v>
      </c>
      <c r="F55" s="43" t="s">
        <v>459</v>
      </c>
      <c r="G55" s="31" t="s">
        <v>543</v>
      </c>
      <c r="H55" s="44" t="s">
        <v>461</v>
      </c>
      <c r="I55" s="42" t="s">
        <v>2833</v>
      </c>
      <c r="J55" s="42"/>
      <c r="K55" s="4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2" t="s">
        <v>479</v>
      </c>
      <c r="C56" s="42" t="s">
        <v>1300</v>
      </c>
      <c r="D56" s="42" t="s">
        <v>481</v>
      </c>
      <c r="E56" s="34" t="s">
        <v>459</v>
      </c>
      <c r="F56" s="43" t="s">
        <v>459</v>
      </c>
      <c r="G56" s="31" t="s">
        <v>543</v>
      </c>
      <c r="H56" s="44" t="s">
        <v>461</v>
      </c>
      <c r="I56" s="42" t="s">
        <v>2833</v>
      </c>
      <c r="J56" s="42"/>
      <c r="K56" s="4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2" t="s">
        <v>457</v>
      </c>
      <c r="C57" s="42" t="s">
        <v>1300</v>
      </c>
      <c r="D57" s="42" t="s">
        <v>482</v>
      </c>
      <c r="E57" s="34" t="s">
        <v>459</v>
      </c>
      <c r="F57" s="43" t="s">
        <v>459</v>
      </c>
      <c r="G57" s="31" t="s">
        <v>543</v>
      </c>
      <c r="H57" s="44" t="s">
        <v>461</v>
      </c>
      <c r="I57" s="42" t="s">
        <v>2833</v>
      </c>
      <c r="J57" s="42"/>
      <c r="K57" s="4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2" t="s">
        <v>774</v>
      </c>
      <c r="C58" s="42" t="s">
        <v>1300</v>
      </c>
      <c r="D58" s="42" t="s">
        <v>775</v>
      </c>
      <c r="E58" s="34" t="s">
        <v>459</v>
      </c>
      <c r="F58" s="43" t="s">
        <v>459</v>
      </c>
      <c r="G58" s="31" t="s">
        <v>543</v>
      </c>
      <c r="H58" s="44" t="s">
        <v>461</v>
      </c>
      <c r="I58" s="42" t="s">
        <v>2833</v>
      </c>
      <c r="J58" s="42"/>
      <c r="K58" s="4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2" t="s">
        <v>475</v>
      </c>
      <c r="C59" s="42" t="s">
        <v>1304</v>
      </c>
      <c r="D59" s="42" t="s">
        <v>477</v>
      </c>
      <c r="E59" s="34" t="s">
        <v>459</v>
      </c>
      <c r="F59" s="43" t="s">
        <v>459</v>
      </c>
      <c r="G59" s="31" t="s">
        <v>543</v>
      </c>
      <c r="H59" s="44" t="s">
        <v>461</v>
      </c>
      <c r="I59" s="42" t="s">
        <v>2833</v>
      </c>
      <c r="J59" s="42"/>
      <c r="K59" s="4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2" t="s">
        <v>475</v>
      </c>
      <c r="C60" s="42" t="s">
        <v>1304</v>
      </c>
      <c r="D60" s="42" t="s">
        <v>478</v>
      </c>
      <c r="E60" s="34" t="s">
        <v>459</v>
      </c>
      <c r="F60" s="43" t="s">
        <v>459</v>
      </c>
      <c r="G60" s="31" t="s">
        <v>543</v>
      </c>
      <c r="H60" s="44" t="s">
        <v>461</v>
      </c>
      <c r="I60" s="42" t="s">
        <v>2833</v>
      </c>
      <c r="J60" s="42"/>
      <c r="K60" s="45" t="n">
        <f aca="false">IF(AND(E60="yes",F60="yes",H60="covered"),1,IF(H60="partial",0.5,0))</f>
        <v>1</v>
      </c>
    </row>
    <row r="61" customFormat="false" ht="30" hidden="false" customHeight="true" outlineLevel="0" collapsed="false">
      <c r="A61" s="31" t="n">
        <v>53</v>
      </c>
      <c r="B61" s="42" t="s">
        <v>479</v>
      </c>
      <c r="C61" s="42" t="s">
        <v>1304</v>
      </c>
      <c r="D61" s="42" t="s">
        <v>480</v>
      </c>
      <c r="E61" s="34" t="s">
        <v>459</v>
      </c>
      <c r="F61" s="43" t="s">
        <v>459</v>
      </c>
      <c r="G61" s="31" t="s">
        <v>543</v>
      </c>
      <c r="H61" s="44" t="s">
        <v>461</v>
      </c>
      <c r="I61" s="42" t="s">
        <v>2833</v>
      </c>
      <c r="J61" s="42"/>
      <c r="K61" s="4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2" t="s">
        <v>479</v>
      </c>
      <c r="C62" s="42" t="s">
        <v>1304</v>
      </c>
      <c r="D62" s="42" t="s">
        <v>481</v>
      </c>
      <c r="E62" s="34" t="s">
        <v>459</v>
      </c>
      <c r="F62" s="43" t="s">
        <v>459</v>
      </c>
      <c r="G62" s="31" t="s">
        <v>543</v>
      </c>
      <c r="H62" s="44" t="s">
        <v>461</v>
      </c>
      <c r="I62" s="42" t="s">
        <v>2833</v>
      </c>
      <c r="J62" s="42"/>
      <c r="K62" s="4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2" t="s">
        <v>457</v>
      </c>
      <c r="C63" s="42" t="s">
        <v>1304</v>
      </c>
      <c r="D63" s="42" t="s">
        <v>482</v>
      </c>
      <c r="E63" s="34" t="s">
        <v>459</v>
      </c>
      <c r="F63" s="43" t="s">
        <v>459</v>
      </c>
      <c r="G63" s="31" t="s">
        <v>543</v>
      </c>
      <c r="H63" s="44" t="s">
        <v>461</v>
      </c>
      <c r="I63" s="42" t="s">
        <v>2833</v>
      </c>
      <c r="J63" s="42"/>
      <c r="K63" s="45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2" t="s">
        <v>774</v>
      </c>
      <c r="C64" s="42" t="s">
        <v>1304</v>
      </c>
      <c r="D64" s="42" t="s">
        <v>775</v>
      </c>
      <c r="E64" s="34" t="s">
        <v>459</v>
      </c>
      <c r="F64" s="43" t="s">
        <v>459</v>
      </c>
      <c r="G64" s="31" t="s">
        <v>543</v>
      </c>
      <c r="H64" s="44" t="s">
        <v>461</v>
      </c>
      <c r="I64" s="42" t="s">
        <v>2833</v>
      </c>
      <c r="J64" s="42"/>
      <c r="K64" s="4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2" t="s">
        <v>475</v>
      </c>
      <c r="C65" s="42" t="s">
        <v>1306</v>
      </c>
      <c r="D65" s="42" t="s">
        <v>477</v>
      </c>
      <c r="E65" s="34" t="s">
        <v>459</v>
      </c>
      <c r="F65" s="43" t="s">
        <v>459</v>
      </c>
      <c r="G65" s="31" t="s">
        <v>543</v>
      </c>
      <c r="H65" s="44" t="s">
        <v>461</v>
      </c>
      <c r="I65" s="42" t="s">
        <v>2833</v>
      </c>
      <c r="J65" s="42"/>
      <c r="K65" s="4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2" t="s">
        <v>475</v>
      </c>
      <c r="C66" s="42" t="s">
        <v>1306</v>
      </c>
      <c r="D66" s="42" t="s">
        <v>478</v>
      </c>
      <c r="E66" s="34" t="s">
        <v>459</v>
      </c>
      <c r="F66" s="43" t="s">
        <v>459</v>
      </c>
      <c r="G66" s="31" t="s">
        <v>543</v>
      </c>
      <c r="H66" s="44" t="s">
        <v>461</v>
      </c>
      <c r="I66" s="42" t="s">
        <v>2833</v>
      </c>
      <c r="J66" s="42"/>
      <c r="K66" s="45" t="n">
        <f aca="false">IF(AND(E66="yes",F66="yes",H66="covered"),1,IF(H66="partial",0.5,0))</f>
        <v>1</v>
      </c>
    </row>
    <row r="67" customFormat="false" ht="30" hidden="false" customHeight="true" outlineLevel="0" collapsed="false">
      <c r="A67" s="31" t="n">
        <v>59</v>
      </c>
      <c r="B67" s="42" t="s">
        <v>479</v>
      </c>
      <c r="C67" s="42" t="s">
        <v>1306</v>
      </c>
      <c r="D67" s="42" t="s">
        <v>480</v>
      </c>
      <c r="E67" s="34" t="s">
        <v>459</v>
      </c>
      <c r="F67" s="43" t="s">
        <v>459</v>
      </c>
      <c r="G67" s="31" t="s">
        <v>543</v>
      </c>
      <c r="H67" s="44" t="s">
        <v>461</v>
      </c>
      <c r="I67" s="42" t="s">
        <v>2833</v>
      </c>
      <c r="J67" s="42"/>
      <c r="K67" s="4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2" t="s">
        <v>479</v>
      </c>
      <c r="C68" s="42" t="s">
        <v>1306</v>
      </c>
      <c r="D68" s="42" t="s">
        <v>481</v>
      </c>
      <c r="E68" s="34" t="s">
        <v>459</v>
      </c>
      <c r="F68" s="43" t="s">
        <v>459</v>
      </c>
      <c r="G68" s="31" t="s">
        <v>543</v>
      </c>
      <c r="H68" s="44" t="s">
        <v>461</v>
      </c>
      <c r="I68" s="42" t="s">
        <v>2833</v>
      </c>
      <c r="J68" s="42"/>
      <c r="K68" s="4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2" t="s">
        <v>457</v>
      </c>
      <c r="C69" s="42" t="s">
        <v>1306</v>
      </c>
      <c r="D69" s="42" t="s">
        <v>482</v>
      </c>
      <c r="E69" s="34" t="s">
        <v>459</v>
      </c>
      <c r="F69" s="43" t="s">
        <v>459</v>
      </c>
      <c r="G69" s="31" t="s">
        <v>543</v>
      </c>
      <c r="H69" s="44" t="s">
        <v>461</v>
      </c>
      <c r="I69" s="42" t="s">
        <v>2833</v>
      </c>
      <c r="J69" s="42"/>
      <c r="K69" s="4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2" t="s">
        <v>774</v>
      </c>
      <c r="C70" s="42" t="s">
        <v>1306</v>
      </c>
      <c r="D70" s="42" t="s">
        <v>775</v>
      </c>
      <c r="E70" s="34" t="s">
        <v>459</v>
      </c>
      <c r="F70" s="43" t="s">
        <v>459</v>
      </c>
      <c r="G70" s="31" t="s">
        <v>543</v>
      </c>
      <c r="H70" s="44" t="s">
        <v>461</v>
      </c>
      <c r="I70" s="42" t="s">
        <v>2833</v>
      </c>
      <c r="J70" s="42"/>
      <c r="K70" s="4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2" t="s">
        <v>475</v>
      </c>
      <c r="C71" s="42" t="s">
        <v>2838</v>
      </c>
      <c r="D71" s="42" t="s">
        <v>477</v>
      </c>
      <c r="E71" s="34" t="s">
        <v>459</v>
      </c>
      <c r="F71" s="43" t="s">
        <v>459</v>
      </c>
      <c r="G71" s="31" t="s">
        <v>543</v>
      </c>
      <c r="H71" s="44" t="s">
        <v>461</v>
      </c>
      <c r="I71" s="42" t="s">
        <v>2833</v>
      </c>
      <c r="J71" s="42"/>
      <c r="K71" s="4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2" t="s">
        <v>475</v>
      </c>
      <c r="C72" s="42" t="s">
        <v>2838</v>
      </c>
      <c r="D72" s="42" t="s">
        <v>478</v>
      </c>
      <c r="E72" s="34" t="s">
        <v>459</v>
      </c>
      <c r="F72" s="43" t="s">
        <v>459</v>
      </c>
      <c r="G72" s="31" t="s">
        <v>543</v>
      </c>
      <c r="H72" s="44" t="s">
        <v>461</v>
      </c>
      <c r="I72" s="42" t="s">
        <v>2833</v>
      </c>
      <c r="J72" s="42"/>
      <c r="K72" s="45" t="n">
        <f aca="false">IF(AND(E72="yes",F72="yes",H72="covered"),1,IF(H72="partial",0.5,0))</f>
        <v>1</v>
      </c>
    </row>
    <row r="73" customFormat="false" ht="30" hidden="false" customHeight="true" outlineLevel="0" collapsed="false">
      <c r="A73" s="31" t="n">
        <v>65</v>
      </c>
      <c r="B73" s="42" t="s">
        <v>479</v>
      </c>
      <c r="C73" s="42" t="s">
        <v>2838</v>
      </c>
      <c r="D73" s="42" t="s">
        <v>480</v>
      </c>
      <c r="E73" s="34" t="s">
        <v>459</v>
      </c>
      <c r="F73" s="43" t="s">
        <v>459</v>
      </c>
      <c r="G73" s="31" t="s">
        <v>543</v>
      </c>
      <c r="H73" s="44" t="s">
        <v>461</v>
      </c>
      <c r="I73" s="42" t="s">
        <v>2833</v>
      </c>
      <c r="J73" s="42"/>
      <c r="K73" s="4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2" t="s">
        <v>479</v>
      </c>
      <c r="C74" s="42" t="s">
        <v>2838</v>
      </c>
      <c r="D74" s="42" t="s">
        <v>481</v>
      </c>
      <c r="E74" s="34" t="s">
        <v>459</v>
      </c>
      <c r="F74" s="43" t="s">
        <v>459</v>
      </c>
      <c r="G74" s="31" t="s">
        <v>543</v>
      </c>
      <c r="H74" s="44" t="s">
        <v>461</v>
      </c>
      <c r="I74" s="42" t="s">
        <v>2833</v>
      </c>
      <c r="J74" s="42"/>
      <c r="K74" s="4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2" t="s">
        <v>457</v>
      </c>
      <c r="C75" s="42" t="s">
        <v>2838</v>
      </c>
      <c r="D75" s="42" t="s">
        <v>482</v>
      </c>
      <c r="E75" s="34" t="s">
        <v>459</v>
      </c>
      <c r="F75" s="43" t="s">
        <v>459</v>
      </c>
      <c r="G75" s="31" t="s">
        <v>543</v>
      </c>
      <c r="H75" s="44" t="s">
        <v>461</v>
      </c>
      <c r="I75" s="42" t="s">
        <v>2833</v>
      </c>
      <c r="J75" s="42"/>
      <c r="K75" s="4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2" t="s">
        <v>774</v>
      </c>
      <c r="C76" s="42" t="s">
        <v>2838</v>
      </c>
      <c r="D76" s="42" t="s">
        <v>775</v>
      </c>
      <c r="E76" s="34" t="s">
        <v>459</v>
      </c>
      <c r="F76" s="43" t="s">
        <v>459</v>
      </c>
      <c r="G76" s="31" t="s">
        <v>543</v>
      </c>
      <c r="H76" s="44" t="s">
        <v>461</v>
      </c>
      <c r="I76" s="42" t="s">
        <v>2833</v>
      </c>
      <c r="J76" s="42"/>
      <c r="K76" s="45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2" t="s">
        <v>475</v>
      </c>
      <c r="C77" s="42" t="s">
        <v>2839</v>
      </c>
      <c r="D77" s="42" t="s">
        <v>477</v>
      </c>
      <c r="E77" s="34" t="s">
        <v>459</v>
      </c>
      <c r="F77" s="43" t="s">
        <v>459</v>
      </c>
      <c r="G77" s="31" t="s">
        <v>543</v>
      </c>
      <c r="H77" s="44" t="s">
        <v>461</v>
      </c>
      <c r="I77" s="42" t="s">
        <v>2833</v>
      </c>
      <c r="J77" s="42"/>
      <c r="K77" s="4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2" t="s">
        <v>475</v>
      </c>
      <c r="C78" s="42" t="s">
        <v>2839</v>
      </c>
      <c r="D78" s="42" t="s">
        <v>478</v>
      </c>
      <c r="E78" s="34" t="s">
        <v>459</v>
      </c>
      <c r="F78" s="43" t="s">
        <v>459</v>
      </c>
      <c r="G78" s="31" t="s">
        <v>543</v>
      </c>
      <c r="H78" s="44" t="s">
        <v>461</v>
      </c>
      <c r="I78" s="42" t="s">
        <v>2833</v>
      </c>
      <c r="J78" s="42"/>
      <c r="K78" s="45" t="n">
        <f aca="false">IF(AND(E78="yes",F78="yes",H78="covered"),1,IF(H78="partial",0.5,0))</f>
        <v>1</v>
      </c>
    </row>
    <row r="79" customFormat="false" ht="30" hidden="false" customHeight="true" outlineLevel="0" collapsed="false">
      <c r="A79" s="31" t="n">
        <v>71</v>
      </c>
      <c r="B79" s="42" t="s">
        <v>479</v>
      </c>
      <c r="C79" s="42" t="s">
        <v>2839</v>
      </c>
      <c r="D79" s="42" t="s">
        <v>480</v>
      </c>
      <c r="E79" s="34" t="s">
        <v>459</v>
      </c>
      <c r="F79" s="43" t="s">
        <v>459</v>
      </c>
      <c r="G79" s="31" t="s">
        <v>543</v>
      </c>
      <c r="H79" s="44" t="s">
        <v>461</v>
      </c>
      <c r="I79" s="42" t="s">
        <v>2833</v>
      </c>
      <c r="J79" s="42"/>
      <c r="K79" s="4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2" t="s">
        <v>479</v>
      </c>
      <c r="C80" s="42" t="s">
        <v>2839</v>
      </c>
      <c r="D80" s="42" t="s">
        <v>481</v>
      </c>
      <c r="E80" s="34" t="s">
        <v>459</v>
      </c>
      <c r="F80" s="43" t="s">
        <v>459</v>
      </c>
      <c r="G80" s="31" t="s">
        <v>543</v>
      </c>
      <c r="H80" s="44" t="s">
        <v>461</v>
      </c>
      <c r="I80" s="42" t="s">
        <v>2833</v>
      </c>
      <c r="J80" s="42"/>
      <c r="K80" s="4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2" t="s">
        <v>457</v>
      </c>
      <c r="C81" s="42" t="s">
        <v>2839</v>
      </c>
      <c r="D81" s="42" t="s">
        <v>482</v>
      </c>
      <c r="E81" s="34" t="s">
        <v>459</v>
      </c>
      <c r="F81" s="43" t="s">
        <v>459</v>
      </c>
      <c r="G81" s="31" t="s">
        <v>543</v>
      </c>
      <c r="H81" s="44" t="s">
        <v>461</v>
      </c>
      <c r="I81" s="42" t="s">
        <v>2833</v>
      </c>
      <c r="J81" s="42"/>
      <c r="K81" s="4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2" t="s">
        <v>774</v>
      </c>
      <c r="C82" s="42" t="s">
        <v>2839</v>
      </c>
      <c r="D82" s="42" t="s">
        <v>775</v>
      </c>
      <c r="E82" s="34" t="s">
        <v>459</v>
      </c>
      <c r="F82" s="43" t="s">
        <v>459</v>
      </c>
      <c r="G82" s="31" t="s">
        <v>543</v>
      </c>
      <c r="H82" s="44" t="s">
        <v>461</v>
      </c>
      <c r="I82" s="42" t="s">
        <v>2833</v>
      </c>
      <c r="J82" s="42"/>
      <c r="K82" s="45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2" t="s">
        <v>475</v>
      </c>
      <c r="C83" s="42" t="s">
        <v>2840</v>
      </c>
      <c r="D83" s="42" t="s">
        <v>477</v>
      </c>
      <c r="E83" s="34" t="s">
        <v>459</v>
      </c>
      <c r="F83" s="43" t="s">
        <v>459</v>
      </c>
      <c r="G83" s="31" t="s">
        <v>543</v>
      </c>
      <c r="H83" s="44" t="s">
        <v>461</v>
      </c>
      <c r="I83" s="42" t="s">
        <v>2833</v>
      </c>
      <c r="J83" s="42"/>
      <c r="K83" s="4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2" t="s">
        <v>475</v>
      </c>
      <c r="C84" s="42" t="s">
        <v>2840</v>
      </c>
      <c r="D84" s="42" t="s">
        <v>478</v>
      </c>
      <c r="E84" s="34" t="s">
        <v>459</v>
      </c>
      <c r="F84" s="43" t="s">
        <v>459</v>
      </c>
      <c r="G84" s="31" t="s">
        <v>543</v>
      </c>
      <c r="H84" s="44" t="s">
        <v>461</v>
      </c>
      <c r="I84" s="42" t="s">
        <v>2833</v>
      </c>
      <c r="J84" s="42"/>
      <c r="K84" s="45" t="n">
        <f aca="false">IF(AND(E84="yes",F84="yes",H84="covered"),1,IF(H84="partial",0.5,0))</f>
        <v>1</v>
      </c>
    </row>
    <row r="85" customFormat="false" ht="30" hidden="false" customHeight="true" outlineLevel="0" collapsed="false">
      <c r="A85" s="31" t="n">
        <v>77</v>
      </c>
      <c r="B85" s="42" t="s">
        <v>479</v>
      </c>
      <c r="C85" s="42" t="s">
        <v>2840</v>
      </c>
      <c r="D85" s="42" t="s">
        <v>480</v>
      </c>
      <c r="E85" s="34" t="s">
        <v>459</v>
      </c>
      <c r="F85" s="43" t="s">
        <v>459</v>
      </c>
      <c r="G85" s="31" t="s">
        <v>543</v>
      </c>
      <c r="H85" s="44" t="s">
        <v>461</v>
      </c>
      <c r="I85" s="42" t="s">
        <v>2833</v>
      </c>
      <c r="J85" s="42"/>
      <c r="K85" s="4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2" t="s">
        <v>479</v>
      </c>
      <c r="C86" s="42" t="s">
        <v>2840</v>
      </c>
      <c r="D86" s="42" t="s">
        <v>481</v>
      </c>
      <c r="E86" s="34" t="s">
        <v>459</v>
      </c>
      <c r="F86" s="43" t="s">
        <v>459</v>
      </c>
      <c r="G86" s="31" t="s">
        <v>543</v>
      </c>
      <c r="H86" s="44" t="s">
        <v>461</v>
      </c>
      <c r="I86" s="42" t="s">
        <v>2833</v>
      </c>
      <c r="J86" s="42"/>
      <c r="K86" s="4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2" t="s">
        <v>457</v>
      </c>
      <c r="C87" s="42" t="s">
        <v>2840</v>
      </c>
      <c r="D87" s="42" t="s">
        <v>482</v>
      </c>
      <c r="E87" s="34" t="s">
        <v>459</v>
      </c>
      <c r="F87" s="43" t="s">
        <v>459</v>
      </c>
      <c r="G87" s="31" t="s">
        <v>543</v>
      </c>
      <c r="H87" s="44" t="s">
        <v>461</v>
      </c>
      <c r="I87" s="42" t="s">
        <v>2833</v>
      </c>
      <c r="J87" s="42"/>
      <c r="K87" s="4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2" t="s">
        <v>774</v>
      </c>
      <c r="C88" s="42" t="s">
        <v>2840</v>
      </c>
      <c r="D88" s="42" t="s">
        <v>775</v>
      </c>
      <c r="E88" s="34" t="s">
        <v>459</v>
      </c>
      <c r="F88" s="43" t="s">
        <v>459</v>
      </c>
      <c r="G88" s="31" t="s">
        <v>543</v>
      </c>
      <c r="H88" s="44" t="s">
        <v>461</v>
      </c>
      <c r="I88" s="42" t="s">
        <v>2833</v>
      </c>
      <c r="J88" s="42"/>
      <c r="K88" s="4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2" t="s">
        <v>475</v>
      </c>
      <c r="C89" s="42" t="s">
        <v>2841</v>
      </c>
      <c r="D89" s="42" t="s">
        <v>477</v>
      </c>
      <c r="E89" s="34" t="s">
        <v>459</v>
      </c>
      <c r="F89" s="43" t="s">
        <v>459</v>
      </c>
      <c r="G89" s="31" t="s">
        <v>543</v>
      </c>
      <c r="H89" s="44" t="s">
        <v>461</v>
      </c>
      <c r="I89" s="42" t="s">
        <v>2833</v>
      </c>
      <c r="J89" s="42"/>
      <c r="K89" s="4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2" t="s">
        <v>475</v>
      </c>
      <c r="C90" s="42" t="s">
        <v>2841</v>
      </c>
      <c r="D90" s="42" t="s">
        <v>478</v>
      </c>
      <c r="E90" s="34" t="s">
        <v>459</v>
      </c>
      <c r="F90" s="43" t="s">
        <v>459</v>
      </c>
      <c r="G90" s="31" t="s">
        <v>543</v>
      </c>
      <c r="H90" s="44" t="s">
        <v>461</v>
      </c>
      <c r="I90" s="42" t="s">
        <v>2833</v>
      </c>
      <c r="J90" s="42"/>
      <c r="K90" s="45" t="n">
        <f aca="false">IF(AND(E90="yes",F90="yes",H90="covered"),1,IF(H90="partial",0.5,0))</f>
        <v>1</v>
      </c>
    </row>
    <row r="91" customFormat="false" ht="30" hidden="false" customHeight="true" outlineLevel="0" collapsed="false">
      <c r="A91" s="31" t="n">
        <v>83</v>
      </c>
      <c r="B91" s="42" t="s">
        <v>479</v>
      </c>
      <c r="C91" s="42" t="s">
        <v>2841</v>
      </c>
      <c r="D91" s="42" t="s">
        <v>480</v>
      </c>
      <c r="E91" s="34" t="s">
        <v>459</v>
      </c>
      <c r="F91" s="43" t="s">
        <v>459</v>
      </c>
      <c r="G91" s="31" t="s">
        <v>543</v>
      </c>
      <c r="H91" s="44" t="s">
        <v>461</v>
      </c>
      <c r="I91" s="42" t="s">
        <v>2833</v>
      </c>
      <c r="J91" s="42"/>
      <c r="K91" s="4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2" t="s">
        <v>479</v>
      </c>
      <c r="C92" s="42" t="s">
        <v>2841</v>
      </c>
      <c r="D92" s="42" t="s">
        <v>481</v>
      </c>
      <c r="E92" s="34" t="s">
        <v>459</v>
      </c>
      <c r="F92" s="43" t="s">
        <v>459</v>
      </c>
      <c r="G92" s="31" t="s">
        <v>543</v>
      </c>
      <c r="H92" s="44" t="s">
        <v>461</v>
      </c>
      <c r="I92" s="42" t="s">
        <v>2833</v>
      </c>
      <c r="J92" s="42"/>
      <c r="K92" s="4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2" t="s">
        <v>457</v>
      </c>
      <c r="C93" s="42" t="s">
        <v>2841</v>
      </c>
      <c r="D93" s="42" t="s">
        <v>482</v>
      </c>
      <c r="E93" s="34" t="s">
        <v>459</v>
      </c>
      <c r="F93" s="43" t="s">
        <v>459</v>
      </c>
      <c r="G93" s="31" t="s">
        <v>543</v>
      </c>
      <c r="H93" s="44" t="s">
        <v>461</v>
      </c>
      <c r="I93" s="42" t="s">
        <v>2833</v>
      </c>
      <c r="J93" s="42"/>
      <c r="K93" s="4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2" t="s">
        <v>774</v>
      </c>
      <c r="C94" s="42" t="s">
        <v>2841</v>
      </c>
      <c r="D94" s="42" t="s">
        <v>775</v>
      </c>
      <c r="E94" s="34" t="s">
        <v>459</v>
      </c>
      <c r="F94" s="43" t="s">
        <v>459</v>
      </c>
      <c r="G94" s="31" t="s">
        <v>543</v>
      </c>
      <c r="H94" s="44" t="s">
        <v>461</v>
      </c>
      <c r="I94" s="42" t="s">
        <v>2833</v>
      </c>
      <c r="J94" s="42"/>
      <c r="K94" s="4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2" t="s">
        <v>475</v>
      </c>
      <c r="C95" s="42" t="s">
        <v>2842</v>
      </c>
      <c r="D95" s="42" t="s">
        <v>477</v>
      </c>
      <c r="E95" s="34" t="s">
        <v>459</v>
      </c>
      <c r="F95" s="43" t="s">
        <v>459</v>
      </c>
      <c r="G95" s="31" t="s">
        <v>543</v>
      </c>
      <c r="H95" s="44" t="s">
        <v>461</v>
      </c>
      <c r="I95" s="42" t="s">
        <v>2833</v>
      </c>
      <c r="J95" s="42"/>
      <c r="K95" s="45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2" t="s">
        <v>475</v>
      </c>
      <c r="C96" s="42" t="s">
        <v>2842</v>
      </c>
      <c r="D96" s="42" t="s">
        <v>478</v>
      </c>
      <c r="E96" s="34" t="s">
        <v>459</v>
      </c>
      <c r="F96" s="43" t="s">
        <v>459</v>
      </c>
      <c r="G96" s="31" t="s">
        <v>543</v>
      </c>
      <c r="H96" s="44" t="s">
        <v>461</v>
      </c>
      <c r="I96" s="42" t="s">
        <v>2833</v>
      </c>
      <c r="J96" s="42"/>
      <c r="K96" s="45" t="n">
        <f aca="false">IF(AND(E96="yes",F96="yes",H96="covered"),1,IF(H96="partial",0.5,0))</f>
        <v>1</v>
      </c>
    </row>
    <row r="97" customFormat="false" ht="30" hidden="false" customHeight="true" outlineLevel="0" collapsed="false">
      <c r="A97" s="31" t="n">
        <v>89</v>
      </c>
      <c r="B97" s="42" t="s">
        <v>479</v>
      </c>
      <c r="C97" s="42" t="s">
        <v>2842</v>
      </c>
      <c r="D97" s="42" t="s">
        <v>480</v>
      </c>
      <c r="E97" s="34" t="s">
        <v>459</v>
      </c>
      <c r="F97" s="43" t="s">
        <v>459</v>
      </c>
      <c r="G97" s="31" t="s">
        <v>543</v>
      </c>
      <c r="H97" s="44" t="s">
        <v>461</v>
      </c>
      <c r="I97" s="42" t="s">
        <v>2833</v>
      </c>
      <c r="J97" s="42"/>
      <c r="K97" s="4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2" t="s">
        <v>479</v>
      </c>
      <c r="C98" s="42" t="s">
        <v>2842</v>
      </c>
      <c r="D98" s="42" t="s">
        <v>481</v>
      </c>
      <c r="E98" s="34" t="s">
        <v>459</v>
      </c>
      <c r="F98" s="43" t="s">
        <v>459</v>
      </c>
      <c r="G98" s="31" t="s">
        <v>543</v>
      </c>
      <c r="H98" s="44" t="s">
        <v>461</v>
      </c>
      <c r="I98" s="42" t="s">
        <v>2833</v>
      </c>
      <c r="J98" s="42"/>
      <c r="K98" s="45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2" t="s">
        <v>457</v>
      </c>
      <c r="C99" s="42" t="s">
        <v>2842</v>
      </c>
      <c r="D99" s="42" t="s">
        <v>482</v>
      </c>
      <c r="E99" s="34" t="s">
        <v>459</v>
      </c>
      <c r="F99" s="43" t="s">
        <v>459</v>
      </c>
      <c r="G99" s="31" t="s">
        <v>543</v>
      </c>
      <c r="H99" s="44" t="s">
        <v>461</v>
      </c>
      <c r="I99" s="42" t="s">
        <v>2833</v>
      </c>
      <c r="J99" s="42"/>
      <c r="K99" s="45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2" t="s">
        <v>774</v>
      </c>
      <c r="C100" s="42" t="s">
        <v>2842</v>
      </c>
      <c r="D100" s="42" t="s">
        <v>775</v>
      </c>
      <c r="E100" s="34" t="s">
        <v>459</v>
      </c>
      <c r="F100" s="43" t="s">
        <v>459</v>
      </c>
      <c r="G100" s="31" t="s">
        <v>543</v>
      </c>
      <c r="H100" s="44" t="s">
        <v>461</v>
      </c>
      <c r="I100" s="42" t="s">
        <v>2833</v>
      </c>
      <c r="J100" s="42"/>
      <c r="K100" s="45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2" t="s">
        <v>475</v>
      </c>
      <c r="C101" s="42" t="s">
        <v>2843</v>
      </c>
      <c r="D101" s="42" t="s">
        <v>477</v>
      </c>
      <c r="E101" s="34" t="s">
        <v>459</v>
      </c>
      <c r="F101" s="43" t="s">
        <v>459</v>
      </c>
      <c r="G101" s="31" t="s">
        <v>543</v>
      </c>
      <c r="H101" s="44" t="s">
        <v>461</v>
      </c>
      <c r="I101" s="42" t="s">
        <v>2833</v>
      </c>
      <c r="J101" s="42"/>
      <c r="K101" s="45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2" t="s">
        <v>475</v>
      </c>
      <c r="C102" s="42" t="s">
        <v>2843</v>
      </c>
      <c r="D102" s="42" t="s">
        <v>478</v>
      </c>
      <c r="E102" s="34" t="s">
        <v>459</v>
      </c>
      <c r="F102" s="43" t="s">
        <v>459</v>
      </c>
      <c r="G102" s="31" t="s">
        <v>543</v>
      </c>
      <c r="H102" s="44" t="s">
        <v>461</v>
      </c>
      <c r="I102" s="42" t="s">
        <v>2833</v>
      </c>
      <c r="J102" s="42"/>
      <c r="K102" s="45" t="n">
        <f aca="false">IF(AND(E102="yes",F102="yes",H102="covered"),1,IF(H102="partial",0.5,0))</f>
        <v>1</v>
      </c>
    </row>
    <row r="103" customFormat="false" ht="30" hidden="false" customHeight="true" outlineLevel="0" collapsed="false">
      <c r="A103" s="31" t="n">
        <v>95</v>
      </c>
      <c r="B103" s="42" t="s">
        <v>479</v>
      </c>
      <c r="C103" s="42" t="s">
        <v>2843</v>
      </c>
      <c r="D103" s="42" t="s">
        <v>480</v>
      </c>
      <c r="E103" s="34" t="s">
        <v>459</v>
      </c>
      <c r="F103" s="43" t="s">
        <v>459</v>
      </c>
      <c r="G103" s="31" t="s">
        <v>543</v>
      </c>
      <c r="H103" s="44" t="s">
        <v>461</v>
      </c>
      <c r="I103" s="42" t="s">
        <v>2833</v>
      </c>
      <c r="J103" s="42"/>
      <c r="K103" s="45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2" t="s">
        <v>479</v>
      </c>
      <c r="C104" s="42" t="s">
        <v>2843</v>
      </c>
      <c r="D104" s="42" t="s">
        <v>481</v>
      </c>
      <c r="E104" s="34" t="s">
        <v>459</v>
      </c>
      <c r="F104" s="43" t="s">
        <v>459</v>
      </c>
      <c r="G104" s="31" t="s">
        <v>543</v>
      </c>
      <c r="H104" s="44" t="s">
        <v>461</v>
      </c>
      <c r="I104" s="42" t="s">
        <v>2833</v>
      </c>
      <c r="J104" s="42"/>
      <c r="K104" s="45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2" t="s">
        <v>457</v>
      </c>
      <c r="C105" s="42" t="s">
        <v>2843</v>
      </c>
      <c r="D105" s="42" t="s">
        <v>482</v>
      </c>
      <c r="E105" s="34" t="s">
        <v>459</v>
      </c>
      <c r="F105" s="43" t="s">
        <v>459</v>
      </c>
      <c r="G105" s="31" t="s">
        <v>543</v>
      </c>
      <c r="H105" s="44" t="s">
        <v>461</v>
      </c>
      <c r="I105" s="42" t="s">
        <v>2833</v>
      </c>
      <c r="J105" s="42"/>
      <c r="K105" s="45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2" t="s">
        <v>774</v>
      </c>
      <c r="C106" s="42" t="s">
        <v>2843</v>
      </c>
      <c r="D106" s="42" t="s">
        <v>775</v>
      </c>
      <c r="E106" s="34" t="s">
        <v>459</v>
      </c>
      <c r="F106" s="43" t="s">
        <v>459</v>
      </c>
      <c r="G106" s="31" t="s">
        <v>543</v>
      </c>
      <c r="H106" s="44" t="s">
        <v>461</v>
      </c>
      <c r="I106" s="42" t="s">
        <v>2833</v>
      </c>
      <c r="J106" s="42"/>
      <c r="K106" s="45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2" t="s">
        <v>475</v>
      </c>
      <c r="C107" s="42" t="s">
        <v>2844</v>
      </c>
      <c r="D107" s="42" t="s">
        <v>477</v>
      </c>
      <c r="E107" s="34" t="s">
        <v>459</v>
      </c>
      <c r="F107" s="43" t="s">
        <v>459</v>
      </c>
      <c r="G107" s="31" t="s">
        <v>543</v>
      </c>
      <c r="H107" s="44" t="s">
        <v>461</v>
      </c>
      <c r="I107" s="42" t="s">
        <v>2833</v>
      </c>
      <c r="J107" s="42"/>
      <c r="K107" s="45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2" t="s">
        <v>475</v>
      </c>
      <c r="C108" s="42" t="s">
        <v>2844</v>
      </c>
      <c r="D108" s="42" t="s">
        <v>478</v>
      </c>
      <c r="E108" s="34" t="s">
        <v>459</v>
      </c>
      <c r="F108" s="43" t="s">
        <v>459</v>
      </c>
      <c r="G108" s="31" t="s">
        <v>543</v>
      </c>
      <c r="H108" s="44" t="s">
        <v>461</v>
      </c>
      <c r="I108" s="42" t="s">
        <v>2833</v>
      </c>
      <c r="J108" s="42"/>
      <c r="K108" s="45" t="n">
        <f aca="false">IF(AND(E108="yes",F108="yes",H108="covered"),1,IF(H108="partial",0.5,0))</f>
        <v>1</v>
      </c>
    </row>
    <row r="109" customFormat="false" ht="30" hidden="false" customHeight="true" outlineLevel="0" collapsed="false">
      <c r="A109" s="31" t="n">
        <v>101</v>
      </c>
      <c r="B109" s="42" t="s">
        <v>479</v>
      </c>
      <c r="C109" s="42" t="s">
        <v>2844</v>
      </c>
      <c r="D109" s="42" t="s">
        <v>480</v>
      </c>
      <c r="E109" s="34" t="s">
        <v>459</v>
      </c>
      <c r="F109" s="43" t="s">
        <v>459</v>
      </c>
      <c r="G109" s="31" t="s">
        <v>543</v>
      </c>
      <c r="H109" s="44" t="s">
        <v>461</v>
      </c>
      <c r="I109" s="42" t="s">
        <v>2833</v>
      </c>
      <c r="J109" s="42"/>
      <c r="K109" s="45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2" t="s">
        <v>479</v>
      </c>
      <c r="C110" s="42" t="s">
        <v>2844</v>
      </c>
      <c r="D110" s="42" t="s">
        <v>481</v>
      </c>
      <c r="E110" s="34" t="s">
        <v>459</v>
      </c>
      <c r="F110" s="43" t="s">
        <v>459</v>
      </c>
      <c r="G110" s="31" t="s">
        <v>543</v>
      </c>
      <c r="H110" s="44" t="s">
        <v>461</v>
      </c>
      <c r="I110" s="42" t="s">
        <v>2833</v>
      </c>
      <c r="J110" s="42"/>
      <c r="K110" s="45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2" t="s">
        <v>457</v>
      </c>
      <c r="C111" s="42" t="s">
        <v>2844</v>
      </c>
      <c r="D111" s="42" t="s">
        <v>482</v>
      </c>
      <c r="E111" s="34" t="s">
        <v>459</v>
      </c>
      <c r="F111" s="43" t="s">
        <v>459</v>
      </c>
      <c r="G111" s="31" t="s">
        <v>543</v>
      </c>
      <c r="H111" s="44" t="s">
        <v>461</v>
      </c>
      <c r="I111" s="42" t="s">
        <v>2833</v>
      </c>
      <c r="J111" s="42"/>
      <c r="K111" s="45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2" t="s">
        <v>774</v>
      </c>
      <c r="C112" s="42" t="s">
        <v>2844</v>
      </c>
      <c r="D112" s="42" t="s">
        <v>775</v>
      </c>
      <c r="E112" s="34" t="s">
        <v>459</v>
      </c>
      <c r="F112" s="43" t="s">
        <v>459</v>
      </c>
      <c r="G112" s="31" t="s">
        <v>543</v>
      </c>
      <c r="H112" s="44" t="s">
        <v>461</v>
      </c>
      <c r="I112" s="42" t="s">
        <v>2833</v>
      </c>
      <c r="J112" s="42"/>
      <c r="K112" s="45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2" t="s">
        <v>475</v>
      </c>
      <c r="C113" s="42" t="s">
        <v>2845</v>
      </c>
      <c r="D113" s="42" t="s">
        <v>477</v>
      </c>
      <c r="E113" s="34" t="s">
        <v>459</v>
      </c>
      <c r="F113" s="43" t="s">
        <v>459</v>
      </c>
      <c r="G113" s="31" t="s">
        <v>543</v>
      </c>
      <c r="H113" s="44" t="s">
        <v>461</v>
      </c>
      <c r="I113" s="42" t="s">
        <v>2833</v>
      </c>
      <c r="J113" s="42"/>
      <c r="K113" s="45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31" t="n">
        <v>106</v>
      </c>
      <c r="B114" s="42" t="s">
        <v>475</v>
      </c>
      <c r="C114" s="42" t="s">
        <v>2845</v>
      </c>
      <c r="D114" s="42" t="s">
        <v>478</v>
      </c>
      <c r="E114" s="34" t="s">
        <v>459</v>
      </c>
      <c r="F114" s="43" t="s">
        <v>459</v>
      </c>
      <c r="G114" s="31" t="s">
        <v>543</v>
      </c>
      <c r="H114" s="44" t="s">
        <v>461</v>
      </c>
      <c r="I114" s="42" t="s">
        <v>2833</v>
      </c>
      <c r="J114" s="42"/>
      <c r="K114" s="45" t="n">
        <f aca="false">IF(AND(E114="yes",F114="yes",H114="covered"),1,IF(H114="partial",0.5,0))</f>
        <v>1</v>
      </c>
    </row>
    <row r="115" customFormat="false" ht="30" hidden="false" customHeight="true" outlineLevel="0" collapsed="false">
      <c r="A115" s="31" t="n">
        <v>107</v>
      </c>
      <c r="B115" s="42" t="s">
        <v>479</v>
      </c>
      <c r="C115" s="42" t="s">
        <v>2845</v>
      </c>
      <c r="D115" s="42" t="s">
        <v>480</v>
      </c>
      <c r="E115" s="34" t="s">
        <v>459</v>
      </c>
      <c r="F115" s="43" t="s">
        <v>459</v>
      </c>
      <c r="G115" s="31" t="s">
        <v>543</v>
      </c>
      <c r="H115" s="44" t="s">
        <v>461</v>
      </c>
      <c r="I115" s="42" t="s">
        <v>2833</v>
      </c>
      <c r="J115" s="42"/>
      <c r="K115" s="45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2" t="s">
        <v>479</v>
      </c>
      <c r="C116" s="42" t="s">
        <v>2845</v>
      </c>
      <c r="D116" s="42" t="s">
        <v>481</v>
      </c>
      <c r="E116" s="34" t="s">
        <v>459</v>
      </c>
      <c r="F116" s="43" t="s">
        <v>459</v>
      </c>
      <c r="G116" s="31" t="s">
        <v>543</v>
      </c>
      <c r="H116" s="44" t="s">
        <v>461</v>
      </c>
      <c r="I116" s="42" t="s">
        <v>2833</v>
      </c>
      <c r="J116" s="42"/>
      <c r="K116" s="45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2" t="s">
        <v>457</v>
      </c>
      <c r="C117" s="42" t="s">
        <v>2845</v>
      </c>
      <c r="D117" s="42" t="s">
        <v>482</v>
      </c>
      <c r="E117" s="34" t="s">
        <v>459</v>
      </c>
      <c r="F117" s="43" t="s">
        <v>459</v>
      </c>
      <c r="G117" s="31" t="s">
        <v>543</v>
      </c>
      <c r="H117" s="44" t="s">
        <v>461</v>
      </c>
      <c r="I117" s="42" t="s">
        <v>2833</v>
      </c>
      <c r="J117" s="42"/>
      <c r="K117" s="45" t="n">
        <f aca="false">IF(AND(E117="yes",F117="yes",H117="covered"),1,IF(H117="partial",0.5,0))</f>
        <v>1</v>
      </c>
    </row>
    <row r="118" customFormat="false" ht="15" hidden="false" customHeight="true" outlineLevel="0" collapsed="false">
      <c r="A118" s="31" t="n">
        <v>110</v>
      </c>
      <c r="B118" s="42" t="s">
        <v>774</v>
      </c>
      <c r="C118" s="42" t="s">
        <v>2845</v>
      </c>
      <c r="D118" s="42" t="s">
        <v>775</v>
      </c>
      <c r="E118" s="34" t="s">
        <v>459</v>
      </c>
      <c r="F118" s="43" t="s">
        <v>459</v>
      </c>
      <c r="G118" s="31" t="s">
        <v>543</v>
      </c>
      <c r="H118" s="44" t="s">
        <v>461</v>
      </c>
      <c r="I118" s="42" t="s">
        <v>2833</v>
      </c>
      <c r="J118" s="42"/>
      <c r="K118" s="45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31" t="n">
        <v>111</v>
      </c>
      <c r="B119" s="42" t="s">
        <v>475</v>
      </c>
      <c r="C119" s="42" t="s">
        <v>503</v>
      </c>
      <c r="D119" s="42" t="s">
        <v>477</v>
      </c>
      <c r="E119" s="34" t="s">
        <v>459</v>
      </c>
      <c r="F119" s="43" t="s">
        <v>459</v>
      </c>
      <c r="G119" s="31" t="s">
        <v>543</v>
      </c>
      <c r="H119" s="44" t="s">
        <v>461</v>
      </c>
      <c r="I119" s="42" t="s">
        <v>2833</v>
      </c>
      <c r="J119" s="42"/>
      <c r="K119" s="45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31" t="n">
        <v>112</v>
      </c>
      <c r="B120" s="42" t="s">
        <v>475</v>
      </c>
      <c r="C120" s="42" t="s">
        <v>503</v>
      </c>
      <c r="D120" s="42" t="s">
        <v>478</v>
      </c>
      <c r="E120" s="34" t="s">
        <v>459</v>
      </c>
      <c r="F120" s="43" t="s">
        <v>459</v>
      </c>
      <c r="G120" s="31" t="s">
        <v>543</v>
      </c>
      <c r="H120" s="44" t="s">
        <v>461</v>
      </c>
      <c r="I120" s="42" t="s">
        <v>2833</v>
      </c>
      <c r="J120" s="42"/>
      <c r="K120" s="45" t="n">
        <f aca="false">IF(AND(E120="yes",F120="yes",H120="covered"),1,IF(H120="partial",0.5,0))</f>
        <v>1</v>
      </c>
    </row>
    <row r="121" customFormat="false" ht="30" hidden="false" customHeight="true" outlineLevel="0" collapsed="false">
      <c r="A121" s="31" t="n">
        <v>113</v>
      </c>
      <c r="B121" s="42" t="s">
        <v>479</v>
      </c>
      <c r="C121" s="42" t="s">
        <v>503</v>
      </c>
      <c r="D121" s="42" t="s">
        <v>480</v>
      </c>
      <c r="E121" s="34" t="s">
        <v>459</v>
      </c>
      <c r="F121" s="43" t="s">
        <v>459</v>
      </c>
      <c r="G121" s="31" t="s">
        <v>543</v>
      </c>
      <c r="H121" s="44" t="s">
        <v>461</v>
      </c>
      <c r="I121" s="42" t="s">
        <v>2833</v>
      </c>
      <c r="J121" s="42"/>
      <c r="K121" s="45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31" t="n">
        <v>114</v>
      </c>
      <c r="B122" s="42" t="s">
        <v>479</v>
      </c>
      <c r="C122" s="42" t="s">
        <v>503</v>
      </c>
      <c r="D122" s="42" t="s">
        <v>481</v>
      </c>
      <c r="E122" s="34" t="s">
        <v>459</v>
      </c>
      <c r="F122" s="43" t="s">
        <v>459</v>
      </c>
      <c r="G122" s="31" t="s">
        <v>543</v>
      </c>
      <c r="H122" s="44" t="s">
        <v>461</v>
      </c>
      <c r="I122" s="42" t="s">
        <v>2833</v>
      </c>
      <c r="J122" s="42"/>
      <c r="K122" s="45" t="n">
        <f aca="false">IF(AND(E122="yes",F122="yes",H122="covered"),1,IF(H122="partial",0.5,0))</f>
        <v>1</v>
      </c>
    </row>
    <row r="123" customFormat="false" ht="15" hidden="false" customHeight="true" outlineLevel="0" collapsed="false">
      <c r="A123" s="31" t="n">
        <v>115</v>
      </c>
      <c r="B123" s="42" t="s">
        <v>457</v>
      </c>
      <c r="C123" s="42" t="s">
        <v>503</v>
      </c>
      <c r="D123" s="42" t="s">
        <v>482</v>
      </c>
      <c r="E123" s="34" t="s">
        <v>459</v>
      </c>
      <c r="F123" s="43" t="s">
        <v>459</v>
      </c>
      <c r="G123" s="31" t="s">
        <v>543</v>
      </c>
      <c r="H123" s="44" t="s">
        <v>461</v>
      </c>
      <c r="I123" s="42" t="s">
        <v>2833</v>
      </c>
      <c r="J123" s="42"/>
      <c r="K123" s="45" t="n">
        <f aca="false">IF(AND(E123="yes",F123="yes",H123="covered"),1,IF(H123="partial",0.5,0))</f>
        <v>1</v>
      </c>
    </row>
    <row r="124" customFormat="false" ht="15" hidden="false" customHeight="true" outlineLevel="0" collapsed="false">
      <c r="A124" s="31" t="n">
        <v>116</v>
      </c>
      <c r="B124" s="42" t="s">
        <v>774</v>
      </c>
      <c r="C124" s="42" t="s">
        <v>503</v>
      </c>
      <c r="D124" s="42" t="s">
        <v>775</v>
      </c>
      <c r="E124" s="34" t="s">
        <v>459</v>
      </c>
      <c r="F124" s="43" t="s">
        <v>459</v>
      </c>
      <c r="G124" s="31" t="s">
        <v>543</v>
      </c>
      <c r="H124" s="44" t="s">
        <v>461</v>
      </c>
      <c r="I124" s="42" t="s">
        <v>2833</v>
      </c>
      <c r="J124" s="42"/>
      <c r="K124" s="45" t="n">
        <f aca="false">IF(AND(E124="yes",F124="yes",H124="covered"),1,IF(H124="partial",0.5,0))</f>
        <v>1</v>
      </c>
    </row>
    <row r="125" customFormat="false" ht="15" hidden="false" customHeight="true" outlineLevel="0" collapsed="false">
      <c r="A125" s="31" t="n">
        <v>117</v>
      </c>
      <c r="B125" s="42" t="s">
        <v>475</v>
      </c>
      <c r="C125" s="42" t="s">
        <v>1307</v>
      </c>
      <c r="D125" s="42" t="s">
        <v>477</v>
      </c>
      <c r="E125" s="34" t="s">
        <v>459</v>
      </c>
      <c r="F125" s="43" t="s">
        <v>459</v>
      </c>
      <c r="G125" s="31" t="s">
        <v>543</v>
      </c>
      <c r="H125" s="44" t="s">
        <v>461</v>
      </c>
      <c r="I125" s="42" t="s">
        <v>2833</v>
      </c>
      <c r="J125" s="42"/>
      <c r="K125" s="45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31" t="n">
        <v>118</v>
      </c>
      <c r="B126" s="42" t="s">
        <v>475</v>
      </c>
      <c r="C126" s="42" t="s">
        <v>1307</v>
      </c>
      <c r="D126" s="42" t="s">
        <v>478</v>
      </c>
      <c r="E126" s="34" t="s">
        <v>459</v>
      </c>
      <c r="F126" s="43" t="s">
        <v>459</v>
      </c>
      <c r="G126" s="31" t="s">
        <v>543</v>
      </c>
      <c r="H126" s="44" t="s">
        <v>461</v>
      </c>
      <c r="I126" s="42" t="s">
        <v>2833</v>
      </c>
      <c r="J126" s="42"/>
      <c r="K126" s="45" t="n">
        <f aca="false">IF(AND(E126="yes",F126="yes",H126="covered"),1,IF(H126="partial",0.5,0))</f>
        <v>1</v>
      </c>
    </row>
    <row r="127" customFormat="false" ht="30" hidden="false" customHeight="true" outlineLevel="0" collapsed="false">
      <c r="A127" s="31" t="n">
        <v>119</v>
      </c>
      <c r="B127" s="42" t="s">
        <v>479</v>
      </c>
      <c r="C127" s="42" t="s">
        <v>1307</v>
      </c>
      <c r="D127" s="42" t="s">
        <v>480</v>
      </c>
      <c r="E127" s="34" t="s">
        <v>459</v>
      </c>
      <c r="F127" s="43" t="s">
        <v>459</v>
      </c>
      <c r="G127" s="31" t="s">
        <v>543</v>
      </c>
      <c r="H127" s="44" t="s">
        <v>461</v>
      </c>
      <c r="I127" s="42" t="s">
        <v>2833</v>
      </c>
      <c r="J127" s="42"/>
      <c r="K127" s="45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31" t="n">
        <v>120</v>
      </c>
      <c r="B128" s="42" t="s">
        <v>479</v>
      </c>
      <c r="C128" s="42" t="s">
        <v>1307</v>
      </c>
      <c r="D128" s="42" t="s">
        <v>481</v>
      </c>
      <c r="E128" s="34" t="s">
        <v>459</v>
      </c>
      <c r="F128" s="43" t="s">
        <v>459</v>
      </c>
      <c r="G128" s="31" t="s">
        <v>543</v>
      </c>
      <c r="H128" s="44" t="s">
        <v>461</v>
      </c>
      <c r="I128" s="42" t="s">
        <v>2833</v>
      </c>
      <c r="J128" s="42"/>
      <c r="K128" s="45" t="n">
        <f aca="false">IF(AND(E128="yes",F128="yes",H128="covered"),1,IF(H128="partial",0.5,0))</f>
        <v>1</v>
      </c>
    </row>
    <row r="129" customFormat="false" ht="15" hidden="false" customHeight="true" outlineLevel="0" collapsed="false">
      <c r="A129" s="31" t="n">
        <v>121</v>
      </c>
      <c r="B129" s="42" t="s">
        <v>457</v>
      </c>
      <c r="C129" s="42" t="s">
        <v>1307</v>
      </c>
      <c r="D129" s="42" t="s">
        <v>482</v>
      </c>
      <c r="E129" s="34" t="s">
        <v>459</v>
      </c>
      <c r="F129" s="43" t="s">
        <v>459</v>
      </c>
      <c r="G129" s="31" t="s">
        <v>543</v>
      </c>
      <c r="H129" s="44" t="s">
        <v>461</v>
      </c>
      <c r="I129" s="42" t="s">
        <v>2833</v>
      </c>
      <c r="J129" s="42"/>
      <c r="K129" s="45" t="n">
        <f aca="false">IF(AND(E129="yes",F129="yes",H129="covered"),1,IF(H129="partial",0.5,0))</f>
        <v>1</v>
      </c>
    </row>
    <row r="130" customFormat="false" ht="15" hidden="false" customHeight="true" outlineLevel="0" collapsed="false">
      <c r="A130" s="31" t="n">
        <v>122</v>
      </c>
      <c r="B130" s="42" t="s">
        <v>774</v>
      </c>
      <c r="C130" s="42" t="s">
        <v>1307</v>
      </c>
      <c r="D130" s="42" t="s">
        <v>775</v>
      </c>
      <c r="E130" s="34" t="s">
        <v>459</v>
      </c>
      <c r="F130" s="43" t="s">
        <v>459</v>
      </c>
      <c r="G130" s="31" t="s">
        <v>543</v>
      </c>
      <c r="H130" s="44" t="s">
        <v>461</v>
      </c>
      <c r="I130" s="42" t="s">
        <v>2833</v>
      </c>
      <c r="J130" s="42"/>
      <c r="K130" s="45" t="n">
        <f aca="false">IF(AND(E130="yes",F130="yes",H130="covered"),1,IF(H130="partial",0.5,0))</f>
        <v>1</v>
      </c>
    </row>
    <row r="131" customFormat="false" ht="15" hidden="false" customHeight="true" outlineLevel="0" collapsed="false">
      <c r="A131" s="31" t="n">
        <v>123</v>
      </c>
      <c r="B131" s="42" t="s">
        <v>486</v>
      </c>
      <c r="C131" s="42" t="s">
        <v>1307</v>
      </c>
      <c r="D131" s="42" t="s">
        <v>1308</v>
      </c>
      <c r="E131" s="34" t="s">
        <v>459</v>
      </c>
      <c r="F131" s="43" t="s">
        <v>459</v>
      </c>
      <c r="G131" s="31" t="s">
        <v>543</v>
      </c>
      <c r="H131" s="44" t="s">
        <v>461</v>
      </c>
      <c r="I131" s="42" t="s">
        <v>2833</v>
      </c>
      <c r="J131" s="42"/>
      <c r="K131" s="45" t="n">
        <f aca="false">IF(AND(E131="yes",F131="yes",H131="covered"),1,IF(H131="partial",0.5,0))</f>
        <v>1</v>
      </c>
    </row>
    <row r="132" customFormat="false" ht="15" hidden="false" customHeight="true" outlineLevel="0" collapsed="false">
      <c r="A132" s="31" t="n">
        <v>124</v>
      </c>
      <c r="B132" s="42" t="s">
        <v>486</v>
      </c>
      <c r="C132" s="42" t="s">
        <v>1307</v>
      </c>
      <c r="D132" s="42" t="s">
        <v>1302</v>
      </c>
      <c r="E132" s="34" t="s">
        <v>459</v>
      </c>
      <c r="F132" s="43" t="s">
        <v>459</v>
      </c>
      <c r="G132" s="31" t="s">
        <v>543</v>
      </c>
      <c r="H132" s="44" t="s">
        <v>461</v>
      </c>
      <c r="I132" s="42" t="s">
        <v>2833</v>
      </c>
      <c r="J132" s="42"/>
      <c r="K132" s="45" t="n">
        <f aca="false">IF(AND(E132="yes",F132="yes",H132="covered"),1,IF(H132="partial",0.5,0))</f>
        <v>1</v>
      </c>
    </row>
    <row r="133" customFormat="false" ht="15" hidden="false" customHeight="true" outlineLevel="0" collapsed="false">
      <c r="A133" s="31" t="n">
        <v>125</v>
      </c>
      <c r="B133" s="42" t="s">
        <v>488</v>
      </c>
      <c r="C133" s="42" t="s">
        <v>1307</v>
      </c>
      <c r="D133" s="42" t="s">
        <v>489</v>
      </c>
      <c r="E133" s="34" t="s">
        <v>459</v>
      </c>
      <c r="F133" s="43" t="s">
        <v>459</v>
      </c>
      <c r="G133" s="31" t="s">
        <v>543</v>
      </c>
      <c r="H133" s="44" t="s">
        <v>461</v>
      </c>
      <c r="I133" s="42" t="s">
        <v>2833</v>
      </c>
      <c r="J133" s="42"/>
      <c r="K133" s="45" t="n">
        <f aca="false">IF(AND(E133="yes",F133="yes",H133="covered"),1,IF(H133="partial",0.5,0))</f>
        <v>1</v>
      </c>
    </row>
    <row r="134" customFormat="false" ht="15" hidden="false" customHeight="true" outlineLevel="0" collapsed="false">
      <c r="A134" s="31" t="n">
        <v>126</v>
      </c>
      <c r="B134" s="42" t="s">
        <v>486</v>
      </c>
      <c r="C134" s="42" t="s">
        <v>1307</v>
      </c>
      <c r="D134" s="42" t="s">
        <v>2846</v>
      </c>
      <c r="E134" s="34" t="s">
        <v>459</v>
      </c>
      <c r="F134" s="43" t="s">
        <v>459</v>
      </c>
      <c r="G134" s="31" t="s">
        <v>543</v>
      </c>
      <c r="H134" s="44" t="s">
        <v>461</v>
      </c>
      <c r="I134" s="42" t="s">
        <v>2833</v>
      </c>
      <c r="J134" s="42"/>
      <c r="K134" s="45" t="n">
        <f aca="false">IF(AND(E134="yes",F134="yes",H134="covered"),1,IF(H134="partial",0.5,0))</f>
        <v>1</v>
      </c>
    </row>
    <row r="135" customFormat="false" ht="15" hidden="false" customHeight="true" outlineLevel="0" collapsed="false">
      <c r="A135" s="31" t="n">
        <v>127</v>
      </c>
      <c r="B135" s="42" t="s">
        <v>486</v>
      </c>
      <c r="C135" s="42" t="s">
        <v>1307</v>
      </c>
      <c r="D135" s="42" t="s">
        <v>2847</v>
      </c>
      <c r="E135" s="34" t="s">
        <v>459</v>
      </c>
      <c r="F135" s="43" t="s">
        <v>459</v>
      </c>
      <c r="G135" s="31" t="s">
        <v>543</v>
      </c>
      <c r="H135" s="44" t="s">
        <v>461</v>
      </c>
      <c r="I135" s="42" t="s">
        <v>2833</v>
      </c>
      <c r="J135" s="42"/>
      <c r="K135" s="45" t="n">
        <f aca="false">IF(AND(E135="yes",F135="yes",H135="covered"),1,IF(H135="partial",0.5,0))</f>
        <v>1</v>
      </c>
    </row>
    <row r="136" customFormat="false" ht="15" hidden="false" customHeight="true" outlineLevel="0" collapsed="false">
      <c r="A136" s="31" t="n">
        <v>128</v>
      </c>
      <c r="B136" s="42" t="s">
        <v>486</v>
      </c>
      <c r="C136" s="42" t="s">
        <v>1307</v>
      </c>
      <c r="D136" s="42" t="s">
        <v>2826</v>
      </c>
      <c r="E136" s="34" t="s">
        <v>459</v>
      </c>
      <c r="F136" s="43" t="s">
        <v>459</v>
      </c>
      <c r="G136" s="31" t="s">
        <v>543</v>
      </c>
      <c r="H136" s="44" t="s">
        <v>461</v>
      </c>
      <c r="I136" s="42" t="s">
        <v>2833</v>
      </c>
      <c r="J136" s="42"/>
      <c r="K136" s="45" t="n">
        <f aca="false">IF(AND(E136="yes",F136="yes",H136="covered"),1,IF(H136="partial",0.5,0))</f>
        <v>1</v>
      </c>
    </row>
    <row r="137" customFormat="false" ht="15" hidden="false" customHeight="true" outlineLevel="0" collapsed="false">
      <c r="A137" s="31" t="n">
        <v>129</v>
      </c>
      <c r="B137" s="42" t="s">
        <v>486</v>
      </c>
      <c r="C137" s="42" t="s">
        <v>1307</v>
      </c>
      <c r="D137" s="42" t="s">
        <v>2848</v>
      </c>
      <c r="E137" s="34" t="s">
        <v>459</v>
      </c>
      <c r="F137" s="43" t="s">
        <v>459</v>
      </c>
      <c r="G137" s="31" t="s">
        <v>543</v>
      </c>
      <c r="H137" s="44" t="s">
        <v>461</v>
      </c>
      <c r="I137" s="42" t="s">
        <v>2833</v>
      </c>
      <c r="J137" s="42"/>
      <c r="K137" s="45" t="n">
        <f aca="false">IF(AND(E137="yes",F137="yes",H137="covered"),1,IF(H137="partial",0.5,0))</f>
        <v>1</v>
      </c>
    </row>
    <row r="138" customFormat="false" ht="15" hidden="false" customHeight="true" outlineLevel="0" collapsed="false">
      <c r="A138" s="31" t="n">
        <v>130</v>
      </c>
      <c r="B138" s="42" t="s">
        <v>488</v>
      </c>
      <c r="C138" s="42" t="s">
        <v>1307</v>
      </c>
      <c r="D138" s="42" t="s">
        <v>493</v>
      </c>
      <c r="E138" s="34" t="s">
        <v>459</v>
      </c>
      <c r="F138" s="43" t="s">
        <v>459</v>
      </c>
      <c r="G138" s="31" t="s">
        <v>543</v>
      </c>
      <c r="H138" s="44" t="s">
        <v>461</v>
      </c>
      <c r="I138" s="42" t="s">
        <v>2833</v>
      </c>
      <c r="J138" s="42"/>
      <c r="K138" s="45" t="n">
        <f aca="false">IF(AND(E138="yes",F138="yes",H138="covered"),1,IF(H138="partial",0.5,0))</f>
        <v>1</v>
      </c>
    </row>
    <row r="139" customFormat="false" ht="15" hidden="false" customHeight="true" outlineLevel="0" collapsed="false">
      <c r="A139" s="31" t="n">
        <v>131</v>
      </c>
      <c r="B139" s="42" t="s">
        <v>475</v>
      </c>
      <c r="C139" s="42" t="s">
        <v>2849</v>
      </c>
      <c r="D139" s="42" t="s">
        <v>477</v>
      </c>
      <c r="E139" s="34" t="s">
        <v>459</v>
      </c>
      <c r="F139" s="43" t="s">
        <v>459</v>
      </c>
      <c r="G139" s="31" t="s">
        <v>543</v>
      </c>
      <c r="H139" s="44" t="s">
        <v>461</v>
      </c>
      <c r="I139" s="42" t="s">
        <v>2833</v>
      </c>
      <c r="J139" s="42"/>
      <c r="K139" s="45" t="n">
        <f aca="false">IF(AND(E139="yes",F139="yes",H139="covered"),1,IF(H139="partial",0.5,0))</f>
        <v>1</v>
      </c>
    </row>
    <row r="140" customFormat="false" ht="15" hidden="false" customHeight="true" outlineLevel="0" collapsed="false">
      <c r="A140" s="31" t="n">
        <v>132</v>
      </c>
      <c r="B140" s="42" t="s">
        <v>475</v>
      </c>
      <c r="C140" s="42" t="s">
        <v>2849</v>
      </c>
      <c r="D140" s="42" t="s">
        <v>478</v>
      </c>
      <c r="E140" s="34" t="s">
        <v>459</v>
      </c>
      <c r="F140" s="43" t="s">
        <v>459</v>
      </c>
      <c r="G140" s="31" t="s">
        <v>543</v>
      </c>
      <c r="H140" s="44" t="s">
        <v>461</v>
      </c>
      <c r="I140" s="42" t="s">
        <v>2833</v>
      </c>
      <c r="J140" s="42"/>
      <c r="K140" s="45" t="n">
        <f aca="false">IF(AND(E140="yes",F140="yes",H140="covered"),1,IF(H140="partial",0.5,0))</f>
        <v>1</v>
      </c>
    </row>
    <row r="141" customFormat="false" ht="30" hidden="false" customHeight="true" outlineLevel="0" collapsed="false">
      <c r="A141" s="31" t="n">
        <v>133</v>
      </c>
      <c r="B141" s="42" t="s">
        <v>479</v>
      </c>
      <c r="C141" s="42" t="s">
        <v>2849</v>
      </c>
      <c r="D141" s="42" t="s">
        <v>480</v>
      </c>
      <c r="E141" s="34" t="s">
        <v>459</v>
      </c>
      <c r="F141" s="43" t="s">
        <v>459</v>
      </c>
      <c r="G141" s="31" t="s">
        <v>543</v>
      </c>
      <c r="H141" s="44" t="s">
        <v>461</v>
      </c>
      <c r="I141" s="42" t="s">
        <v>2833</v>
      </c>
      <c r="J141" s="42"/>
      <c r="K141" s="45" t="n">
        <f aca="false">IF(AND(E141="yes",F141="yes",H141="covered"),1,IF(H141="partial",0.5,0))</f>
        <v>1</v>
      </c>
    </row>
    <row r="142" customFormat="false" ht="15" hidden="false" customHeight="true" outlineLevel="0" collapsed="false">
      <c r="A142" s="31" t="n">
        <v>134</v>
      </c>
      <c r="B142" s="42" t="s">
        <v>479</v>
      </c>
      <c r="C142" s="42" t="s">
        <v>2849</v>
      </c>
      <c r="D142" s="42" t="s">
        <v>481</v>
      </c>
      <c r="E142" s="34" t="s">
        <v>459</v>
      </c>
      <c r="F142" s="43" t="s">
        <v>459</v>
      </c>
      <c r="G142" s="31" t="s">
        <v>543</v>
      </c>
      <c r="H142" s="44" t="s">
        <v>461</v>
      </c>
      <c r="I142" s="42" t="s">
        <v>2833</v>
      </c>
      <c r="J142" s="42"/>
      <c r="K142" s="45" t="n">
        <f aca="false">IF(AND(E142="yes",F142="yes",H142="covered"),1,IF(H142="partial",0.5,0))</f>
        <v>1</v>
      </c>
    </row>
    <row r="143" customFormat="false" ht="15" hidden="false" customHeight="true" outlineLevel="0" collapsed="false">
      <c r="A143" s="31" t="n">
        <v>135</v>
      </c>
      <c r="B143" s="42" t="s">
        <v>457</v>
      </c>
      <c r="C143" s="42" t="s">
        <v>2849</v>
      </c>
      <c r="D143" s="42" t="s">
        <v>482</v>
      </c>
      <c r="E143" s="34" t="s">
        <v>459</v>
      </c>
      <c r="F143" s="43" t="s">
        <v>459</v>
      </c>
      <c r="G143" s="31" t="s">
        <v>543</v>
      </c>
      <c r="H143" s="44" t="s">
        <v>461</v>
      </c>
      <c r="I143" s="42" t="s">
        <v>2833</v>
      </c>
      <c r="J143" s="42"/>
      <c r="K143" s="45" t="n">
        <f aca="false">IF(AND(E143="yes",F143="yes",H143="covered"),1,IF(H143="partial",0.5,0))</f>
        <v>1</v>
      </c>
    </row>
    <row r="144" customFormat="false" ht="15" hidden="false" customHeight="true" outlineLevel="0" collapsed="false">
      <c r="A144" s="31" t="n">
        <v>136</v>
      </c>
      <c r="B144" s="42" t="s">
        <v>774</v>
      </c>
      <c r="C144" s="42" t="s">
        <v>2849</v>
      </c>
      <c r="D144" s="42" t="s">
        <v>775</v>
      </c>
      <c r="E144" s="34" t="s">
        <v>459</v>
      </c>
      <c r="F144" s="43" t="s">
        <v>459</v>
      </c>
      <c r="G144" s="31" t="s">
        <v>543</v>
      </c>
      <c r="H144" s="44" t="s">
        <v>461</v>
      </c>
      <c r="I144" s="42" t="s">
        <v>2833</v>
      </c>
      <c r="J144" s="42"/>
      <c r="K144" s="45" t="n">
        <f aca="false">IF(AND(E144="yes",F144="yes",H144="covered"),1,IF(H144="partial",0.5,0))</f>
        <v>1</v>
      </c>
    </row>
    <row r="145" customFormat="false" ht="15" hidden="false" customHeight="true" outlineLevel="0" collapsed="false">
      <c r="A145" s="31" t="n">
        <v>137</v>
      </c>
      <c r="B145" s="42" t="s">
        <v>505</v>
      </c>
      <c r="C145" s="42" t="s">
        <v>506</v>
      </c>
      <c r="D145" s="42" t="s">
        <v>1067</v>
      </c>
      <c r="E145" s="34" t="s">
        <v>459</v>
      </c>
      <c r="F145" s="43" t="s">
        <v>459</v>
      </c>
      <c r="G145" s="31" t="s">
        <v>543</v>
      </c>
      <c r="H145" s="44" t="s">
        <v>461</v>
      </c>
      <c r="I145" s="42" t="s">
        <v>2833</v>
      </c>
      <c r="J145" s="42"/>
      <c r="K145" s="45" t="n">
        <f aca="false">IF(AND(E145="yes",F145="yes",H145="covered"),1,IF(H145="partial",0.5,0))</f>
        <v>1</v>
      </c>
    </row>
    <row r="146" customFormat="false" ht="15" hidden="false" customHeight="true" outlineLevel="0" collapsed="false">
      <c r="A146" s="31" t="n">
        <v>138</v>
      </c>
      <c r="B146" s="42" t="s">
        <v>505</v>
      </c>
      <c r="C146" s="42" t="s">
        <v>506</v>
      </c>
      <c r="D146" s="42" t="s">
        <v>1310</v>
      </c>
      <c r="E146" s="34" t="s">
        <v>459</v>
      </c>
      <c r="F146" s="43" t="s">
        <v>459</v>
      </c>
      <c r="G146" s="31" t="s">
        <v>543</v>
      </c>
      <c r="H146" s="44" t="s">
        <v>461</v>
      </c>
      <c r="I146" s="42" t="s">
        <v>2833</v>
      </c>
      <c r="J146" s="42"/>
      <c r="K146" s="45" t="n">
        <f aca="false">IF(AND(E146="yes",F146="yes",H146="covered"),1,IF(H146="partial",0.5,0))</f>
        <v>1</v>
      </c>
    </row>
    <row r="147" customFormat="false" ht="15" hidden="false" customHeight="true" outlineLevel="0" collapsed="false">
      <c r="A147" s="31" t="n">
        <v>139</v>
      </c>
      <c r="B147" s="42" t="s">
        <v>505</v>
      </c>
      <c r="C147" s="42" t="s">
        <v>506</v>
      </c>
      <c r="D147" s="42" t="s">
        <v>1311</v>
      </c>
      <c r="E147" s="34" t="s">
        <v>459</v>
      </c>
      <c r="F147" s="43" t="s">
        <v>459</v>
      </c>
      <c r="G147" s="31" t="s">
        <v>543</v>
      </c>
      <c r="H147" s="44" t="s">
        <v>461</v>
      </c>
      <c r="I147" s="42" t="s">
        <v>2833</v>
      </c>
      <c r="J147" s="42"/>
      <c r="K147" s="45" t="n">
        <f aca="false">IF(AND(E147="yes",F147="yes",H147="covered"),1,IF(H147="partial",0.5,0))</f>
        <v>1</v>
      </c>
    </row>
    <row r="148" customFormat="false" ht="15" hidden="false" customHeight="true" outlineLevel="0" collapsed="false">
      <c r="A148" s="31" t="n">
        <v>140</v>
      </c>
      <c r="B148" s="42" t="s">
        <v>505</v>
      </c>
      <c r="C148" s="42" t="s">
        <v>506</v>
      </c>
      <c r="D148" s="42" t="s">
        <v>508</v>
      </c>
      <c r="E148" s="34" t="s">
        <v>459</v>
      </c>
      <c r="F148" s="43" t="s">
        <v>459</v>
      </c>
      <c r="G148" s="31" t="s">
        <v>543</v>
      </c>
      <c r="H148" s="44" t="s">
        <v>461</v>
      </c>
      <c r="I148" s="42" t="s">
        <v>2833</v>
      </c>
      <c r="J148" s="42"/>
      <c r="K148" s="45" t="n">
        <f aca="false">IF(AND(E148="yes",F148="yes",H148="covered"),1,IF(H148="partial",0.5,0))</f>
        <v>1</v>
      </c>
    </row>
    <row r="149" customFormat="false" ht="15" hidden="false" customHeight="true" outlineLevel="0" collapsed="false">
      <c r="A149" s="31" t="n">
        <v>141</v>
      </c>
      <c r="B149" s="42" t="s">
        <v>505</v>
      </c>
      <c r="C149" s="42" t="s">
        <v>506</v>
      </c>
      <c r="D149" s="42" t="s">
        <v>509</v>
      </c>
      <c r="E149" s="34" t="s">
        <v>459</v>
      </c>
      <c r="F149" s="43" t="s">
        <v>459</v>
      </c>
      <c r="G149" s="31" t="s">
        <v>543</v>
      </c>
      <c r="H149" s="44" t="s">
        <v>461</v>
      </c>
      <c r="I149" s="42" t="s">
        <v>2833</v>
      </c>
      <c r="J149" s="42"/>
      <c r="K149" s="45" t="n">
        <f aca="false">IF(AND(E149="yes",F149="yes",H149="covered"),1,IF(H149="partial",0.5,0))</f>
        <v>1</v>
      </c>
    </row>
    <row r="150" customFormat="false" ht="15" hidden="false" customHeight="true" outlineLevel="0" collapsed="false">
      <c r="A150" s="31" t="n">
        <v>142</v>
      </c>
      <c r="B150" s="42" t="s">
        <v>505</v>
      </c>
      <c r="C150" s="42" t="s">
        <v>506</v>
      </c>
      <c r="D150" s="42" t="s">
        <v>905</v>
      </c>
      <c r="E150" s="34" t="s">
        <v>459</v>
      </c>
      <c r="F150" s="43" t="s">
        <v>459</v>
      </c>
      <c r="G150" s="31" t="s">
        <v>543</v>
      </c>
      <c r="H150" s="44" t="s">
        <v>461</v>
      </c>
      <c r="I150" s="42" t="s">
        <v>2833</v>
      </c>
      <c r="J150" s="42"/>
      <c r="K150" s="45" t="n">
        <f aca="false">IF(AND(E150="yes",F150="yes",H150="covered"),1,IF(H150="partial",0.5,0))</f>
        <v>1</v>
      </c>
    </row>
    <row r="151" customFormat="false" ht="15" hidden="false" customHeight="true" outlineLevel="0" collapsed="false">
      <c r="A151" s="31" t="n">
        <v>143</v>
      </c>
      <c r="B151" s="42" t="s">
        <v>505</v>
      </c>
      <c r="C151" s="42" t="s">
        <v>506</v>
      </c>
      <c r="D151" s="42" t="s">
        <v>2827</v>
      </c>
      <c r="E151" s="34" t="s">
        <v>459</v>
      </c>
      <c r="F151" s="43" t="s">
        <v>459</v>
      </c>
      <c r="G151" s="31" t="s">
        <v>543</v>
      </c>
      <c r="H151" s="44" t="s">
        <v>461</v>
      </c>
      <c r="I151" s="42" t="s">
        <v>2833</v>
      </c>
      <c r="J151" s="42"/>
      <c r="K151" s="45" t="n">
        <f aca="false">IF(AND(E151="yes",F151="yes",H151="covered"),1,IF(H151="partial",0.5,0))</f>
        <v>1</v>
      </c>
    </row>
    <row r="152" customFormat="false" ht="15" hidden="false" customHeight="true" outlineLevel="0" collapsed="false">
      <c r="A152" s="31" t="n">
        <v>144</v>
      </c>
      <c r="B152" s="42" t="s">
        <v>505</v>
      </c>
      <c r="C152" s="42" t="s">
        <v>506</v>
      </c>
      <c r="D152" s="42" t="s">
        <v>1312</v>
      </c>
      <c r="E152" s="34" t="s">
        <v>459</v>
      </c>
      <c r="F152" s="43" t="s">
        <v>459</v>
      </c>
      <c r="G152" s="31" t="s">
        <v>543</v>
      </c>
      <c r="H152" s="44" t="s">
        <v>461</v>
      </c>
      <c r="I152" s="42" t="s">
        <v>2833</v>
      </c>
      <c r="J152" s="42"/>
      <c r="K152" s="45" t="n">
        <f aca="false">IF(AND(E152="yes",F152="yes",H152="covered"),1,IF(H152="partial",0.5,0))</f>
        <v>1</v>
      </c>
    </row>
    <row r="153" customFormat="false" ht="15" hidden="false" customHeight="true" outlineLevel="0" collapsed="false">
      <c r="A153" s="31" t="n">
        <v>145</v>
      </c>
      <c r="B153" s="42" t="s">
        <v>505</v>
      </c>
      <c r="C153" s="42" t="s">
        <v>506</v>
      </c>
      <c r="D153" s="42" t="s">
        <v>963</v>
      </c>
      <c r="E153" s="34" t="s">
        <v>459</v>
      </c>
      <c r="F153" s="43" t="s">
        <v>459</v>
      </c>
      <c r="G153" s="31" t="s">
        <v>543</v>
      </c>
      <c r="H153" s="44" t="s">
        <v>461</v>
      </c>
      <c r="I153" s="42" t="s">
        <v>2833</v>
      </c>
      <c r="J153" s="42"/>
      <c r="K153" s="45" t="n">
        <f aca="false">IF(AND(E153="yes",F153="yes",H153="covered"),1,IF(H153="partial",0.5,0))</f>
        <v>1</v>
      </c>
    </row>
    <row r="154" customFormat="false" ht="15" hidden="false" customHeight="true" outlineLevel="0" collapsed="false">
      <c r="A154" s="31" t="n">
        <v>146</v>
      </c>
      <c r="B154" s="42" t="s">
        <v>505</v>
      </c>
      <c r="C154" s="42" t="s">
        <v>506</v>
      </c>
      <c r="D154" s="42" t="s">
        <v>1313</v>
      </c>
      <c r="E154" s="34" t="s">
        <v>459</v>
      </c>
      <c r="F154" s="43" t="s">
        <v>459</v>
      </c>
      <c r="G154" s="31" t="s">
        <v>543</v>
      </c>
      <c r="H154" s="44" t="s">
        <v>461</v>
      </c>
      <c r="I154" s="42" t="s">
        <v>2833</v>
      </c>
      <c r="J154" s="42"/>
      <c r="K154" s="45" t="n">
        <f aca="false">IF(AND(E154="yes",F154="yes",H154="covered"),1,IF(H154="partial",0.5,0))</f>
        <v>1</v>
      </c>
    </row>
    <row r="155" customFormat="false" ht="15" hidden="false" customHeight="true" outlineLevel="0" collapsed="false">
      <c r="A155" s="31" t="n">
        <v>147</v>
      </c>
      <c r="B155" s="42" t="s">
        <v>505</v>
      </c>
      <c r="C155" s="42" t="s">
        <v>506</v>
      </c>
      <c r="D155" s="42" t="s">
        <v>1314</v>
      </c>
      <c r="E155" s="34" t="s">
        <v>459</v>
      </c>
      <c r="F155" s="43" t="s">
        <v>459</v>
      </c>
      <c r="G155" s="31" t="s">
        <v>543</v>
      </c>
      <c r="H155" s="44" t="s">
        <v>461</v>
      </c>
      <c r="I155" s="42" t="s">
        <v>2833</v>
      </c>
      <c r="J155" s="42"/>
      <c r="K155" s="45" t="n">
        <f aca="false">IF(AND(E155="yes",F155="yes",H155="covered"),1,IF(H155="partial",0.5,0))</f>
        <v>1</v>
      </c>
    </row>
    <row r="156" customFormat="false" ht="15" hidden="false" customHeight="true" outlineLevel="0" collapsed="false">
      <c r="A156" s="31" t="n">
        <v>148</v>
      </c>
      <c r="B156" s="42" t="s">
        <v>505</v>
      </c>
      <c r="C156" s="42" t="s">
        <v>506</v>
      </c>
      <c r="D156" s="42" t="s">
        <v>1070</v>
      </c>
      <c r="E156" s="34" t="s">
        <v>459</v>
      </c>
      <c r="F156" s="43" t="s">
        <v>459</v>
      </c>
      <c r="G156" s="31" t="s">
        <v>543</v>
      </c>
      <c r="H156" s="44" t="s">
        <v>461</v>
      </c>
      <c r="I156" s="42" t="s">
        <v>2833</v>
      </c>
      <c r="J156" s="42"/>
      <c r="K156" s="45" t="n">
        <f aca="false">IF(AND(E156="yes",F156="yes",H156="covered"),1,IF(H156="partial",0.5,0))</f>
        <v>1</v>
      </c>
    </row>
    <row r="157" customFormat="false" ht="15" hidden="false" customHeight="true" outlineLevel="0" collapsed="false">
      <c r="A157" s="31" t="n">
        <v>149</v>
      </c>
      <c r="B157" s="42" t="s">
        <v>505</v>
      </c>
      <c r="C157" s="42" t="s">
        <v>506</v>
      </c>
      <c r="D157" s="42" t="s">
        <v>1315</v>
      </c>
      <c r="E157" s="34" t="s">
        <v>459</v>
      </c>
      <c r="F157" s="43" t="s">
        <v>459</v>
      </c>
      <c r="G157" s="31" t="s">
        <v>543</v>
      </c>
      <c r="H157" s="44" t="s">
        <v>461</v>
      </c>
      <c r="I157" s="42" t="s">
        <v>2833</v>
      </c>
      <c r="J157" s="42"/>
      <c r="K157" s="45" t="n">
        <f aca="false">IF(AND(E157="yes",F157="yes",H157="covered"),1,IF(H157="partial",0.5,0))</f>
        <v>1</v>
      </c>
    </row>
    <row r="158" customFormat="false" ht="15" hidden="false" customHeight="true" outlineLevel="0" collapsed="false">
      <c r="A158" s="31" t="n">
        <v>150</v>
      </c>
      <c r="B158" s="42" t="s">
        <v>511</v>
      </c>
      <c r="C158" s="42" t="s">
        <v>506</v>
      </c>
      <c r="D158" s="42" t="s">
        <v>891</v>
      </c>
      <c r="E158" s="34" t="s">
        <v>459</v>
      </c>
      <c r="F158" s="43" t="s">
        <v>459</v>
      </c>
      <c r="G158" s="31" t="s">
        <v>543</v>
      </c>
      <c r="H158" s="44" t="s">
        <v>461</v>
      </c>
      <c r="I158" s="42" t="s">
        <v>2833</v>
      </c>
      <c r="J158" s="42"/>
      <c r="K158" s="45" t="n">
        <f aca="false">IF(AND(E158="yes",F158="yes",H158="covered"),1,IF(H158="partial",0.5,0))</f>
        <v>1</v>
      </c>
    </row>
    <row r="159" customFormat="false" ht="15" hidden="false" customHeight="true" outlineLevel="0" collapsed="false">
      <c r="A159" s="31" t="n">
        <v>151</v>
      </c>
      <c r="B159" s="42" t="s">
        <v>511</v>
      </c>
      <c r="C159" s="42" t="s">
        <v>506</v>
      </c>
      <c r="D159" s="42" t="s">
        <v>1316</v>
      </c>
      <c r="E159" s="34" t="s">
        <v>459</v>
      </c>
      <c r="F159" s="43" t="s">
        <v>459</v>
      </c>
      <c r="G159" s="31" t="s">
        <v>543</v>
      </c>
      <c r="H159" s="44" t="s">
        <v>461</v>
      </c>
      <c r="I159" s="42" t="s">
        <v>2833</v>
      </c>
      <c r="J159" s="42"/>
      <c r="K159" s="45" t="n">
        <f aca="false">IF(AND(E159="yes",F159="yes",H159="covered"),1,IF(H159="partial",0.5,0))</f>
        <v>1</v>
      </c>
    </row>
    <row r="160" customFormat="false" ht="15" hidden="false" customHeight="true" outlineLevel="0" collapsed="false">
      <c r="A160" s="31" t="n">
        <v>152</v>
      </c>
      <c r="B160" s="42" t="s">
        <v>511</v>
      </c>
      <c r="C160" s="42" t="s">
        <v>506</v>
      </c>
      <c r="D160" s="42" t="s">
        <v>1317</v>
      </c>
      <c r="E160" s="34" t="s">
        <v>459</v>
      </c>
      <c r="F160" s="43" t="s">
        <v>459</v>
      </c>
      <c r="G160" s="31" t="s">
        <v>543</v>
      </c>
      <c r="H160" s="44" t="s">
        <v>461</v>
      </c>
      <c r="I160" s="42" t="s">
        <v>2833</v>
      </c>
      <c r="J160" s="42"/>
      <c r="K160" s="45" t="n">
        <f aca="false">IF(AND(E160="yes",F160="yes",H160="covered"),1,IF(H160="partial",0.5,0))</f>
        <v>1</v>
      </c>
    </row>
    <row r="161" customFormat="false" ht="15" hidden="false" customHeight="true" outlineLevel="0" collapsed="false">
      <c r="A161" s="31" t="n">
        <v>153</v>
      </c>
      <c r="B161" s="42" t="s">
        <v>511</v>
      </c>
      <c r="C161" s="42" t="s">
        <v>506</v>
      </c>
      <c r="D161" s="42" t="s">
        <v>512</v>
      </c>
      <c r="E161" s="34" t="s">
        <v>459</v>
      </c>
      <c r="F161" s="43" t="s">
        <v>459</v>
      </c>
      <c r="G161" s="31" t="s">
        <v>543</v>
      </c>
      <c r="H161" s="44" t="s">
        <v>461</v>
      </c>
      <c r="I161" s="42" t="s">
        <v>2833</v>
      </c>
      <c r="J161" s="42"/>
      <c r="K161" s="45" t="n">
        <f aca="false">IF(AND(E161="yes",F161="yes",H161="covered"),1,IF(H161="partial",0.5,0))</f>
        <v>1</v>
      </c>
    </row>
    <row r="162" customFormat="false" ht="15" hidden="false" customHeight="true" outlineLevel="0" collapsed="false">
      <c r="A162" s="31" t="n">
        <v>154</v>
      </c>
      <c r="B162" s="42" t="s">
        <v>511</v>
      </c>
      <c r="C162" s="42" t="s">
        <v>506</v>
      </c>
      <c r="D162" s="42" t="s">
        <v>2828</v>
      </c>
      <c r="E162" s="34" t="s">
        <v>459</v>
      </c>
      <c r="F162" s="43" t="s">
        <v>459</v>
      </c>
      <c r="G162" s="31" t="s">
        <v>543</v>
      </c>
      <c r="H162" s="44" t="s">
        <v>461</v>
      </c>
      <c r="I162" s="42" t="s">
        <v>2833</v>
      </c>
      <c r="J162" s="42"/>
      <c r="K162" s="45" t="n">
        <f aca="false">IF(AND(E162="yes",F162="yes",H162="covered"),1,IF(H162="partial",0.5,0))</f>
        <v>1</v>
      </c>
    </row>
    <row r="163" customFormat="false" ht="15" hidden="false" customHeight="true" outlineLevel="0" collapsed="false">
      <c r="A163" s="31" t="n">
        <v>155</v>
      </c>
      <c r="B163" s="42" t="s">
        <v>511</v>
      </c>
      <c r="C163" s="42" t="s">
        <v>506</v>
      </c>
      <c r="D163" s="42" t="s">
        <v>2689</v>
      </c>
      <c r="E163" s="34" t="s">
        <v>459</v>
      </c>
      <c r="F163" s="43" t="s">
        <v>459</v>
      </c>
      <c r="G163" s="31" t="s">
        <v>543</v>
      </c>
      <c r="H163" s="44" t="s">
        <v>461</v>
      </c>
      <c r="I163" s="42" t="s">
        <v>2833</v>
      </c>
      <c r="J163" s="42"/>
      <c r="K163" s="45" t="n">
        <f aca="false">IF(AND(E163="yes",F163="yes",H163="covered"),1,IF(H163="partial",0.5,0))</f>
        <v>1</v>
      </c>
    </row>
    <row r="164" customFormat="false" ht="15" hidden="false" customHeight="true" outlineLevel="0" collapsed="false">
      <c r="A164" s="31" t="n">
        <v>156</v>
      </c>
      <c r="B164" s="42" t="s">
        <v>511</v>
      </c>
      <c r="C164" s="42" t="s">
        <v>506</v>
      </c>
      <c r="D164" s="42" t="s">
        <v>1318</v>
      </c>
      <c r="E164" s="34" t="s">
        <v>459</v>
      </c>
      <c r="F164" s="43" t="s">
        <v>459</v>
      </c>
      <c r="G164" s="31" t="s">
        <v>543</v>
      </c>
      <c r="H164" s="44" t="s">
        <v>461</v>
      </c>
      <c r="I164" s="42" t="s">
        <v>2833</v>
      </c>
      <c r="J164" s="42"/>
      <c r="K164" s="45" t="n">
        <f aca="false">IF(AND(E164="yes",F164="yes",H164="covered"),1,IF(H164="partial",0.5,0))</f>
        <v>1</v>
      </c>
    </row>
    <row r="165" customFormat="false" ht="15" hidden="false" customHeight="true" outlineLevel="0" collapsed="false">
      <c r="A165" s="31" t="n">
        <v>157</v>
      </c>
      <c r="B165" s="42" t="s">
        <v>511</v>
      </c>
      <c r="C165" s="42" t="s">
        <v>506</v>
      </c>
      <c r="D165" s="42" t="s">
        <v>1071</v>
      </c>
      <c r="E165" s="34" t="s">
        <v>459</v>
      </c>
      <c r="F165" s="43" t="s">
        <v>459</v>
      </c>
      <c r="G165" s="31" t="s">
        <v>543</v>
      </c>
      <c r="H165" s="44" t="s">
        <v>461</v>
      </c>
      <c r="I165" s="42" t="s">
        <v>2833</v>
      </c>
      <c r="J165" s="42"/>
      <c r="K165" s="45" t="n">
        <f aca="false">IF(AND(E165="yes",F165="yes",H165="covered"),1,IF(H165="partial",0.5,0))</f>
        <v>1</v>
      </c>
    </row>
    <row r="166" customFormat="false" ht="15" hidden="false" customHeight="true" outlineLevel="0" collapsed="false">
      <c r="A166" s="31" t="n">
        <v>158</v>
      </c>
      <c r="B166" s="42" t="s">
        <v>511</v>
      </c>
      <c r="C166" s="42" t="s">
        <v>506</v>
      </c>
      <c r="D166" s="42" t="s">
        <v>2829</v>
      </c>
      <c r="E166" s="34" t="s">
        <v>459</v>
      </c>
      <c r="F166" s="43" t="s">
        <v>459</v>
      </c>
      <c r="G166" s="31" t="s">
        <v>543</v>
      </c>
      <c r="H166" s="44" t="s">
        <v>461</v>
      </c>
      <c r="I166" s="42" t="s">
        <v>2833</v>
      </c>
      <c r="J166" s="42"/>
      <c r="K166" s="45" t="n">
        <f aca="false">IF(AND(E166="yes",F166="yes",H166="covered"),1,IF(H166="partial",0.5,0))</f>
        <v>1</v>
      </c>
    </row>
    <row r="167" customFormat="false" ht="15" hidden="false" customHeight="true" outlineLevel="0" collapsed="false">
      <c r="A167" s="31" t="n">
        <v>159</v>
      </c>
      <c r="B167" s="42" t="s">
        <v>511</v>
      </c>
      <c r="C167" s="42" t="s">
        <v>506</v>
      </c>
      <c r="D167" s="42" t="s">
        <v>2850</v>
      </c>
      <c r="E167" s="34" t="s">
        <v>459</v>
      </c>
      <c r="F167" s="43" t="s">
        <v>459</v>
      </c>
      <c r="G167" s="31" t="s">
        <v>543</v>
      </c>
      <c r="H167" s="44" t="s">
        <v>461</v>
      </c>
      <c r="I167" s="42" t="s">
        <v>2833</v>
      </c>
      <c r="J167" s="42"/>
      <c r="K167" s="45" t="n">
        <f aca="false">IF(AND(E167="yes",F167="yes",H167="covered"),1,IF(H167="partial",0.5,0))</f>
        <v>1</v>
      </c>
    </row>
    <row r="168" customFormat="false" ht="15" hidden="false" customHeight="true" outlineLevel="0" collapsed="false">
      <c r="A168" s="31" t="n">
        <v>160</v>
      </c>
      <c r="B168" s="42" t="s">
        <v>511</v>
      </c>
      <c r="C168" s="42" t="s">
        <v>506</v>
      </c>
      <c r="D168" s="42" t="s">
        <v>966</v>
      </c>
      <c r="E168" s="34" t="s">
        <v>459</v>
      </c>
      <c r="F168" s="43" t="s">
        <v>459</v>
      </c>
      <c r="G168" s="31" t="s">
        <v>543</v>
      </c>
      <c r="H168" s="44" t="s">
        <v>461</v>
      </c>
      <c r="I168" s="42" t="s">
        <v>2833</v>
      </c>
      <c r="J168" s="42"/>
      <c r="K168" s="45" t="n">
        <f aca="false">IF(AND(E168="yes",F168="yes",H168="covered"),1,IF(H168="partial",0.5,0))</f>
        <v>1</v>
      </c>
    </row>
    <row r="169" customFormat="false" ht="15" hidden="false" customHeight="true" outlineLevel="0" collapsed="false">
      <c r="A169" s="31" t="n">
        <v>161</v>
      </c>
      <c r="B169" s="42" t="s">
        <v>511</v>
      </c>
      <c r="C169" s="42" t="s">
        <v>506</v>
      </c>
      <c r="D169" s="42" t="s">
        <v>1319</v>
      </c>
      <c r="E169" s="34" t="s">
        <v>459</v>
      </c>
      <c r="F169" s="43" t="s">
        <v>459</v>
      </c>
      <c r="G169" s="31" t="s">
        <v>543</v>
      </c>
      <c r="H169" s="44" t="s">
        <v>461</v>
      </c>
      <c r="I169" s="42" t="s">
        <v>2833</v>
      </c>
      <c r="J169" s="42"/>
      <c r="K169" s="45" t="n">
        <f aca="false">IF(AND(E169="yes",F169="yes",H169="covered"),1,IF(H169="partial",0.5,0))</f>
        <v>1</v>
      </c>
    </row>
    <row r="170" customFormat="false" ht="15" hidden="false" customHeight="true" outlineLevel="0" collapsed="false">
      <c r="A170" s="31" t="n">
        <v>162</v>
      </c>
      <c r="B170" s="42" t="s">
        <v>511</v>
      </c>
      <c r="C170" s="42" t="s">
        <v>506</v>
      </c>
      <c r="D170" s="42" t="s">
        <v>1320</v>
      </c>
      <c r="E170" s="34" t="s">
        <v>459</v>
      </c>
      <c r="F170" s="43" t="s">
        <v>459</v>
      </c>
      <c r="G170" s="31" t="s">
        <v>543</v>
      </c>
      <c r="H170" s="44" t="s">
        <v>461</v>
      </c>
      <c r="I170" s="42" t="s">
        <v>2833</v>
      </c>
      <c r="J170" s="42"/>
      <c r="K170" s="45" t="n">
        <f aca="false">IF(AND(E170="yes",F170="yes",H170="covered"),1,IF(H170="partial",0.5,0))</f>
        <v>1</v>
      </c>
    </row>
    <row r="171" customFormat="false" ht="15" hidden="false" customHeight="true" outlineLevel="0" collapsed="false">
      <c r="A171" s="31" t="n">
        <v>163</v>
      </c>
      <c r="B171" s="42" t="s">
        <v>511</v>
      </c>
      <c r="C171" s="42" t="s">
        <v>506</v>
      </c>
      <c r="D171" s="42" t="s">
        <v>2851</v>
      </c>
      <c r="E171" s="34" t="s">
        <v>459</v>
      </c>
      <c r="F171" s="43" t="s">
        <v>459</v>
      </c>
      <c r="G171" s="31" t="s">
        <v>543</v>
      </c>
      <c r="H171" s="44" t="s">
        <v>461</v>
      </c>
      <c r="I171" s="42" t="s">
        <v>2833</v>
      </c>
      <c r="J171" s="42"/>
      <c r="K171" s="45" t="n">
        <f aca="false">IF(AND(E171="yes",F171="yes",H171="covered"),1,IF(H171="partial",0.5,0))</f>
        <v>1</v>
      </c>
    </row>
    <row r="172" customFormat="false" ht="15" hidden="false" customHeight="true" outlineLevel="0" collapsed="false">
      <c r="A172" s="31" t="n">
        <v>164</v>
      </c>
      <c r="B172" s="42" t="s">
        <v>511</v>
      </c>
      <c r="C172" s="42" t="s">
        <v>506</v>
      </c>
      <c r="D172" s="42" t="s">
        <v>1321</v>
      </c>
      <c r="E172" s="34" t="s">
        <v>459</v>
      </c>
      <c r="F172" s="43" t="s">
        <v>459</v>
      </c>
      <c r="G172" s="31" t="s">
        <v>543</v>
      </c>
      <c r="H172" s="44" t="s">
        <v>461</v>
      </c>
      <c r="I172" s="42" t="s">
        <v>2833</v>
      </c>
      <c r="J172" s="42"/>
      <c r="K172" s="45" t="n">
        <f aca="false">IF(AND(E172="yes",F172="yes",H172="covered"),1,IF(H172="partial",0.5,0))</f>
        <v>1</v>
      </c>
    </row>
    <row r="173" customFormat="false" ht="15" hidden="false" customHeight="true" outlineLevel="0" collapsed="false">
      <c r="A173" s="31" t="n">
        <v>165</v>
      </c>
      <c r="B173" s="42" t="s">
        <v>511</v>
      </c>
      <c r="C173" s="42" t="s">
        <v>506</v>
      </c>
      <c r="D173" s="42" t="s">
        <v>2852</v>
      </c>
      <c r="E173" s="34" t="s">
        <v>459</v>
      </c>
      <c r="F173" s="43" t="s">
        <v>459</v>
      </c>
      <c r="G173" s="31" t="s">
        <v>543</v>
      </c>
      <c r="H173" s="44" t="s">
        <v>461</v>
      </c>
      <c r="I173" s="42" t="s">
        <v>2833</v>
      </c>
      <c r="J173" s="42"/>
      <c r="K173" s="45" t="n">
        <f aca="false">IF(AND(E173="yes",F173="yes",H173="covered"),1,IF(H173="partial",0.5,0))</f>
        <v>1</v>
      </c>
    </row>
    <row r="174" customFormat="false" ht="15" hidden="false" customHeight="true" outlineLevel="0" collapsed="false">
      <c r="A174" s="31" t="n">
        <v>166</v>
      </c>
      <c r="B174" s="42" t="s">
        <v>511</v>
      </c>
      <c r="C174" s="42" t="s">
        <v>506</v>
      </c>
      <c r="D174" s="42" t="s">
        <v>1324</v>
      </c>
      <c r="E174" s="34" t="s">
        <v>459</v>
      </c>
      <c r="F174" s="43" t="s">
        <v>459</v>
      </c>
      <c r="G174" s="31" t="s">
        <v>543</v>
      </c>
      <c r="H174" s="44" t="s">
        <v>461</v>
      </c>
      <c r="I174" s="42" t="s">
        <v>2833</v>
      </c>
      <c r="J174" s="42"/>
      <c r="K174" s="45" t="n">
        <f aca="false">IF(AND(E174="yes",F174="yes",H174="covered"),1,IF(H174="partial",0.5,0))</f>
        <v>1</v>
      </c>
    </row>
    <row r="175" customFormat="false" ht="15" hidden="false" customHeight="true" outlineLevel="0" collapsed="false">
      <c r="A175" s="31" t="n">
        <v>167</v>
      </c>
      <c r="B175" s="42" t="s">
        <v>511</v>
      </c>
      <c r="C175" s="42" t="s">
        <v>506</v>
      </c>
      <c r="D175" s="42" t="s">
        <v>514</v>
      </c>
      <c r="E175" s="34" t="s">
        <v>459</v>
      </c>
      <c r="F175" s="43" t="s">
        <v>459</v>
      </c>
      <c r="G175" s="31" t="s">
        <v>543</v>
      </c>
      <c r="H175" s="44" t="s">
        <v>461</v>
      </c>
      <c r="I175" s="42" t="s">
        <v>2833</v>
      </c>
      <c r="J175" s="42"/>
      <c r="K175" s="45" t="n">
        <f aca="false">IF(AND(E175="yes",F175="yes",H175="covered"),1,IF(H175="partial",0.5,0))</f>
        <v>1</v>
      </c>
    </row>
    <row r="176" customFormat="false" ht="15" hidden="false" customHeight="true" outlineLevel="0" collapsed="false">
      <c r="A176" s="31" t="n">
        <v>168</v>
      </c>
      <c r="B176" s="42" t="s">
        <v>511</v>
      </c>
      <c r="C176" s="42" t="s">
        <v>506</v>
      </c>
      <c r="D176" s="42" t="s">
        <v>1325</v>
      </c>
      <c r="E176" s="34" t="s">
        <v>459</v>
      </c>
      <c r="F176" s="43" t="s">
        <v>459</v>
      </c>
      <c r="G176" s="31" t="s">
        <v>543</v>
      </c>
      <c r="H176" s="44" t="s">
        <v>461</v>
      </c>
      <c r="I176" s="42" t="s">
        <v>2833</v>
      </c>
      <c r="J176" s="42"/>
      <c r="K176" s="45" t="n">
        <f aca="false">IF(AND(E176="yes",F176="yes",H176="covered"),1,IF(H176="partial",0.5,0))</f>
        <v>1</v>
      </c>
    </row>
    <row r="177" customFormat="false" ht="15" hidden="false" customHeight="true" outlineLevel="0" collapsed="false">
      <c r="A177" s="31" t="n">
        <v>169</v>
      </c>
      <c r="B177" s="42" t="s">
        <v>511</v>
      </c>
      <c r="C177" s="42" t="s">
        <v>506</v>
      </c>
      <c r="D177" s="42" t="s">
        <v>893</v>
      </c>
      <c r="E177" s="34" t="s">
        <v>459</v>
      </c>
      <c r="F177" s="43" t="s">
        <v>459</v>
      </c>
      <c r="G177" s="31" t="s">
        <v>543</v>
      </c>
      <c r="H177" s="44" t="s">
        <v>461</v>
      </c>
      <c r="I177" s="42" t="s">
        <v>2833</v>
      </c>
      <c r="J177" s="42"/>
      <c r="K177" s="45" t="n">
        <f aca="false">IF(AND(E177="yes",F177="yes",H177="covered"),1,IF(H177="partial",0.5,0))</f>
        <v>1</v>
      </c>
    </row>
    <row r="178" customFormat="false" ht="30" hidden="false" customHeight="true" outlineLevel="0" collapsed="false">
      <c r="A178" s="31" t="n">
        <v>170</v>
      </c>
      <c r="B178" s="42" t="s">
        <v>483</v>
      </c>
      <c r="C178" s="42" t="s">
        <v>1326</v>
      </c>
      <c r="D178" s="42" t="s">
        <v>516</v>
      </c>
      <c r="E178" s="34" t="s">
        <v>459</v>
      </c>
      <c r="F178" s="43" t="s">
        <v>459</v>
      </c>
      <c r="G178" s="31" t="s">
        <v>543</v>
      </c>
      <c r="H178" s="44" t="s">
        <v>461</v>
      </c>
      <c r="I178" s="42" t="s">
        <v>2833</v>
      </c>
      <c r="J178" s="42"/>
      <c r="K178" s="45" t="n">
        <f aca="false">IF(AND(E178="yes",F178="yes",H178="covered"),1,IF(H178="partial",0.5,0))</f>
        <v>1</v>
      </c>
    </row>
    <row r="179" customFormat="false" ht="15" hidden="false" customHeight="true" outlineLevel="0" collapsed="false">
      <c r="A179" s="31" t="n">
        <v>171</v>
      </c>
      <c r="B179" s="42" t="s">
        <v>483</v>
      </c>
      <c r="C179" s="42" t="s">
        <v>1326</v>
      </c>
      <c r="D179" s="42" t="s">
        <v>517</v>
      </c>
      <c r="E179" s="34" t="s">
        <v>459</v>
      </c>
      <c r="F179" s="43" t="s">
        <v>459</v>
      </c>
      <c r="G179" s="31" t="s">
        <v>543</v>
      </c>
      <c r="H179" s="44" t="s">
        <v>461</v>
      </c>
      <c r="I179" s="42" t="s">
        <v>2833</v>
      </c>
      <c r="J179" s="42"/>
      <c r="K179" s="45" t="n">
        <f aca="false">IF(AND(E179="yes",F179="yes",H179="covered"),1,IF(H179="partial",0.5,0))</f>
        <v>1</v>
      </c>
    </row>
    <row r="180" customFormat="false" ht="15" hidden="false" customHeight="true" outlineLevel="0" collapsed="false">
      <c r="A180" s="31" t="n">
        <v>172</v>
      </c>
      <c r="B180" s="42" t="s">
        <v>483</v>
      </c>
      <c r="C180" s="42" t="s">
        <v>1326</v>
      </c>
      <c r="D180" s="42" t="s">
        <v>2853</v>
      </c>
      <c r="E180" s="34" t="s">
        <v>459</v>
      </c>
      <c r="F180" s="43" t="s">
        <v>459</v>
      </c>
      <c r="G180" s="31" t="s">
        <v>543</v>
      </c>
      <c r="H180" s="44" t="s">
        <v>461</v>
      </c>
      <c r="I180" s="42" t="s">
        <v>2833</v>
      </c>
      <c r="J180" s="42"/>
      <c r="K180" s="45" t="n">
        <f aca="false">IF(AND(E180="yes",F180="yes",H180="covered"),1,IF(H180="partial",0.5,0))</f>
        <v>1</v>
      </c>
    </row>
    <row r="181" customFormat="false" ht="15" hidden="false" customHeight="true" outlineLevel="0" collapsed="false">
      <c r="A181" s="31" t="n">
        <v>173</v>
      </c>
      <c r="B181" s="42" t="s">
        <v>483</v>
      </c>
      <c r="C181" s="42" t="s">
        <v>1326</v>
      </c>
      <c r="D181" s="42" t="s">
        <v>519</v>
      </c>
      <c r="E181" s="34" t="s">
        <v>459</v>
      </c>
      <c r="F181" s="43" t="s">
        <v>459</v>
      </c>
      <c r="G181" s="31" t="s">
        <v>543</v>
      </c>
      <c r="H181" s="44" t="s">
        <v>461</v>
      </c>
      <c r="I181" s="42" t="s">
        <v>2833</v>
      </c>
      <c r="J181" s="42"/>
      <c r="K181" s="45" t="n">
        <f aca="false">IF(AND(E181="yes",F181="yes",H181="covered"),1,IF(H181="partial",0.5,0))</f>
        <v>1</v>
      </c>
    </row>
    <row r="182" customFormat="false" ht="15" hidden="false" customHeight="true" outlineLevel="0" collapsed="false">
      <c r="A182" s="31" t="n">
        <v>174</v>
      </c>
      <c r="B182" s="42" t="s">
        <v>483</v>
      </c>
      <c r="C182" s="42" t="s">
        <v>1326</v>
      </c>
      <c r="D182" s="42" t="s">
        <v>2854</v>
      </c>
      <c r="E182" s="34" t="s">
        <v>459</v>
      </c>
      <c r="F182" s="43" t="s">
        <v>459</v>
      </c>
      <c r="G182" s="31" t="s">
        <v>543</v>
      </c>
      <c r="H182" s="44" t="s">
        <v>461</v>
      </c>
      <c r="I182" s="42" t="s">
        <v>2833</v>
      </c>
      <c r="J182" s="42"/>
      <c r="K182" s="45" t="n">
        <f aca="false">IF(AND(E182="yes",F182="yes",H182="covered"),1,IF(H182="partial",0.5,0))</f>
        <v>1</v>
      </c>
    </row>
    <row r="183" customFormat="false" ht="15" hidden="false" customHeight="true" outlineLevel="0" collapsed="false">
      <c r="A183" s="31" t="n">
        <v>175</v>
      </c>
      <c r="B183" s="42" t="s">
        <v>488</v>
      </c>
      <c r="C183" s="42" t="s">
        <v>476</v>
      </c>
      <c r="D183" s="42" t="s">
        <v>521</v>
      </c>
      <c r="E183" s="34" t="s">
        <v>459</v>
      </c>
      <c r="F183" s="43" t="s">
        <v>459</v>
      </c>
      <c r="G183" s="31" t="s">
        <v>543</v>
      </c>
      <c r="H183" s="44" t="s">
        <v>461</v>
      </c>
      <c r="I183" s="42" t="s">
        <v>2833</v>
      </c>
      <c r="J183" s="42"/>
      <c r="K183" s="45" t="n">
        <f aca="false">IF(AND(E183="yes",F183="yes",H183="covered"),1,IF(H183="partial",0.5,0))</f>
        <v>1</v>
      </c>
    </row>
    <row r="184" customFormat="false" ht="15" hidden="false" customHeight="true" outlineLevel="0" collapsed="false">
      <c r="A184" s="31" t="n">
        <v>176</v>
      </c>
      <c r="B184" s="42" t="s">
        <v>488</v>
      </c>
      <c r="C184" s="42" t="s">
        <v>476</v>
      </c>
      <c r="D184" s="42" t="s">
        <v>522</v>
      </c>
      <c r="E184" s="34" t="s">
        <v>459</v>
      </c>
      <c r="F184" s="43" t="s">
        <v>459</v>
      </c>
      <c r="G184" s="31" t="s">
        <v>543</v>
      </c>
      <c r="H184" s="44" t="s">
        <v>461</v>
      </c>
      <c r="I184" s="42" t="s">
        <v>2833</v>
      </c>
      <c r="J184" s="42"/>
      <c r="K184" s="45" t="n">
        <f aca="false">IF(AND(E184="yes",F184="yes",H184="covered"),1,IF(H184="partial",0.5,0))</f>
        <v>1</v>
      </c>
    </row>
    <row r="185" customFormat="false" ht="15" hidden="false" customHeight="true" outlineLevel="0" collapsed="false">
      <c r="A185" s="31" t="n">
        <v>177</v>
      </c>
      <c r="B185" s="42" t="s">
        <v>488</v>
      </c>
      <c r="C185" s="42" t="s">
        <v>476</v>
      </c>
      <c r="D185" s="42" t="s">
        <v>523</v>
      </c>
      <c r="E185" s="34" t="s">
        <v>459</v>
      </c>
      <c r="F185" s="43" t="s">
        <v>459</v>
      </c>
      <c r="G185" s="31" t="s">
        <v>543</v>
      </c>
      <c r="H185" s="44" t="s">
        <v>461</v>
      </c>
      <c r="I185" s="42" t="s">
        <v>2833</v>
      </c>
      <c r="J185" s="42"/>
      <c r="K185" s="45" t="n">
        <f aca="false">IF(AND(E185="yes",F185="yes",H185="covered"),1,IF(H185="partial",0.5,0))</f>
        <v>1</v>
      </c>
    </row>
    <row r="186" customFormat="false" ht="15" hidden="false" customHeight="true" outlineLevel="0" collapsed="false">
      <c r="A186" s="31" t="n">
        <v>178</v>
      </c>
      <c r="B186" s="42" t="s">
        <v>531</v>
      </c>
      <c r="C186" s="42" t="s">
        <v>76</v>
      </c>
      <c r="D186" s="42" t="s">
        <v>534</v>
      </c>
      <c r="E186" s="34" t="s">
        <v>459</v>
      </c>
      <c r="F186" s="43" t="s">
        <v>459</v>
      </c>
      <c r="G186" s="31" t="s">
        <v>543</v>
      </c>
      <c r="H186" s="44" t="s">
        <v>461</v>
      </c>
      <c r="I186" s="42" t="s">
        <v>2833</v>
      </c>
      <c r="J186" s="42"/>
      <c r="K186" s="45" t="n">
        <f aca="false">IF(AND(E186="yes",F186="yes",H186="covered"),1,IF(H186="partial",0.5,0))</f>
        <v>1</v>
      </c>
    </row>
    <row r="187" customFormat="false" ht="15" hidden="false" customHeight="true" outlineLevel="0" collapsed="false">
      <c r="A187" s="31" t="n">
        <v>179</v>
      </c>
      <c r="B187" s="42" t="s">
        <v>531</v>
      </c>
      <c r="C187" s="42" t="s">
        <v>76</v>
      </c>
      <c r="D187" s="42" t="s">
        <v>535</v>
      </c>
      <c r="E187" s="34" t="s">
        <v>459</v>
      </c>
      <c r="F187" s="43" t="s">
        <v>459</v>
      </c>
      <c r="G187" s="31" t="s">
        <v>543</v>
      </c>
      <c r="H187" s="44" t="s">
        <v>461</v>
      </c>
      <c r="I187" s="42" t="s">
        <v>2833</v>
      </c>
      <c r="J187" s="42"/>
      <c r="K187" s="45" t="n">
        <f aca="false">IF(AND(E187="yes",F187="yes",H187="covered"),1,IF(H187="partial",0.5,0))</f>
        <v>1</v>
      </c>
    </row>
    <row r="188" customFormat="false" ht="15" hidden="false" customHeight="true" outlineLevel="0" collapsed="false">
      <c r="A188" s="31" t="n">
        <v>180</v>
      </c>
      <c r="B188" s="42" t="s">
        <v>531</v>
      </c>
      <c r="C188" s="42" t="s">
        <v>76</v>
      </c>
      <c r="D188" s="42" t="s">
        <v>536</v>
      </c>
      <c r="E188" s="34" t="s">
        <v>459</v>
      </c>
      <c r="F188" s="43" t="s">
        <v>459</v>
      </c>
      <c r="G188" s="31" t="s">
        <v>543</v>
      </c>
      <c r="H188" s="44" t="s">
        <v>461</v>
      </c>
      <c r="I188" s="42" t="s">
        <v>2833</v>
      </c>
      <c r="J188" s="42"/>
      <c r="K188" s="45" t="n">
        <f aca="false">IF(AND(E188="yes",F188="yes",H188="covered"),1,IF(H188="partial",0.5,0))</f>
        <v>1</v>
      </c>
    </row>
    <row r="189" customFormat="false" ht="30" hidden="false" customHeight="true" outlineLevel="0" collapsed="false">
      <c r="A189" s="31" t="n">
        <v>181</v>
      </c>
      <c r="B189" s="42" t="s">
        <v>31</v>
      </c>
      <c r="C189" s="42" t="s">
        <v>476</v>
      </c>
      <c r="D189" s="42" t="s">
        <v>1330</v>
      </c>
      <c r="E189" s="34" t="s">
        <v>459</v>
      </c>
      <c r="F189" s="43" t="s">
        <v>459</v>
      </c>
      <c r="G189" s="31" t="s">
        <v>543</v>
      </c>
      <c r="H189" s="44" t="s">
        <v>461</v>
      </c>
      <c r="I189" s="42" t="s">
        <v>2833</v>
      </c>
      <c r="J189" s="42"/>
      <c r="K189" s="45" t="n">
        <f aca="false">IF(AND(E189="yes",F189="yes",H189="covered"),1,IF(H189="partial",0.5,0))</f>
        <v>1</v>
      </c>
    </row>
    <row r="190" customFormat="false" ht="15" hidden="false" customHeight="true" outlineLevel="0" collapsed="false">
      <c r="A190" s="31" t="n">
        <v>182</v>
      </c>
      <c r="B190" s="42" t="s">
        <v>529</v>
      </c>
      <c r="C190" s="42" t="s">
        <v>76</v>
      </c>
      <c r="D190" s="42" t="s">
        <v>537</v>
      </c>
      <c r="E190" s="34" t="s">
        <v>459</v>
      </c>
      <c r="F190" s="43" t="s">
        <v>459</v>
      </c>
      <c r="G190" s="31" t="s">
        <v>543</v>
      </c>
      <c r="H190" s="44" t="s">
        <v>461</v>
      </c>
      <c r="I190" s="42" t="s">
        <v>2833</v>
      </c>
      <c r="J190" s="42"/>
      <c r="K190" s="45" t="n">
        <f aca="false">IF(AND(E190="yes",F190="yes",H190="covered"),1,IF(H190="partial",0.5,0))</f>
        <v>1</v>
      </c>
    </row>
    <row r="191" customFormat="false" ht="30" hidden="false" customHeight="true" outlineLevel="0" collapsed="false">
      <c r="A191" s="31" t="n">
        <v>183</v>
      </c>
      <c r="B191" s="42" t="s">
        <v>31</v>
      </c>
      <c r="C191" s="42" t="s">
        <v>476</v>
      </c>
      <c r="D191" s="42" t="s">
        <v>1328</v>
      </c>
      <c r="E191" s="46" t="s">
        <v>459</v>
      </c>
      <c r="F191" s="43" t="s">
        <v>459</v>
      </c>
      <c r="G191" s="31" t="s">
        <v>543</v>
      </c>
      <c r="H191" s="46" t="s">
        <v>461</v>
      </c>
      <c r="I191" s="42" t="s">
        <v>2833</v>
      </c>
      <c r="J191" s="42"/>
      <c r="K191" s="45" t="n">
        <f aca="false">IF(AND(E191="yes",F191="yes",H191="covered"),1,IF(H191="partial",0.5,0))</f>
        <v>1</v>
      </c>
    </row>
    <row r="192" customFormat="false" ht="30" hidden="false" customHeight="true" outlineLevel="0" collapsed="false">
      <c r="A192" s="31" t="n">
        <v>184</v>
      </c>
      <c r="B192" s="42" t="s">
        <v>31</v>
      </c>
      <c r="C192" s="42" t="s">
        <v>476</v>
      </c>
      <c r="D192" s="42" t="s">
        <v>1329</v>
      </c>
      <c r="E192" s="46" t="s">
        <v>459</v>
      </c>
      <c r="F192" s="43" t="s">
        <v>459</v>
      </c>
      <c r="G192" s="31" t="s">
        <v>543</v>
      </c>
      <c r="H192" s="46" t="s">
        <v>461</v>
      </c>
      <c r="I192" s="42" t="s">
        <v>2833</v>
      </c>
      <c r="J192" s="42"/>
      <c r="K192" s="45" t="n">
        <f aca="false">IF(AND(E192="yes",F192="yes",H192="covered"),1,IF(H192="partial",0.5,0))</f>
        <v>1</v>
      </c>
    </row>
    <row r="193" customFormat="false" ht="30" hidden="false" customHeight="true" outlineLevel="0" collapsed="false">
      <c r="A193" s="31" t="n">
        <v>185</v>
      </c>
      <c r="B193" s="42" t="s">
        <v>31</v>
      </c>
      <c r="C193" s="42" t="s">
        <v>1327</v>
      </c>
      <c r="D193" s="42" t="s">
        <v>2855</v>
      </c>
      <c r="E193" s="46" t="s">
        <v>459</v>
      </c>
      <c r="F193" s="43" t="s">
        <v>459</v>
      </c>
      <c r="G193" s="31" t="s">
        <v>543</v>
      </c>
      <c r="H193" s="46" t="s">
        <v>461</v>
      </c>
      <c r="I193" s="42" t="s">
        <v>2833</v>
      </c>
      <c r="J193" s="42"/>
      <c r="K193" s="45" t="n">
        <f aca="false">IF(AND(E193="yes",F193="yes",H193="covered"),1,IF(H193="partial",0.5,0))</f>
        <v>1</v>
      </c>
    </row>
    <row r="194" customFormat="false" ht="30" hidden="false" customHeight="true" outlineLevel="0" collapsed="false">
      <c r="A194" s="31" t="n">
        <v>186</v>
      </c>
      <c r="B194" s="42" t="s">
        <v>456</v>
      </c>
      <c r="C194" s="42" t="s">
        <v>540</v>
      </c>
      <c r="D194" s="42" t="s">
        <v>1331</v>
      </c>
      <c r="E194" s="46" t="s">
        <v>459</v>
      </c>
      <c r="F194" s="43" t="s">
        <v>459</v>
      </c>
      <c r="G194" s="31" t="s">
        <v>543</v>
      </c>
      <c r="H194" s="46" t="s">
        <v>461</v>
      </c>
      <c r="I194" s="42" t="s">
        <v>2833</v>
      </c>
      <c r="J194" s="42"/>
      <c r="K194" s="45" t="n">
        <f aca="false">IF(AND(E194="yes",F194="yes",H194="covered"),1,IF(H194="partial",0.5,0))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2856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IFERROR(SUM(K9:K33)/COUNTA(A9:A33),0)</f>
        <v>1</v>
      </c>
      <c r="C4" s="28" t="s">
        <v>8</v>
      </c>
      <c r="D4" s="40" t="n">
        <f aca="false">COUNTIF(H9:H33,"covered")</f>
        <v>25</v>
      </c>
      <c r="E4" s="28" t="s">
        <v>9</v>
      </c>
      <c r="F4" s="40" t="n">
        <f aca="false">COUNTIF(H9:H33,"partial")</f>
        <v>0</v>
      </c>
      <c r="G4" s="28" t="s">
        <v>10</v>
      </c>
      <c r="H4" s="40" t="n">
        <f aca="false">COUNTIF(H9:H33,"missing")</f>
        <v>0</v>
      </c>
      <c r="I4" s="28" t="s">
        <v>11</v>
      </c>
      <c r="J4" s="40" t="n">
        <f aca="false">COUNTIF(F9:F33,"no")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47" t="n">
        <v>1</v>
      </c>
      <c r="B9" s="48" t="s">
        <v>456</v>
      </c>
      <c r="C9" s="48" t="s">
        <v>77</v>
      </c>
      <c r="D9" s="48" t="s">
        <v>464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2857</v>
      </c>
      <c r="J9" s="48"/>
      <c r="K9" s="49" t="n">
        <f aca="false">IF(H9="covered",1,IF(H9="partial",0.5,0))</f>
        <v>1</v>
      </c>
    </row>
    <row r="10" customFormat="false" ht="15" hidden="false" customHeight="true" outlineLevel="0" collapsed="false">
      <c r="A10" s="47" t="n">
        <v>2</v>
      </c>
      <c r="B10" s="48" t="s">
        <v>456</v>
      </c>
      <c r="C10" s="48" t="s">
        <v>77</v>
      </c>
      <c r="D10" s="48" t="s">
        <v>465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2857</v>
      </c>
      <c r="J10" s="48"/>
      <c r="K10" s="49" t="n">
        <f aca="false">IF(H10="covered",1,IF(H10="partial",0.5,0))</f>
        <v>1</v>
      </c>
    </row>
    <row r="11" customFormat="false" ht="15" hidden="false" customHeight="true" outlineLevel="0" collapsed="false">
      <c r="A11" s="47" t="n">
        <v>3</v>
      </c>
      <c r="B11" s="48" t="s">
        <v>456</v>
      </c>
      <c r="C11" s="48" t="s">
        <v>77</v>
      </c>
      <c r="D11" s="48" t="s">
        <v>466</v>
      </c>
      <c r="E11" s="47" t="s">
        <v>459</v>
      </c>
      <c r="F11" s="47" t="s">
        <v>459</v>
      </c>
      <c r="G11" s="47" t="s">
        <v>110</v>
      </c>
      <c r="H11" s="47" t="s">
        <v>461</v>
      </c>
      <c r="I11" s="48" t="s">
        <v>2857</v>
      </c>
      <c r="J11" s="48"/>
      <c r="K11" s="49" t="n">
        <f aca="false">IF(H11="covered",1,IF(H11="partial",0.5,0))</f>
        <v>1</v>
      </c>
    </row>
    <row r="12" customFormat="false" ht="15" hidden="false" customHeight="true" outlineLevel="0" collapsed="false">
      <c r="A12" s="47" t="n">
        <v>4</v>
      </c>
      <c r="B12" s="48" t="s">
        <v>456</v>
      </c>
      <c r="C12" s="48" t="s">
        <v>77</v>
      </c>
      <c r="D12" s="48" t="s">
        <v>467</v>
      </c>
      <c r="E12" s="47" t="s">
        <v>459</v>
      </c>
      <c r="F12" s="47" t="s">
        <v>459</v>
      </c>
      <c r="G12" s="47" t="s">
        <v>110</v>
      </c>
      <c r="H12" s="47" t="s">
        <v>461</v>
      </c>
      <c r="I12" s="48" t="s">
        <v>2857</v>
      </c>
      <c r="J12" s="48"/>
      <c r="K12" s="49" t="n">
        <f aca="false">IF(H12="covered",1,IF(H12="partial",0.5,0))</f>
        <v>1</v>
      </c>
    </row>
    <row r="13" customFormat="false" ht="30" hidden="false" customHeight="true" outlineLevel="0" collapsed="false">
      <c r="A13" s="47" t="n">
        <v>5</v>
      </c>
      <c r="B13" s="48" t="s">
        <v>468</v>
      </c>
      <c r="C13" s="48" t="s">
        <v>77</v>
      </c>
      <c r="D13" s="48" t="s">
        <v>2858</v>
      </c>
      <c r="E13" s="47" t="s">
        <v>459</v>
      </c>
      <c r="F13" s="47" t="s">
        <v>459</v>
      </c>
      <c r="G13" s="47" t="s">
        <v>110</v>
      </c>
      <c r="H13" s="47" t="s">
        <v>461</v>
      </c>
      <c r="I13" s="48" t="s">
        <v>2857</v>
      </c>
      <c r="J13" s="48"/>
      <c r="K13" s="49" t="n">
        <f aca="false">IF(H13="covered",1,IF(H13="partial",0.5,0))</f>
        <v>1</v>
      </c>
    </row>
    <row r="14" customFormat="false" ht="15" hidden="false" customHeight="true" outlineLevel="0" collapsed="false">
      <c r="A14" s="47" t="n">
        <v>6</v>
      </c>
      <c r="B14" s="48" t="s">
        <v>468</v>
      </c>
      <c r="C14" s="48" t="s">
        <v>77</v>
      </c>
      <c r="D14" s="48" t="s">
        <v>2859</v>
      </c>
      <c r="E14" s="47" t="s">
        <v>459</v>
      </c>
      <c r="F14" s="47" t="s">
        <v>459</v>
      </c>
      <c r="G14" s="47" t="s">
        <v>110</v>
      </c>
      <c r="H14" s="47" t="s">
        <v>461</v>
      </c>
      <c r="I14" s="48" t="s">
        <v>2857</v>
      </c>
      <c r="J14" s="48"/>
      <c r="K14" s="49" t="n">
        <f aca="false">IF(H14="covered",1,IF(H14="partial",0.5,0))</f>
        <v>1</v>
      </c>
    </row>
    <row r="15" customFormat="false" ht="15" hidden="false" customHeight="true" outlineLevel="0" collapsed="false">
      <c r="A15" s="47" t="n">
        <v>7</v>
      </c>
      <c r="B15" s="48" t="s">
        <v>468</v>
      </c>
      <c r="C15" s="48" t="s">
        <v>77</v>
      </c>
      <c r="D15" s="48" t="s">
        <v>2860</v>
      </c>
      <c r="E15" s="47" t="s">
        <v>459</v>
      </c>
      <c r="F15" s="47" t="s">
        <v>459</v>
      </c>
      <c r="G15" s="47" t="s">
        <v>110</v>
      </c>
      <c r="H15" s="47" t="s">
        <v>461</v>
      </c>
      <c r="I15" s="48" t="s">
        <v>2857</v>
      </c>
      <c r="J15" s="48"/>
      <c r="K15" s="49" t="n">
        <f aca="false">IF(H15="covered",1,IF(H15="partial",0.5,0))</f>
        <v>1</v>
      </c>
    </row>
    <row r="16" customFormat="false" ht="15" hidden="false" customHeight="true" outlineLevel="0" collapsed="false">
      <c r="A16" s="47" t="n">
        <v>8</v>
      </c>
      <c r="B16" s="48" t="s">
        <v>468</v>
      </c>
      <c r="C16" s="48" t="s">
        <v>77</v>
      </c>
      <c r="D16" s="48" t="s">
        <v>2861</v>
      </c>
      <c r="E16" s="47" t="s">
        <v>459</v>
      </c>
      <c r="F16" s="47" t="s">
        <v>459</v>
      </c>
      <c r="G16" s="47" t="s">
        <v>110</v>
      </c>
      <c r="H16" s="47" t="s">
        <v>461</v>
      </c>
      <c r="I16" s="48" t="s">
        <v>2857</v>
      </c>
      <c r="J16" s="48"/>
      <c r="K16" s="49" t="n">
        <f aca="false">IF(H16="covered",1,IF(H16="partial",0.5,0))</f>
        <v>1</v>
      </c>
    </row>
    <row r="17" customFormat="false" ht="30" hidden="false" customHeight="true" outlineLevel="0" collapsed="false">
      <c r="A17" s="47" t="n">
        <v>9</v>
      </c>
      <c r="B17" s="48" t="s">
        <v>468</v>
      </c>
      <c r="C17" s="48" t="s">
        <v>77</v>
      </c>
      <c r="D17" s="48" t="s">
        <v>2862</v>
      </c>
      <c r="E17" s="47" t="s">
        <v>459</v>
      </c>
      <c r="F17" s="47" t="s">
        <v>459</v>
      </c>
      <c r="G17" s="47" t="s">
        <v>110</v>
      </c>
      <c r="H17" s="47" t="s">
        <v>461</v>
      </c>
      <c r="I17" s="48" t="s">
        <v>2857</v>
      </c>
      <c r="J17" s="48"/>
      <c r="K17" s="49" t="n">
        <f aca="false">IF(H17="covered",1,IF(H17="partial",0.5,0))</f>
        <v>1</v>
      </c>
    </row>
    <row r="18" customFormat="false" ht="15" hidden="false" customHeight="true" outlineLevel="0" collapsed="false">
      <c r="A18" s="47" t="n">
        <v>10</v>
      </c>
      <c r="B18" s="48" t="s">
        <v>475</v>
      </c>
      <c r="C18" s="48" t="s">
        <v>1025</v>
      </c>
      <c r="D18" s="48" t="s">
        <v>1026</v>
      </c>
      <c r="E18" s="47" t="s">
        <v>459</v>
      </c>
      <c r="F18" s="47" t="s">
        <v>459</v>
      </c>
      <c r="G18" s="47" t="s">
        <v>110</v>
      </c>
      <c r="H18" s="47" t="s">
        <v>461</v>
      </c>
      <c r="I18" s="48" t="s">
        <v>2857</v>
      </c>
      <c r="J18" s="48"/>
      <c r="K18" s="49" t="n">
        <f aca="false">IF(H18="covered",1,IF(H18="partial",0.5,0))</f>
        <v>1</v>
      </c>
    </row>
    <row r="19" customFormat="false" ht="15" hidden="false" customHeight="true" outlineLevel="0" collapsed="false">
      <c r="A19" s="47" t="n">
        <v>11</v>
      </c>
      <c r="B19" s="48" t="s">
        <v>475</v>
      </c>
      <c r="C19" s="48" t="s">
        <v>1025</v>
      </c>
      <c r="D19" s="48" t="s">
        <v>1027</v>
      </c>
      <c r="E19" s="47" t="s">
        <v>459</v>
      </c>
      <c r="F19" s="47" t="s">
        <v>459</v>
      </c>
      <c r="G19" s="47" t="s">
        <v>110</v>
      </c>
      <c r="H19" s="47" t="s">
        <v>461</v>
      </c>
      <c r="I19" s="48" t="s">
        <v>2857</v>
      </c>
      <c r="J19" s="48"/>
      <c r="K19" s="49" t="n">
        <f aca="false">IF(H19="covered",1,IF(H19="partial",0.5,0))</f>
        <v>1</v>
      </c>
    </row>
    <row r="20" customFormat="false" ht="15" hidden="false" customHeight="true" outlineLevel="0" collapsed="false">
      <c r="A20" s="47" t="n">
        <v>12</v>
      </c>
      <c r="B20" s="48" t="s">
        <v>479</v>
      </c>
      <c r="C20" s="48" t="s">
        <v>1028</v>
      </c>
      <c r="D20" s="48" t="s">
        <v>2863</v>
      </c>
      <c r="E20" s="47" t="s">
        <v>459</v>
      </c>
      <c r="F20" s="47" t="s">
        <v>459</v>
      </c>
      <c r="G20" s="47" t="s">
        <v>110</v>
      </c>
      <c r="H20" s="47" t="s">
        <v>461</v>
      </c>
      <c r="I20" s="48" t="s">
        <v>2857</v>
      </c>
      <c r="J20" s="48"/>
      <c r="K20" s="49" t="n">
        <f aca="false">IF(H20="covered",1,IF(H20="partial",0.5,0))</f>
        <v>1</v>
      </c>
    </row>
    <row r="21" customFormat="false" ht="15" hidden="false" customHeight="true" outlineLevel="0" collapsed="false">
      <c r="A21" s="47" t="n">
        <v>13</v>
      </c>
      <c r="B21" s="48" t="s">
        <v>479</v>
      </c>
      <c r="C21" s="48" t="s">
        <v>1025</v>
      </c>
      <c r="D21" s="48" t="s">
        <v>2864</v>
      </c>
      <c r="E21" s="47" t="s">
        <v>459</v>
      </c>
      <c r="F21" s="47" t="s">
        <v>459</v>
      </c>
      <c r="G21" s="47" t="s">
        <v>110</v>
      </c>
      <c r="H21" s="47" t="s">
        <v>461</v>
      </c>
      <c r="I21" s="48" t="s">
        <v>2857</v>
      </c>
      <c r="J21" s="48"/>
      <c r="K21" s="49" t="n">
        <f aca="false">IF(H21="covered",1,IF(H21="partial",0.5,0))</f>
        <v>1</v>
      </c>
    </row>
    <row r="22" customFormat="false" ht="30" hidden="false" customHeight="true" outlineLevel="0" collapsed="false">
      <c r="A22" s="47" t="n">
        <v>14</v>
      </c>
      <c r="B22" s="48" t="s">
        <v>457</v>
      </c>
      <c r="C22" s="48" t="s">
        <v>1028</v>
      </c>
      <c r="D22" s="48" t="s">
        <v>2865</v>
      </c>
      <c r="E22" s="47" t="s">
        <v>459</v>
      </c>
      <c r="F22" s="47" t="s">
        <v>459</v>
      </c>
      <c r="G22" s="47" t="s">
        <v>110</v>
      </c>
      <c r="H22" s="47" t="s">
        <v>461</v>
      </c>
      <c r="I22" s="48" t="s">
        <v>2857</v>
      </c>
      <c r="J22" s="48"/>
      <c r="K22" s="49" t="n">
        <f aca="false">IF(H22="covered",1,IF(H22="partial",0.5,0))</f>
        <v>1</v>
      </c>
    </row>
    <row r="23" customFormat="false" ht="15" hidden="false" customHeight="true" outlineLevel="0" collapsed="false">
      <c r="A23" s="47" t="n">
        <v>15</v>
      </c>
      <c r="B23" s="48" t="s">
        <v>475</v>
      </c>
      <c r="C23" s="48" t="s">
        <v>1028</v>
      </c>
      <c r="D23" s="48" t="s">
        <v>2866</v>
      </c>
      <c r="E23" s="47" t="s">
        <v>459</v>
      </c>
      <c r="F23" s="47" t="s">
        <v>459</v>
      </c>
      <c r="G23" s="47" t="s">
        <v>110</v>
      </c>
      <c r="H23" s="47" t="s">
        <v>461</v>
      </c>
      <c r="I23" s="48" t="s">
        <v>2857</v>
      </c>
      <c r="J23" s="48"/>
      <c r="K23" s="49" t="n">
        <f aca="false">IF(H23="covered",1,IF(H23="partial",0.5,0))</f>
        <v>1</v>
      </c>
    </row>
    <row r="24" customFormat="false" ht="15" hidden="false" customHeight="true" outlineLevel="0" collapsed="false">
      <c r="A24" s="47" t="n">
        <v>16</v>
      </c>
      <c r="B24" s="48" t="s">
        <v>475</v>
      </c>
      <c r="C24" s="48" t="s">
        <v>1028</v>
      </c>
      <c r="D24" s="48" t="s">
        <v>2867</v>
      </c>
      <c r="E24" s="47" t="s">
        <v>459</v>
      </c>
      <c r="F24" s="47" t="s">
        <v>459</v>
      </c>
      <c r="G24" s="47" t="s">
        <v>110</v>
      </c>
      <c r="H24" s="47" t="s">
        <v>461</v>
      </c>
      <c r="I24" s="48" t="s">
        <v>2857</v>
      </c>
      <c r="J24" s="48"/>
      <c r="K24" s="49" t="n">
        <f aca="false">IF(H24="covered",1,IF(H24="partial",0.5,0))</f>
        <v>1</v>
      </c>
    </row>
    <row r="25" customFormat="false" ht="15" hidden="false" customHeight="true" outlineLevel="0" collapsed="false">
      <c r="A25" s="47" t="n">
        <v>17</v>
      </c>
      <c r="B25" s="48" t="s">
        <v>479</v>
      </c>
      <c r="C25" s="48" t="s">
        <v>1028</v>
      </c>
      <c r="D25" s="48" t="s">
        <v>2868</v>
      </c>
      <c r="E25" s="47" t="s">
        <v>459</v>
      </c>
      <c r="F25" s="47" t="s">
        <v>459</v>
      </c>
      <c r="G25" s="47" t="s">
        <v>110</v>
      </c>
      <c r="H25" s="47" t="s">
        <v>461</v>
      </c>
      <c r="I25" s="48" t="s">
        <v>2857</v>
      </c>
      <c r="J25" s="48"/>
      <c r="K25" s="49" t="n">
        <f aca="false">IF(H25="covered",1,IF(H25="partial",0.5,0))</f>
        <v>1</v>
      </c>
    </row>
    <row r="26" customFormat="false" ht="30" hidden="false" customHeight="true" outlineLevel="0" collapsed="false">
      <c r="A26" s="47" t="n">
        <v>18</v>
      </c>
      <c r="B26" s="48" t="s">
        <v>479</v>
      </c>
      <c r="C26" s="48" t="s">
        <v>1025</v>
      </c>
      <c r="D26" s="48" t="s">
        <v>2869</v>
      </c>
      <c r="E26" s="47" t="s">
        <v>459</v>
      </c>
      <c r="F26" s="47" t="s">
        <v>459</v>
      </c>
      <c r="G26" s="47" t="s">
        <v>110</v>
      </c>
      <c r="H26" s="47" t="s">
        <v>461</v>
      </c>
      <c r="I26" s="48" t="s">
        <v>2857</v>
      </c>
      <c r="J26" s="48"/>
      <c r="K26" s="49" t="n">
        <f aca="false">IF(H26="covered",1,IF(H26="partial",0.5,0))</f>
        <v>1</v>
      </c>
    </row>
    <row r="27" customFormat="false" ht="15" hidden="false" customHeight="true" outlineLevel="0" collapsed="false">
      <c r="A27" s="47" t="n">
        <v>19</v>
      </c>
      <c r="B27" s="48" t="s">
        <v>457</v>
      </c>
      <c r="C27" s="48" t="s">
        <v>1028</v>
      </c>
      <c r="D27" s="48" t="s">
        <v>2870</v>
      </c>
      <c r="E27" s="47" t="s">
        <v>459</v>
      </c>
      <c r="F27" s="47" t="s">
        <v>459</v>
      </c>
      <c r="G27" s="47" t="s">
        <v>110</v>
      </c>
      <c r="H27" s="47" t="s">
        <v>461</v>
      </c>
      <c r="I27" s="48" t="s">
        <v>2857</v>
      </c>
      <c r="J27" s="48"/>
      <c r="K27" s="49" t="n">
        <f aca="false">IF(H27="covered",1,IF(H27="partial",0.5,0))</f>
        <v>1</v>
      </c>
    </row>
    <row r="28" customFormat="false" ht="15" hidden="false" customHeight="true" outlineLevel="0" collapsed="false">
      <c r="A28" s="47" t="n">
        <v>20</v>
      </c>
      <c r="B28" s="48" t="s">
        <v>794</v>
      </c>
      <c r="C28" s="48" t="s">
        <v>77</v>
      </c>
      <c r="D28" s="48" t="s">
        <v>2871</v>
      </c>
      <c r="E28" s="47" t="s">
        <v>459</v>
      </c>
      <c r="F28" s="47" t="s">
        <v>459</v>
      </c>
      <c r="G28" s="47" t="s">
        <v>110</v>
      </c>
      <c r="H28" s="47" t="s">
        <v>461</v>
      </c>
      <c r="I28" s="48" t="s">
        <v>2857</v>
      </c>
      <c r="J28" s="48"/>
      <c r="K28" s="49" t="n">
        <f aca="false">IF(H28="covered",1,IF(H28="partial",0.5,0))</f>
        <v>1</v>
      </c>
    </row>
    <row r="29" customFormat="false" ht="15" hidden="false" customHeight="true" outlineLevel="0" collapsed="false">
      <c r="A29" s="47" t="n">
        <v>21</v>
      </c>
      <c r="B29" s="48" t="s">
        <v>794</v>
      </c>
      <c r="C29" s="48" t="s">
        <v>77</v>
      </c>
      <c r="D29" s="48" t="s">
        <v>2872</v>
      </c>
      <c r="E29" s="47" t="s">
        <v>459</v>
      </c>
      <c r="F29" s="47" t="s">
        <v>459</v>
      </c>
      <c r="G29" s="47" t="s">
        <v>110</v>
      </c>
      <c r="H29" s="47" t="s">
        <v>461</v>
      </c>
      <c r="I29" s="48" t="s">
        <v>2857</v>
      </c>
      <c r="J29" s="48"/>
      <c r="K29" s="49" t="n">
        <f aca="false">IF(H29="covered",1,IF(H29="partial",0.5,0))</f>
        <v>1</v>
      </c>
    </row>
    <row r="30" customFormat="false" ht="15" hidden="false" customHeight="true" outlineLevel="0" collapsed="false">
      <c r="A30" s="47" t="n">
        <v>22</v>
      </c>
      <c r="B30" s="48" t="s">
        <v>794</v>
      </c>
      <c r="C30" s="48" t="s">
        <v>77</v>
      </c>
      <c r="D30" s="48" t="s">
        <v>2873</v>
      </c>
      <c r="E30" s="47" t="s">
        <v>459</v>
      </c>
      <c r="F30" s="47" t="s">
        <v>459</v>
      </c>
      <c r="G30" s="47" t="s">
        <v>110</v>
      </c>
      <c r="H30" s="47" t="s">
        <v>461</v>
      </c>
      <c r="I30" s="48" t="s">
        <v>2857</v>
      </c>
      <c r="J30" s="48"/>
      <c r="K30" s="49" t="n">
        <f aca="false">IF(H30="covered",1,IF(H30="partial",0.5,0))</f>
        <v>1</v>
      </c>
    </row>
    <row r="31" customFormat="false" ht="30" hidden="false" customHeight="true" outlineLevel="0" collapsed="false">
      <c r="A31" s="47" t="n">
        <v>23</v>
      </c>
      <c r="B31" s="48" t="s">
        <v>486</v>
      </c>
      <c r="C31" s="48" t="s">
        <v>2874</v>
      </c>
      <c r="D31" s="48" t="s">
        <v>2875</v>
      </c>
      <c r="E31" s="47" t="s">
        <v>459</v>
      </c>
      <c r="F31" s="47" t="s">
        <v>459</v>
      </c>
      <c r="G31" s="47" t="s">
        <v>110</v>
      </c>
      <c r="H31" s="47" t="s">
        <v>461</v>
      </c>
      <c r="I31" s="48" t="s">
        <v>2876</v>
      </c>
      <c r="J31" s="48"/>
      <c r="K31" s="49" t="n">
        <f aca="false">IF(H31="covered",1,IF(H31="partial",0.5,0))</f>
        <v>1</v>
      </c>
    </row>
    <row r="32" customFormat="false" ht="30" hidden="false" customHeight="true" outlineLevel="0" collapsed="false">
      <c r="A32" s="47" t="n">
        <v>24</v>
      </c>
      <c r="B32" s="48" t="s">
        <v>486</v>
      </c>
      <c r="C32" s="48" t="s">
        <v>2874</v>
      </c>
      <c r="D32" s="48" t="s">
        <v>2877</v>
      </c>
      <c r="E32" s="47" t="s">
        <v>459</v>
      </c>
      <c r="F32" s="47" t="s">
        <v>459</v>
      </c>
      <c r="G32" s="47" t="s">
        <v>110</v>
      </c>
      <c r="H32" s="47" t="s">
        <v>461</v>
      </c>
      <c r="I32" s="48" t="s">
        <v>2878</v>
      </c>
      <c r="J32" s="48"/>
      <c r="K32" s="49" t="n">
        <f aca="false">IF(H32="covered",1,IF(H32="partial",0.5,0))</f>
        <v>1</v>
      </c>
    </row>
    <row r="33" customFormat="false" ht="30" hidden="false" customHeight="true" outlineLevel="0" collapsed="false">
      <c r="A33" s="47" t="n">
        <v>25</v>
      </c>
      <c r="B33" s="48" t="s">
        <v>486</v>
      </c>
      <c r="C33" s="48" t="s">
        <v>2874</v>
      </c>
      <c r="D33" s="48" t="s">
        <v>2879</v>
      </c>
      <c r="E33" s="47" t="s">
        <v>459</v>
      </c>
      <c r="F33" s="47" t="s">
        <v>459</v>
      </c>
      <c r="G33" s="47" t="s">
        <v>110</v>
      </c>
      <c r="H33" s="47" t="s">
        <v>461</v>
      </c>
      <c r="I33" s="48" t="s">
        <v>2880</v>
      </c>
      <c r="J33" s="48"/>
      <c r="K33" s="49" t="n">
        <f aca="false">IF(H33="covered",1,IF(H33="partial",0.5,0))</f>
        <v>1</v>
      </c>
    </row>
    <row r="34" customFormat="false" ht="13.5" hidden="false" customHeight="true" outlineLevel="0" collapsed="false">
      <c r="A34" s="31"/>
      <c r="B34" s="42"/>
      <c r="C34" s="42"/>
      <c r="D34" s="42"/>
      <c r="E34" s="34"/>
      <c r="F34" s="34"/>
      <c r="G34" s="31"/>
      <c r="H34" s="50"/>
      <c r="I34" s="42"/>
      <c r="J34" s="42"/>
      <c r="K34" s="45"/>
    </row>
    <row r="35" customFormat="false" ht="13.5" hidden="false" customHeight="true" outlineLevel="0" collapsed="false">
      <c r="A35" s="31"/>
      <c r="B35" s="42"/>
      <c r="C35" s="42"/>
      <c r="D35" s="42"/>
      <c r="E35" s="34"/>
      <c r="F35" s="34"/>
      <c r="G35" s="31"/>
      <c r="H35" s="50"/>
      <c r="I35" s="42"/>
      <c r="J35" s="42"/>
      <c r="K35" s="45"/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2881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8" t="s">
        <v>442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customFormat="false" ht="24" hidden="false" customHeight="true" outlineLevel="0" collapsed="false">
      <c r="A4" s="28" t="s">
        <v>443</v>
      </c>
      <c r="B4" s="39" t="n">
        <f aca="false">IFERROR(SUM(K9:K35)/COUNTA(A9:A35),0)</f>
        <v>1</v>
      </c>
      <c r="C4" s="28" t="s">
        <v>8</v>
      </c>
      <c r="D4" s="40" t="n">
        <f aca="false">COUNTIF(H9:H35,"covered")</f>
        <v>27</v>
      </c>
      <c r="E4" s="28" t="s">
        <v>9</v>
      </c>
      <c r="F4" s="40" t="n">
        <f aca="false">COUNTIF(H9:H35,"partial")</f>
        <v>0</v>
      </c>
      <c r="G4" s="28" t="s">
        <v>10</v>
      </c>
      <c r="H4" s="40" t="n">
        <f aca="false">COUNTIF(H9:H35,"missing")</f>
        <v>0</v>
      </c>
      <c r="I4" s="28" t="s">
        <v>11</v>
      </c>
      <c r="J4" s="40" t="n">
        <f aca="false">COUNTIF(F9:F35,"no")</f>
        <v>0</v>
      </c>
    </row>
    <row r="6" customFormat="false" ht="24" hidden="false" customHeight="true" outlineLevel="0" collapsed="false">
      <c r="A6" s="41" t="s">
        <v>444</v>
      </c>
      <c r="B6" s="41"/>
      <c r="C6" s="41"/>
      <c r="D6" s="41"/>
      <c r="E6" s="41"/>
      <c r="F6" s="41"/>
      <c r="G6" s="41"/>
      <c r="H6" s="41"/>
      <c r="I6" s="41"/>
      <c r="J6" s="41"/>
      <c r="K6" s="41"/>
    </row>
    <row r="8" customFormat="false" ht="24" hidden="false" customHeight="true" outlineLevel="0" collapsed="false">
      <c r="A8" s="30" t="s">
        <v>445</v>
      </c>
      <c r="B8" s="30" t="s">
        <v>446</v>
      </c>
      <c r="C8" s="30" t="s">
        <v>447</v>
      </c>
      <c r="D8" s="30" t="s">
        <v>448</v>
      </c>
      <c r="E8" s="30" t="s">
        <v>449</v>
      </c>
      <c r="F8" s="30" t="s">
        <v>450</v>
      </c>
      <c r="G8" s="30" t="s">
        <v>451</v>
      </c>
      <c r="H8" s="30" t="s">
        <v>452</v>
      </c>
      <c r="I8" s="30" t="s">
        <v>453</v>
      </c>
      <c r="J8" s="30" t="s">
        <v>454</v>
      </c>
      <c r="K8" s="30" t="s">
        <v>455</v>
      </c>
    </row>
    <row r="9" customFormat="false" ht="15" hidden="false" customHeight="true" outlineLevel="0" collapsed="false">
      <c r="A9" s="47" t="n">
        <v>1</v>
      </c>
      <c r="B9" s="48" t="s">
        <v>456</v>
      </c>
      <c r="C9" s="48" t="s">
        <v>457</v>
      </c>
      <c r="D9" s="48" t="s">
        <v>458</v>
      </c>
      <c r="E9" s="47" t="s">
        <v>459</v>
      </c>
      <c r="F9" s="47" t="s">
        <v>459</v>
      </c>
      <c r="G9" s="47" t="s">
        <v>110</v>
      </c>
      <c r="H9" s="47" t="s">
        <v>461</v>
      </c>
      <c r="I9" s="48" t="s">
        <v>1333</v>
      </c>
      <c r="J9" s="48"/>
      <c r="K9" s="49" t="n">
        <f aca="false">IF(H9="covered",1,IF(H9="partial",0.5,0))</f>
        <v>1</v>
      </c>
    </row>
    <row r="10" customFormat="false" ht="15" hidden="false" customHeight="true" outlineLevel="0" collapsed="false">
      <c r="A10" s="47" t="n">
        <v>2</v>
      </c>
      <c r="B10" s="48" t="s">
        <v>456</v>
      </c>
      <c r="C10" s="48" t="s">
        <v>457</v>
      </c>
      <c r="D10" s="48" t="s">
        <v>463</v>
      </c>
      <c r="E10" s="47" t="s">
        <v>459</v>
      </c>
      <c r="F10" s="47" t="s">
        <v>459</v>
      </c>
      <c r="G10" s="47" t="s">
        <v>110</v>
      </c>
      <c r="H10" s="47" t="s">
        <v>461</v>
      </c>
      <c r="I10" s="48" t="s">
        <v>1333</v>
      </c>
      <c r="J10" s="48"/>
      <c r="K10" s="49" t="n">
        <f aca="false">IF(H10="covered",1,IF(H10="partial",0.5,0))</f>
        <v>1</v>
      </c>
    </row>
    <row r="11" customFormat="false" ht="15" hidden="false" customHeight="true" outlineLevel="0" collapsed="false">
      <c r="A11" s="47" t="n">
        <v>3</v>
      </c>
      <c r="B11" s="48" t="s">
        <v>456</v>
      </c>
      <c r="C11" s="48" t="s">
        <v>78</v>
      </c>
      <c r="D11" s="48" t="s">
        <v>464</v>
      </c>
      <c r="E11" s="47" t="s">
        <v>459</v>
      </c>
      <c r="F11" s="47" t="s">
        <v>459</v>
      </c>
      <c r="G11" s="47" t="s">
        <v>110</v>
      </c>
      <c r="H11" s="47" t="s">
        <v>461</v>
      </c>
      <c r="I11" s="48" t="s">
        <v>2882</v>
      </c>
      <c r="J11" s="48"/>
      <c r="K11" s="49" t="n">
        <f aca="false">IF(H11="covered",1,IF(H11="partial",0.5,0))</f>
        <v>1</v>
      </c>
    </row>
    <row r="12" customFormat="false" ht="15" hidden="false" customHeight="true" outlineLevel="0" collapsed="false">
      <c r="A12" s="47" t="n">
        <v>4</v>
      </c>
      <c r="B12" s="48" t="s">
        <v>456</v>
      </c>
      <c r="C12" s="48" t="s">
        <v>78</v>
      </c>
      <c r="D12" s="48" t="s">
        <v>465</v>
      </c>
      <c r="E12" s="47" t="s">
        <v>459</v>
      </c>
      <c r="F12" s="47" t="s">
        <v>459</v>
      </c>
      <c r="G12" s="47" t="s">
        <v>110</v>
      </c>
      <c r="H12" s="47" t="s">
        <v>461</v>
      </c>
      <c r="I12" s="48" t="s">
        <v>2882</v>
      </c>
      <c r="J12" s="48"/>
      <c r="K12" s="49" t="n">
        <f aca="false">IF(H12="covered",1,IF(H12="partial",0.5,0))</f>
        <v>1</v>
      </c>
    </row>
    <row r="13" customFormat="false" ht="15" hidden="false" customHeight="true" outlineLevel="0" collapsed="false">
      <c r="A13" s="47" t="n">
        <v>5</v>
      </c>
      <c r="B13" s="48" t="s">
        <v>456</v>
      </c>
      <c r="C13" s="48" t="s">
        <v>78</v>
      </c>
      <c r="D13" s="48" t="s">
        <v>466</v>
      </c>
      <c r="E13" s="47" t="s">
        <v>459</v>
      </c>
      <c r="F13" s="47" t="s">
        <v>459</v>
      </c>
      <c r="G13" s="47" t="s">
        <v>110</v>
      </c>
      <c r="H13" s="47" t="s">
        <v>461</v>
      </c>
      <c r="I13" s="48" t="s">
        <v>2882</v>
      </c>
      <c r="J13" s="48"/>
      <c r="K13" s="49" t="n">
        <f aca="false">IF(H13="covered",1,IF(H13="partial",0.5,0))</f>
        <v>1</v>
      </c>
    </row>
    <row r="14" customFormat="false" ht="15" hidden="false" customHeight="true" outlineLevel="0" collapsed="false">
      <c r="A14" s="47" t="n">
        <v>6</v>
      </c>
      <c r="B14" s="48" t="s">
        <v>456</v>
      </c>
      <c r="C14" s="48" t="s">
        <v>78</v>
      </c>
      <c r="D14" s="48" t="s">
        <v>467</v>
      </c>
      <c r="E14" s="47" t="s">
        <v>459</v>
      </c>
      <c r="F14" s="47" t="s">
        <v>459</v>
      </c>
      <c r="G14" s="47" t="s">
        <v>110</v>
      </c>
      <c r="H14" s="47" t="s">
        <v>461</v>
      </c>
      <c r="I14" s="48" t="s">
        <v>2882</v>
      </c>
      <c r="J14" s="48"/>
      <c r="K14" s="49" t="n">
        <f aca="false">IF(H14="covered",1,IF(H14="partial",0.5,0))</f>
        <v>1</v>
      </c>
    </row>
    <row r="15" customFormat="false" ht="15" hidden="false" customHeight="true" outlineLevel="0" collapsed="false">
      <c r="A15" s="47" t="n">
        <v>7</v>
      </c>
      <c r="B15" s="48" t="s">
        <v>468</v>
      </c>
      <c r="C15" s="48" t="s">
        <v>78</v>
      </c>
      <c r="D15" s="48" t="s">
        <v>2883</v>
      </c>
      <c r="E15" s="47" t="s">
        <v>459</v>
      </c>
      <c r="F15" s="47" t="s">
        <v>459</v>
      </c>
      <c r="G15" s="47" t="s">
        <v>110</v>
      </c>
      <c r="H15" s="47" t="s">
        <v>461</v>
      </c>
      <c r="I15" s="48" t="s">
        <v>2882</v>
      </c>
      <c r="J15" s="48"/>
      <c r="K15" s="49" t="n">
        <f aca="false">IF(H15="covered",1,IF(H15="partial",0.5,0))</f>
        <v>1</v>
      </c>
    </row>
    <row r="16" customFormat="false" ht="15" hidden="false" customHeight="true" outlineLevel="0" collapsed="false">
      <c r="A16" s="47" t="n">
        <v>8</v>
      </c>
      <c r="B16" s="48" t="s">
        <v>468</v>
      </c>
      <c r="C16" s="48" t="s">
        <v>78</v>
      </c>
      <c r="D16" s="48" t="s">
        <v>2884</v>
      </c>
      <c r="E16" s="47" t="s">
        <v>459</v>
      </c>
      <c r="F16" s="47" t="s">
        <v>459</v>
      </c>
      <c r="G16" s="47" t="s">
        <v>110</v>
      </c>
      <c r="H16" s="47" t="s">
        <v>461</v>
      </c>
      <c r="I16" s="48" t="s">
        <v>2882</v>
      </c>
      <c r="J16" s="48"/>
      <c r="K16" s="49" t="n">
        <f aca="false">IF(H16="covered",1,IF(H16="partial",0.5,0))</f>
        <v>1</v>
      </c>
    </row>
    <row r="17" customFormat="false" ht="15" hidden="false" customHeight="true" outlineLevel="0" collapsed="false">
      <c r="A17" s="47" t="n">
        <v>9</v>
      </c>
      <c r="B17" s="48" t="s">
        <v>468</v>
      </c>
      <c r="C17" s="48" t="s">
        <v>78</v>
      </c>
      <c r="D17" s="48" t="s">
        <v>2885</v>
      </c>
      <c r="E17" s="47" t="s">
        <v>459</v>
      </c>
      <c r="F17" s="47" t="s">
        <v>459</v>
      </c>
      <c r="G17" s="47" t="s">
        <v>110</v>
      </c>
      <c r="H17" s="47" t="s">
        <v>461</v>
      </c>
      <c r="I17" s="48" t="s">
        <v>2882</v>
      </c>
      <c r="J17" s="48"/>
      <c r="K17" s="49" t="n">
        <f aca="false">IF(H17="covered",1,IF(H17="partial",0.5,0))</f>
        <v>1</v>
      </c>
    </row>
    <row r="18" customFormat="false" ht="15" hidden="false" customHeight="true" outlineLevel="0" collapsed="false">
      <c r="A18" s="47" t="n">
        <v>10</v>
      </c>
      <c r="B18" s="48" t="s">
        <v>468</v>
      </c>
      <c r="C18" s="48" t="s">
        <v>78</v>
      </c>
      <c r="D18" s="48" t="s">
        <v>792</v>
      </c>
      <c r="E18" s="47" t="s">
        <v>459</v>
      </c>
      <c r="F18" s="47" t="s">
        <v>459</v>
      </c>
      <c r="G18" s="47" t="s">
        <v>110</v>
      </c>
      <c r="H18" s="47" t="s">
        <v>461</v>
      </c>
      <c r="I18" s="48" t="s">
        <v>2882</v>
      </c>
      <c r="J18" s="48"/>
      <c r="K18" s="49" t="n">
        <f aca="false">IF(H18="covered",1,IF(H18="partial",0.5,0))</f>
        <v>1</v>
      </c>
    </row>
    <row r="19" customFormat="false" ht="15" hidden="false" customHeight="true" outlineLevel="0" collapsed="false">
      <c r="A19" s="47" t="n">
        <v>11</v>
      </c>
      <c r="B19" s="48" t="s">
        <v>475</v>
      </c>
      <c r="C19" s="48" t="s">
        <v>476</v>
      </c>
      <c r="D19" s="48" t="s">
        <v>477</v>
      </c>
      <c r="E19" s="47" t="s">
        <v>459</v>
      </c>
      <c r="F19" s="47" t="s">
        <v>459</v>
      </c>
      <c r="G19" s="47" t="s">
        <v>110</v>
      </c>
      <c r="H19" s="47" t="s">
        <v>461</v>
      </c>
      <c r="I19" s="48" t="s">
        <v>2882</v>
      </c>
      <c r="J19" s="48"/>
      <c r="K19" s="49" t="n">
        <f aca="false">IF(H19="covered",1,IF(H19="partial",0.5,0))</f>
        <v>1</v>
      </c>
    </row>
    <row r="20" customFormat="false" ht="15" hidden="false" customHeight="true" outlineLevel="0" collapsed="false">
      <c r="A20" s="47" t="n">
        <v>12</v>
      </c>
      <c r="B20" s="48" t="s">
        <v>475</v>
      </c>
      <c r="C20" s="48" t="s">
        <v>476</v>
      </c>
      <c r="D20" s="48" t="s">
        <v>478</v>
      </c>
      <c r="E20" s="47" t="s">
        <v>459</v>
      </c>
      <c r="F20" s="47" t="s">
        <v>459</v>
      </c>
      <c r="G20" s="47" t="s">
        <v>110</v>
      </c>
      <c r="H20" s="47" t="s">
        <v>461</v>
      </c>
      <c r="I20" s="48" t="s">
        <v>2882</v>
      </c>
      <c r="J20" s="48"/>
      <c r="K20" s="49" t="n">
        <f aca="false">IF(H20="covered",1,IF(H20="partial",0.5,0))</f>
        <v>1</v>
      </c>
    </row>
    <row r="21" customFormat="false" ht="30" hidden="false" customHeight="true" outlineLevel="0" collapsed="false">
      <c r="A21" s="47" t="n">
        <v>13</v>
      </c>
      <c r="B21" s="48" t="s">
        <v>479</v>
      </c>
      <c r="C21" s="48" t="s">
        <v>476</v>
      </c>
      <c r="D21" s="48" t="s">
        <v>480</v>
      </c>
      <c r="E21" s="47" t="s">
        <v>459</v>
      </c>
      <c r="F21" s="47" t="s">
        <v>459</v>
      </c>
      <c r="G21" s="47" t="s">
        <v>110</v>
      </c>
      <c r="H21" s="47" t="s">
        <v>461</v>
      </c>
      <c r="I21" s="48" t="s">
        <v>2882</v>
      </c>
      <c r="J21" s="48"/>
      <c r="K21" s="49" t="n">
        <f aca="false">IF(H21="covered",1,IF(H21="partial",0.5,0))</f>
        <v>1</v>
      </c>
    </row>
    <row r="22" customFormat="false" ht="15" hidden="false" customHeight="true" outlineLevel="0" collapsed="false">
      <c r="A22" s="47" t="n">
        <v>14</v>
      </c>
      <c r="B22" s="48" t="s">
        <v>479</v>
      </c>
      <c r="C22" s="48" t="s">
        <v>476</v>
      </c>
      <c r="D22" s="48" t="s">
        <v>481</v>
      </c>
      <c r="E22" s="47" t="s">
        <v>459</v>
      </c>
      <c r="F22" s="47" t="s">
        <v>459</v>
      </c>
      <c r="G22" s="47" t="s">
        <v>110</v>
      </c>
      <c r="H22" s="47" t="s">
        <v>461</v>
      </c>
      <c r="I22" s="48" t="s">
        <v>2882</v>
      </c>
      <c r="J22" s="48"/>
      <c r="K22" s="49" t="n">
        <f aca="false">IF(H22="covered",1,IF(H22="partial",0.5,0))</f>
        <v>1</v>
      </c>
    </row>
    <row r="23" customFormat="false" ht="15" hidden="false" customHeight="true" outlineLevel="0" collapsed="false">
      <c r="A23" s="47" t="n">
        <v>15</v>
      </c>
      <c r="B23" s="48" t="s">
        <v>457</v>
      </c>
      <c r="C23" s="48" t="s">
        <v>476</v>
      </c>
      <c r="D23" s="48" t="s">
        <v>482</v>
      </c>
      <c r="E23" s="47" t="s">
        <v>459</v>
      </c>
      <c r="F23" s="47" t="s">
        <v>459</v>
      </c>
      <c r="G23" s="47" t="s">
        <v>110</v>
      </c>
      <c r="H23" s="47" t="s">
        <v>461</v>
      </c>
      <c r="I23" s="48" t="s">
        <v>2882</v>
      </c>
      <c r="J23" s="48"/>
      <c r="K23" s="49" t="n">
        <f aca="false">IF(H23="covered",1,IF(H23="partial",0.5,0))</f>
        <v>1</v>
      </c>
    </row>
    <row r="24" customFormat="false" ht="15" hidden="false" customHeight="true" outlineLevel="0" collapsed="false">
      <c r="A24" s="47" t="n">
        <v>16</v>
      </c>
      <c r="B24" s="48" t="s">
        <v>774</v>
      </c>
      <c r="C24" s="48" t="s">
        <v>476</v>
      </c>
      <c r="D24" s="48" t="s">
        <v>775</v>
      </c>
      <c r="E24" s="47" t="s">
        <v>459</v>
      </c>
      <c r="F24" s="47" t="s">
        <v>459</v>
      </c>
      <c r="G24" s="47" t="s">
        <v>110</v>
      </c>
      <c r="H24" s="47" t="s">
        <v>461</v>
      </c>
      <c r="I24" s="48" t="s">
        <v>2882</v>
      </c>
      <c r="J24" s="48"/>
      <c r="K24" s="49" t="n">
        <f aca="false">IF(H24="covered",1,IF(H24="partial",0.5,0))</f>
        <v>1</v>
      </c>
    </row>
    <row r="25" customFormat="false" ht="15" hidden="false" customHeight="true" outlineLevel="0" collapsed="false">
      <c r="A25" s="47" t="n">
        <v>17</v>
      </c>
      <c r="B25" s="48" t="s">
        <v>483</v>
      </c>
      <c r="C25" s="48" t="s">
        <v>476</v>
      </c>
      <c r="D25" s="48" t="s">
        <v>484</v>
      </c>
      <c r="E25" s="47" t="s">
        <v>459</v>
      </c>
      <c r="F25" s="47" t="s">
        <v>459</v>
      </c>
      <c r="G25" s="47" t="s">
        <v>110</v>
      </c>
      <c r="H25" s="47" t="s">
        <v>461</v>
      </c>
      <c r="I25" s="48" t="s">
        <v>2882</v>
      </c>
      <c r="J25" s="48"/>
      <c r="K25" s="49" t="n">
        <f aca="false">IF(H25="covered",1,IF(H25="partial",0.5,0))</f>
        <v>1</v>
      </c>
    </row>
    <row r="26" customFormat="false" ht="15" hidden="false" customHeight="true" outlineLevel="0" collapsed="false">
      <c r="A26" s="47" t="n">
        <v>18</v>
      </c>
      <c r="B26" s="48" t="s">
        <v>483</v>
      </c>
      <c r="C26" s="48" t="s">
        <v>476</v>
      </c>
      <c r="D26" s="48" t="s">
        <v>485</v>
      </c>
      <c r="E26" s="47" t="s">
        <v>459</v>
      </c>
      <c r="F26" s="47" t="s">
        <v>459</v>
      </c>
      <c r="G26" s="47" t="s">
        <v>110</v>
      </c>
      <c r="H26" s="47" t="s">
        <v>461</v>
      </c>
      <c r="I26" s="48" t="s">
        <v>2882</v>
      </c>
      <c r="J26" s="48"/>
      <c r="K26" s="49" t="n">
        <f aca="false">IF(H26="covered",1,IF(H26="partial",0.5,0))</f>
        <v>1</v>
      </c>
    </row>
    <row r="27" customFormat="false" ht="15" hidden="false" customHeight="true" outlineLevel="0" collapsed="false">
      <c r="A27" s="47" t="n">
        <v>19</v>
      </c>
      <c r="B27" s="48" t="s">
        <v>486</v>
      </c>
      <c r="C27" s="48" t="s">
        <v>476</v>
      </c>
      <c r="D27" s="48" t="s">
        <v>495</v>
      </c>
      <c r="E27" s="47" t="s">
        <v>459</v>
      </c>
      <c r="F27" s="47" t="s">
        <v>459</v>
      </c>
      <c r="G27" s="47" t="s">
        <v>110</v>
      </c>
      <c r="H27" s="47" t="s">
        <v>461</v>
      </c>
      <c r="I27" s="48" t="s">
        <v>2882</v>
      </c>
      <c r="J27" s="48"/>
      <c r="K27" s="49" t="n">
        <f aca="false">IF(H27="covered",1,IF(H27="partial",0.5,0))</f>
        <v>1</v>
      </c>
    </row>
    <row r="28" customFormat="false" ht="15" hidden="false" customHeight="true" outlineLevel="0" collapsed="false">
      <c r="A28" s="47" t="n">
        <v>20</v>
      </c>
      <c r="B28" s="48" t="s">
        <v>511</v>
      </c>
      <c r="C28" s="48" t="s">
        <v>506</v>
      </c>
      <c r="D28" s="48" t="s">
        <v>514</v>
      </c>
      <c r="E28" s="47" t="s">
        <v>459</v>
      </c>
      <c r="F28" s="47" t="s">
        <v>459</v>
      </c>
      <c r="G28" s="47" t="s">
        <v>110</v>
      </c>
      <c r="H28" s="47" t="s">
        <v>461</v>
      </c>
      <c r="I28" s="48" t="s">
        <v>2882</v>
      </c>
      <c r="J28" s="48"/>
      <c r="K28" s="49" t="n">
        <f aca="false">IF(H28="covered",1,IF(H28="partial",0.5,0))</f>
        <v>1</v>
      </c>
    </row>
    <row r="29" customFormat="false" ht="30" hidden="false" customHeight="true" outlineLevel="0" collapsed="false">
      <c r="A29" s="47" t="n">
        <v>21</v>
      </c>
      <c r="B29" s="48" t="s">
        <v>483</v>
      </c>
      <c r="C29" s="48" t="s">
        <v>78</v>
      </c>
      <c r="D29" s="48" t="s">
        <v>516</v>
      </c>
      <c r="E29" s="47" t="s">
        <v>459</v>
      </c>
      <c r="F29" s="47" t="s">
        <v>459</v>
      </c>
      <c r="G29" s="47" t="s">
        <v>110</v>
      </c>
      <c r="H29" s="47" t="s">
        <v>461</v>
      </c>
      <c r="I29" s="48" t="s">
        <v>2882</v>
      </c>
      <c r="J29" s="48"/>
      <c r="K29" s="49" t="n">
        <f aca="false">IF(H29="covered",1,IF(H29="partial",0.5,0))</f>
        <v>1</v>
      </c>
    </row>
    <row r="30" customFormat="false" ht="15" hidden="false" customHeight="true" outlineLevel="0" collapsed="false">
      <c r="A30" s="47" t="n">
        <v>22</v>
      </c>
      <c r="B30" s="48" t="s">
        <v>483</v>
      </c>
      <c r="C30" s="48" t="s">
        <v>78</v>
      </c>
      <c r="D30" s="48" t="s">
        <v>517</v>
      </c>
      <c r="E30" s="47" t="s">
        <v>459</v>
      </c>
      <c r="F30" s="47" t="s">
        <v>459</v>
      </c>
      <c r="G30" s="47" t="s">
        <v>110</v>
      </c>
      <c r="H30" s="47" t="s">
        <v>461</v>
      </c>
      <c r="I30" s="48" t="s">
        <v>2882</v>
      </c>
      <c r="J30" s="48"/>
      <c r="K30" s="49" t="n">
        <f aca="false">IF(H30="covered",1,IF(H30="partial",0.5,0))</f>
        <v>1</v>
      </c>
    </row>
    <row r="31" customFormat="false" ht="15" hidden="false" customHeight="true" outlineLevel="0" collapsed="false">
      <c r="A31" s="47" t="n">
        <v>23</v>
      </c>
      <c r="B31" s="48" t="s">
        <v>483</v>
      </c>
      <c r="C31" s="48" t="s">
        <v>78</v>
      </c>
      <c r="D31" s="48" t="s">
        <v>518</v>
      </c>
      <c r="E31" s="47" t="s">
        <v>459</v>
      </c>
      <c r="F31" s="47" t="s">
        <v>459</v>
      </c>
      <c r="G31" s="47" t="s">
        <v>110</v>
      </c>
      <c r="H31" s="47" t="s">
        <v>461</v>
      </c>
      <c r="I31" s="48" t="s">
        <v>2882</v>
      </c>
      <c r="J31" s="48"/>
      <c r="K31" s="49" t="n">
        <f aca="false">IF(H31="covered",1,IF(H31="partial",0.5,0))</f>
        <v>1</v>
      </c>
    </row>
    <row r="32" customFormat="false" ht="15" hidden="false" customHeight="true" outlineLevel="0" collapsed="false">
      <c r="A32" s="47" t="n">
        <v>24</v>
      </c>
      <c r="B32" s="48" t="s">
        <v>483</v>
      </c>
      <c r="C32" s="48" t="s">
        <v>78</v>
      </c>
      <c r="D32" s="48" t="s">
        <v>519</v>
      </c>
      <c r="E32" s="47" t="s">
        <v>459</v>
      </c>
      <c r="F32" s="47" t="s">
        <v>459</v>
      </c>
      <c r="G32" s="47" t="s">
        <v>110</v>
      </c>
      <c r="H32" s="47" t="s">
        <v>461</v>
      </c>
      <c r="I32" s="48" t="s">
        <v>2882</v>
      </c>
      <c r="J32" s="48"/>
      <c r="K32" s="49" t="n">
        <f aca="false">IF(H32="covered",1,IF(H32="partial",0.5,0))</f>
        <v>1</v>
      </c>
    </row>
    <row r="33" customFormat="false" ht="15" hidden="false" customHeight="true" outlineLevel="0" collapsed="false">
      <c r="A33" s="47" t="n">
        <v>25</v>
      </c>
      <c r="B33" s="48" t="s">
        <v>483</v>
      </c>
      <c r="C33" s="48" t="s">
        <v>78</v>
      </c>
      <c r="D33" s="48" t="s">
        <v>520</v>
      </c>
      <c r="E33" s="47" t="s">
        <v>459</v>
      </c>
      <c r="F33" s="47" t="s">
        <v>459</v>
      </c>
      <c r="G33" s="47" t="s">
        <v>110</v>
      </c>
      <c r="H33" s="47" t="s">
        <v>461</v>
      </c>
      <c r="I33" s="48" t="s">
        <v>2882</v>
      </c>
      <c r="J33" s="48"/>
      <c r="K33" s="49" t="n">
        <f aca="false">IF(H33="covered",1,IF(H33="partial",0.5,0))</f>
        <v>1</v>
      </c>
    </row>
    <row r="34" customFormat="false" ht="15" hidden="false" customHeight="true" outlineLevel="0" collapsed="false">
      <c r="A34" s="47" t="n">
        <v>26</v>
      </c>
      <c r="B34" s="48" t="s">
        <v>794</v>
      </c>
      <c r="C34" s="48" t="s">
        <v>78</v>
      </c>
      <c r="D34" s="48" t="s">
        <v>2886</v>
      </c>
      <c r="E34" s="47" t="s">
        <v>459</v>
      </c>
      <c r="F34" s="47" t="s">
        <v>459</v>
      </c>
      <c r="G34" s="47" t="s">
        <v>110</v>
      </c>
      <c r="H34" s="47" t="s">
        <v>461</v>
      </c>
      <c r="I34" s="48" t="s">
        <v>2882</v>
      </c>
      <c r="J34" s="48"/>
      <c r="K34" s="49" t="n">
        <f aca="false">IF(H34="covered",1,IF(H34="partial",0.5,0))</f>
        <v>1</v>
      </c>
    </row>
    <row r="35" customFormat="false" ht="15" hidden="false" customHeight="true" outlineLevel="0" collapsed="false">
      <c r="A35" s="47" t="n">
        <v>27</v>
      </c>
      <c r="B35" s="48" t="s">
        <v>794</v>
      </c>
      <c r="C35" s="48" t="s">
        <v>78</v>
      </c>
      <c r="D35" s="48" t="s">
        <v>2887</v>
      </c>
      <c r="E35" s="47" t="s">
        <v>459</v>
      </c>
      <c r="F35" s="47" t="s">
        <v>459</v>
      </c>
      <c r="G35" s="47" t="s">
        <v>110</v>
      </c>
      <c r="H35" s="47" t="s">
        <v>461</v>
      </c>
      <c r="I35" s="48" t="s">
        <v>2882</v>
      </c>
      <c r="J35" s="48"/>
      <c r="K35" s="49" t="n">
        <f aca="false">IF(H35="covered",1,IF(H35="partial",0.5,0))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2026-07-07T14:45:33Z</dcterms:created>
  <dc:creator>openpyxl</dc:creator>
  <dc:description/>
  <dc:language>en-US</dc:language>
  <cp:lastModifiedBy>Will Donin</cp:lastModifiedBy>
  <dcterms:modified xsi:type="dcterms:W3CDTF">2026-07-19T20:08:47Z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